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C:\Users\Nick\Desktop\New folder\"/>
    </mc:Choice>
  </mc:AlternateContent>
  <bookViews>
    <workbookView xWindow="19185" yWindow="45" windowWidth="19230" windowHeight="11655" tabRatio="833"/>
  </bookViews>
  <sheets>
    <sheet name="General" sheetId="1" r:id="rId1"/>
    <sheet name="Summary" sheetId="8" r:id="rId2"/>
    <sheet name="API 2000 Calculation" sheetId="2" r:id="rId3"/>
    <sheet name="Inlet Blanketting Failure" sheetId="9" r:id="rId4"/>
    <sheet name="Steam Coil Rupture" sheetId="10" r:id="rId5"/>
    <sheet name="Drain Pipe Rupture" sheetId="11" r:id="rId6"/>
    <sheet name="Calculation Basis" sheetId="3" r:id="rId7"/>
    <sheet name="References" sheetId="4" r:id="rId8"/>
    <sheet name="Program Revisions" sheetId="5" r:id="rId9"/>
  </sheets>
  <functionGroups builtInGroupCount="18"/>
  <externalReferences>
    <externalReference r:id="rId10"/>
    <externalReference r:id="rId11"/>
  </externalReferences>
  <definedNames>
    <definedName name="CurrRev">'Program Revisions'!$J$1</definedName>
    <definedName name="_xlnm.Print_Area" localSheetId="2">'API 2000 Calculation'!$B$1:$R$88</definedName>
    <definedName name="_xlnm.Print_Area" localSheetId="6">'Calculation Basis'!$B$1:$R$66</definedName>
    <definedName name="_xlnm.Print_Area" localSheetId="5">'Drain Pipe Rupture'!$A$1:$V$68</definedName>
    <definedName name="_xlnm.Print_Area" localSheetId="0">General!$A$4:$M$39</definedName>
    <definedName name="_xlnm.Print_Area" localSheetId="3">'Inlet Blanketting Failure'!$A$1:$R$63</definedName>
    <definedName name="_xlnm.Print_Area" localSheetId="8">'Program Revisions'!$B$1:$H$110</definedName>
    <definedName name="_xlnm.Print_Area" localSheetId="7">References!$B$1:$R$66</definedName>
    <definedName name="_xlnm.Print_Area" localSheetId="4">'Steam Coil Rupture'!$A$1:$R$66</definedName>
    <definedName name="_xlnm.Print_Area" localSheetId="1">Summary!$A$1:$W$67</definedName>
    <definedName name="Z_436F83E0_9FB6_48FF_BFBA_645707C18FC5_.wvu.PrintArea" localSheetId="5" hidden="1">'Drain Pipe Rupture'!#REF!</definedName>
    <definedName name="Z_436F83E0_9FB6_48FF_BFBA_645707C18FC5_.wvu.PrintArea" localSheetId="3" hidden="1">'Inlet Blanketting Failure'!#REF!</definedName>
    <definedName name="Z_436F83E0_9FB6_48FF_BFBA_645707C18FC5_.wvu.PrintArea" localSheetId="1" hidden="1">Summary!$B$10:$N$60</definedName>
    <definedName name="Z_E5D99FF3_C22B_41B8_A40B_5D821532B165_.wvu.Cols" localSheetId="2" hidden="1">'API 2000 Calculation'!$T:$AE</definedName>
    <definedName name="Z_E5D99FF3_C22B_41B8_A40B_5D821532B165_.wvu.Cols" localSheetId="0" hidden="1">General!$JW:$LX,General!$TS:$VT,General!$ADO:$AFP,General!$ANK:$APL,General!$AXG:$AZH,General!$BHC:$BJD,General!$BQY:$BSZ,General!$CAU:$CCV,General!$CKQ:$CMR,General!$CUM:$CWN,General!$DEI:$DGJ,General!$DOE:$DQF,General!$DYA:$EAB,General!$EHW:$EJX,General!$ERS:$ETT,General!$FBO:$FDP,General!$FLK:$FNL,General!$FVG:$FXH,General!$GFC:$GHD,General!$GOY:$GQZ,General!$GYU:$HAV,General!$HIQ:$HKR,General!$HSM:$HUN,General!$ICI:$IEJ,General!$IME:$IOF,General!$IWA:$IYB,General!$JFW:$JHX,General!$JPS:$JRT,General!$JZO:$KBP,General!$KJK:$KLL,General!$KTG:$KVH,General!$LDC:$LFD,General!$LMY:$LOZ,General!$LWU:$LYV,General!$MGQ:$MIR,General!$MQM:$MSN,General!$NAI:$NCJ,General!$NKE:$NMF,General!$NUA:$NWB,General!$ODW:$OFX,General!$ONS:$OPT,General!$OXO:$OZP,General!$PHK:$PJL,General!$PRG:$PTH,General!$QBC:$QDD,General!$QKY:$QMZ,General!$QUU:$QWV,General!$REQ:$RGR,General!$ROM:$RQN,General!$RYI:$SAJ,General!$SIE:$SKF,General!$SSA:$SUB,General!$TBW:$TDX,General!$TLS:$TNT,General!$TVO:$TXP,General!$UFK:$UHL,General!$UPG:$URH,General!$UZC:$VBD,General!$VIY:$VKZ,General!$VSU:$VUV,General!$WCQ:$WER,General!$WMM:$WON,General!$WWI:$WYJ</definedName>
    <definedName name="Z_E5D99FF3_C22B_41B8_A40B_5D821532B165_.wvu.Cols" localSheetId="8" hidden="1">'Program Revisions'!$G:$G,'Program Revisions'!$JC:$JC,'Program Revisions'!$SY:$SY,'Program Revisions'!$ACU:$ACU,'Program Revisions'!$AMQ:$AMQ,'Program Revisions'!$AWM:$AWM,'Program Revisions'!$BGI:$BGI,'Program Revisions'!$BQE:$BQE,'Program Revisions'!$CAA:$CAA,'Program Revisions'!$CJW:$CJW,'Program Revisions'!$CTS:$CTS,'Program Revisions'!$DDO:$DDO,'Program Revisions'!$DNK:$DNK,'Program Revisions'!$DXG:$DXG,'Program Revisions'!$EHC:$EHC,'Program Revisions'!$EQY:$EQY,'Program Revisions'!$FAU:$FAU,'Program Revisions'!$FKQ:$FKQ,'Program Revisions'!$FUM:$FUM,'Program Revisions'!$GEI:$GEI,'Program Revisions'!$GOE:$GOE,'Program Revisions'!$GYA:$GYA,'Program Revisions'!$HHW:$HHW,'Program Revisions'!$HRS:$HRS,'Program Revisions'!$IBO:$IBO,'Program Revisions'!$ILK:$ILK,'Program Revisions'!$IVG:$IVG,'Program Revisions'!$JFC:$JFC,'Program Revisions'!$JOY:$JOY,'Program Revisions'!$JYU:$JYU,'Program Revisions'!$KIQ:$KIQ,'Program Revisions'!$KSM:$KSM,'Program Revisions'!$LCI:$LCI,'Program Revisions'!$LME:$LME,'Program Revisions'!$LWA:$LWA,'Program Revisions'!$MFW:$MFW,'Program Revisions'!$MPS:$MPS,'Program Revisions'!$MZO:$MZO,'Program Revisions'!$NJK:$NJK,'Program Revisions'!$NTG:$NTG,'Program Revisions'!$ODC:$ODC,'Program Revisions'!$OMY:$OMY,'Program Revisions'!$OWU:$OWU,'Program Revisions'!$PGQ:$PGQ,'Program Revisions'!$PQM:$PQM,'Program Revisions'!$QAI:$QAI,'Program Revisions'!$QKE:$QKE,'Program Revisions'!$QUA:$QUA,'Program Revisions'!$RDW:$RDW,'Program Revisions'!$RNS:$RNS,'Program Revisions'!$RXO:$RXO,'Program Revisions'!$SHK:$SHK,'Program Revisions'!$SRG:$SRG,'Program Revisions'!$TBC:$TBC,'Program Revisions'!$TKY:$TKY,'Program Revisions'!$TUU:$TUU,'Program Revisions'!$UEQ:$UEQ,'Program Revisions'!$UOM:$UOM,'Program Revisions'!$UYI:$UYI,'Program Revisions'!$VIE:$VIE,'Program Revisions'!$VSA:$VSA,'Program Revisions'!$WBW:$WBW,'Program Revisions'!$WLS:$WLS,'Program Revisions'!$WVO:$WVO</definedName>
    <definedName name="Z_E5D99FF3_C22B_41B8_A40B_5D821532B165_.wvu.PrintArea" localSheetId="2" hidden="1">'API 2000 Calculation'!$B$1:$R$88</definedName>
    <definedName name="Z_E5D99FF3_C22B_41B8_A40B_5D821532B165_.wvu.PrintArea" localSheetId="6" hidden="1">'Calculation Basis'!$B$1:$R$66</definedName>
    <definedName name="Z_E5D99FF3_C22B_41B8_A40B_5D821532B165_.wvu.PrintArea" localSheetId="0" hidden="1">General!$A$4:$L$39</definedName>
    <definedName name="Z_E5D99FF3_C22B_41B8_A40B_5D821532B165_.wvu.PrintArea" localSheetId="8" hidden="1">'Program Revisions'!$B$1:$H$110</definedName>
    <definedName name="Z_E5D99FF3_C22B_41B8_A40B_5D821532B165_.wvu.PrintArea" localSheetId="7" hidden="1">References!$B$1:$R$66</definedName>
    <definedName name="Z_E5D99FF3_C22B_41B8_A40B_5D821532B165_.wvu.Rows" localSheetId="2" hidden="1">'API 2000 Calculation'!$304:$388</definedName>
    <definedName name="Z_E5D99FF3_C22B_41B8_A40B_5D821532B165_.wvu.Rows" localSheetId="0" hidden="1">General!$106:$150</definedName>
  </definedNames>
  <calcPr calcId="152511" iterate="1" iterateDelta="4.0000000000000001E-3" calcOnSave="0" forceFullCalc="1"/>
  <customWorkbookViews>
    <customWorkbookView name="Brown, Nick - Personal View" guid="{E5D99FF3-C22B-41B8-A40B-5D821532B165}" mergeInterval="0" personalView="1" maximized="1" windowWidth="1111" windowHeight="683" tabRatio="833" activeSheetId="2"/>
  </customWorkbookViews>
</workbook>
</file>

<file path=xl/calcChain.xml><?xml version="1.0" encoding="utf-8"?>
<calcChain xmlns="http://schemas.openxmlformats.org/spreadsheetml/2006/main">
  <c r="Z45" i="2" l="1"/>
  <c r="R8" i="8" l="1"/>
  <c r="R7" i="8"/>
  <c r="R6" i="8"/>
  <c r="F8" i="8"/>
  <c r="F7" i="8"/>
  <c r="F6" i="8"/>
  <c r="W5" i="8"/>
  <c r="W4" i="8"/>
  <c r="W3" i="8"/>
  <c r="W2" i="8"/>
  <c r="C4" i="1" l="1"/>
  <c r="AB26" i="11"/>
  <c r="P16" i="11"/>
  <c r="P23" i="11" s="1"/>
  <c r="Q8" i="11"/>
  <c r="E8" i="11"/>
  <c r="Q7" i="11"/>
  <c r="E7" i="11"/>
  <c r="Q6" i="11"/>
  <c r="E6" i="11"/>
  <c r="V5" i="11"/>
  <c r="V4" i="11"/>
  <c r="V3" i="11"/>
  <c r="V2" i="11"/>
  <c r="X65" i="10"/>
  <c r="AD27" i="10"/>
  <c r="V27" i="10"/>
  <c r="N22" i="10"/>
  <c r="N21" i="10"/>
  <c r="AD18" i="10" s="1"/>
  <c r="AH17" i="10"/>
  <c r="Z17" i="10"/>
  <c r="AH16" i="10"/>
  <c r="Z16" i="10"/>
  <c r="AH15" i="10"/>
  <c r="Z15" i="10"/>
  <c r="AH14" i="10"/>
  <c r="Z14" i="10"/>
  <c r="L11" i="10"/>
  <c r="K11" i="10"/>
  <c r="M8" i="10"/>
  <c r="E8" i="10"/>
  <c r="M7" i="10"/>
  <c r="E7" i="10"/>
  <c r="M6" i="10"/>
  <c r="E6" i="10"/>
  <c r="R5" i="10"/>
  <c r="R4" i="10"/>
  <c r="R3" i="10"/>
  <c r="R2" i="10"/>
  <c r="N25" i="9"/>
  <c r="N26" i="9" s="1"/>
  <c r="O22" i="9"/>
  <c r="O21" i="9"/>
  <c r="M8" i="9"/>
  <c r="E8" i="9"/>
  <c r="M7" i="9"/>
  <c r="E7" i="9"/>
  <c r="M6" i="9"/>
  <c r="E6" i="9"/>
  <c r="R5" i="9"/>
  <c r="R4" i="9"/>
  <c r="R3" i="9"/>
  <c r="R2" i="9"/>
  <c r="W1" i="8"/>
  <c r="R1" i="2" s="1"/>
  <c r="R1" i="9" s="1"/>
  <c r="R1" i="10" s="1"/>
  <c r="M12" i="8"/>
  <c r="X15" i="10" l="1"/>
  <c r="AF15" i="10"/>
  <c r="X27" i="10"/>
  <c r="Y27" i="10" s="1"/>
  <c r="Z27" i="10" s="1"/>
  <c r="N23" i="10"/>
  <c r="N28" i="10" s="1"/>
  <c r="V18" i="10"/>
  <c r="X16" i="10"/>
  <c r="AB20" i="11"/>
  <c r="AD19" i="11" s="1"/>
  <c r="AD16" i="11"/>
  <c r="AD20" i="11"/>
  <c r="O25" i="9"/>
  <c r="O26" i="9" s="1"/>
  <c r="AF16" i="10"/>
  <c r="N27" i="9"/>
  <c r="N28" i="9" s="1"/>
  <c r="O28" i="9" s="1"/>
  <c r="AF27" i="10"/>
  <c r="AG27" i="10" s="1"/>
  <c r="AH27" i="10" s="1"/>
  <c r="AC26" i="11"/>
  <c r="X19" i="10" l="1"/>
  <c r="Z19" i="10" s="1"/>
  <c r="AF19" i="10"/>
  <c r="AH19" i="10" s="1"/>
  <c r="AA27" i="10"/>
  <c r="U28" i="10"/>
  <c r="V28" i="10" s="1"/>
  <c r="X28" i="10" s="1"/>
  <c r="Y28" i="10" s="1"/>
  <c r="Z28" i="10" s="1"/>
  <c r="U29" i="10" s="1"/>
  <c r="O27" i="9"/>
  <c r="O29" i="9" s="1"/>
  <c r="O31" i="9" s="1"/>
  <c r="AD26" i="11"/>
  <c r="AE26" i="11" s="1"/>
  <c r="AF26" i="11" s="1"/>
  <c r="AD18" i="11"/>
  <c r="AD17" i="11"/>
  <c r="AC28" i="10"/>
  <c r="AI27" i="10"/>
  <c r="AD21" i="11" l="1"/>
  <c r="AF21" i="11" s="1"/>
  <c r="AG26" i="11"/>
  <c r="AA27" i="11"/>
  <c r="AA28" i="10"/>
  <c r="AD28" i="10"/>
  <c r="AF28" i="10" s="1"/>
  <c r="AG28" i="10" s="1"/>
  <c r="AH28" i="10" s="1"/>
  <c r="AC29" i="10" s="1"/>
  <c r="V29" i="10"/>
  <c r="X29" i="10" s="1"/>
  <c r="Y29" i="10" s="1"/>
  <c r="Z29" i="10" s="1"/>
  <c r="U30" i="10" s="1"/>
  <c r="V30" i="10" l="1"/>
  <c r="X30" i="10" s="1"/>
  <c r="Y30" i="10" s="1"/>
  <c r="Z30" i="10" s="1"/>
  <c r="U31" i="10" s="1"/>
  <c r="AI28" i="10"/>
  <c r="AA29" i="10"/>
  <c r="AD29" i="10"/>
  <c r="AF29" i="10" s="1"/>
  <c r="AG29" i="10" s="1"/>
  <c r="AH29" i="10" s="1"/>
  <c r="AC30" i="10" s="1"/>
  <c r="AB27" i="11"/>
  <c r="AD30" i="10" l="1"/>
  <c r="AF30" i="10" s="1"/>
  <c r="AG30" i="10" s="1"/>
  <c r="AH30" i="10" s="1"/>
  <c r="AC31" i="10" s="1"/>
  <c r="AA30" i="10"/>
  <c r="AC27" i="11"/>
  <c r="AD27" i="11" s="1"/>
  <c r="AE27" i="11" s="1"/>
  <c r="AF27" i="11" s="1"/>
  <c r="AI29" i="10"/>
  <c r="V31" i="10"/>
  <c r="X31" i="10" s="1"/>
  <c r="Y31" i="10" s="1"/>
  <c r="Z31" i="10" s="1"/>
  <c r="U32" i="10" s="1"/>
  <c r="AI30" i="10" l="1"/>
  <c r="V32" i="10"/>
  <c r="X32" i="10" s="1"/>
  <c r="Y32" i="10" s="1"/>
  <c r="Z32" i="10" s="1"/>
  <c r="U33" i="10" s="1"/>
  <c r="AA28" i="11"/>
  <c r="AG27" i="11"/>
  <c r="AA31" i="10"/>
  <c r="AD31" i="10"/>
  <c r="AF31" i="10" s="1"/>
  <c r="AG31" i="10" s="1"/>
  <c r="AH31" i="10" s="1"/>
  <c r="AC32" i="10" s="1"/>
  <c r="AI31" i="10" l="1"/>
  <c r="V33" i="10"/>
  <c r="X33" i="10" s="1"/>
  <c r="Y33" i="10" s="1"/>
  <c r="Z33" i="10" s="1"/>
  <c r="U34" i="10" s="1"/>
  <c r="AD32" i="10"/>
  <c r="AF32" i="10" s="1"/>
  <c r="AG32" i="10" s="1"/>
  <c r="AH32" i="10" s="1"/>
  <c r="AC33" i="10" s="1"/>
  <c r="AB28" i="11"/>
  <c r="AA32" i="10"/>
  <c r="AI32" i="10" l="1"/>
  <c r="AC28" i="11"/>
  <c r="AD28" i="11" s="1"/>
  <c r="AE28" i="11" s="1"/>
  <c r="AF28" i="11" s="1"/>
  <c r="V34" i="10"/>
  <c r="X34" i="10" s="1"/>
  <c r="Y34" i="10" s="1"/>
  <c r="Z34" i="10" s="1"/>
  <c r="U35" i="10" s="1"/>
  <c r="AA33" i="10"/>
  <c r="AD33" i="10"/>
  <c r="AF33" i="10" s="1"/>
  <c r="AG33" i="10" s="1"/>
  <c r="AH33" i="10" s="1"/>
  <c r="AC34" i="10" s="1"/>
  <c r="AA29" i="11" l="1"/>
  <c r="AG28" i="11"/>
  <c r="V35" i="10"/>
  <c r="X35" i="10" s="1"/>
  <c r="Y35" i="10" s="1"/>
  <c r="Z35" i="10" s="1"/>
  <c r="U36" i="10" s="1"/>
  <c r="AD34" i="10"/>
  <c r="AF34" i="10" s="1"/>
  <c r="AG34" i="10" s="1"/>
  <c r="AH34" i="10" s="1"/>
  <c r="AC35" i="10" s="1"/>
  <c r="AA34" i="10"/>
  <c r="AI33" i="10"/>
  <c r="V36" i="10" l="1"/>
  <c r="X36" i="10" s="1"/>
  <c r="Y36" i="10" s="1"/>
  <c r="Z36" i="10" s="1"/>
  <c r="U37" i="10" s="1"/>
  <c r="AA35" i="10"/>
  <c r="AD35" i="10"/>
  <c r="AF35" i="10" s="1"/>
  <c r="AG35" i="10" s="1"/>
  <c r="AH35" i="10" s="1"/>
  <c r="AC36" i="10" s="1"/>
  <c r="AI34" i="10"/>
  <c r="AB29" i="11"/>
  <c r="AC29" i="11" l="1"/>
  <c r="AD29" i="11" s="1"/>
  <c r="AE29" i="11" s="1"/>
  <c r="AF29" i="11" s="1"/>
  <c r="AI35" i="10"/>
  <c r="V37" i="10"/>
  <c r="X37" i="10" s="1"/>
  <c r="Y37" i="10" s="1"/>
  <c r="Z37" i="10" s="1"/>
  <c r="U38" i="10" s="1"/>
  <c r="AD36" i="10"/>
  <c r="AF36" i="10" s="1"/>
  <c r="AG36" i="10" s="1"/>
  <c r="AH36" i="10" s="1"/>
  <c r="AC37" i="10" s="1"/>
  <c r="AA36" i="10"/>
  <c r="AA37" i="10" l="1"/>
  <c r="AD37" i="10"/>
  <c r="AF37" i="10" s="1"/>
  <c r="AG37" i="10" s="1"/>
  <c r="AH37" i="10" s="1"/>
  <c r="AC38" i="10" s="1"/>
  <c r="AA30" i="11"/>
  <c r="AG29" i="11"/>
  <c r="AI36" i="10"/>
  <c r="V38" i="10"/>
  <c r="X38" i="10" s="1"/>
  <c r="Y38" i="10" s="1"/>
  <c r="Z38" i="10" s="1"/>
  <c r="U39" i="10" s="1"/>
  <c r="V39" i="10" l="1"/>
  <c r="X39" i="10" s="1"/>
  <c r="Y39" i="10" s="1"/>
  <c r="Z39" i="10" s="1"/>
  <c r="U40" i="10" s="1"/>
  <c r="AB30" i="11"/>
  <c r="AA38" i="10"/>
  <c r="AD38" i="10"/>
  <c r="AF38" i="10" s="1"/>
  <c r="AG38" i="10" s="1"/>
  <c r="AH38" i="10" s="1"/>
  <c r="AC39" i="10" s="1"/>
  <c r="AI37" i="10"/>
  <c r="AD39" i="10" l="1"/>
  <c r="AF39" i="10" s="1"/>
  <c r="AG39" i="10" s="1"/>
  <c r="AH39" i="10" s="1"/>
  <c r="AC40" i="10" s="1"/>
  <c r="AC30" i="11"/>
  <c r="AD30" i="11" s="1"/>
  <c r="AE30" i="11" s="1"/>
  <c r="AF30" i="11" s="1"/>
  <c r="AI38" i="10"/>
  <c r="V40" i="10"/>
  <c r="X40" i="10" s="1"/>
  <c r="Y40" i="10" s="1"/>
  <c r="Z40" i="10" s="1"/>
  <c r="U41" i="10" s="1"/>
  <c r="AA39" i="10"/>
  <c r="AA31" i="11" l="1"/>
  <c r="AG30" i="11"/>
  <c r="AA40" i="10"/>
  <c r="AD40" i="10"/>
  <c r="AF40" i="10" s="1"/>
  <c r="AG40" i="10" s="1"/>
  <c r="AH40" i="10" s="1"/>
  <c r="AC41" i="10" s="1"/>
  <c r="V41" i="10"/>
  <c r="X41" i="10" s="1"/>
  <c r="Y41" i="10" s="1"/>
  <c r="Z41" i="10" s="1"/>
  <c r="U42" i="10" s="1"/>
  <c r="AI39" i="10"/>
  <c r="V42" i="10" l="1"/>
  <c r="X42" i="10" s="1"/>
  <c r="Y42" i="10" s="1"/>
  <c r="Z42" i="10" s="1"/>
  <c r="U43" i="10" s="1"/>
  <c r="AI40" i="10"/>
  <c r="AA41" i="10"/>
  <c r="AD41" i="10"/>
  <c r="AF41" i="10" s="1"/>
  <c r="AG41" i="10" s="1"/>
  <c r="AH41" i="10" s="1"/>
  <c r="AC42" i="10" s="1"/>
  <c r="AB31" i="11"/>
  <c r="AC31" i="11" l="1"/>
  <c r="AD31" i="11" s="1"/>
  <c r="AE31" i="11" s="1"/>
  <c r="AF31" i="11" s="1"/>
  <c r="V43" i="10"/>
  <c r="X43" i="10" s="1"/>
  <c r="Y43" i="10" s="1"/>
  <c r="Z43" i="10" s="1"/>
  <c r="U44" i="10" s="1"/>
  <c r="AD42" i="10"/>
  <c r="AF42" i="10" s="1"/>
  <c r="AG42" i="10" s="1"/>
  <c r="AH42" i="10" s="1"/>
  <c r="AC43" i="10" s="1"/>
  <c r="AI41" i="10"/>
  <c r="AA42" i="10"/>
  <c r="AA32" i="11" l="1"/>
  <c r="AG31" i="11"/>
  <c r="V44" i="10"/>
  <c r="X44" i="10" s="1"/>
  <c r="Y44" i="10" s="1"/>
  <c r="Z44" i="10" s="1"/>
  <c r="U45" i="10" s="1"/>
  <c r="AA43" i="10"/>
  <c r="AD43" i="10"/>
  <c r="AF43" i="10" s="1"/>
  <c r="AG43" i="10" s="1"/>
  <c r="AH43" i="10" s="1"/>
  <c r="AC44" i="10" s="1"/>
  <c r="AI42" i="10"/>
  <c r="V45" i="10" l="1"/>
  <c r="X45" i="10" s="1"/>
  <c r="Y45" i="10" s="1"/>
  <c r="Z45" i="10" s="1"/>
  <c r="U46" i="10" s="1"/>
  <c r="AA44" i="10"/>
  <c r="AI43" i="10"/>
  <c r="AD44" i="10"/>
  <c r="AF44" i="10" s="1"/>
  <c r="AG44" i="10" s="1"/>
  <c r="AH44" i="10" s="1"/>
  <c r="AC45" i="10" s="1"/>
  <c r="AB32" i="11"/>
  <c r="AC32" i="11" l="1"/>
  <c r="AD32" i="11" s="1"/>
  <c r="AE32" i="11" s="1"/>
  <c r="AF32" i="11" s="1"/>
  <c r="V46" i="10"/>
  <c r="X46" i="10" s="1"/>
  <c r="Y46" i="10" s="1"/>
  <c r="Z46" i="10" s="1"/>
  <c r="U47" i="10" s="1"/>
  <c r="AD45" i="10"/>
  <c r="AF45" i="10" s="1"/>
  <c r="AG45" i="10" s="1"/>
  <c r="AH45" i="10" s="1"/>
  <c r="AC46" i="10" s="1"/>
  <c r="AI44" i="10"/>
  <c r="AA45" i="10"/>
  <c r="AA33" i="11" l="1"/>
  <c r="AG32" i="11"/>
  <c r="V47" i="10"/>
  <c r="X47" i="10" s="1"/>
  <c r="Y47" i="10" s="1"/>
  <c r="Z47" i="10" s="1"/>
  <c r="U48" i="10" s="1"/>
  <c r="AA46" i="10"/>
  <c r="AD46" i="10"/>
  <c r="AF46" i="10" s="1"/>
  <c r="AG46" i="10" s="1"/>
  <c r="AH46" i="10" s="1"/>
  <c r="AC47" i="10" s="1"/>
  <c r="AI45" i="10"/>
  <c r="V48" i="10" l="1"/>
  <c r="X48" i="10" s="1"/>
  <c r="Y48" i="10" s="1"/>
  <c r="Z48" i="10" s="1"/>
  <c r="U49" i="10" s="1"/>
  <c r="AD47" i="10"/>
  <c r="AF47" i="10" s="1"/>
  <c r="AG47" i="10" s="1"/>
  <c r="AH47" i="10" s="1"/>
  <c r="AC48" i="10" s="1"/>
  <c r="AA47" i="10"/>
  <c r="AI46" i="10"/>
  <c r="AB33" i="11"/>
  <c r="AD48" i="10" l="1"/>
  <c r="AF48" i="10" s="1"/>
  <c r="AG48" i="10" s="1"/>
  <c r="AH48" i="10" s="1"/>
  <c r="AC49" i="10" s="1"/>
  <c r="AC33" i="11"/>
  <c r="AD33" i="11" s="1"/>
  <c r="AE33" i="11" s="1"/>
  <c r="AF33" i="11" s="1"/>
  <c r="AI47" i="10"/>
  <c r="V49" i="10"/>
  <c r="X49" i="10" s="1"/>
  <c r="Y49" i="10" s="1"/>
  <c r="Z49" i="10" s="1"/>
  <c r="U50" i="10" s="1"/>
  <c r="AA48" i="10"/>
  <c r="AA34" i="11" l="1"/>
  <c r="AG33" i="11"/>
  <c r="AA49" i="10"/>
  <c r="V50" i="10"/>
  <c r="X50" i="10" s="1"/>
  <c r="Y50" i="10" s="1"/>
  <c r="Z50" i="10" s="1"/>
  <c r="U51" i="10" s="1"/>
  <c r="AD49" i="10"/>
  <c r="AF49" i="10" s="1"/>
  <c r="AG49" i="10" s="1"/>
  <c r="AH49" i="10" s="1"/>
  <c r="AC50" i="10" s="1"/>
  <c r="AI48" i="10"/>
  <c r="V51" i="10" l="1"/>
  <c r="X51" i="10" s="1"/>
  <c r="Y51" i="10" s="1"/>
  <c r="Z51" i="10" s="1"/>
  <c r="U52" i="10" s="1"/>
  <c r="AD50" i="10"/>
  <c r="AF50" i="10" s="1"/>
  <c r="AG50" i="10" s="1"/>
  <c r="AH50" i="10" s="1"/>
  <c r="AC51" i="10" s="1"/>
  <c r="AI49" i="10"/>
  <c r="AA50" i="10"/>
  <c r="AB34" i="11"/>
  <c r="AC34" i="11" l="1"/>
  <c r="AD34" i="11" s="1"/>
  <c r="AE34" i="11" s="1"/>
  <c r="AF34" i="11" s="1"/>
  <c r="AI50" i="10"/>
  <c r="AD51" i="10"/>
  <c r="AF51" i="10" s="1"/>
  <c r="AG51" i="10" s="1"/>
  <c r="AH51" i="10" s="1"/>
  <c r="AC52" i="10" s="1"/>
  <c r="AA51" i="10"/>
  <c r="V52" i="10"/>
  <c r="X52" i="10" s="1"/>
  <c r="Y52" i="10" s="1"/>
  <c r="Z52" i="10" s="1"/>
  <c r="U53" i="10" s="1"/>
  <c r="AA52" i="10" l="1"/>
  <c r="AD52" i="10"/>
  <c r="AF52" i="10" s="1"/>
  <c r="AG52" i="10" s="1"/>
  <c r="AH52" i="10" s="1"/>
  <c r="AC53" i="10" s="1"/>
  <c r="V53" i="10"/>
  <c r="X53" i="10" s="1"/>
  <c r="Y53" i="10" s="1"/>
  <c r="Z53" i="10" s="1"/>
  <c r="U54" i="10" s="1"/>
  <c r="AA35" i="11"/>
  <c r="AG34" i="11"/>
  <c r="AI51" i="10"/>
  <c r="AA53" i="10" l="1"/>
  <c r="AD53" i="10"/>
  <c r="AF53" i="10" s="1"/>
  <c r="AG53" i="10" s="1"/>
  <c r="AH53" i="10" s="1"/>
  <c r="AC54" i="10" s="1"/>
  <c r="AB35" i="11"/>
  <c r="AI52" i="10"/>
  <c r="V54" i="10"/>
  <c r="X54" i="10" s="1"/>
  <c r="Y54" i="10" s="1"/>
  <c r="Z54" i="10" s="1"/>
  <c r="U55" i="10" s="1"/>
  <c r="AA54" i="10" l="1"/>
  <c r="V55" i="10"/>
  <c r="X55" i="10" s="1"/>
  <c r="Y55" i="10" s="1"/>
  <c r="Z55" i="10" s="1"/>
  <c r="U56" i="10" s="1"/>
  <c r="AI53" i="10"/>
  <c r="AD54" i="10"/>
  <c r="AF54" i="10" s="1"/>
  <c r="AG54" i="10" s="1"/>
  <c r="AH54" i="10" s="1"/>
  <c r="AC55" i="10" s="1"/>
  <c r="AC35" i="11"/>
  <c r="AD35" i="11" s="1"/>
  <c r="AE35" i="11" s="1"/>
  <c r="AF35" i="11" s="1"/>
  <c r="AA36" i="11" l="1"/>
  <c r="AG35" i="11"/>
  <c r="AI54" i="10"/>
  <c r="AA55" i="10"/>
  <c r="V56" i="10"/>
  <c r="X56" i="10" s="1"/>
  <c r="Y56" i="10" s="1"/>
  <c r="Z56" i="10" s="1"/>
  <c r="U57" i="10" s="1"/>
  <c r="AD55" i="10"/>
  <c r="AF55" i="10" s="1"/>
  <c r="AG55" i="10" s="1"/>
  <c r="AH55" i="10" s="1"/>
  <c r="AC56" i="10" s="1"/>
  <c r="AI55" i="10" l="1"/>
  <c r="AD56" i="10"/>
  <c r="AF56" i="10" s="1"/>
  <c r="AG56" i="10" s="1"/>
  <c r="AH56" i="10" s="1"/>
  <c r="AC57" i="10" s="1"/>
  <c r="AA56" i="10"/>
  <c r="V57" i="10"/>
  <c r="X57" i="10" s="1"/>
  <c r="Y57" i="10" s="1"/>
  <c r="Z57" i="10" s="1"/>
  <c r="U58" i="10" s="1"/>
  <c r="AB36" i="11"/>
  <c r="AC36" i="11" l="1"/>
  <c r="AD36" i="11" s="1"/>
  <c r="AE36" i="11" s="1"/>
  <c r="AF36" i="11" s="1"/>
  <c r="V58" i="10"/>
  <c r="X58" i="10" s="1"/>
  <c r="Y58" i="10" s="1"/>
  <c r="Z58" i="10" s="1"/>
  <c r="AA58" i="10" s="1"/>
  <c r="AI56" i="10"/>
  <c r="AD57" i="10"/>
  <c r="AF57" i="10" s="1"/>
  <c r="AG57" i="10" s="1"/>
  <c r="AH57" i="10" s="1"/>
  <c r="AC58" i="10" s="1"/>
  <c r="AA57" i="10"/>
  <c r="N24" i="10" l="1"/>
  <c r="N30" i="10"/>
  <c r="N31" i="10" s="1"/>
  <c r="N26" i="10"/>
  <c r="N25" i="10"/>
  <c r="AA37" i="11"/>
  <c r="AG36" i="11"/>
  <c r="AD58" i="10"/>
  <c r="AF58" i="10" s="1"/>
  <c r="AG58" i="10" s="1"/>
  <c r="AH58" i="10" s="1"/>
  <c r="AI58" i="10" s="1"/>
  <c r="AI57" i="10"/>
  <c r="AB37" i="11" l="1"/>
  <c r="AC37" i="11" l="1"/>
  <c r="AD37" i="11" s="1"/>
  <c r="AE37" i="11" s="1"/>
  <c r="AF37" i="11" s="1"/>
  <c r="AA38" i="11" l="1"/>
  <c r="AG37" i="11"/>
  <c r="AB38" i="11" l="1"/>
  <c r="AC38" i="11" l="1"/>
  <c r="AD38" i="11" s="1"/>
  <c r="AE38" i="11" s="1"/>
  <c r="AF38" i="11" s="1"/>
  <c r="AA39" i="11" l="1"/>
  <c r="AG38" i="11"/>
  <c r="AB39" i="11" l="1"/>
  <c r="AC39" i="11" l="1"/>
  <c r="AD39" i="11" s="1"/>
  <c r="AE39" i="11" s="1"/>
  <c r="AF39" i="11" s="1"/>
  <c r="AA40" i="11" l="1"/>
  <c r="AG39" i="11"/>
  <c r="AB40" i="11" l="1"/>
  <c r="AC40" i="11" l="1"/>
  <c r="AD40" i="11" s="1"/>
  <c r="AE40" i="11" s="1"/>
  <c r="AF40" i="11" s="1"/>
  <c r="AA41" i="11" l="1"/>
  <c r="AG40" i="11"/>
  <c r="AB41" i="11" l="1"/>
  <c r="AC41" i="11" l="1"/>
  <c r="AD41" i="11" s="1"/>
  <c r="AE41" i="11" s="1"/>
  <c r="AF41" i="11" s="1"/>
  <c r="AA42" i="11" l="1"/>
  <c r="AG41" i="11"/>
  <c r="AB42" i="11" l="1"/>
  <c r="AC42" i="11" l="1"/>
  <c r="AD42" i="11" s="1"/>
  <c r="AE42" i="11" s="1"/>
  <c r="AF42" i="11" s="1"/>
  <c r="AA43" i="11" l="1"/>
  <c r="AG42" i="11"/>
  <c r="AB43" i="11" l="1"/>
  <c r="AC43" i="11" l="1"/>
  <c r="AD43" i="11" s="1"/>
  <c r="AE43" i="11" s="1"/>
  <c r="AF43" i="11" s="1"/>
  <c r="AA44" i="11" l="1"/>
  <c r="AG43" i="11"/>
  <c r="AB44" i="11" l="1"/>
  <c r="AC44" i="11" l="1"/>
  <c r="AD44" i="11" s="1"/>
  <c r="AE44" i="11" s="1"/>
  <c r="AF44" i="11" s="1"/>
  <c r="AA45" i="11" l="1"/>
  <c r="AG44" i="11"/>
  <c r="AB45" i="11" l="1"/>
  <c r="AC45" i="11" l="1"/>
  <c r="AD45" i="11" s="1"/>
  <c r="AE45" i="11" s="1"/>
  <c r="AF45" i="11" s="1"/>
  <c r="AA46" i="11" l="1"/>
  <c r="AG45" i="11"/>
  <c r="AB46" i="11" l="1"/>
  <c r="AC46" i="11" l="1"/>
  <c r="AD46" i="11" s="1"/>
  <c r="AE46" i="11" s="1"/>
  <c r="AF46" i="11" s="1"/>
  <c r="AA47" i="11" l="1"/>
  <c r="AG46" i="11"/>
  <c r="AB47" i="11" l="1"/>
  <c r="AC47" i="11" l="1"/>
  <c r="AD47" i="11" s="1"/>
  <c r="AE47" i="11" s="1"/>
  <c r="AF47" i="11" s="1"/>
  <c r="AA48" i="11" l="1"/>
  <c r="AG47" i="11"/>
  <c r="AB48" i="11" l="1"/>
  <c r="AC48" i="11" l="1"/>
  <c r="AD48" i="11" s="1"/>
  <c r="AE48" i="11" s="1"/>
  <c r="AF48" i="11" s="1"/>
  <c r="AA49" i="11" l="1"/>
  <c r="AG48" i="11"/>
  <c r="AB49" i="11" l="1"/>
  <c r="AC49" i="11" l="1"/>
  <c r="AD49" i="11" s="1"/>
  <c r="AE49" i="11" s="1"/>
  <c r="AF49" i="11" s="1"/>
  <c r="AA50" i="11" l="1"/>
  <c r="AG49" i="11"/>
  <c r="AB50" i="11" l="1"/>
  <c r="AC50" i="11" l="1"/>
  <c r="AD50" i="11" s="1"/>
  <c r="AE50" i="11" s="1"/>
  <c r="AF50" i="11" s="1"/>
  <c r="AA51" i="11" l="1"/>
  <c r="AG50" i="11"/>
  <c r="AB51" i="11" l="1"/>
  <c r="AC51" i="11" l="1"/>
  <c r="AD51" i="11" s="1"/>
  <c r="AE51" i="11" s="1"/>
  <c r="AF51" i="11" s="1"/>
  <c r="AA52" i="11" l="1"/>
  <c r="AG51" i="11"/>
  <c r="AB52" i="11" l="1"/>
  <c r="AC52" i="11" l="1"/>
  <c r="AD52" i="11" s="1"/>
  <c r="AE52" i="11" s="1"/>
  <c r="AF52" i="11" s="1"/>
  <c r="AA53" i="11" l="1"/>
  <c r="AG52" i="11"/>
  <c r="AB53" i="11" l="1"/>
  <c r="AC53" i="11" l="1"/>
  <c r="AD53" i="11" s="1"/>
  <c r="AE53" i="11" s="1"/>
  <c r="AF53" i="11" s="1"/>
  <c r="AA54" i="11" l="1"/>
  <c r="AG53" i="11"/>
  <c r="AB54" i="11" l="1"/>
  <c r="AC54" i="11" l="1"/>
  <c r="AD54" i="11" s="1"/>
  <c r="AE54" i="11" s="1"/>
  <c r="AF54" i="11" s="1"/>
  <c r="AA55" i="11" l="1"/>
  <c r="AG54" i="11"/>
  <c r="AB55" i="11" l="1"/>
  <c r="AC55" i="11" l="1"/>
  <c r="AD55" i="11" s="1"/>
  <c r="AE55" i="11" s="1"/>
  <c r="AF55" i="11" s="1"/>
  <c r="AA56" i="11" l="1"/>
  <c r="AG55" i="11"/>
  <c r="AB56" i="11" l="1"/>
  <c r="AC56" i="11" l="1"/>
  <c r="AD56" i="11" s="1"/>
  <c r="AE56" i="11" s="1"/>
  <c r="AF56" i="11" s="1"/>
  <c r="AA57" i="11" l="1"/>
  <c r="AG56" i="11"/>
  <c r="AB57" i="11" l="1"/>
  <c r="AC57" i="11" l="1"/>
  <c r="AD57" i="11" s="1"/>
  <c r="AE57" i="11" s="1"/>
  <c r="AF57" i="11" s="1"/>
  <c r="AG57" i="11" s="1"/>
  <c r="P28" i="11" l="1"/>
  <c r="P29" i="11" s="1"/>
  <c r="P30" i="11" s="1"/>
  <c r="P25" i="11"/>
  <c r="P27" i="11" s="1"/>
  <c r="P24" i="11"/>
  <c r="P26" i="11"/>
  <c r="V1" i="11" l="1"/>
  <c r="R1" i="3" s="1"/>
  <c r="R1" i="4" s="1"/>
  <c r="AB44" i="2" l="1"/>
  <c r="AB45" i="2"/>
  <c r="W16" i="2" l="1"/>
  <c r="AD41" i="2"/>
  <c r="U16" i="2" l="1"/>
  <c r="W15" i="2" l="1"/>
  <c r="W17" i="2" l="1"/>
  <c r="W18" i="2" s="1"/>
  <c r="G7" i="5" l="1"/>
  <c r="G8" i="5" s="1"/>
  <c r="G9" i="5" s="1"/>
  <c r="G10" i="5" s="1"/>
  <c r="G11" i="5" s="1"/>
  <c r="G12" i="5" s="1"/>
  <c r="G13" i="5" s="1"/>
  <c r="G14" i="5" s="1"/>
  <c r="G15" i="5" s="1"/>
  <c r="G16" i="5" s="1"/>
  <c r="G17" i="5" s="1"/>
  <c r="G18" i="5" s="1"/>
  <c r="G19" i="5" s="1"/>
  <c r="G20" i="5" s="1"/>
  <c r="G21" i="5" s="1"/>
  <c r="G22" i="5" s="1"/>
  <c r="G23" i="5" s="1"/>
  <c r="G24" i="5" s="1"/>
  <c r="G25" i="5" s="1"/>
  <c r="G26" i="5" s="1"/>
  <c r="B6" i="5"/>
  <c r="B7" i="5" s="1"/>
  <c r="M8" i="4"/>
  <c r="E8" i="4"/>
  <c r="M7" i="4"/>
  <c r="E7" i="4"/>
  <c r="M6" i="4"/>
  <c r="E6" i="4"/>
  <c r="R5" i="4"/>
  <c r="R4" i="4"/>
  <c r="R3" i="4"/>
  <c r="R2" i="4"/>
  <c r="M8" i="3"/>
  <c r="E8" i="3"/>
  <c r="M7" i="3"/>
  <c r="E7" i="3"/>
  <c r="M6" i="3"/>
  <c r="E6" i="3"/>
  <c r="R5" i="3"/>
  <c r="R4" i="3"/>
  <c r="R3" i="3"/>
  <c r="R2" i="3"/>
  <c r="D374" i="2"/>
  <c r="D375" i="2" s="1"/>
  <c r="AA368" i="2"/>
  <c r="AA369" i="2" s="1"/>
  <c r="Z368" i="2"/>
  <c r="Z369" i="2" s="1"/>
  <c r="G368" i="2"/>
  <c r="L346" i="2"/>
  <c r="Z344" i="2"/>
  <c r="AB341" i="2"/>
  <c r="W339" i="2"/>
  <c r="AB339" i="2" s="1"/>
  <c r="I322" i="2"/>
  <c r="I319" i="2"/>
  <c r="U316" i="2"/>
  <c r="U315" i="2"/>
  <c r="I308" i="2"/>
  <c r="AB41" i="2"/>
  <c r="V39" i="2"/>
  <c r="W40" i="2" s="1"/>
  <c r="I19" i="2"/>
  <c r="U15" i="2"/>
  <c r="M8" i="2"/>
  <c r="E8" i="2"/>
  <c r="M7" i="2"/>
  <c r="E7" i="2"/>
  <c r="M6" i="2"/>
  <c r="E6" i="2"/>
  <c r="R5" i="2"/>
  <c r="R4" i="2"/>
  <c r="R3" i="2"/>
  <c r="R2" i="2"/>
  <c r="G27" i="5" l="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103" i="5" s="1"/>
  <c r="G104" i="5" s="1"/>
  <c r="G105" i="5" s="1"/>
  <c r="G106" i="5" s="1"/>
  <c r="G107" i="5" s="1"/>
  <c r="G108" i="5" s="1"/>
  <c r="G109" i="5" s="1"/>
  <c r="G110" i="5" s="1"/>
  <c r="G111" i="5" s="1"/>
  <c r="G112" i="5" s="1"/>
  <c r="G113" i="5" s="1"/>
  <c r="G114" i="5" s="1"/>
  <c r="G115" i="5" s="1"/>
  <c r="G116" i="5" s="1"/>
  <c r="G117" i="5" s="1"/>
  <c r="G118" i="5" s="1"/>
  <c r="G119" i="5" s="1"/>
  <c r="G120" i="5" s="1"/>
  <c r="G121" i="5" s="1"/>
  <c r="G122" i="5" s="1"/>
  <c r="G123" i="5" s="1"/>
  <c r="G124" i="5" s="1"/>
  <c r="G125" i="5" s="1"/>
  <c r="G126" i="5" s="1"/>
  <c r="G127" i="5" s="1"/>
  <c r="G128" i="5" s="1"/>
  <c r="G129" i="5" s="1"/>
  <c r="G130" i="5" s="1"/>
  <c r="G131" i="5" s="1"/>
  <c r="G132" i="5" s="1"/>
  <c r="G133" i="5" s="1"/>
  <c r="G134" i="5" s="1"/>
  <c r="G135" i="5" s="1"/>
  <c r="G136" i="5" s="1"/>
  <c r="G137" i="5" s="1"/>
  <c r="G138" i="5" s="1"/>
  <c r="G139" i="5" s="1"/>
  <c r="G140" i="5" s="1"/>
  <c r="G141" i="5" s="1"/>
  <c r="G142" i="5" s="1"/>
  <c r="G143" i="5" s="1"/>
  <c r="G144" i="5" s="1"/>
  <c r="G145" i="5" s="1"/>
  <c r="G146" i="5" s="1"/>
  <c r="G147" i="5" s="1"/>
  <c r="G148" i="5" s="1"/>
  <c r="G149" i="5" s="1"/>
  <c r="G150" i="5" s="1"/>
  <c r="G151" i="5" s="1"/>
  <c r="G152" i="5" s="1"/>
  <c r="G153" i="5" s="1"/>
  <c r="G154" i="5" s="1"/>
  <c r="G155" i="5" s="1"/>
  <c r="G156" i="5" s="1"/>
  <c r="G157" i="5" s="1"/>
  <c r="G158" i="5" s="1"/>
  <c r="G159" i="5" s="1"/>
  <c r="G160" i="5" s="1"/>
  <c r="G161" i="5" s="1"/>
  <c r="G162" i="5" s="1"/>
  <c r="G163" i="5" s="1"/>
  <c r="G164" i="5" s="1"/>
  <c r="G165" i="5" s="1"/>
  <c r="G166" i="5" s="1"/>
  <c r="G167" i="5" s="1"/>
  <c r="G168" i="5" s="1"/>
  <c r="G169" i="5" s="1"/>
  <c r="G170" i="5" s="1"/>
  <c r="G171" i="5" s="1"/>
  <c r="G172" i="5" s="1"/>
  <c r="G173" i="5" s="1"/>
  <c r="G174" i="5" s="1"/>
  <c r="G175" i="5" s="1"/>
  <c r="G176" i="5" s="1"/>
  <c r="G177" i="5" s="1"/>
  <c r="G178" i="5" s="1"/>
  <c r="G179" i="5" s="1"/>
  <c r="G180" i="5" s="1"/>
  <c r="G181" i="5" s="1"/>
  <c r="G182" i="5" s="1"/>
  <c r="G183" i="5" s="1"/>
  <c r="G184" i="5" s="1"/>
  <c r="G185" i="5" s="1"/>
  <c r="G186" i="5" s="1"/>
  <c r="G187" i="5" s="1"/>
  <c r="G188" i="5" s="1"/>
  <c r="G189" i="5" s="1"/>
  <c r="G190" i="5" s="1"/>
  <c r="G191" i="5" s="1"/>
  <c r="G192" i="5" s="1"/>
  <c r="G193" i="5" s="1"/>
  <c r="G194" i="5" s="1"/>
  <c r="G195" i="5" s="1"/>
  <c r="G196" i="5" s="1"/>
  <c r="G197" i="5" s="1"/>
  <c r="G198" i="5" s="1"/>
  <c r="G199" i="5" s="1"/>
  <c r="G200" i="5" s="1"/>
  <c r="G201" i="5" s="1"/>
  <c r="G202" i="5" s="1"/>
  <c r="G203" i="5" s="1"/>
  <c r="G204" i="5" s="1"/>
  <c r="G205" i="5" s="1"/>
  <c r="G206" i="5" s="1"/>
  <c r="G207" i="5" s="1"/>
  <c r="G208" i="5" s="1"/>
  <c r="G209" i="5" s="1"/>
  <c r="G210" i="5" s="1"/>
  <c r="G211" i="5" s="1"/>
  <c r="G212" i="5" s="1"/>
  <c r="G213" i="5" s="1"/>
  <c r="G214" i="5" s="1"/>
  <c r="G215" i="5" s="1"/>
  <c r="G216" i="5" s="1"/>
  <c r="G217" i="5" s="1"/>
  <c r="G218" i="5" s="1"/>
  <c r="G219" i="5" s="1"/>
  <c r="G220" i="5" s="1"/>
  <c r="G221" i="5" s="1"/>
  <c r="G222" i="5" s="1"/>
  <c r="G223" i="5" s="1"/>
  <c r="G224" i="5" s="1"/>
  <c r="G225" i="5" s="1"/>
  <c r="G226" i="5" s="1"/>
  <c r="G227" i="5" s="1"/>
  <c r="G228" i="5" s="1"/>
  <c r="G229" i="5" s="1"/>
  <c r="G230" i="5" s="1"/>
  <c r="G231" i="5" s="1"/>
  <c r="G232" i="5" s="1"/>
  <c r="G233" i="5" s="1"/>
  <c r="G234" i="5" s="1"/>
  <c r="G235" i="5" s="1"/>
  <c r="G236" i="5" s="1"/>
  <c r="G237" i="5" s="1"/>
  <c r="G238" i="5" s="1"/>
  <c r="G239" i="5" s="1"/>
  <c r="G240" i="5" s="1"/>
  <c r="G241" i="5" s="1"/>
  <c r="G242" i="5" s="1"/>
  <c r="G243" i="5" s="1"/>
  <c r="G244" i="5" s="1"/>
  <c r="G245" i="5" s="1"/>
  <c r="G246" i="5" s="1"/>
  <c r="G247" i="5" s="1"/>
  <c r="G248" i="5" s="1"/>
  <c r="G249" i="5" s="1"/>
  <c r="G250" i="5" s="1"/>
  <c r="G251" i="5" s="1"/>
  <c r="G252" i="5" s="1"/>
  <c r="G253" i="5" s="1"/>
  <c r="G254" i="5" s="1"/>
  <c r="G255" i="5" s="1"/>
  <c r="G256" i="5" s="1"/>
  <c r="G257" i="5" s="1"/>
  <c r="G258" i="5" s="1"/>
  <c r="G259" i="5" s="1"/>
  <c r="G260" i="5" s="1"/>
  <c r="G261" i="5" s="1"/>
  <c r="G262" i="5" s="1"/>
  <c r="G263" i="5" s="1"/>
  <c r="G264" i="5" s="1"/>
  <c r="G265" i="5" s="1"/>
  <c r="G266" i="5" s="1"/>
  <c r="G267" i="5" s="1"/>
  <c r="G268" i="5" s="1"/>
  <c r="G269" i="5" s="1"/>
  <c r="G270" i="5" s="1"/>
  <c r="G271" i="5" s="1"/>
  <c r="G272" i="5" s="1"/>
  <c r="G273" i="5" s="1"/>
  <c r="G274" i="5" s="1"/>
  <c r="G275" i="5" s="1"/>
  <c r="G276" i="5" s="1"/>
  <c r="G277" i="5" s="1"/>
  <c r="G278" i="5" s="1"/>
  <c r="G279" i="5" s="1"/>
  <c r="G280" i="5" s="1"/>
  <c r="G281" i="5" s="1"/>
  <c r="G282" i="5" s="1"/>
  <c r="G283" i="5" s="1"/>
  <c r="G284" i="5" s="1"/>
  <c r="G285" i="5" s="1"/>
  <c r="G286" i="5" s="1"/>
  <c r="G287" i="5" s="1"/>
  <c r="G288" i="5" s="1"/>
  <c r="G289" i="5" s="1"/>
  <c r="G290" i="5" s="1"/>
  <c r="G291" i="5" s="1"/>
  <c r="G292" i="5" s="1"/>
  <c r="G293" i="5" s="1"/>
  <c r="G294" i="5" s="1"/>
  <c r="G295" i="5" s="1"/>
  <c r="G296" i="5" s="1"/>
  <c r="G297" i="5" s="1"/>
  <c r="G298" i="5" s="1"/>
  <c r="G299" i="5" s="1"/>
  <c r="G300" i="5" s="1"/>
  <c r="G301" i="5" s="1"/>
  <c r="G302" i="5" s="1"/>
  <c r="G303" i="5" s="1"/>
  <c r="G304" i="5" s="1"/>
  <c r="G305" i="5" s="1"/>
  <c r="G306" i="5" s="1"/>
  <c r="G307" i="5" s="1"/>
  <c r="G308" i="5" s="1"/>
  <c r="G309" i="5" s="1"/>
  <c r="G310" i="5" s="1"/>
  <c r="G311" i="5" s="1"/>
  <c r="G312" i="5" s="1"/>
  <c r="G313" i="5" s="1"/>
  <c r="G314" i="5" s="1"/>
  <c r="G315" i="5" s="1"/>
  <c r="G316" i="5" s="1"/>
  <c r="G317" i="5" s="1"/>
  <c r="G318" i="5" s="1"/>
  <c r="G319" i="5" s="1"/>
  <c r="G320" i="5" s="1"/>
  <c r="G321" i="5" s="1"/>
  <c r="G322" i="5" s="1"/>
  <c r="G323" i="5" s="1"/>
  <c r="G324" i="5" s="1"/>
  <c r="G325" i="5" s="1"/>
  <c r="G326" i="5" s="1"/>
  <c r="G327" i="5" s="1"/>
  <c r="G328" i="5" s="1"/>
  <c r="G329" i="5" s="1"/>
  <c r="G330" i="5" s="1"/>
  <c r="G331" i="5" s="1"/>
  <c r="G332" i="5" s="1"/>
  <c r="G333" i="5" s="1"/>
  <c r="G334" i="5" s="1"/>
  <c r="G335" i="5" s="1"/>
  <c r="G336" i="5" s="1"/>
  <c r="G337" i="5" s="1"/>
  <c r="G338" i="5" s="1"/>
  <c r="G339" i="5" s="1"/>
  <c r="G340" i="5" s="1"/>
  <c r="G341" i="5" s="1"/>
  <c r="G342" i="5" s="1"/>
  <c r="G343" i="5" s="1"/>
  <c r="G344" i="5" s="1"/>
  <c r="G345" i="5" s="1"/>
  <c r="G346" i="5" s="1"/>
  <c r="G347" i="5" s="1"/>
  <c r="G348" i="5" s="1"/>
  <c r="G349" i="5" s="1"/>
  <c r="G350" i="5" s="1"/>
  <c r="G351" i="5" s="1"/>
  <c r="G352" i="5" s="1"/>
  <c r="G353" i="5" s="1"/>
  <c r="G354" i="5" s="1"/>
  <c r="G355" i="5" s="1"/>
  <c r="G356" i="5" s="1"/>
  <c r="G357" i="5" s="1"/>
  <c r="G358" i="5" s="1"/>
  <c r="G359" i="5" s="1"/>
  <c r="G360" i="5" s="1"/>
  <c r="G361" i="5" s="1"/>
  <c r="G362" i="5" s="1"/>
  <c r="G363" i="5" s="1"/>
  <c r="G364" i="5" s="1"/>
  <c r="G365" i="5" s="1"/>
  <c r="G366" i="5" s="1"/>
  <c r="G367" i="5" s="1"/>
  <c r="G368" i="5" s="1"/>
  <c r="G369" i="5" s="1"/>
  <c r="G370" i="5" s="1"/>
  <c r="G371" i="5" s="1"/>
  <c r="G372" i="5" s="1"/>
  <c r="G373" i="5" s="1"/>
  <c r="G374" i="5" s="1"/>
  <c r="G375" i="5" s="1"/>
  <c r="G376" i="5" s="1"/>
  <c r="G377" i="5" s="1"/>
  <c r="G378" i="5" s="1"/>
  <c r="G379" i="5" s="1"/>
  <c r="G380" i="5" s="1"/>
  <c r="G381" i="5" s="1"/>
  <c r="G382" i="5" s="1"/>
  <c r="G383" i="5" s="1"/>
  <c r="G384" i="5" s="1"/>
  <c r="G385" i="5" s="1"/>
  <c r="G386" i="5" s="1"/>
  <c r="G387" i="5" s="1"/>
  <c r="G388" i="5" s="1"/>
  <c r="G389" i="5" s="1"/>
  <c r="G390" i="5" s="1"/>
  <c r="G391" i="5" s="1"/>
  <c r="G392" i="5" s="1"/>
  <c r="G393" i="5" s="1"/>
  <c r="G394" i="5" s="1"/>
  <c r="G395" i="5" s="1"/>
  <c r="G396" i="5" s="1"/>
  <c r="G397" i="5" s="1"/>
  <c r="G398" i="5" s="1"/>
  <c r="G399" i="5" s="1"/>
  <c r="G400" i="5" s="1"/>
  <c r="G401" i="5" s="1"/>
  <c r="G402" i="5" s="1"/>
  <c r="G403" i="5" s="1"/>
  <c r="G404" i="5" s="1"/>
  <c r="G405" i="5" s="1"/>
  <c r="G406" i="5" s="1"/>
  <c r="G407" i="5" s="1"/>
  <c r="G408" i="5" s="1"/>
  <c r="G409" i="5" s="1"/>
  <c r="G410" i="5" s="1"/>
  <c r="G411" i="5" s="1"/>
  <c r="G412" i="5" s="1"/>
  <c r="G413" i="5" s="1"/>
  <c r="G414" i="5" s="1"/>
  <c r="G415" i="5" s="1"/>
  <c r="G416" i="5" s="1"/>
  <c r="G417" i="5" s="1"/>
  <c r="G418" i="5" s="1"/>
  <c r="G419" i="5" s="1"/>
  <c r="G420" i="5" s="1"/>
  <c r="G421" i="5" s="1"/>
  <c r="G422" i="5" s="1"/>
  <c r="G423" i="5" s="1"/>
  <c r="G424" i="5" s="1"/>
  <c r="G425" i="5" s="1"/>
  <c r="G426" i="5" s="1"/>
  <c r="G427" i="5" s="1"/>
  <c r="G428" i="5" s="1"/>
  <c r="G429" i="5" s="1"/>
  <c r="G430" i="5" s="1"/>
  <c r="G431" i="5" s="1"/>
  <c r="G432" i="5" s="1"/>
  <c r="G433" i="5" s="1"/>
  <c r="G434" i="5" s="1"/>
  <c r="G435" i="5" s="1"/>
  <c r="G436" i="5" s="1"/>
  <c r="G437" i="5" s="1"/>
  <c r="G438" i="5" s="1"/>
  <c r="G439" i="5" s="1"/>
  <c r="G440" i="5" s="1"/>
  <c r="G441" i="5" s="1"/>
  <c r="G442" i="5" s="1"/>
  <c r="G443" i="5" s="1"/>
  <c r="G444" i="5" s="1"/>
  <c r="G445" i="5" s="1"/>
  <c r="G446" i="5" s="1"/>
  <c r="G447" i="5" s="1"/>
  <c r="G448" i="5" s="1"/>
  <c r="G449" i="5" s="1"/>
  <c r="G450" i="5" s="1"/>
  <c r="G451" i="5" s="1"/>
  <c r="G452" i="5" s="1"/>
  <c r="G453" i="5" s="1"/>
  <c r="G454" i="5" s="1"/>
  <c r="G455" i="5" s="1"/>
  <c r="G456" i="5" s="1"/>
  <c r="G457" i="5" s="1"/>
  <c r="G458" i="5" s="1"/>
  <c r="G459" i="5" s="1"/>
  <c r="G460" i="5" s="1"/>
  <c r="G461" i="5" s="1"/>
  <c r="G462" i="5" s="1"/>
  <c r="G463" i="5" s="1"/>
  <c r="G464" i="5" s="1"/>
  <c r="G465" i="5" s="1"/>
  <c r="G466" i="5" s="1"/>
  <c r="G467" i="5" s="1"/>
  <c r="G468" i="5" s="1"/>
  <c r="G469" i="5" s="1"/>
  <c r="G470" i="5" s="1"/>
  <c r="G471" i="5" s="1"/>
  <c r="G472" i="5" s="1"/>
  <c r="G473" i="5" s="1"/>
  <c r="G474" i="5" s="1"/>
  <c r="G475" i="5" s="1"/>
  <c r="G476" i="5" s="1"/>
  <c r="G477" i="5" s="1"/>
  <c r="G478" i="5" s="1"/>
  <c r="G479" i="5" s="1"/>
  <c r="G480" i="5" s="1"/>
  <c r="G481" i="5" s="1"/>
  <c r="G482" i="5" s="1"/>
  <c r="G483" i="5" s="1"/>
  <c r="G484" i="5" s="1"/>
  <c r="G485" i="5" s="1"/>
  <c r="G486" i="5" s="1"/>
  <c r="G487" i="5" s="1"/>
  <c r="G488" i="5" s="1"/>
  <c r="G489" i="5" s="1"/>
  <c r="G490" i="5" s="1"/>
  <c r="G491" i="5" s="1"/>
  <c r="G492" i="5" s="1"/>
  <c r="G493" i="5" s="1"/>
  <c r="G494" i="5" s="1"/>
  <c r="G495" i="5" s="1"/>
  <c r="G496" i="5" s="1"/>
  <c r="G497" i="5" s="1"/>
  <c r="G498" i="5" s="1"/>
  <c r="G499" i="5" s="1"/>
  <c r="G500" i="5" s="1"/>
  <c r="G501" i="5" s="1"/>
  <c r="G502" i="5" s="1"/>
  <c r="G503" i="5" s="1"/>
  <c r="G504" i="5" s="1"/>
  <c r="G505" i="5" s="1"/>
  <c r="G506" i="5" s="1"/>
  <c r="G507" i="5" s="1"/>
  <c r="G508" i="5" s="1"/>
  <c r="G509" i="5" s="1"/>
  <c r="G510" i="5" s="1"/>
  <c r="G511" i="5" s="1"/>
  <c r="G512" i="5" s="1"/>
  <c r="G513" i="5" s="1"/>
  <c r="G514" i="5" s="1"/>
  <c r="G515" i="5" s="1"/>
  <c r="G516" i="5" s="1"/>
  <c r="G517" i="5" s="1"/>
  <c r="G518" i="5" s="1"/>
  <c r="G519" i="5" s="1"/>
  <c r="G520" i="5" s="1"/>
  <c r="G521" i="5" s="1"/>
  <c r="G522" i="5" s="1"/>
  <c r="G523" i="5" s="1"/>
  <c r="G524" i="5" s="1"/>
  <c r="G525" i="5" s="1"/>
  <c r="G526" i="5" s="1"/>
  <c r="G527" i="5" s="1"/>
  <c r="G528" i="5" s="1"/>
  <c r="G529" i="5" s="1"/>
  <c r="G530" i="5" s="1"/>
  <c r="G531" i="5" s="1"/>
  <c r="G532" i="5" s="1"/>
  <c r="G533" i="5" s="1"/>
  <c r="G534" i="5" s="1"/>
  <c r="G535" i="5" s="1"/>
  <c r="G536" i="5" s="1"/>
  <c r="G537" i="5" s="1"/>
  <c r="G538" i="5" s="1"/>
  <c r="G539" i="5" s="1"/>
  <c r="G540" i="5" s="1"/>
  <c r="G541" i="5" s="1"/>
  <c r="G542" i="5" s="1"/>
  <c r="G543" i="5" s="1"/>
  <c r="G544" i="5" s="1"/>
  <c r="G545" i="5" s="1"/>
  <c r="G546" i="5" s="1"/>
  <c r="G547" i="5" s="1"/>
  <c r="G548" i="5" s="1"/>
  <c r="G549" i="5" s="1"/>
  <c r="G550" i="5" s="1"/>
  <c r="G551" i="5" s="1"/>
  <c r="G552" i="5" s="1"/>
  <c r="G553" i="5" s="1"/>
  <c r="G554" i="5" s="1"/>
  <c r="G555" i="5" s="1"/>
  <c r="G556" i="5" s="1"/>
  <c r="G557" i="5" s="1"/>
  <c r="G558" i="5" s="1"/>
  <c r="G559" i="5" s="1"/>
  <c r="G560" i="5" s="1"/>
  <c r="G561" i="5" s="1"/>
  <c r="G562" i="5" s="1"/>
  <c r="G563" i="5" s="1"/>
  <c r="G564" i="5" s="1"/>
  <c r="G565" i="5" s="1"/>
  <c r="G566" i="5" s="1"/>
  <c r="G567" i="5" s="1"/>
  <c r="G568" i="5" s="1"/>
  <c r="G569" i="5" s="1"/>
  <c r="G570" i="5" s="1"/>
  <c r="G571" i="5" s="1"/>
  <c r="G572" i="5" s="1"/>
  <c r="G573" i="5" s="1"/>
  <c r="G574" i="5" s="1"/>
  <c r="G575" i="5" s="1"/>
  <c r="G576" i="5" s="1"/>
  <c r="G577" i="5" s="1"/>
  <c r="G578" i="5" s="1"/>
  <c r="G579" i="5" s="1"/>
  <c r="G580" i="5" s="1"/>
  <c r="G581" i="5" s="1"/>
  <c r="G582" i="5" s="1"/>
  <c r="G583" i="5" s="1"/>
  <c r="G584" i="5" s="1"/>
  <c r="G585" i="5" s="1"/>
  <c r="G586" i="5" s="1"/>
  <c r="G587" i="5" s="1"/>
  <c r="G588" i="5" s="1"/>
  <c r="G589" i="5" s="1"/>
  <c r="G590" i="5" s="1"/>
  <c r="G591" i="5" s="1"/>
  <c r="G592" i="5" s="1"/>
  <c r="G593" i="5" s="1"/>
  <c r="G594" i="5" s="1"/>
  <c r="G595" i="5" s="1"/>
  <c r="G596" i="5" s="1"/>
  <c r="G597" i="5" s="1"/>
  <c r="G598" i="5" s="1"/>
  <c r="G599" i="5" s="1"/>
  <c r="G600" i="5" s="1"/>
  <c r="G601" i="5" s="1"/>
  <c r="G602" i="5" s="1"/>
  <c r="G603" i="5" s="1"/>
  <c r="G604" i="5" s="1"/>
  <c r="G605" i="5" s="1"/>
  <c r="G606" i="5" s="1"/>
  <c r="G607" i="5" s="1"/>
  <c r="G608" i="5" s="1"/>
  <c r="G609" i="5" s="1"/>
  <c r="G610" i="5" s="1"/>
  <c r="G611" i="5" s="1"/>
  <c r="G612" i="5" s="1"/>
  <c r="G613" i="5" s="1"/>
  <c r="G614" i="5" s="1"/>
  <c r="G615" i="5" s="1"/>
  <c r="W39" i="2"/>
  <c r="AB39" i="2" s="1"/>
  <c r="Z44" i="2" s="1"/>
  <c r="AD39" i="2"/>
  <c r="U317" i="2"/>
  <c r="U318" i="2" s="1"/>
  <c r="U17" i="2"/>
  <c r="U18" i="2" s="1"/>
  <c r="B8" i="5"/>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B40" i="5" s="1"/>
  <c r="B41" i="5" s="1"/>
  <c r="B42" i="5" s="1"/>
  <c r="B43" i="5" s="1"/>
  <c r="B44" i="5" s="1"/>
  <c r="B45" i="5" s="1"/>
  <c r="B46" i="5" s="1"/>
  <c r="B47" i="5" s="1"/>
  <c r="B48" i="5" s="1"/>
  <c r="B49" i="5" s="1"/>
  <c r="B50" i="5" s="1"/>
  <c r="B51" i="5" s="1"/>
  <c r="B52" i="5" s="1"/>
  <c r="B53" i="5" s="1"/>
  <c r="B54" i="5" s="1"/>
  <c r="B55" i="5" s="1"/>
  <c r="B56" i="5" s="1"/>
  <c r="B57" i="5" s="1"/>
  <c r="B58" i="5" s="1"/>
  <c r="B59" i="5" s="1"/>
  <c r="B60" i="5" s="1"/>
  <c r="B61" i="5" s="1"/>
  <c r="B62" i="5" s="1"/>
  <c r="B63" i="5" s="1"/>
  <c r="B64" i="5" s="1"/>
  <c r="B65" i="5" s="1"/>
  <c r="B66" i="5" s="1"/>
  <c r="B67" i="5" s="1"/>
  <c r="B68" i="5" s="1"/>
  <c r="B69" i="5" s="1"/>
  <c r="B70" i="5" s="1"/>
  <c r="B71" i="5" s="1"/>
  <c r="B72" i="5" s="1"/>
  <c r="B73" i="5" s="1"/>
  <c r="B74" i="5" s="1"/>
  <c r="B75" i="5" s="1"/>
  <c r="B76" i="5" s="1"/>
  <c r="B77" i="5" s="1"/>
  <c r="B78" i="5" s="1"/>
  <c r="B79" i="5" s="1"/>
  <c r="B80" i="5" s="1"/>
  <c r="B81" i="5" s="1"/>
  <c r="B82" i="5" s="1"/>
  <c r="B83" i="5" s="1"/>
  <c r="B84" i="5" s="1"/>
  <c r="B85" i="5" s="1"/>
  <c r="B86" i="5" s="1"/>
  <c r="B87" i="5" s="1"/>
  <c r="B88" i="5" s="1"/>
  <c r="B89" i="5" s="1"/>
  <c r="B90" i="5" s="1"/>
  <c r="B91" i="5" s="1"/>
  <c r="B92" i="5" s="1"/>
  <c r="B93" i="5" s="1"/>
  <c r="B94" i="5" s="1"/>
  <c r="B95" i="5" s="1"/>
  <c r="B96" i="5" s="1"/>
  <c r="B97" i="5" s="1"/>
  <c r="B98" i="5" s="1"/>
  <c r="B99" i="5" s="1"/>
  <c r="B100" i="5" s="1"/>
  <c r="B101" i="5" s="1"/>
  <c r="B102" i="5" s="1"/>
  <c r="B103" i="5" s="1"/>
  <c r="B104" i="5" s="1"/>
  <c r="B105" i="5" s="1"/>
  <c r="B106" i="5" s="1"/>
  <c r="B107" i="5" s="1"/>
  <c r="B108" i="5" s="1"/>
  <c r="B109" i="5" s="1"/>
  <c r="B110" i="5" s="1"/>
  <c r="I374" i="2"/>
  <c r="I375" i="2" s="1"/>
  <c r="C104" i="1" l="1"/>
</calcChain>
</file>

<file path=xl/comments1.xml><?xml version="1.0" encoding="utf-8"?>
<comments xmlns="http://schemas.openxmlformats.org/spreadsheetml/2006/main">
  <authors>
    <author>Hoang, Khoa</author>
    <author>Brown, Nick</author>
  </authors>
  <commentList>
    <comment ref="E7" authorId="0" shapeId="0">
      <text>
        <r>
          <rPr>
            <b/>
            <sz val="8"/>
            <color indexed="81"/>
            <rFont val="Tahoma"/>
            <family val="2"/>
          </rPr>
          <t xml:space="preserve">i.e.:
</t>
        </r>
        <r>
          <rPr>
            <sz val="8"/>
            <color indexed="81"/>
            <rFont val="Tahoma"/>
            <family val="2"/>
          </rPr>
          <t xml:space="preserve">- Issued for Information 
- Issued for Review
- Issued for Client Approval
</t>
        </r>
      </text>
    </comment>
    <comment ref="K28" authorId="1" shapeId="0">
      <text>
        <r>
          <rPr>
            <sz val="9"/>
            <color indexed="81"/>
            <rFont val="Tahoma"/>
            <family val="2"/>
          </rPr>
          <t>API 2000 defines wetted area as the total surface area to a height of 30 feet (9.144 meters) for vertical tanks.</t>
        </r>
      </text>
    </comment>
    <comment ref="E107" authorId="0" shapeId="0">
      <text>
        <r>
          <rPr>
            <b/>
            <sz val="8"/>
            <color indexed="81"/>
            <rFont val="Tahoma"/>
            <family val="2"/>
          </rPr>
          <t xml:space="preserve">i.e.:
</t>
        </r>
        <r>
          <rPr>
            <sz val="8"/>
            <color indexed="81"/>
            <rFont val="Tahoma"/>
            <family val="2"/>
          </rPr>
          <t xml:space="preserve">- Issued for Information 
- Issued for Review
- Issued for Client Approval
</t>
        </r>
      </text>
    </comment>
    <comment ref="K128" authorId="1" shapeId="0">
      <text>
        <r>
          <rPr>
            <sz val="9"/>
            <color indexed="81"/>
            <rFont val="Tahoma"/>
            <family val="2"/>
          </rPr>
          <t>API 2000 defines wetted area as the total surface area to a height of 30 feet (9.144 meters) for vertical tanks.</t>
        </r>
      </text>
    </comment>
  </commentList>
</comments>
</file>

<file path=xl/comments2.xml><?xml version="1.0" encoding="utf-8"?>
<comments xmlns="http://schemas.openxmlformats.org/spreadsheetml/2006/main">
  <authors>
    <author>Brown, Nick</author>
    <author xml:space="preserve"> BB&amp;KK</author>
  </authors>
  <commentList>
    <comment ref="J14" authorId="0" shapeId="0">
      <text>
        <r>
          <rPr>
            <b/>
            <sz val="9"/>
            <color indexed="81"/>
            <rFont val="Tahoma"/>
            <family val="2"/>
          </rPr>
          <t>This is populated from the Operating Temperature on the General tab.</t>
        </r>
      </text>
    </comment>
    <comment ref="J19" authorId="1" shapeId="0">
      <text>
        <r>
          <rPr>
            <b/>
            <sz val="9"/>
            <color indexed="81"/>
            <rFont val="Tahoma"/>
            <family val="2"/>
          </rPr>
          <t>Priority Input</t>
        </r>
        <r>
          <rPr>
            <sz val="9"/>
            <color indexed="81"/>
            <rFont val="Tahoma"/>
            <family val="2"/>
          </rPr>
          <t xml:space="preserve">
Overrides J18 above.</t>
        </r>
      </text>
    </comment>
    <comment ref="J20" authorId="0" shapeId="0">
      <text>
        <r>
          <rPr>
            <b/>
            <sz val="9"/>
            <color indexed="81"/>
            <rFont val="Tahoma"/>
            <family val="2"/>
          </rPr>
          <t>Typical value for tanks</t>
        </r>
        <r>
          <rPr>
            <sz val="9"/>
            <color indexed="81"/>
            <rFont val="Tahoma"/>
            <family val="2"/>
          </rPr>
          <t>: 
0.7  Btu/hr-ft²-°F (</t>
        </r>
        <r>
          <rPr>
            <b/>
            <sz val="9"/>
            <color indexed="81"/>
            <rFont val="Tahoma"/>
            <family val="2"/>
          </rPr>
          <t>US</t>
        </r>
        <r>
          <rPr>
            <sz val="9"/>
            <color indexed="81"/>
            <rFont val="Tahoma"/>
            <family val="2"/>
          </rPr>
          <t>) or 4  W/m²K (</t>
        </r>
        <r>
          <rPr>
            <b/>
            <sz val="9"/>
            <color indexed="81"/>
            <rFont val="Tahoma"/>
            <family val="2"/>
          </rPr>
          <t>SI</t>
        </r>
        <r>
          <rPr>
            <sz val="9"/>
            <color indexed="81"/>
            <rFont val="Tahoma"/>
            <family val="2"/>
          </rPr>
          <t>)</t>
        </r>
      </text>
    </comment>
    <comment ref="J23" authorId="0" shapeId="0">
      <text>
        <r>
          <rPr>
            <b/>
            <sz val="9"/>
            <color indexed="81"/>
            <rFont val="Tahoma"/>
            <family val="2"/>
          </rPr>
          <t>If this shows Mistake, check that your Insulation thickness on the General tab is not &gt;0 while Insulated height is 0.</t>
        </r>
      </text>
    </comment>
    <comment ref="I52" authorId="0" shapeId="0">
      <text>
        <r>
          <rPr>
            <b/>
            <sz val="9"/>
            <color indexed="81"/>
            <rFont val="Tahoma"/>
            <family val="2"/>
          </rPr>
          <t>API 2000 suggested F Factor, from table to the right.</t>
        </r>
      </text>
    </comment>
    <comment ref="J52" authorId="0" shapeId="0">
      <text>
        <r>
          <rPr>
            <b/>
            <sz val="9"/>
            <color indexed="81"/>
            <rFont val="Tahoma"/>
            <family val="2"/>
          </rPr>
          <t>Overrides cell to left if user wants F Factor other than what is suggested by API 2000.</t>
        </r>
      </text>
    </comment>
    <comment ref="J319" authorId="1" shapeId="0">
      <text>
        <r>
          <rPr>
            <b/>
            <sz val="9"/>
            <color indexed="81"/>
            <rFont val="Tahoma"/>
            <family val="2"/>
          </rPr>
          <t>Priority Input</t>
        </r>
        <r>
          <rPr>
            <sz val="9"/>
            <color indexed="81"/>
            <rFont val="Tahoma"/>
            <family val="2"/>
          </rPr>
          <t xml:space="preserve">
Overrides J18 above.</t>
        </r>
      </text>
    </comment>
    <comment ref="J320" authorId="0" shapeId="0">
      <text>
        <r>
          <rPr>
            <b/>
            <sz val="9"/>
            <color indexed="81"/>
            <rFont val="Tahoma"/>
            <family val="2"/>
          </rPr>
          <t>Typical value for tanks</t>
        </r>
        <r>
          <rPr>
            <sz val="9"/>
            <color indexed="81"/>
            <rFont val="Tahoma"/>
            <family val="2"/>
          </rPr>
          <t>: 
0.7  Btu/hr-ft²-°F (</t>
        </r>
        <r>
          <rPr>
            <b/>
            <sz val="9"/>
            <color indexed="81"/>
            <rFont val="Tahoma"/>
            <family val="2"/>
          </rPr>
          <t>US</t>
        </r>
        <r>
          <rPr>
            <sz val="9"/>
            <color indexed="81"/>
            <rFont val="Tahoma"/>
            <family val="2"/>
          </rPr>
          <t>) or 4  W/m²K (</t>
        </r>
        <r>
          <rPr>
            <b/>
            <sz val="9"/>
            <color indexed="81"/>
            <rFont val="Tahoma"/>
            <family val="2"/>
          </rPr>
          <t>SI</t>
        </r>
        <r>
          <rPr>
            <sz val="9"/>
            <color indexed="81"/>
            <rFont val="Tahoma"/>
            <family val="2"/>
          </rPr>
          <t>)</t>
        </r>
      </text>
    </comment>
  </commentList>
</comments>
</file>

<file path=xl/sharedStrings.xml><?xml version="1.0" encoding="utf-8"?>
<sst xmlns="http://schemas.openxmlformats.org/spreadsheetml/2006/main" count="1295" uniqueCount="577">
  <si>
    <t>Latitude</t>
  </si>
  <si>
    <t>C-factor for various conditions</t>
  </si>
  <si>
    <t>&lt;25</t>
  </si>
  <si>
    <t>≥25</t>
  </si>
  <si>
    <t>Below 42°</t>
  </si>
  <si>
    <t>Between 42° &amp; 58°</t>
  </si>
  <si>
    <t>Above 58°</t>
  </si>
  <si>
    <t>°</t>
  </si>
  <si>
    <r>
      <t>Tank Volume, V</t>
    </r>
    <r>
      <rPr>
        <vertAlign val="subscript"/>
        <sz val="10"/>
        <rFont val="Arial"/>
        <family val="2"/>
      </rPr>
      <t>tk</t>
    </r>
  </si>
  <si>
    <r>
      <t>Pump-Out Rate, V</t>
    </r>
    <r>
      <rPr>
        <vertAlign val="subscript"/>
        <sz val="10"/>
        <rFont val="Arial"/>
        <family val="2"/>
      </rPr>
      <t>pe</t>
    </r>
  </si>
  <si>
    <t>Total Normal Inbreathing</t>
  </si>
  <si>
    <t>Y-factor</t>
  </si>
  <si>
    <t>Total Normal Outbreathing</t>
  </si>
  <si>
    <t>Avg. Storage Temp.</t>
  </si>
  <si>
    <t>VP&gt;Hexane</t>
  </si>
  <si>
    <t>VP range</t>
  </si>
  <si>
    <t>°C</t>
  </si>
  <si>
    <t>Cellular glass</t>
  </si>
  <si>
    <t>Mineral Fiber</t>
  </si>
  <si>
    <t>Calcium Silicate</t>
  </si>
  <si>
    <t xml:space="preserve">Perlite </t>
  </si>
  <si>
    <t>Insulation Type</t>
  </si>
  <si>
    <t>Average Storage temperature, °C</t>
  </si>
  <si>
    <r>
      <t xml:space="preserve">Thermal Cond. of Insulation, </t>
    </r>
    <r>
      <rPr>
        <i/>
        <sz val="10"/>
        <rFont val="Arial"/>
        <family val="2"/>
      </rPr>
      <t>λ</t>
    </r>
    <r>
      <rPr>
        <i/>
        <vertAlign val="subscript"/>
        <sz val="10"/>
        <rFont val="Arial"/>
        <family val="2"/>
      </rPr>
      <t>in</t>
    </r>
  </si>
  <si>
    <r>
      <t xml:space="preserve">Selected Thermal Cond. of Insulation, </t>
    </r>
    <r>
      <rPr>
        <i/>
        <sz val="10"/>
        <rFont val="Arial"/>
        <family val="2"/>
      </rPr>
      <t>λ</t>
    </r>
    <r>
      <rPr>
        <i/>
        <vertAlign val="subscript"/>
        <sz val="10"/>
        <rFont val="Arial"/>
        <family val="2"/>
      </rPr>
      <t>in,S</t>
    </r>
  </si>
  <si>
    <r>
      <t xml:space="preserve">Total surface area, </t>
    </r>
    <r>
      <rPr>
        <i/>
        <sz val="10"/>
        <rFont val="Arial"/>
        <family val="2"/>
      </rPr>
      <t>A</t>
    </r>
    <r>
      <rPr>
        <i/>
        <vertAlign val="subscript"/>
        <sz val="10"/>
        <rFont val="Arial"/>
        <family val="2"/>
      </rPr>
      <t>TTS</t>
    </r>
  </si>
  <si>
    <r>
      <t xml:space="preserve">Insulated surface area, </t>
    </r>
    <r>
      <rPr>
        <i/>
        <sz val="10"/>
        <rFont val="Arial"/>
        <family val="2"/>
      </rPr>
      <t>A</t>
    </r>
    <r>
      <rPr>
        <i/>
        <vertAlign val="subscript"/>
        <sz val="10"/>
        <rFont val="Arial"/>
        <family val="2"/>
      </rPr>
      <t>inp</t>
    </r>
  </si>
  <si>
    <r>
      <t xml:space="preserve">Inside heat transfer coefficient, </t>
    </r>
    <r>
      <rPr>
        <i/>
        <sz val="10"/>
        <rFont val="Arial"/>
        <family val="2"/>
      </rPr>
      <t>h</t>
    </r>
  </si>
  <si>
    <t>Y-Factor</t>
  </si>
  <si>
    <r>
      <t>Ins. Thickness, l</t>
    </r>
    <r>
      <rPr>
        <vertAlign val="subscript"/>
        <sz val="10"/>
        <rFont val="Arial"/>
        <family val="2"/>
      </rPr>
      <t>in</t>
    </r>
  </si>
  <si>
    <r>
      <t>Pump-in Rate, V</t>
    </r>
    <r>
      <rPr>
        <vertAlign val="subscript"/>
        <sz val="10"/>
        <rFont val="Arial"/>
        <family val="2"/>
      </rPr>
      <t>pf</t>
    </r>
  </si>
  <si>
    <r>
      <t xml:space="preserve">Reduction factor, </t>
    </r>
    <r>
      <rPr>
        <i/>
        <sz val="10"/>
        <rFont val="Arial"/>
        <family val="2"/>
      </rPr>
      <t>R</t>
    </r>
    <r>
      <rPr>
        <i/>
        <vertAlign val="subscript"/>
        <sz val="10"/>
        <rFont val="Arial"/>
        <family val="2"/>
      </rPr>
      <t>i</t>
    </r>
  </si>
  <si>
    <r>
      <t xml:space="preserve">Thermal Outbreathing, </t>
    </r>
    <r>
      <rPr>
        <i/>
        <sz val="10"/>
        <rFont val="Arial"/>
        <family val="2"/>
      </rPr>
      <t>V</t>
    </r>
    <r>
      <rPr>
        <i/>
        <vertAlign val="subscript"/>
        <sz val="10"/>
        <rFont val="Arial"/>
        <family val="2"/>
      </rPr>
      <t>OT</t>
    </r>
  </si>
  <si>
    <r>
      <t xml:space="preserve">Thermal inbreathing, </t>
    </r>
    <r>
      <rPr>
        <i/>
        <sz val="10"/>
        <rFont val="Arial"/>
        <family val="2"/>
      </rPr>
      <t>V</t>
    </r>
    <r>
      <rPr>
        <i/>
        <vertAlign val="subscript"/>
        <sz val="10"/>
        <rFont val="Arial"/>
        <family val="2"/>
      </rPr>
      <t>IT</t>
    </r>
  </si>
  <si>
    <t>gpm</t>
  </si>
  <si>
    <t>ft</t>
  </si>
  <si>
    <r>
      <t>ft</t>
    </r>
    <r>
      <rPr>
        <vertAlign val="superscript"/>
        <sz val="8"/>
        <rFont val="Arial"/>
        <family val="2"/>
      </rPr>
      <t>3</t>
    </r>
  </si>
  <si>
    <t>Maximum Capacity</t>
  </si>
  <si>
    <t>Gallons</t>
  </si>
  <si>
    <t>ft Diameter</t>
  </si>
  <si>
    <t>Net Working Capacity</t>
  </si>
  <si>
    <t>Heat Input Q Btu/hr</t>
  </si>
  <si>
    <r>
      <t>Tank Wetted Surface Area, A</t>
    </r>
    <r>
      <rPr>
        <vertAlign val="subscript"/>
        <sz val="10"/>
        <rFont val="Arial"/>
        <family val="2"/>
      </rPr>
      <t>TWS</t>
    </r>
  </si>
  <si>
    <r>
      <t>Tank Height in Fire Zone, H</t>
    </r>
    <r>
      <rPr>
        <vertAlign val="subscript"/>
        <sz val="10"/>
        <rFont val="Arial"/>
        <family val="2"/>
      </rPr>
      <t>Fire</t>
    </r>
  </si>
  <si>
    <t>ft²</t>
  </si>
  <si>
    <t>psig</t>
  </si>
  <si>
    <r>
      <t>Tank Design Pressure P</t>
    </r>
    <r>
      <rPr>
        <vertAlign val="subscript"/>
        <sz val="10"/>
        <rFont val="Arial"/>
        <family val="2"/>
      </rPr>
      <t>design</t>
    </r>
  </si>
  <si>
    <t>&lt;200</t>
  </si>
  <si>
    <t>&gt;= 200 &lt; 1000</t>
  </si>
  <si>
    <t>&gt;= 1000 &lt; 2800</t>
  </si>
  <si>
    <t>&lt;=15</t>
  </si>
  <si>
    <t>&gt;1 and &lt;=15</t>
  </si>
  <si>
    <t>&gt;= 2800</t>
  </si>
  <si>
    <t>&lt;=1</t>
  </si>
  <si>
    <t>Btu/lb</t>
  </si>
  <si>
    <r>
      <t>20,000 x A</t>
    </r>
    <r>
      <rPr>
        <vertAlign val="subscript"/>
        <sz val="10"/>
        <rFont val="Arial"/>
        <family val="2"/>
      </rPr>
      <t>TWS</t>
    </r>
  </si>
  <si>
    <r>
      <t>199,300 x A</t>
    </r>
    <r>
      <rPr>
        <vertAlign val="subscript"/>
        <sz val="10"/>
        <rFont val="Arial"/>
        <family val="2"/>
      </rPr>
      <t>TWS</t>
    </r>
    <r>
      <rPr>
        <vertAlign val="superscript"/>
        <sz val="10"/>
        <rFont val="Arial"/>
        <family val="2"/>
      </rPr>
      <t>0.566</t>
    </r>
  </si>
  <si>
    <r>
      <t>963,400 x A</t>
    </r>
    <r>
      <rPr>
        <vertAlign val="subscript"/>
        <sz val="10"/>
        <rFont val="Arial"/>
        <family val="2"/>
      </rPr>
      <t>TWS</t>
    </r>
    <r>
      <rPr>
        <vertAlign val="superscript"/>
        <sz val="10"/>
        <rFont val="Arial"/>
        <family val="2"/>
      </rPr>
      <t>0.338</t>
    </r>
  </si>
  <si>
    <r>
      <t>21,000 x A</t>
    </r>
    <r>
      <rPr>
        <vertAlign val="subscript"/>
        <sz val="10"/>
        <rFont val="Arial"/>
        <family val="2"/>
      </rPr>
      <t>TWS</t>
    </r>
    <r>
      <rPr>
        <vertAlign val="superscript"/>
        <sz val="10"/>
        <rFont val="Arial"/>
        <family val="2"/>
      </rPr>
      <t>0.82</t>
    </r>
  </si>
  <si>
    <t>Btu/hr</t>
  </si>
  <si>
    <t>Fire Heat Input Q</t>
  </si>
  <si>
    <t>Latent Heat of Vaporization</t>
  </si>
  <si>
    <t>°R</t>
  </si>
  <si>
    <t>Absolute Relieving Temperature</t>
  </si>
  <si>
    <t>Molecular Weight</t>
  </si>
  <si>
    <t>F Factor</t>
  </si>
  <si>
    <t>Insulation Thickness</t>
  </si>
  <si>
    <t>Required Vent Capacity q</t>
  </si>
  <si>
    <t>API STD 2000-2014, Calculation for max. flow rates for Normal Inbreathing &amp; Outbreathing</t>
  </si>
  <si>
    <t>°F</t>
  </si>
  <si>
    <t xml:space="preserve">Customer: </t>
  </si>
  <si>
    <t xml:space="preserve">Prepared By: </t>
  </si>
  <si>
    <t xml:space="preserve">Date: </t>
  </si>
  <si>
    <t xml:space="preserve">Project: </t>
  </si>
  <si>
    <t xml:space="preserve">Checked By: </t>
  </si>
  <si>
    <t xml:space="preserve">Job No: </t>
  </si>
  <si>
    <t>R</t>
  </si>
  <si>
    <t xml:space="preserve">Subject: </t>
  </si>
  <si>
    <t xml:space="preserve">Equip Tag No: </t>
  </si>
  <si>
    <t>E</t>
  </si>
  <si>
    <t xml:space="preserve">Document No: </t>
  </si>
  <si>
    <t xml:space="preserve">File Name: </t>
  </si>
  <si>
    <t xml:space="preserve">Sheet: </t>
  </si>
  <si>
    <t>V</t>
  </si>
  <si>
    <t xml:space="preserve"> </t>
  </si>
  <si>
    <r>
      <t>Inbreathing due to Liquid movement out, V</t>
    </r>
    <r>
      <rPr>
        <i/>
        <vertAlign val="subscript"/>
        <sz val="10"/>
        <rFont val="Arial"/>
        <family val="2"/>
      </rPr>
      <t>ip</t>
    </r>
  </si>
  <si>
    <t>Vapor Pressure similar to Hexane</t>
  </si>
  <si>
    <t>Vapor Pressure higher than Hexane or unknown</t>
  </si>
  <si>
    <t>scfh of Air</t>
  </si>
  <si>
    <r>
      <t>Outbreathing due to Liquid movement in, V</t>
    </r>
    <r>
      <rPr>
        <i/>
        <vertAlign val="subscript"/>
        <sz val="10"/>
        <rFont val="Arial"/>
        <family val="2"/>
      </rPr>
      <t>op</t>
    </r>
  </si>
  <si>
    <t>VP&lt;=Hexane</t>
  </si>
  <si>
    <t>INPUTS - INBREATHING</t>
  </si>
  <si>
    <t>CALCULATIONS - INBREATHING</t>
  </si>
  <si>
    <t>INPUTS - OUTBREATHING</t>
  </si>
  <si>
    <t>CALCULATIONS - OUTBREATHING</t>
  </si>
  <si>
    <t>REFERENCES</t>
  </si>
  <si>
    <t>EMERGENCY VENTING FIRE CALCULATION</t>
  </si>
  <si>
    <t xml:space="preserve">Approved By: </t>
  </si>
  <si>
    <t>Common Insulation Type Average Thermal Conductivity,  Btu/hr-ft-°F</t>
  </si>
  <si>
    <t>C-factor based on Vapor Pressure and Latitudes</t>
  </si>
  <si>
    <t>Y-factor based on Latitudes</t>
  </si>
  <si>
    <t xml:space="preserve">Wetted Surface Area for Heat Input </t>
  </si>
  <si>
    <t>Insulation Thickness Credit, F-Factor Table</t>
  </si>
  <si>
    <t>m</t>
  </si>
  <si>
    <t>mm</t>
  </si>
  <si>
    <t>W/m-K</t>
  </si>
  <si>
    <r>
      <t>C-Factor</t>
    </r>
    <r>
      <rPr>
        <sz val="10"/>
        <color rgb="FFFF0000"/>
        <rFont val="Arial"/>
        <family val="2"/>
      </rPr>
      <t xml:space="preserve"> </t>
    </r>
  </si>
  <si>
    <t>Act Vol flow of vap</t>
  </si>
  <si>
    <t>Density</t>
  </si>
  <si>
    <t>ft3/hr</t>
  </si>
  <si>
    <t>lb/ft3</t>
  </si>
  <si>
    <t>lb/hr</t>
  </si>
  <si>
    <t>Mass flow of vap</t>
  </si>
  <si>
    <t>SCFH of air</t>
  </si>
  <si>
    <t>Molecular Weight of vapor</t>
  </si>
  <si>
    <t>lb/lbmol</t>
  </si>
  <si>
    <t>kg/kgmol</t>
  </si>
  <si>
    <t>kPa(g)</t>
  </si>
  <si>
    <t>j/kg</t>
  </si>
  <si>
    <t>°K</t>
  </si>
  <si>
    <t>watts</t>
  </si>
  <si>
    <t>Heat Input Q W</t>
  </si>
  <si>
    <t>Design Pressure psig</t>
  </si>
  <si>
    <t>Wetted Area, ft2</t>
  </si>
  <si>
    <t>Venting, SCFH</t>
  </si>
  <si>
    <t>WSA</t>
  </si>
  <si>
    <t>SCHF</t>
  </si>
  <si>
    <t>&lt;2800</t>
  </si>
  <si>
    <t>&gt;=2800</t>
  </si>
  <si>
    <t>Reqd Venting Capacity 
SCFH of air</t>
  </si>
  <si>
    <t>EMERGENCY VENTING REQUIREMENT FOR VP&lt;=HEXANE</t>
  </si>
  <si>
    <t>OUTBREATHING DUE TO LIQ MOV CONV FT3/HR OF VAP TO SCFH OF AIR</t>
  </si>
  <si>
    <r>
      <t>Wetted surface area A</t>
    </r>
    <r>
      <rPr>
        <b/>
        <vertAlign val="subscript"/>
        <sz val="8"/>
        <rFont val="Arial"/>
        <family val="2"/>
      </rPr>
      <t>TWS</t>
    </r>
    <r>
      <rPr>
        <b/>
        <sz val="8"/>
        <rFont val="Arial"/>
        <family val="2"/>
      </rPr>
      <t xml:space="preserve"> ft²</t>
    </r>
  </si>
  <si>
    <t>Emergency venting, VP&lt;=Hexane</t>
  </si>
  <si>
    <t>SCFH OFAIR</t>
  </si>
  <si>
    <t>RESULTS</t>
  </si>
  <si>
    <t>This spreadsheet is based on Seventh Edition (March 2014) of API 2000, "Venting Atmospheric and Low Pressure Tanks"</t>
  </si>
  <si>
    <t>Emergency Venting - Fire Case</t>
  </si>
  <si>
    <t>Applicable to tanks designed from full vacuum through 15 psig (103.4 kPa)</t>
  </si>
  <si>
    <t>This spreadsheet is applicable only to aboveground non-refrigerated storage tanks</t>
  </si>
  <si>
    <t>Insulation thickness</t>
  </si>
  <si>
    <t>Required Vent Capacity</t>
  </si>
  <si>
    <t>m²</t>
  </si>
  <si>
    <t>m3/h</t>
  </si>
  <si>
    <t>Nm3/h of Air</t>
  </si>
  <si>
    <t>ft3/h of vapor</t>
  </si>
  <si>
    <t>m3/h of Vapor</t>
  </si>
  <si>
    <t>Btu/hr-ft-°F</t>
  </si>
  <si>
    <t>inches</t>
  </si>
  <si>
    <t>cm</t>
  </si>
  <si>
    <t>Common Insulation Materials</t>
  </si>
  <si>
    <t>Average Thermal Cond., Btu/hr-ft-°F</t>
  </si>
  <si>
    <t>Common Insulation Type &amp; Average Thermal Conductivity</t>
  </si>
  <si>
    <t>Average Thermal Cond., W/m-K</t>
  </si>
  <si>
    <t>m³</t>
  </si>
  <si>
    <t>Btu/hr-ft²-°F</t>
  </si>
  <si>
    <t>W/m²K</t>
  </si>
  <si>
    <t>Rev</t>
  </si>
  <si>
    <t>Line</t>
  </si>
  <si>
    <t>Page number:</t>
  </si>
  <si>
    <t>GENERAL CLIENT &amp; PROJECT DATA</t>
  </si>
  <si>
    <t>Revision:</t>
  </si>
  <si>
    <t>Revision Remarks:</t>
  </si>
  <si>
    <t>Issued for Review</t>
  </si>
  <si>
    <t>UNIT OF MEASUREMENT</t>
  </si>
  <si>
    <t>Client:</t>
  </si>
  <si>
    <t>Flint Hills Resources</t>
  </si>
  <si>
    <t>Project Title:</t>
  </si>
  <si>
    <t>JE Project Number:</t>
  </si>
  <si>
    <t>Client Project Number:</t>
  </si>
  <si>
    <t>Prepared By:</t>
  </si>
  <si>
    <t>Prepared Date:</t>
  </si>
  <si>
    <t>mm/dd/yy</t>
  </si>
  <si>
    <t>Checked By:</t>
  </si>
  <si>
    <t>Checked Date:</t>
  </si>
  <si>
    <t>Location:</t>
  </si>
  <si>
    <t>Unit:</t>
  </si>
  <si>
    <t>EQUIPMENT GENERAL DATA</t>
  </si>
  <si>
    <t>P&amp;ID Number:</t>
  </si>
  <si>
    <t>Barometric Pressure:</t>
  </si>
  <si>
    <t>Equipment Tag
Number</t>
  </si>
  <si>
    <t>Insulation
Thickness</t>
  </si>
  <si>
    <t>High Pressure KO Drum</t>
  </si>
  <si>
    <t>84V-11</t>
  </si>
  <si>
    <t>ft³</t>
  </si>
  <si>
    <t>A</t>
  </si>
  <si>
    <t>EDCP</t>
  </si>
  <si>
    <t>NRB</t>
  </si>
  <si>
    <t>Corpus Christi, TX</t>
  </si>
  <si>
    <t>Crude #3</t>
  </si>
  <si>
    <t>Revision</t>
  </si>
  <si>
    <t>Date</t>
  </si>
  <si>
    <t>By</t>
  </si>
  <si>
    <t>Ext.</t>
  </si>
  <si>
    <t>Program Revisions</t>
  </si>
  <si>
    <t>General</t>
  </si>
  <si>
    <t>&lt;----</t>
  </si>
  <si>
    <t>1.0</t>
  </si>
  <si>
    <t>Received spreadsheet from Harini</t>
  </si>
  <si>
    <t>N. Brown</t>
  </si>
  <si>
    <t>API 2000 Calculation_US</t>
  </si>
  <si>
    <t>Started programming unit conversion in VB</t>
  </si>
  <si>
    <t>Added page</t>
  </si>
  <si>
    <t>Metric</t>
  </si>
  <si>
    <t>US</t>
  </si>
  <si>
    <t>Tank Diameter</t>
  </si>
  <si>
    <t>Maximum Capacity (Volume)</t>
  </si>
  <si>
    <t>Min. Fill Level</t>
  </si>
  <si>
    <t>Normal Fill Level</t>
  </si>
  <si>
    <t>Design Liquid Level</t>
  </si>
  <si>
    <t>Top of Shell Height</t>
  </si>
  <si>
    <t xml:space="preserve">Page Number: </t>
  </si>
  <si>
    <t>By:</t>
  </si>
  <si>
    <t>Date:</t>
  </si>
  <si>
    <t>Approved / Checked:</t>
  </si>
  <si>
    <t>Vessel Name:</t>
  </si>
  <si>
    <t>Proj:</t>
  </si>
  <si>
    <t>Vessel Tag Number:</t>
  </si>
  <si>
    <t>Tank Vent Sizing Spreadsheet</t>
  </si>
  <si>
    <t>METRIC</t>
  </si>
  <si>
    <t>Environmental Factor F</t>
  </si>
  <si>
    <t>Inbreathing due to Liquid Movement Out</t>
  </si>
  <si>
    <t>For liquids with vapor pressure &lt;=0.73 psi (Nonvolatile liquids)</t>
  </si>
  <si>
    <r>
      <rPr>
        <sz val="14"/>
        <rFont val="ItalicT"/>
      </rPr>
      <t>V</t>
    </r>
    <r>
      <rPr>
        <vertAlign val="subscript"/>
        <sz val="12"/>
        <rFont val="ItalicT"/>
      </rPr>
      <t>ip</t>
    </r>
    <r>
      <rPr>
        <sz val="12"/>
        <rFont val="ItalicT"/>
      </rPr>
      <t xml:space="preserve"> = </t>
    </r>
    <r>
      <rPr>
        <sz val="14"/>
        <rFont val="ItalicT"/>
      </rPr>
      <t>8.02</t>
    </r>
    <r>
      <rPr>
        <sz val="12"/>
        <rFont val="ItalicT"/>
      </rPr>
      <t xml:space="preserve"> x </t>
    </r>
    <r>
      <rPr>
        <sz val="14"/>
        <rFont val="ItalicT"/>
      </rPr>
      <t>V</t>
    </r>
    <r>
      <rPr>
        <vertAlign val="subscript"/>
        <sz val="12"/>
        <rFont val="ItalicT"/>
      </rPr>
      <t>pe</t>
    </r>
  </si>
  <si>
    <t>For liquids with vapor pressure &gt;=0.73 psi (Volatile liquids)</t>
  </si>
  <si>
    <t>where:</t>
  </si>
  <si>
    <t>Thermal Inbreathing</t>
  </si>
  <si>
    <r>
      <rPr>
        <sz val="14"/>
        <rFont val="ItalicT"/>
      </rPr>
      <t>V</t>
    </r>
    <r>
      <rPr>
        <vertAlign val="subscript"/>
        <sz val="12"/>
        <rFont val="ItalicT"/>
      </rPr>
      <t>it</t>
    </r>
    <r>
      <rPr>
        <sz val="12"/>
        <rFont val="ItalicT"/>
      </rPr>
      <t xml:space="preserve"> = </t>
    </r>
    <r>
      <rPr>
        <sz val="14"/>
        <rFont val="ItalicT"/>
      </rPr>
      <t xml:space="preserve">3.08 </t>
    </r>
    <r>
      <rPr>
        <sz val="12"/>
        <rFont val="ItalicT"/>
      </rPr>
      <t>x</t>
    </r>
    <r>
      <rPr>
        <sz val="14"/>
        <rFont val="ItalicT"/>
      </rPr>
      <t xml:space="preserve"> C</t>
    </r>
    <r>
      <rPr>
        <sz val="12"/>
        <rFont val="ItalicT"/>
      </rPr>
      <t xml:space="preserve"> x </t>
    </r>
    <r>
      <rPr>
        <sz val="14"/>
        <rFont val="ItalicT"/>
      </rPr>
      <t>V</t>
    </r>
    <r>
      <rPr>
        <vertAlign val="subscript"/>
        <sz val="12"/>
        <rFont val="ItalicT"/>
      </rPr>
      <t>tk</t>
    </r>
    <r>
      <rPr>
        <vertAlign val="superscript"/>
        <sz val="12"/>
        <rFont val="ItalicT"/>
      </rPr>
      <t>0.7</t>
    </r>
    <r>
      <rPr>
        <vertAlign val="subscript"/>
        <sz val="12"/>
        <rFont val="ItalicT"/>
      </rPr>
      <t xml:space="preserve"> </t>
    </r>
    <r>
      <rPr>
        <sz val="12"/>
        <rFont val="ItalicT"/>
      </rPr>
      <t xml:space="preserve">x </t>
    </r>
    <r>
      <rPr>
        <sz val="14"/>
        <rFont val="ItalicT"/>
      </rPr>
      <t>R</t>
    </r>
    <r>
      <rPr>
        <vertAlign val="subscript"/>
        <sz val="12"/>
        <rFont val="ItalicT"/>
      </rPr>
      <t>i</t>
    </r>
  </si>
  <si>
    <t>Table for C-factor</t>
  </si>
  <si>
    <t>42° - 58°</t>
  </si>
  <si>
    <t>Uninsulated</t>
  </si>
  <si>
    <r>
      <t>R</t>
    </r>
    <r>
      <rPr>
        <vertAlign val="subscript"/>
        <sz val="9"/>
        <rFont val="ItalicT"/>
      </rPr>
      <t>in</t>
    </r>
  </si>
  <si>
    <t>*(typical value for tanks = 0.7 Btu/hr-ft²-°F)</t>
  </si>
  <si>
    <t>Partially Insulated</t>
  </si>
  <si>
    <t>Cellular Glass</t>
  </si>
  <si>
    <t>Perlite</t>
  </si>
  <si>
    <t>Average Thermal Conductivity</t>
  </si>
  <si>
    <t>Outbreathing due to Liquid Movement In</t>
  </si>
  <si>
    <t>Notes:</t>
  </si>
  <si>
    <t>Thermal Outbreathing</t>
  </si>
  <si>
    <r>
      <rPr>
        <sz val="14"/>
        <rFont val="ItalicT"/>
      </rPr>
      <t>V</t>
    </r>
    <r>
      <rPr>
        <vertAlign val="subscript"/>
        <sz val="14"/>
        <rFont val="ItalicT"/>
      </rPr>
      <t>o</t>
    </r>
    <r>
      <rPr>
        <vertAlign val="subscript"/>
        <sz val="12"/>
        <rFont val="ItalicT"/>
      </rPr>
      <t>t</t>
    </r>
    <r>
      <rPr>
        <sz val="12"/>
        <rFont val="ItalicT"/>
      </rPr>
      <t xml:space="preserve"> = </t>
    </r>
    <r>
      <rPr>
        <sz val="14"/>
        <rFont val="ItalicT"/>
      </rPr>
      <t xml:space="preserve">1.51 </t>
    </r>
    <r>
      <rPr>
        <sz val="12"/>
        <rFont val="ItalicT"/>
      </rPr>
      <t>x</t>
    </r>
    <r>
      <rPr>
        <sz val="14"/>
        <rFont val="ItalicT"/>
      </rPr>
      <t xml:space="preserve"> Y</t>
    </r>
    <r>
      <rPr>
        <sz val="12"/>
        <rFont val="ItalicT"/>
      </rPr>
      <t xml:space="preserve"> x </t>
    </r>
    <r>
      <rPr>
        <sz val="14"/>
        <rFont val="ItalicT"/>
      </rPr>
      <t>V</t>
    </r>
    <r>
      <rPr>
        <vertAlign val="subscript"/>
        <sz val="12"/>
        <rFont val="ItalicT"/>
      </rPr>
      <t>tk</t>
    </r>
    <r>
      <rPr>
        <vertAlign val="superscript"/>
        <sz val="12"/>
        <rFont val="ItalicT"/>
      </rPr>
      <t>0.9</t>
    </r>
    <r>
      <rPr>
        <vertAlign val="subscript"/>
        <sz val="12"/>
        <rFont val="ItalicT"/>
      </rPr>
      <t xml:space="preserve"> </t>
    </r>
    <r>
      <rPr>
        <sz val="12"/>
        <rFont val="ItalicT"/>
      </rPr>
      <t xml:space="preserve">x </t>
    </r>
    <r>
      <rPr>
        <sz val="14"/>
        <rFont val="ItalicT"/>
      </rPr>
      <t>R</t>
    </r>
    <r>
      <rPr>
        <vertAlign val="subscript"/>
        <sz val="12"/>
        <rFont val="ItalicT"/>
      </rPr>
      <t>i</t>
    </r>
  </si>
  <si>
    <t>Below 42</t>
  </si>
  <si>
    <t>Between 42 &amp; 58</t>
  </si>
  <si>
    <t>Above 58</t>
  </si>
  <si>
    <t>Table for Y-factor</t>
  </si>
  <si>
    <r>
      <t>R</t>
    </r>
    <r>
      <rPr>
        <vertAlign val="subscript"/>
        <sz val="9"/>
        <rFont val="ItalicT"/>
      </rPr>
      <t>inp</t>
    </r>
  </si>
  <si>
    <r>
      <t>R</t>
    </r>
    <r>
      <rPr>
        <vertAlign val="subscript"/>
        <sz val="9"/>
        <rFont val="ItalicT"/>
      </rPr>
      <t>i</t>
    </r>
    <r>
      <rPr>
        <sz val="9"/>
        <rFont val="ItalicT"/>
      </rPr>
      <t>=</t>
    </r>
  </si>
  <si>
    <r>
      <t>A</t>
    </r>
    <r>
      <rPr>
        <vertAlign val="subscript"/>
        <sz val="10"/>
        <rFont val="ItalicT"/>
      </rPr>
      <t xml:space="preserve">inp </t>
    </r>
    <r>
      <rPr>
        <sz val="10"/>
        <rFont val="Cambria"/>
        <family val="1"/>
      </rPr>
      <t xml:space="preserve">= total tank surface area (shell and roof), ft² </t>
    </r>
  </si>
  <si>
    <r>
      <t>A</t>
    </r>
    <r>
      <rPr>
        <vertAlign val="subscript"/>
        <sz val="10"/>
        <rFont val="ItalicT"/>
      </rPr>
      <t xml:space="preserve">tts </t>
    </r>
    <r>
      <rPr>
        <sz val="10"/>
        <rFont val="Cambria"/>
        <family val="1"/>
      </rPr>
      <t>= insulated surface area, ft²</t>
    </r>
    <r>
      <rPr>
        <sz val="10"/>
        <rFont val="ItalicT"/>
      </rPr>
      <t xml:space="preserve"> </t>
    </r>
  </si>
  <si>
    <r>
      <rPr>
        <i/>
        <sz val="12"/>
        <rFont val="ItalicT"/>
      </rPr>
      <t>λ</t>
    </r>
    <r>
      <rPr>
        <vertAlign val="subscript"/>
        <sz val="10"/>
        <rFont val="ItalicT"/>
      </rPr>
      <t>in</t>
    </r>
    <r>
      <rPr>
        <vertAlign val="subscript"/>
        <sz val="10"/>
        <rFont val="Arial"/>
        <family val="2"/>
      </rPr>
      <t xml:space="preserve"> </t>
    </r>
    <r>
      <rPr>
        <sz val="10"/>
        <rFont val="Cambria"/>
        <family val="1"/>
      </rPr>
      <t xml:space="preserve">= thermal conductivity of the insulation, Btu/hr-ft²-°F </t>
    </r>
  </si>
  <si>
    <r>
      <t>I</t>
    </r>
    <r>
      <rPr>
        <vertAlign val="subscript"/>
        <sz val="10"/>
        <rFont val="ItalicT"/>
      </rPr>
      <t xml:space="preserve">in </t>
    </r>
    <r>
      <rPr>
        <sz val="10"/>
        <rFont val="Cambria"/>
        <family val="1"/>
      </rPr>
      <t>= thickness of insulation, ft</t>
    </r>
  </si>
  <si>
    <r>
      <rPr>
        <sz val="10"/>
        <rFont val="ItalicT"/>
      </rPr>
      <t>h</t>
    </r>
    <r>
      <rPr>
        <sz val="10"/>
        <rFont val="Cambria"/>
        <family val="1"/>
      </rPr>
      <t xml:space="preserve"> = inside heat transfer coefficient, Btu/hr-ft²-°F </t>
    </r>
  </si>
  <si>
    <r>
      <t>A</t>
    </r>
    <r>
      <rPr>
        <vertAlign val="subscript"/>
        <sz val="10"/>
        <rFont val="ItalicT"/>
      </rPr>
      <t xml:space="preserve">tts </t>
    </r>
    <r>
      <rPr>
        <sz val="10"/>
        <rFont val="Arial"/>
        <family val="2"/>
      </rPr>
      <t>=</t>
    </r>
    <r>
      <rPr>
        <sz val="10"/>
        <rFont val="Cambria"/>
        <family val="1"/>
        <scheme val="major"/>
      </rPr>
      <t xml:space="preserve"> insulated surface area, ft² </t>
    </r>
  </si>
  <si>
    <r>
      <t>h</t>
    </r>
    <r>
      <rPr>
        <vertAlign val="subscript"/>
        <sz val="10"/>
        <rFont val="ItalicT"/>
      </rPr>
      <t xml:space="preserve"> </t>
    </r>
    <r>
      <rPr>
        <sz val="10"/>
        <rFont val="Cambria"/>
        <family val="1"/>
      </rPr>
      <t xml:space="preserve">= inside heat transfer coefficient, Btu/hr-ft²-°F </t>
    </r>
  </si>
  <si>
    <r>
      <t>I</t>
    </r>
    <r>
      <rPr>
        <vertAlign val="subscript"/>
        <sz val="10"/>
        <rFont val="ItalicT"/>
      </rPr>
      <t xml:space="preserve">in = </t>
    </r>
    <r>
      <rPr>
        <sz val="10"/>
        <rFont val="Cambria"/>
        <family val="1"/>
        <scheme val="major"/>
      </rPr>
      <t>thickness of insulation, ft</t>
    </r>
  </si>
  <si>
    <r>
      <rPr>
        <i/>
        <sz val="12"/>
        <rFont val="ItalicT"/>
      </rPr>
      <t>λ</t>
    </r>
    <r>
      <rPr>
        <vertAlign val="subscript"/>
        <sz val="10"/>
        <rFont val="ItalicT"/>
      </rPr>
      <t>in</t>
    </r>
    <r>
      <rPr>
        <vertAlign val="subscript"/>
        <sz val="10"/>
        <rFont val="Arial"/>
        <family val="2"/>
      </rPr>
      <t xml:space="preserve"> </t>
    </r>
    <r>
      <rPr>
        <vertAlign val="subscript"/>
        <sz val="10"/>
        <rFont val="ItalicT"/>
      </rPr>
      <t>=</t>
    </r>
    <r>
      <rPr>
        <vertAlign val="subscript"/>
        <sz val="10"/>
        <rFont val="Arial"/>
        <family val="2"/>
      </rPr>
      <t xml:space="preserve"> </t>
    </r>
    <r>
      <rPr>
        <sz val="10"/>
        <rFont val="Cambria"/>
        <family val="1"/>
        <scheme val="major"/>
      </rPr>
      <t>thermal conductivity of the insulation, Btu/hr-ft²-°F</t>
    </r>
    <r>
      <rPr>
        <sz val="10"/>
        <rFont val="Arial"/>
        <family val="2"/>
      </rPr>
      <t xml:space="preserve"> </t>
    </r>
  </si>
  <si>
    <r>
      <t>V</t>
    </r>
    <r>
      <rPr>
        <vertAlign val="subscript"/>
        <sz val="10"/>
        <rFont val="ItalicT"/>
      </rPr>
      <t xml:space="preserve">ot </t>
    </r>
    <r>
      <rPr>
        <sz val="10"/>
        <rFont val="Cambria"/>
        <family val="1"/>
      </rPr>
      <t>= thermal outbreathing during heating up, scfh of Air</t>
    </r>
  </si>
  <si>
    <r>
      <t>Y</t>
    </r>
    <r>
      <rPr>
        <vertAlign val="subscript"/>
        <sz val="10"/>
        <rFont val="ItalicT"/>
      </rPr>
      <t xml:space="preserve"> </t>
    </r>
    <r>
      <rPr>
        <sz val="10"/>
        <rFont val="Cambria"/>
        <family val="1"/>
      </rPr>
      <t>= factor that depends on vapor pressure, average storage temperature &amp; latitude, dimensionless</t>
    </r>
  </si>
  <si>
    <r>
      <t>V</t>
    </r>
    <r>
      <rPr>
        <vertAlign val="subscript"/>
        <sz val="10"/>
        <rFont val="ItalicT"/>
      </rPr>
      <t xml:space="preserve">tk </t>
    </r>
    <r>
      <rPr>
        <sz val="10"/>
        <rFont val="Cambria"/>
        <family val="1"/>
      </rPr>
      <t>= total tank volume, ft</t>
    </r>
    <r>
      <rPr>
        <vertAlign val="subscript"/>
        <sz val="10"/>
        <rFont val="Times New Roman"/>
        <family val="1"/>
      </rPr>
      <t>³</t>
    </r>
  </si>
  <si>
    <r>
      <t>R</t>
    </r>
    <r>
      <rPr>
        <vertAlign val="subscript"/>
        <sz val="10"/>
        <rFont val="ItalicT"/>
      </rPr>
      <t xml:space="preserve">i </t>
    </r>
    <r>
      <rPr>
        <sz val="10"/>
        <rFont val="Cambria"/>
        <family val="1"/>
      </rPr>
      <t>= reduction factor for insulation, dimensionless</t>
    </r>
  </si>
  <si>
    <r>
      <t>V</t>
    </r>
    <r>
      <rPr>
        <vertAlign val="subscript"/>
        <sz val="10"/>
        <rFont val="ItalicT"/>
      </rPr>
      <t xml:space="preserve">ip </t>
    </r>
    <r>
      <rPr>
        <sz val="10"/>
        <rFont val="Cambria"/>
        <family val="1"/>
      </rPr>
      <t>= inbreathing due to liquid movement out, ft</t>
    </r>
    <r>
      <rPr>
        <vertAlign val="subscript"/>
        <sz val="10"/>
        <rFont val="Times New Roman"/>
        <family val="1"/>
      </rPr>
      <t>³</t>
    </r>
    <r>
      <rPr>
        <sz val="10"/>
        <rFont val="Cambria"/>
        <family val="1"/>
      </rPr>
      <t>/h of Air</t>
    </r>
  </si>
  <si>
    <r>
      <t>V</t>
    </r>
    <r>
      <rPr>
        <vertAlign val="subscript"/>
        <sz val="10"/>
        <rFont val="ItalicT"/>
      </rPr>
      <t xml:space="preserve">pe </t>
    </r>
    <r>
      <rPr>
        <sz val="10"/>
        <rFont val="Cambria"/>
        <family val="1"/>
      </rPr>
      <t>= liquid discharge from the tank, gpm</t>
    </r>
  </si>
  <si>
    <r>
      <t>V</t>
    </r>
    <r>
      <rPr>
        <vertAlign val="subscript"/>
        <sz val="10"/>
        <rFont val="ItalicT"/>
      </rPr>
      <t xml:space="preserve">pe </t>
    </r>
    <r>
      <rPr>
        <sz val="10"/>
        <rFont val="Cambria"/>
        <family val="1"/>
      </rPr>
      <t>= volumetric filling rate of the tank, gpm</t>
    </r>
  </si>
  <si>
    <t>2. For products stored above 104°F or with a vapor pressure greater than 0.73 psia, increase the out-breathing by the evaporation rate.</t>
  </si>
  <si>
    <t>CALCULATION BASIS</t>
  </si>
  <si>
    <t>API 2000 CALCULATION</t>
  </si>
  <si>
    <r>
      <t>Reduction factor R</t>
    </r>
    <r>
      <rPr>
        <b/>
        <vertAlign val="subscript"/>
        <sz val="9"/>
        <color theme="0"/>
        <rFont val="Arial"/>
        <family val="2"/>
      </rPr>
      <t>i</t>
    </r>
    <r>
      <rPr>
        <b/>
        <sz val="9"/>
        <color theme="0"/>
        <rFont val="Arial"/>
        <family val="2"/>
      </rPr>
      <t xml:space="preserve"> for insulation (Uninsulated or Fully insulated)</t>
    </r>
  </si>
  <si>
    <t>Tank Vent Sizing Spreadsheet Revision Record</t>
  </si>
  <si>
    <t>REVISION RECORD</t>
  </si>
  <si>
    <t>Made unit conversion a complete conversion rather than line-by-line</t>
  </si>
  <si>
    <t>API 2000 Calculation</t>
  </si>
  <si>
    <t>Referenced these units and values with the unit conversion on the General page</t>
  </si>
  <si>
    <t>Calculation Basis</t>
  </si>
  <si>
    <t>References</t>
  </si>
  <si>
    <t>Finished formatting</t>
  </si>
  <si>
    <t>m Diameter</t>
  </si>
  <si>
    <t>Fully Insulated</t>
  </si>
  <si>
    <t>psi</t>
  </si>
  <si>
    <t>psia</t>
  </si>
  <si>
    <t>Flow Rate</t>
  </si>
  <si>
    <t>Equipment Description</t>
  </si>
  <si>
    <t>Wetted Height</t>
  </si>
  <si>
    <t>EQUIPMENT &amp; FLUID INFORMATION</t>
  </si>
  <si>
    <t>Fluid</t>
  </si>
  <si>
    <t>Flash Point Temp.</t>
  </si>
  <si>
    <t>Normal BP</t>
  </si>
  <si>
    <t>Latent Heat</t>
  </si>
  <si>
    <t>Operating Press.</t>
  </si>
  <si>
    <t>Operating Temp.</t>
  </si>
  <si>
    <t>Max Operating Press.</t>
  </si>
  <si>
    <t>Max Operating Temp.</t>
  </si>
  <si>
    <t>Max Liquid Emptying Rate</t>
  </si>
  <si>
    <t>Max Liquid Filling Rate</t>
  </si>
  <si>
    <t>Stored Fluid Conditions for Hydraulic Calculations</t>
  </si>
  <si>
    <t>Description:</t>
  </si>
  <si>
    <t>Oz/in²</t>
  </si>
  <si>
    <t>In. WC</t>
  </si>
  <si>
    <t>lbs/ft³</t>
  </si>
  <si>
    <t>cP</t>
  </si>
  <si>
    <r>
      <t>A</t>
    </r>
    <r>
      <rPr>
        <vertAlign val="subscript"/>
        <sz val="10"/>
        <rFont val="ItalicT"/>
      </rPr>
      <t xml:space="preserve">inp </t>
    </r>
    <r>
      <rPr>
        <sz val="10"/>
        <rFont val="Cambria"/>
        <family val="1"/>
      </rPr>
      <t>= total tank surface area (shell and roof), ft</t>
    </r>
    <r>
      <rPr>
        <sz val="10"/>
        <rFont val="Arial"/>
        <family val="2"/>
      </rPr>
      <t xml:space="preserve">² </t>
    </r>
  </si>
  <si>
    <t>mm H₂O</t>
  </si>
  <si>
    <t>Kcal/Kg</t>
  </si>
  <si>
    <t>kPa</t>
  </si>
  <si>
    <t>Kg/m³</t>
  </si>
  <si>
    <t>Pa-S</t>
  </si>
  <si>
    <t>m³/hr</t>
  </si>
  <si>
    <t>58MY8931</t>
  </si>
  <si>
    <t>in</t>
  </si>
  <si>
    <t>Wetted surface area ATWS m²</t>
  </si>
  <si>
    <t>&lt;18.6</t>
  </si>
  <si>
    <t>&lt;=103.4</t>
  </si>
  <si>
    <t>&gt;= 18.6 &lt; 93</t>
  </si>
  <si>
    <t>&gt;= 93 &lt; 260</t>
  </si>
  <si>
    <t>&gt;= 260</t>
  </si>
  <si>
    <t>&gt;7 and &lt;=103.4</t>
  </si>
  <si>
    <t>&lt;=7</t>
  </si>
  <si>
    <r>
      <t>63,150 x A</t>
    </r>
    <r>
      <rPr>
        <vertAlign val="subscript"/>
        <sz val="10"/>
        <rFont val="Arial"/>
        <family val="2"/>
      </rPr>
      <t>TWS</t>
    </r>
  </si>
  <si>
    <r>
      <t>224,200 x A</t>
    </r>
    <r>
      <rPr>
        <vertAlign val="subscript"/>
        <sz val="10"/>
        <rFont val="Arial"/>
        <family val="2"/>
      </rPr>
      <t>TWS</t>
    </r>
    <r>
      <rPr>
        <vertAlign val="superscript"/>
        <sz val="10"/>
        <rFont val="Arial"/>
        <family val="2"/>
      </rPr>
      <t>0.566</t>
    </r>
  </si>
  <si>
    <r>
      <t>630,400 x A</t>
    </r>
    <r>
      <rPr>
        <vertAlign val="subscript"/>
        <sz val="10"/>
        <rFont val="Arial"/>
        <family val="2"/>
      </rPr>
      <t>TWS</t>
    </r>
    <r>
      <rPr>
        <vertAlign val="superscript"/>
        <sz val="10"/>
        <rFont val="Arial"/>
        <family val="2"/>
      </rPr>
      <t>0.338</t>
    </r>
  </si>
  <si>
    <r>
      <t>43,200 x A</t>
    </r>
    <r>
      <rPr>
        <vertAlign val="subscript"/>
        <sz val="10"/>
        <rFont val="Arial"/>
        <family val="2"/>
      </rPr>
      <t>TWS</t>
    </r>
    <r>
      <rPr>
        <vertAlign val="superscript"/>
        <sz val="10"/>
        <rFont val="Arial"/>
        <family val="2"/>
      </rPr>
      <t>0.82</t>
    </r>
  </si>
  <si>
    <t>Vapor Pressure @ 104 °F</t>
  </si>
  <si>
    <t>Liquid Density @ 104 °F</t>
  </si>
  <si>
    <t>Liquid Viscosity @ 104 °F</t>
  </si>
  <si>
    <t>ft³/h of vapor</t>
  </si>
  <si>
    <t>Added User Input for fluid properties</t>
  </si>
  <si>
    <t>Corrected formulas and reference tables to update correctly</t>
  </si>
  <si>
    <r>
      <t xml:space="preserve">Insulated height, </t>
    </r>
    <r>
      <rPr>
        <i/>
        <sz val="10"/>
        <rFont val="Arial"/>
        <family val="2"/>
      </rPr>
      <t>A</t>
    </r>
    <r>
      <rPr>
        <i/>
        <vertAlign val="subscript"/>
        <sz val="10"/>
        <rFont val="Arial"/>
        <family val="2"/>
      </rPr>
      <t>inp</t>
    </r>
  </si>
  <si>
    <t>Non-Volatile (VP &lt;= 0.73 psi (5 kPa))</t>
  </si>
  <si>
    <t>Volatile (VP &gt; 0.73 psi (5 kPa))</t>
  </si>
  <si>
    <t>Roof Height</t>
  </si>
  <si>
    <t>This workbook aims to assist in the sizing of tank vents.  The formulas and equations used in this design spreadsheet are based on the Seventh Edition (March 2014) of API 2000, "Venting Atmospheric and Low Pressure Tanks".  This spreadsheet is intended to be used for API 650/620 Tanks only (Vertical Tanks with Conical/Flat Top roof).  The user must consider and take into account his/her own project's design guidelines before using the results.  
Begin by filling out the general information below.  Continue filling in the LIGHT BLUE cells on the 'API 2000 Calculation' page, the white cells and sketch dimensions will automatically populate.</t>
  </si>
  <si>
    <t>Vacuum Rating</t>
  </si>
  <si>
    <t>Design Pressure, kPa(gauge)</t>
  </si>
  <si>
    <t>1. For products containing more volatile components or dissolved solids (e.g. oil spiked with methane), perform a flash calculation &amp; increase the out-breathing venting requirements accordingly.</t>
  </si>
  <si>
    <t>Use this spreadsheet for API 650/620 Tanks only (Vertical Tanks with Conical/Flat Top roof)</t>
  </si>
  <si>
    <t>6/9/2014</t>
  </si>
  <si>
    <t>6/18/2014</t>
  </si>
  <si>
    <t>6/23/2014</t>
  </si>
  <si>
    <t>6/25/2014</t>
  </si>
  <si>
    <t>6/26/2014</t>
  </si>
  <si>
    <t>8/27/2014</t>
  </si>
  <si>
    <t>1.1</t>
  </si>
  <si>
    <t>1/14/2015</t>
  </si>
  <si>
    <t>Sheet(s)</t>
  </si>
  <si>
    <t>Unlocked "Page Number" cell</t>
  </si>
  <si>
    <t>Corrected formula for the Maximum Capacity cells(D74/75) to reflect only the liquid capacity</t>
  </si>
  <si>
    <t>Corrected the width of Column "R" to display the date.</t>
  </si>
  <si>
    <t>Added the year to the revision dates in Column "C"</t>
  </si>
  <si>
    <r>
      <rPr>
        <sz val="14"/>
        <rFont val="ItalicT"/>
      </rPr>
      <t>V</t>
    </r>
    <r>
      <rPr>
        <vertAlign val="subscript"/>
        <sz val="14"/>
        <rFont val="ItalicT"/>
      </rPr>
      <t>o</t>
    </r>
    <r>
      <rPr>
        <vertAlign val="subscript"/>
        <sz val="12"/>
        <rFont val="ItalicT"/>
      </rPr>
      <t>p</t>
    </r>
    <r>
      <rPr>
        <sz val="12"/>
        <rFont val="ItalicT"/>
      </rPr>
      <t xml:space="preserve"> = </t>
    </r>
    <r>
      <rPr>
        <sz val="14"/>
        <rFont val="ItalicT"/>
      </rPr>
      <t>16.04</t>
    </r>
    <r>
      <rPr>
        <sz val="12"/>
        <rFont val="ItalicT"/>
      </rPr>
      <t xml:space="preserve"> x </t>
    </r>
    <r>
      <rPr>
        <sz val="14"/>
        <rFont val="ItalicT"/>
      </rPr>
      <t>V</t>
    </r>
    <r>
      <rPr>
        <vertAlign val="subscript"/>
        <sz val="12"/>
        <rFont val="ItalicT"/>
      </rPr>
      <t>pe</t>
    </r>
  </si>
  <si>
    <r>
      <rPr>
        <sz val="14"/>
        <rFont val="ItalicT"/>
      </rPr>
      <t>V</t>
    </r>
    <r>
      <rPr>
        <vertAlign val="subscript"/>
        <sz val="14"/>
        <rFont val="ItalicT"/>
      </rPr>
      <t>o</t>
    </r>
    <r>
      <rPr>
        <vertAlign val="subscript"/>
        <sz val="12"/>
        <rFont val="ItalicT"/>
      </rPr>
      <t>p</t>
    </r>
    <r>
      <rPr>
        <sz val="12"/>
        <rFont val="ItalicT"/>
      </rPr>
      <t xml:space="preserve"> = </t>
    </r>
    <r>
      <rPr>
        <sz val="14"/>
        <rFont val="ItalicT"/>
      </rPr>
      <t>8.02</t>
    </r>
    <r>
      <rPr>
        <sz val="12"/>
        <rFont val="ItalicT"/>
      </rPr>
      <t xml:space="preserve"> x </t>
    </r>
    <r>
      <rPr>
        <sz val="14"/>
        <rFont val="ItalicT"/>
      </rPr>
      <t>V</t>
    </r>
    <r>
      <rPr>
        <vertAlign val="subscript"/>
        <sz val="12"/>
        <rFont val="ItalicT"/>
      </rPr>
      <t>pe</t>
    </r>
  </si>
  <si>
    <r>
      <t>V</t>
    </r>
    <r>
      <rPr>
        <vertAlign val="subscript"/>
        <sz val="10"/>
        <rFont val="ItalicT"/>
      </rPr>
      <t xml:space="preserve">op </t>
    </r>
    <r>
      <rPr>
        <sz val="10"/>
        <rFont val="Cambria"/>
        <family val="1"/>
      </rPr>
      <t>= outbreathing due to liquid movement in, ft</t>
    </r>
    <r>
      <rPr>
        <vertAlign val="subscript"/>
        <sz val="10"/>
        <rFont val="Times New Roman"/>
        <family val="1"/>
      </rPr>
      <t>³</t>
    </r>
    <r>
      <rPr>
        <sz val="10"/>
        <rFont val="Cambria"/>
        <family val="1"/>
      </rPr>
      <t>/h of Vapor</t>
    </r>
  </si>
  <si>
    <t>---</t>
  </si>
  <si>
    <t>API Suggests 1.000</t>
  </si>
  <si>
    <t>C14</t>
  </si>
  <si>
    <t>Maximum Working Capacity</t>
  </si>
  <si>
    <t>Normal Working Capacity</t>
  </si>
  <si>
    <t>Tank Volume</t>
  </si>
  <si>
    <t>2/4/2015</t>
  </si>
  <si>
    <t>Corrected formulas for Max Working Capacity and Normal Working Capacity to reflect on the liquid capacity</t>
  </si>
  <si>
    <t>Corrected the formulas for Outbreathing Due to Liquid Movement In to read Vop instead of Vip</t>
  </si>
  <si>
    <t>Is the Stored Fluid Similar to Hexane?</t>
  </si>
  <si>
    <r>
      <t>Reqd Venting Capacity 
Nm</t>
    </r>
    <r>
      <rPr>
        <b/>
        <vertAlign val="superscript"/>
        <sz val="8"/>
        <rFont val="Arial"/>
        <family val="2"/>
      </rPr>
      <t>3</t>
    </r>
    <r>
      <rPr>
        <b/>
        <sz val="8"/>
        <rFont val="Arial"/>
        <family val="2"/>
      </rPr>
      <t>/h of vapor</t>
    </r>
  </si>
  <si>
    <t>No</t>
  </si>
  <si>
    <t>Vapor Pressure @ 320 °F</t>
  </si>
  <si>
    <t>Liquid Density @ 122 °F</t>
  </si>
  <si>
    <t>Liquid Viscosity @ 122 °F</t>
  </si>
  <si>
    <t>2.0</t>
  </si>
  <si>
    <t>Not Applicable</t>
  </si>
  <si>
    <t>Evaluate</t>
  </si>
  <si>
    <t>Controlling</t>
  </si>
  <si>
    <t>SUMMARY</t>
  </si>
  <si>
    <t>Relief Device Tag No:</t>
  </si>
  <si>
    <t xml:space="preserve">Service: </t>
  </si>
  <si>
    <t>Set Pressure:</t>
  </si>
  <si>
    <t>RELIEF SCENARIO</t>
  </si>
  <si>
    <t>STATUS</t>
  </si>
  <si>
    <t>DESCRIPTION</t>
  </si>
  <si>
    <t>Liquid Movement Into or Out of Tank</t>
  </si>
  <si>
    <t>Weather Changes</t>
  </si>
  <si>
    <t>Fire Exposure</t>
  </si>
  <si>
    <t>Chemical Reaction</t>
  </si>
  <si>
    <t>Pressure Transfer Vapor Breakthrough</t>
  </si>
  <si>
    <t>Inert Pads and Purges</t>
  </si>
  <si>
    <t>Abnormal Heat Input</t>
  </si>
  <si>
    <t>Heat Transfer Device Internal Failure</t>
  </si>
  <si>
    <t>Vent Treatment Systems</t>
  </si>
  <si>
    <t>Utility Failure</t>
  </si>
  <si>
    <t>Change in temperature of Input stream</t>
  </si>
  <si>
    <t>Liquid Overfill</t>
  </si>
  <si>
    <t>Atmospheric Pressure Changes</t>
  </si>
  <si>
    <t>Control Valve Failure</t>
  </si>
  <si>
    <t>Steam Condensation</t>
  </si>
  <si>
    <t>Ininsulated Hot Tanks</t>
  </si>
  <si>
    <t>Internal Explosion / Deflagration</t>
  </si>
  <si>
    <t>Mixing of Products of different composition</t>
  </si>
  <si>
    <t>Other (Explain)</t>
  </si>
  <si>
    <t>NOTES</t>
  </si>
  <si>
    <t>STEAM COIL RUPTURE</t>
  </si>
  <si>
    <r>
      <t>Typical Values of Liquid Pressure Recovery Factor (F</t>
    </r>
    <r>
      <rPr>
        <b/>
        <vertAlign val="subscript"/>
        <sz val="11"/>
        <rFont val="Calibri"/>
        <family val="2"/>
        <scheme val="minor"/>
      </rPr>
      <t>L</t>
    </r>
    <r>
      <rPr>
        <b/>
        <sz val="11"/>
        <rFont val="Calibri"/>
        <family val="2"/>
        <scheme val="minor"/>
      </rPr>
      <t>) and
Pressure Differential Ratio Factor (X</t>
    </r>
    <r>
      <rPr>
        <b/>
        <vertAlign val="subscript"/>
        <sz val="11"/>
        <rFont val="Calibri"/>
        <family val="2"/>
        <scheme val="minor"/>
      </rPr>
      <t>T</t>
    </r>
    <r>
      <rPr>
        <b/>
        <sz val="11"/>
        <rFont val="Calibri"/>
        <family val="2"/>
        <scheme val="minor"/>
      </rPr>
      <t>) at Full Rated Travel (a)</t>
    </r>
  </si>
  <si>
    <t>FLOW</t>
  </si>
  <si>
    <t>Calculate Inlet Blanketting Failure Rate Relief Conditions</t>
  </si>
  <si>
    <t>TYPE</t>
  </si>
  <si>
    <t>TRIM TYPE</t>
  </si>
  <si>
    <t>DIRECTION, (b, c)</t>
  </si>
  <si>
    <r>
      <t>X</t>
    </r>
    <r>
      <rPr>
        <b/>
        <vertAlign val="subscript"/>
        <sz val="10"/>
        <rFont val="Arial"/>
        <family val="2"/>
      </rPr>
      <t>T</t>
    </r>
  </si>
  <si>
    <r>
      <t>F</t>
    </r>
    <r>
      <rPr>
        <b/>
        <vertAlign val="subscript"/>
        <sz val="10"/>
        <rFont val="Arial"/>
        <family val="2"/>
      </rPr>
      <t>L</t>
    </r>
  </si>
  <si>
    <t xml:space="preserve">The following table provides a simple tool to estimate blanketting device failure at relieving conditions. It also offers flow coefficient (Cv) calculation for control valve at normal conditions. </t>
  </si>
  <si>
    <t>GLOBE,</t>
  </si>
  <si>
    <t>3 V-port plug</t>
  </si>
  <si>
    <t>Either</t>
  </si>
  <si>
    <t>Single port</t>
  </si>
  <si>
    <t>4 V-port plug</t>
  </si>
  <si>
    <t>Estimate the inlet device Cv at normal conditions. Use 1.5 * calculated Cv for full open (failing open) Cv at relief conditions, if no installed Cv data is available.</t>
  </si>
  <si>
    <t>6 V-port plug</t>
  </si>
  <si>
    <t>Contoured plug (linear</t>
  </si>
  <si>
    <t>Open</t>
  </si>
  <si>
    <t>and equal percentage</t>
  </si>
  <si>
    <t>Close</t>
  </si>
  <si>
    <t>Inlet Blanketting Device Failure - Wide Open Cv</t>
  </si>
  <si>
    <t>Barometric Pressure</t>
  </si>
  <si>
    <t>60 equal diameter</t>
  </si>
  <si>
    <t>Outward</t>
  </si>
  <si>
    <t>Cv CALC</t>
  </si>
  <si>
    <t>RATE CALC</t>
  </si>
  <si>
    <t>UOM</t>
  </si>
  <si>
    <t>hole drilled cage</t>
  </si>
  <si>
    <t>Inward</t>
  </si>
  <si>
    <t>CONDITIONS</t>
  </si>
  <si>
    <t>Normal</t>
  </si>
  <si>
    <t>Relief</t>
  </si>
  <si>
    <t>120 equal diameter</t>
  </si>
  <si>
    <t>Upstream Pressure</t>
  </si>
  <si>
    <t>Downstream Pressure</t>
  </si>
  <si>
    <t>Characterized</t>
  </si>
  <si>
    <t>Press Diff Ratio Factor, XT (See Sheet 3 for Typical Values)</t>
  </si>
  <si>
    <t>--</t>
  </si>
  <si>
    <t>cage, 4-port</t>
  </si>
  <si>
    <t>Specific Heat Ratio</t>
  </si>
  <si>
    <t>Ported plug</t>
  </si>
  <si>
    <t>Inlet between seats</t>
  </si>
  <si>
    <t>Upstream Density</t>
  </si>
  <si>
    <t>Double port</t>
  </si>
  <si>
    <t>Contoured plug</t>
  </si>
  <si>
    <t>Choked Flow?</t>
  </si>
  <si>
    <t>Press Drop to Inlet Press Ratio, X</t>
  </si>
  <si>
    <t>Angle</t>
  </si>
  <si>
    <t>Expansion Factor, Y (1.0 &gt; Y &gt; 0.67 )</t>
  </si>
  <si>
    <t>Flow Coefficient, Cv</t>
  </si>
  <si>
    <t>Venturi</t>
  </si>
  <si>
    <t>V-notch</t>
  </si>
  <si>
    <t>Total Vapor Rate at Relief Conditions</t>
  </si>
  <si>
    <t>Small flow trim</t>
  </si>
  <si>
    <t>Flat seat (short travel)</t>
  </si>
  <si>
    <t>Tapered needle</t>
  </si>
  <si>
    <t>ROTARY</t>
  </si>
  <si>
    <t>Eccentric</t>
  </si>
  <si>
    <t>spherical plug</t>
  </si>
  <si>
    <t>conical plug</t>
  </si>
  <si>
    <t>BUTTERFLY</t>
  </si>
  <si>
    <r>
      <t>Swing through (70</t>
    </r>
    <r>
      <rPr>
        <sz val="11"/>
        <color theme="1"/>
        <rFont val="Calibri"/>
        <family val="2"/>
      </rPr>
      <t>°)</t>
    </r>
  </si>
  <si>
    <t>Centered shaft</t>
  </si>
  <si>
    <r>
      <t>Swing through (60</t>
    </r>
    <r>
      <rPr>
        <sz val="11"/>
        <color theme="1"/>
        <rFont val="Calibri"/>
        <family val="2"/>
      </rPr>
      <t>°)</t>
    </r>
  </si>
  <si>
    <r>
      <t>Fluted vane (70</t>
    </r>
    <r>
      <rPr>
        <sz val="11"/>
        <color theme="1"/>
        <rFont val="Calibri"/>
        <family val="2"/>
      </rPr>
      <t>°)</t>
    </r>
  </si>
  <si>
    <t>Eccentric shaft</t>
  </si>
  <si>
    <r>
      <t>Offset seat (70</t>
    </r>
    <r>
      <rPr>
        <sz val="11"/>
        <color theme="1"/>
        <rFont val="Calibri"/>
        <family val="2"/>
      </rPr>
      <t>°)</t>
    </r>
  </si>
  <si>
    <t>BALL</t>
  </si>
  <si>
    <r>
      <t>Full bore (70</t>
    </r>
    <r>
      <rPr>
        <sz val="11"/>
        <color theme="1"/>
        <rFont val="Calibri"/>
        <family val="2"/>
      </rPr>
      <t>°)</t>
    </r>
  </si>
  <si>
    <t>Segmented ball</t>
  </si>
  <si>
    <t>GLOBE</t>
  </si>
  <si>
    <t>2 stage / path</t>
  </si>
  <si>
    <t>and ANGLE</t>
  </si>
  <si>
    <t>3 stage / path</t>
  </si>
  <si>
    <t>Multistage</t>
  </si>
  <si>
    <t>4 stage / path</t>
  </si>
  <si>
    <t>Multipath</t>
  </si>
  <si>
    <t>5 stage / path</t>
  </si>
  <si>
    <t>2 stage</t>
  </si>
  <si>
    <t>3 stage</t>
  </si>
  <si>
    <t>Single path</t>
  </si>
  <si>
    <t>4 stage</t>
  </si>
  <si>
    <t>a) These values are typical only; actual values shall be stated by manufacturer.</t>
  </si>
  <si>
    <t>b) Flow tends to open or close the valve, i.e. push the closure member away from or towards the seat.</t>
  </si>
  <si>
    <t>c) Outward means flow from center of cage to outside, and inward means flow from outside of cage to center.</t>
  </si>
  <si>
    <t>SOURCE: ANSI/ISA-75.01.01-2012</t>
  </si>
  <si>
    <t>UNIT</t>
  </si>
  <si>
    <t>VALUE</t>
  </si>
  <si>
    <t>ENGLISH UNITS</t>
  </si>
  <si>
    <t>SI UNITS</t>
  </si>
  <si>
    <t>Upstream Pressure, P1</t>
  </si>
  <si>
    <t>Relieving Pressure (S.P * Allowable Accumulation), P2</t>
  </si>
  <si>
    <t>C1</t>
  </si>
  <si>
    <t>(2/k+1)^(k+1/K-1)</t>
  </si>
  <si>
    <t>Ratio of Specific Heat, k</t>
  </si>
  <si>
    <t>C2</t>
  </si>
  <si>
    <r>
      <t>A</t>
    </r>
    <r>
      <rPr>
        <vertAlign val="subscript"/>
        <sz val="10"/>
        <rFont val="Calibri"/>
        <family val="2"/>
        <scheme val="minor"/>
      </rPr>
      <t>2</t>
    </r>
  </si>
  <si>
    <t>Upstream Viscosity, μ1</t>
  </si>
  <si>
    <t>L1 =</t>
  </si>
  <si>
    <t>C3</t>
  </si>
  <si>
    <r>
      <t>p</t>
    </r>
    <r>
      <rPr>
        <vertAlign val="subscript"/>
        <sz val="12"/>
        <rFont val="Calibri"/>
        <family val="2"/>
        <scheme val="minor"/>
      </rPr>
      <t>1</t>
    </r>
    <r>
      <rPr>
        <sz val="12"/>
        <rFont val="Calibri"/>
        <family val="2"/>
        <scheme val="minor"/>
      </rPr>
      <t>/v</t>
    </r>
    <r>
      <rPr>
        <vertAlign val="subscript"/>
        <sz val="12"/>
        <rFont val="Calibri"/>
        <family val="2"/>
        <scheme val="minor"/>
      </rPr>
      <t>1</t>
    </r>
  </si>
  <si>
    <t>Upstream Vapor Density, ρ</t>
  </si>
  <si>
    <t>L'2 =</t>
  </si>
  <si>
    <r>
      <t>g</t>
    </r>
    <r>
      <rPr>
        <vertAlign val="subscript"/>
        <sz val="12"/>
        <rFont val="Calibri"/>
        <family val="2"/>
        <scheme val="minor"/>
      </rPr>
      <t>c</t>
    </r>
    <r>
      <rPr>
        <sz val="12"/>
        <rFont val="Calibri"/>
        <family val="2"/>
        <scheme val="minor"/>
      </rPr>
      <t>k</t>
    </r>
  </si>
  <si>
    <t>System Outside diameter, D</t>
  </si>
  <si>
    <t>M'2 =</t>
  </si>
  <si>
    <t>Tube inside Diameter, d</t>
  </si>
  <si>
    <t>Max Pb, psig =</t>
  </si>
  <si>
    <t>Cd</t>
  </si>
  <si>
    <t>Iteration Tolerance</t>
  </si>
  <si>
    <t>Ratio of Diameters, β = d/D</t>
  </si>
  <si>
    <t>Critical Pressure Ratio, rc</t>
  </si>
  <si>
    <t>Critical Pressure, Drop, ∆Pc = P1 - (P1 x rc)</t>
  </si>
  <si>
    <t>Reynolds Number, RD</t>
  </si>
  <si>
    <t>VAPOR REYNOLD NUMBER, DISCHARGE COEFFICIENT AND MASS RATE ITERATION</t>
  </si>
  <si>
    <t>Discharge Coefficient, Cd</t>
  </si>
  <si>
    <t>W</t>
  </si>
  <si>
    <t>Re</t>
  </si>
  <si>
    <t>C</t>
  </si>
  <si>
    <t>Error</t>
  </si>
  <si>
    <r>
      <t>Flow Coefficient for Orifice, C = Cd / (1 - β</t>
    </r>
    <r>
      <rPr>
        <vertAlign val="superscript"/>
        <sz val="10"/>
        <rFont val="Arial"/>
        <family val="2"/>
      </rPr>
      <t>4</t>
    </r>
    <r>
      <rPr>
        <sz val="10"/>
        <rFont val="Arial"/>
        <family val="2"/>
      </rPr>
      <t>)</t>
    </r>
    <r>
      <rPr>
        <vertAlign val="superscript"/>
        <sz val="10"/>
        <rFont val="Arial"/>
        <family val="2"/>
      </rPr>
      <t>0.5</t>
    </r>
  </si>
  <si>
    <t>Selected Flow Coefficient, C</t>
  </si>
  <si>
    <t>Flow Regime</t>
  </si>
  <si>
    <r>
      <t>Mass Flow Rate, W</t>
    </r>
    <r>
      <rPr>
        <vertAlign val="subscript"/>
        <sz val="10"/>
        <rFont val="Arial"/>
        <family val="2"/>
      </rPr>
      <t>V</t>
    </r>
  </si>
  <si>
    <t>Total Flow to be relieved</t>
  </si>
  <si>
    <t>Allowable accumulation - 30% (Hydrotest pressure)</t>
  </si>
  <si>
    <t>Tube rupture shall be considered a viable overpressure scenario only if the exchanger high side design pressure</t>
  </si>
  <si>
    <t>is greater than the corrected hydrotest pressure of the low pressure side system.</t>
  </si>
  <si>
    <t>REFERENCES:</t>
  </si>
  <si>
    <t>ASME MFC-3M (ISA 1932 Nozzles)</t>
  </si>
  <si>
    <t>Perry's Chemical Engineering Handbook, Equation (5-17)</t>
  </si>
  <si>
    <t>Crane, 2010 Edition, Equation (6-3)</t>
  </si>
  <si>
    <r>
      <t>Vapor Mass Flow Rate, W</t>
    </r>
    <r>
      <rPr>
        <vertAlign val="subscript"/>
        <sz val="10"/>
        <rFont val="Arial"/>
        <family val="2"/>
      </rPr>
      <t>V</t>
    </r>
  </si>
  <si>
    <t>Perry's Chemical Engineering Handbook, Equation (5-18)</t>
  </si>
  <si>
    <t>1 psi =</t>
  </si>
  <si>
    <t>Pa</t>
  </si>
  <si>
    <t>1 inch H2O =</t>
  </si>
  <si>
    <t>inch H2O</t>
  </si>
  <si>
    <t>DRAIN PIPE RUPTURE</t>
  </si>
  <si>
    <t>Tank Operating Pressure</t>
  </si>
  <si>
    <t>Tank Operating Liquid Level (HLL)</t>
  </si>
  <si>
    <t>Relieving Pressure (S.P), P2</t>
  </si>
  <si>
    <t>Viscosity, μ1</t>
  </si>
  <si>
    <t>Density, ρ</t>
  </si>
  <si>
    <t>C4</t>
  </si>
  <si>
    <t>C5</t>
  </si>
  <si>
    <t>LIQUID REYNOLD NUMBER, DISCHARGE COEFFICIENT AND MASS RATE ITERATION</t>
  </si>
  <si>
    <r>
      <t xml:space="preserve">Flow Coefficient for Orifice, C = Cd / (1 - </t>
    </r>
    <r>
      <rPr>
        <sz val="10"/>
        <rFont val="Calibri"/>
        <family val="2"/>
      </rPr>
      <t>β</t>
    </r>
    <r>
      <rPr>
        <vertAlign val="superscript"/>
        <sz val="10"/>
        <rFont val="Calibri"/>
        <family val="2"/>
      </rPr>
      <t>4</t>
    </r>
    <r>
      <rPr>
        <sz val="10"/>
        <rFont val="Calibri"/>
        <family val="2"/>
      </rPr>
      <t>)</t>
    </r>
    <r>
      <rPr>
        <vertAlign val="superscript"/>
        <sz val="10"/>
        <rFont val="Calibri"/>
        <family val="2"/>
      </rPr>
      <t>0.5</t>
    </r>
  </si>
  <si>
    <t>Non-Recoverable Pressure Drop, NRPD</t>
  </si>
  <si>
    <r>
      <t>Mass Flow Rate, W</t>
    </r>
    <r>
      <rPr>
        <vertAlign val="subscript"/>
        <sz val="10"/>
        <color theme="0"/>
        <rFont val="Calibri"/>
        <family val="2"/>
        <scheme val="minor"/>
      </rPr>
      <t xml:space="preserve">V, </t>
    </r>
    <r>
      <rPr>
        <sz val="10"/>
        <color theme="0"/>
        <rFont val="Calibri"/>
        <family val="2"/>
        <scheme val="minor"/>
      </rPr>
      <t>from one end of opening</t>
    </r>
  </si>
  <si>
    <t>Total liquid flow from the broken pipe</t>
  </si>
  <si>
    <t>GPM</t>
  </si>
  <si>
    <t>Inbreathing Vent requirement</t>
  </si>
  <si>
    <t>SCFH</t>
  </si>
  <si>
    <t>ASME MFC-3Ma-2007, Equations (2-4)</t>
  </si>
  <si>
    <r>
      <t>Liquid Mass Flow Rate, W</t>
    </r>
    <r>
      <rPr>
        <vertAlign val="subscript"/>
        <sz val="10"/>
        <rFont val="Calibri"/>
        <family val="2"/>
        <scheme val="minor"/>
      </rPr>
      <t>L</t>
    </r>
  </si>
  <si>
    <t>Crane, 2010 Edition, Equation (6-31)</t>
  </si>
  <si>
    <t>Non-Recoverable Press Drop, NRPD</t>
  </si>
  <si>
    <t>Crane, 2010 Edition, Equation (6-33)</t>
  </si>
  <si>
    <t>8/10/2015</t>
  </si>
  <si>
    <t>Summary</t>
  </si>
  <si>
    <t>Inlet Blanketing Failure</t>
  </si>
  <si>
    <t>Steam Coil Rupture</t>
  </si>
  <si>
    <t>Drain Pipe Rupture</t>
  </si>
  <si>
    <t>Added new calculation modules</t>
  </si>
  <si>
    <t>2.1</t>
  </si>
  <si>
    <t>8/19/2015</t>
  </si>
  <si>
    <t>Changed Metric Unit used for Vapor Pressure</t>
  </si>
  <si>
    <t>Added error catch for liquid level higher than shell height input</t>
  </si>
  <si>
    <t>Made Vapor Pressure Automatic based on Vapor Pressure input from General Tab</t>
  </si>
  <si>
    <t>Overall</t>
  </si>
  <si>
    <t>Changed the use of the numeric pi to the worksheet function pi()</t>
  </si>
  <si>
    <t>Changed units of measure from feet and meters to inches and cm for insulation thickness</t>
  </si>
  <si>
    <t>Corrected the rev., date, etc. reference to this workbook.</t>
  </si>
  <si>
    <t>Changed Wetted Surface Area calculation to use Top of Shell height rather than Design Liquid Level Height</t>
  </si>
  <si>
    <t>&lt;= 1</t>
  </si>
  <si>
    <t>2.2</t>
  </si>
  <si>
    <t>8/27/2015</t>
  </si>
  <si>
    <t>Update Tank Design Pressure Test (L46) to change at US 1.01 and SI 7.001.</t>
  </si>
</sst>
</file>

<file path=xl/styles.xml><?xml version="1.0" encoding="utf-8"?>
<styleSheet xmlns="http://schemas.openxmlformats.org/spreadsheetml/2006/main" xmlns:mc="http://schemas.openxmlformats.org/markup-compatibility/2006" xmlns:x14ac="http://schemas.microsoft.com/office/spreadsheetml/2009/9/ac" mc:Ignorable="x14ac">
  <numFmts count="46">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
    <numFmt numFmtId="165" formatCode="#,##0.0_);\(#,##0.0\)"/>
    <numFmt numFmtId="166" formatCode="General_)"/>
    <numFmt numFmtId="167" formatCode="mm/dd/yy"/>
    <numFmt numFmtId="168" formatCode="[$-409]d\-mmm\-yy;@"/>
    <numFmt numFmtId="169" formatCode="0\ &quot;%&quot;"/>
    <numFmt numFmtId="170" formatCode="0.0"/>
    <numFmt numFmtId="171" formatCode="@\ "/>
    <numFmt numFmtId="172" formatCode="#,##0.0"/>
    <numFmt numFmtId="173" formatCode="#,##0.000"/>
    <numFmt numFmtId="174" formatCode="#\ "/>
    <numFmt numFmtId="175" formatCode="0.00_)"/>
    <numFmt numFmtId="176" formatCode="##0.0"/>
    <numFmt numFmtId="177" formatCode="#.####"/>
    <numFmt numFmtId="178" formatCode="##.0"/>
    <numFmt numFmtId="179" formatCode="0.0000"/>
    <numFmt numFmtId="180" formatCode="##0.00"/>
    <numFmt numFmtId="181" formatCode="###,000"/>
    <numFmt numFmtId="182" formatCode="######0.00"/>
    <numFmt numFmtId="183" formatCode="&quot;API Suggests &quot;0.000"/>
    <numFmt numFmtId="184" formatCode="0.000000000E+00"/>
    <numFmt numFmtId="185" formatCode="0\ "/>
    <numFmt numFmtId="186" formatCode="\ @"/>
    <numFmt numFmtId="187" formatCode="#,##0.00\ \ "/>
    <numFmt numFmtId="188" formatCode="_ &quot;?&quot;* #,##0_ ;_ &quot;?&quot;* \-#,##0_ ;_ &quot;?&quot;* &quot;-&quot;_ ;_ @_ "/>
    <numFmt numFmtId="189" formatCode="_(&quot;£&quot;* #,##0.00_);_(&quot;£&quot;* \(#,##0.00\);_(&quot;£&quot;* &quot;-&quot;??_);_(@_)"/>
    <numFmt numFmtId="190" formatCode="_-* #,##0\ _D_M_-;\-* #,##0\ _D_M_-;_-* &quot;-&quot;\ _D_M_-;_-@_-"/>
    <numFmt numFmtId="191" formatCode="_-* #,##0.00\ _D_M_-;\-* #,##0.00\ _D_M_-;_-* &quot;-&quot;??\ _D_M_-;_-@_-"/>
    <numFmt numFmtId="192" formatCode="&quot;£&quot;#,##0.00;[Red]\-&quot;£&quot;#,##0.00"/>
    <numFmt numFmtId="193" formatCode="_-* #,##0_-;_-* #,##0\-;_-* &quot;-&quot;_-;_-@_-"/>
    <numFmt numFmtId="194" formatCode="_-* #,##0.00_-;_-* #,##0.00\-;_-* &quot;-&quot;??_-;_-@_-"/>
    <numFmt numFmtId="195" formatCode="_-* #,##0\ &quot;DM&quot;_-;\-* #,##0\ &quot;DM&quot;_-;_-* &quot;-&quot;\ &quot;DM&quot;_-;_-@_-"/>
    <numFmt numFmtId="196" formatCode="_-* #,##0.00\ &quot;DM&quot;_-;\-* #,##0.00\ &quot;DM&quot;_-;_-* &quot;-&quot;??\ &quot;DM&quot;_-;_-@_-"/>
    <numFmt numFmtId="197" formatCode="#,##0.0000"/>
    <numFmt numFmtId="198" formatCode="?.?"/>
    <numFmt numFmtId="199" formatCode="#."/>
    <numFmt numFmtId="200" formatCode="0.00000"/>
    <numFmt numFmtId="201" formatCode="0.0E+00"/>
    <numFmt numFmtId="202" formatCode="0.00000000"/>
    <numFmt numFmtId="203" formatCode="&quot;   Tank Vent Sizing - Version &quot;0.0"/>
  </numFmts>
  <fonts count="125">
    <font>
      <sz val="10"/>
      <name val="Arial"/>
    </font>
    <font>
      <sz val="11"/>
      <color theme="1"/>
      <name val="Calibri"/>
      <family val="2"/>
      <scheme val="minor"/>
    </font>
    <font>
      <sz val="10"/>
      <name val="Arial"/>
      <family val="2"/>
    </font>
    <font>
      <b/>
      <sz val="10"/>
      <name val="Arial"/>
      <family val="2"/>
    </font>
    <font>
      <vertAlign val="subscript"/>
      <sz val="10"/>
      <name val="Arial"/>
      <family val="2"/>
    </font>
    <font>
      <vertAlign val="superscript"/>
      <sz val="10"/>
      <name val="Arial"/>
      <family val="2"/>
    </font>
    <font>
      <sz val="8"/>
      <name val="Arial"/>
      <family val="2"/>
    </font>
    <font>
      <sz val="10"/>
      <name val="Arial"/>
      <family val="2"/>
    </font>
    <font>
      <b/>
      <sz val="12"/>
      <name val="Arial"/>
      <family val="2"/>
    </font>
    <font>
      <sz val="8"/>
      <color indexed="81"/>
      <name val="Tahoma"/>
      <family val="2"/>
    </font>
    <font>
      <i/>
      <sz val="10"/>
      <name val="Arial"/>
      <family val="2"/>
    </font>
    <font>
      <i/>
      <vertAlign val="subscript"/>
      <sz val="10"/>
      <name val="Arial"/>
      <family val="2"/>
    </font>
    <font>
      <b/>
      <i/>
      <sz val="10"/>
      <name val="Arial"/>
      <family val="2"/>
    </font>
    <font>
      <vertAlign val="superscript"/>
      <sz val="8"/>
      <name val="Arial"/>
      <family val="2"/>
    </font>
    <font>
      <sz val="9"/>
      <name val="Arial"/>
      <family val="2"/>
    </font>
    <font>
      <b/>
      <u/>
      <sz val="10"/>
      <name val="Arial"/>
      <family val="2"/>
    </font>
    <font>
      <sz val="10"/>
      <name val="Times New Roman"/>
      <family val="1"/>
    </font>
    <font>
      <sz val="8"/>
      <name val="Helv"/>
    </font>
    <font>
      <sz val="7"/>
      <color indexed="8"/>
      <name val="Times New Roman"/>
      <family val="1"/>
    </font>
    <font>
      <sz val="10"/>
      <name val="Tms Rmn"/>
    </font>
    <font>
      <b/>
      <sz val="10"/>
      <color indexed="12"/>
      <name val="Arial"/>
      <family val="2"/>
    </font>
    <font>
      <b/>
      <sz val="10"/>
      <color indexed="17"/>
      <name val="Arial"/>
      <family val="2"/>
    </font>
    <font>
      <b/>
      <sz val="8"/>
      <name val="Arial"/>
      <family val="2"/>
    </font>
    <font>
      <b/>
      <sz val="10"/>
      <color theme="0"/>
      <name val="Arial"/>
      <family val="2"/>
    </font>
    <font>
      <sz val="10"/>
      <color rgb="FFFF0000"/>
      <name val="Arial"/>
      <family val="2"/>
    </font>
    <font>
      <b/>
      <sz val="10"/>
      <color rgb="FFFF0000"/>
      <name val="Arial"/>
      <family val="2"/>
    </font>
    <font>
      <b/>
      <vertAlign val="subscript"/>
      <sz val="8"/>
      <name val="Arial"/>
      <family val="2"/>
    </font>
    <font>
      <b/>
      <vertAlign val="superscript"/>
      <sz val="8"/>
      <name val="Arial"/>
      <family val="2"/>
    </font>
    <font>
      <sz val="11"/>
      <name val="Times New Roman"/>
      <family val="1"/>
    </font>
    <font>
      <sz val="9"/>
      <color indexed="81"/>
      <name val="Tahoma"/>
      <family val="2"/>
    </font>
    <font>
      <b/>
      <sz val="9"/>
      <color indexed="81"/>
      <name val="Tahoma"/>
      <family val="2"/>
    </font>
    <font>
      <sz val="10"/>
      <name val="Arial"/>
      <family val="2"/>
    </font>
    <font>
      <sz val="12"/>
      <name val="Arial"/>
      <family val="2"/>
    </font>
    <font>
      <b/>
      <i/>
      <u/>
      <sz val="14"/>
      <name val="Arial"/>
      <family val="2"/>
    </font>
    <font>
      <b/>
      <i/>
      <sz val="14"/>
      <name val="Arial"/>
      <family val="2"/>
    </font>
    <font>
      <sz val="7"/>
      <name val="Arial"/>
      <family val="2"/>
    </font>
    <font>
      <b/>
      <sz val="10"/>
      <color indexed="18"/>
      <name val="Arial"/>
      <family val="2"/>
    </font>
    <font>
      <b/>
      <sz val="10"/>
      <color indexed="9"/>
      <name val="Arial"/>
      <family val="2"/>
    </font>
    <font>
      <b/>
      <sz val="10"/>
      <color indexed="8"/>
      <name val="Arial"/>
      <family val="2"/>
    </font>
    <font>
      <sz val="10"/>
      <color indexed="18"/>
      <name val="Arial"/>
      <family val="2"/>
    </font>
    <font>
      <sz val="10"/>
      <color indexed="8"/>
      <name val="Arial"/>
      <family val="2"/>
    </font>
    <font>
      <b/>
      <sz val="8"/>
      <color indexed="12"/>
      <name val="Arial"/>
      <family val="2"/>
    </font>
    <font>
      <sz val="8.5"/>
      <name val="Arial"/>
      <family val="2"/>
    </font>
    <font>
      <b/>
      <sz val="8"/>
      <color indexed="81"/>
      <name val="Tahoma"/>
      <family val="2"/>
    </font>
    <font>
      <sz val="6"/>
      <name val="Times New Roman"/>
      <family val="1"/>
    </font>
    <font>
      <b/>
      <sz val="8"/>
      <color indexed="9"/>
      <name val="Arial"/>
      <family val="2"/>
    </font>
    <font>
      <b/>
      <sz val="11"/>
      <color indexed="18"/>
      <name val="Arial"/>
      <family val="2"/>
    </font>
    <font>
      <b/>
      <sz val="10"/>
      <color rgb="FF000080"/>
      <name val="Arial"/>
      <family val="2"/>
    </font>
    <font>
      <sz val="10"/>
      <color indexed="12"/>
      <name val="Arial"/>
      <family val="2"/>
    </font>
    <font>
      <sz val="9"/>
      <color indexed="12"/>
      <name val="Arial"/>
      <family val="2"/>
    </font>
    <font>
      <sz val="10"/>
      <name val="ItalicT"/>
    </font>
    <font>
      <sz val="12"/>
      <name val="ItalicT"/>
    </font>
    <font>
      <sz val="14"/>
      <name val="ItalicT"/>
    </font>
    <font>
      <vertAlign val="subscript"/>
      <sz val="12"/>
      <name val="ItalicT"/>
    </font>
    <font>
      <vertAlign val="subscript"/>
      <sz val="10"/>
      <name val="ItalicT"/>
    </font>
    <font>
      <vertAlign val="subscript"/>
      <sz val="10"/>
      <name val="Times New Roman"/>
      <family val="1"/>
    </font>
    <font>
      <vertAlign val="superscript"/>
      <sz val="12"/>
      <name val="ItalicT"/>
    </font>
    <font>
      <b/>
      <sz val="9"/>
      <name val="Arial"/>
      <family val="2"/>
    </font>
    <font>
      <vertAlign val="subscript"/>
      <sz val="9"/>
      <name val="ItalicT"/>
    </font>
    <font>
      <sz val="9"/>
      <name val="ItalicT"/>
    </font>
    <font>
      <i/>
      <sz val="12"/>
      <name val="ItalicT"/>
    </font>
    <font>
      <vertAlign val="subscript"/>
      <sz val="14"/>
      <name val="ItalicT"/>
    </font>
    <font>
      <sz val="10"/>
      <name val="Cambria"/>
      <family val="1"/>
    </font>
    <font>
      <sz val="10"/>
      <name val="Cambria"/>
      <family val="1"/>
      <scheme val="major"/>
    </font>
    <font>
      <sz val="8"/>
      <name val="Cambria"/>
      <family val="1"/>
      <scheme val="major"/>
    </font>
    <font>
      <b/>
      <vertAlign val="subscript"/>
      <sz val="9"/>
      <color theme="0"/>
      <name val="Arial"/>
      <family val="2"/>
    </font>
    <font>
      <b/>
      <sz val="9"/>
      <color theme="0"/>
      <name val="Arial"/>
      <family val="2"/>
    </font>
    <font>
      <sz val="7"/>
      <name val="Times New Roman"/>
      <family val="1"/>
    </font>
    <font>
      <sz val="10"/>
      <name val="Courier"/>
      <family val="3"/>
    </font>
    <font>
      <b/>
      <sz val="10"/>
      <name val="Times New Roman"/>
      <family val="1"/>
    </font>
    <font>
      <b/>
      <sz val="14"/>
      <name val="Arial"/>
      <family val="2"/>
    </font>
    <font>
      <sz val="10"/>
      <name val="Arial"/>
    </font>
    <font>
      <sz val="11"/>
      <color rgb="FF006100"/>
      <name val="Calibri"/>
      <family val="2"/>
      <scheme val="minor"/>
    </font>
    <font>
      <b/>
      <sz val="11"/>
      <color theme="1"/>
      <name val="Calibri"/>
      <family val="2"/>
      <scheme val="minor"/>
    </font>
    <font>
      <sz val="9"/>
      <color indexed="8"/>
      <name val="Arial"/>
      <family val="2"/>
    </font>
    <font>
      <sz val="9"/>
      <name val="Arial"/>
    </font>
    <font>
      <sz val="9"/>
      <name val="Times New Roman"/>
      <family val="1"/>
    </font>
    <font>
      <b/>
      <sz val="9"/>
      <color indexed="8"/>
      <name val="Arial"/>
      <family val="2"/>
    </font>
    <font>
      <b/>
      <sz val="9"/>
      <color indexed="17"/>
      <name val="Arial"/>
      <family val="2"/>
    </font>
    <font>
      <b/>
      <u/>
      <sz val="10"/>
      <color indexed="17"/>
      <name val="Arial"/>
      <family val="2"/>
    </font>
    <font>
      <sz val="9"/>
      <color indexed="8"/>
      <name val="Times New Roman"/>
      <family val="1"/>
    </font>
    <font>
      <sz val="9"/>
      <color indexed="17"/>
      <name val="Times New Roman"/>
      <family val="1"/>
    </font>
    <font>
      <sz val="9"/>
      <color indexed="18"/>
      <name val="Times New Roman"/>
      <family val="1"/>
    </font>
    <font>
      <b/>
      <sz val="9"/>
      <name val="Arial"/>
    </font>
    <font>
      <sz val="12"/>
      <name val="??"/>
      <family val="3"/>
    </font>
    <font>
      <sz val="12"/>
      <name val="Times New Roman"/>
      <family val="1"/>
    </font>
    <font>
      <sz val="1"/>
      <color indexed="8"/>
      <name val="Courier"/>
      <family val="3"/>
    </font>
    <font>
      <sz val="1"/>
      <color indexed="8"/>
      <name val="Courier"/>
    </font>
    <font>
      <b/>
      <sz val="14"/>
      <color indexed="9"/>
      <name val="Arial Narrow"/>
      <family val="2"/>
    </font>
    <font>
      <sz val="8"/>
      <name val="仿宋体"/>
      <family val="2"/>
      <charset val="134"/>
    </font>
    <font>
      <sz val="14"/>
      <name val="黑体"/>
      <charset val="134"/>
    </font>
    <font>
      <sz val="10"/>
      <name val="Arial (Hebrew)"/>
      <family val="2"/>
    </font>
    <font>
      <sz val="11"/>
      <name val="Univers"/>
    </font>
    <font>
      <sz val="10"/>
      <name val="Helv"/>
      <family val="2"/>
    </font>
    <font>
      <sz val="8"/>
      <name val="宋体"/>
      <charset val="134"/>
    </font>
    <font>
      <b/>
      <i/>
      <sz val="16"/>
      <name val="Helv"/>
      <family val="2"/>
    </font>
    <font>
      <sz val="8"/>
      <color indexed="8"/>
      <name val="Arial"/>
      <family val="2"/>
    </font>
    <font>
      <sz val="8"/>
      <color indexed="8"/>
      <name val="Arial"/>
    </font>
    <font>
      <b/>
      <sz val="8"/>
      <color indexed="8"/>
      <name val="Arial"/>
      <family val="2"/>
    </font>
    <font>
      <b/>
      <sz val="8"/>
      <color indexed="8"/>
      <name val="Arial"/>
    </font>
    <font>
      <b/>
      <sz val="10"/>
      <color indexed="8"/>
      <name val="Arial"/>
    </font>
    <font>
      <b/>
      <sz val="12"/>
      <color indexed="8"/>
      <name val="Arial"/>
      <family val="2"/>
    </font>
    <font>
      <b/>
      <sz val="12"/>
      <color indexed="8"/>
      <name val="Arial"/>
    </font>
    <font>
      <sz val="12"/>
      <name val="宋体"/>
      <charset val="134"/>
    </font>
    <font>
      <sz val="11"/>
      <color indexed="8"/>
      <name val="俵俽 俹僑僔僢僋"/>
      <family val="3"/>
      <charset val="134"/>
    </font>
    <font>
      <b/>
      <sz val="11"/>
      <name val="Calibri"/>
      <family val="2"/>
      <scheme val="minor"/>
    </font>
    <font>
      <b/>
      <vertAlign val="subscript"/>
      <sz val="11"/>
      <name val="Calibri"/>
      <family val="2"/>
      <scheme val="minor"/>
    </font>
    <font>
      <b/>
      <sz val="8"/>
      <color theme="4" tint="-0.249977111117893"/>
      <name val="Arial"/>
      <family val="2"/>
    </font>
    <font>
      <b/>
      <vertAlign val="subscript"/>
      <sz val="10"/>
      <name val="Arial"/>
      <family val="2"/>
    </font>
    <font>
      <sz val="11"/>
      <name val="Calibri"/>
      <family val="2"/>
      <scheme val="minor"/>
    </font>
    <font>
      <sz val="10"/>
      <color theme="1"/>
      <name val="Calibri"/>
      <family val="2"/>
      <scheme val="minor"/>
    </font>
    <font>
      <sz val="11"/>
      <color theme="1"/>
      <name val="Calibri"/>
      <family val="2"/>
    </font>
    <font>
      <sz val="10"/>
      <name val="Calibri"/>
      <family val="2"/>
      <scheme val="minor"/>
    </font>
    <font>
      <sz val="6"/>
      <name val="Arial"/>
      <family val="2"/>
    </font>
    <font>
      <vertAlign val="subscript"/>
      <sz val="10"/>
      <name val="Calibri"/>
      <family val="2"/>
      <scheme val="minor"/>
    </font>
    <font>
      <sz val="10"/>
      <color indexed="12"/>
      <name val="Calibri"/>
      <family val="2"/>
      <scheme val="minor"/>
    </font>
    <font>
      <sz val="12"/>
      <name val="Calibri"/>
      <family val="2"/>
      <scheme val="minor"/>
    </font>
    <font>
      <vertAlign val="subscript"/>
      <sz val="12"/>
      <name val="Calibri"/>
      <family val="2"/>
      <scheme val="minor"/>
    </font>
    <font>
      <b/>
      <sz val="10"/>
      <name val="Calibri"/>
      <family val="2"/>
      <scheme val="minor"/>
    </font>
    <font>
      <sz val="6"/>
      <name val="Arial"/>
    </font>
    <font>
      <sz val="10"/>
      <name val="Calibri"/>
      <family val="2"/>
    </font>
    <font>
      <vertAlign val="superscript"/>
      <sz val="10"/>
      <name val="Calibri"/>
      <family val="2"/>
    </font>
    <font>
      <sz val="10"/>
      <color theme="0"/>
      <name val="Calibri"/>
      <family val="2"/>
      <scheme val="minor"/>
    </font>
    <font>
      <vertAlign val="subscript"/>
      <sz val="10"/>
      <color theme="0"/>
      <name val="Calibri"/>
      <family val="2"/>
      <scheme val="minor"/>
    </font>
    <font>
      <b/>
      <sz val="10"/>
      <color rgb="FFFF0000"/>
      <name val="Calibri"/>
      <family val="2"/>
      <scheme val="minor"/>
    </font>
  </fonts>
  <fills count="26">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theme="1"/>
        <bgColor indexed="64"/>
      </patternFill>
    </fill>
    <fill>
      <patternFill patternType="solid">
        <fgColor theme="4" tint="0.59999389629810485"/>
        <bgColor indexed="64"/>
      </patternFill>
    </fill>
    <fill>
      <patternFill patternType="solid">
        <fgColor indexed="65"/>
        <bgColor indexed="64"/>
      </patternFill>
    </fill>
    <fill>
      <patternFill patternType="solid">
        <fgColor theme="0"/>
        <bgColor indexed="64"/>
      </patternFill>
    </fill>
    <fill>
      <patternFill patternType="solid">
        <fgColor rgb="FFCCFFFF"/>
        <bgColor indexed="64"/>
      </patternFill>
    </fill>
    <fill>
      <patternFill patternType="solid">
        <fgColor indexed="18"/>
        <bgColor indexed="64"/>
      </patternFill>
    </fill>
    <fill>
      <patternFill patternType="solid">
        <fgColor rgb="FFCCFFFF"/>
        <bgColor rgb="FF000000"/>
      </patternFill>
    </fill>
    <fill>
      <patternFill patternType="solid">
        <fgColor rgb="FFFFFFFF"/>
        <bgColor indexed="64"/>
      </patternFill>
    </fill>
    <fill>
      <patternFill patternType="solid">
        <fgColor indexed="26"/>
        <bgColor indexed="64"/>
      </patternFill>
    </fill>
    <fill>
      <patternFill patternType="solid">
        <fgColor rgb="FF000080"/>
        <bgColor indexed="64"/>
      </patternFill>
    </fill>
    <fill>
      <patternFill patternType="solid">
        <fgColor rgb="FFC6EFCE"/>
      </patternFill>
    </fill>
    <fill>
      <patternFill patternType="solid">
        <fgColor indexed="55"/>
        <bgColor indexed="64"/>
      </patternFill>
    </fill>
    <fill>
      <patternFill patternType="solid">
        <fgColor indexed="22"/>
        <bgColor indexed="64"/>
      </patternFill>
    </fill>
    <fill>
      <patternFill patternType="solid">
        <fgColor indexed="22"/>
        <bgColor indexed="43"/>
      </patternFill>
    </fill>
    <fill>
      <patternFill patternType="solid">
        <fgColor indexed="44"/>
        <bgColor indexed="64"/>
      </patternFill>
    </fill>
    <fill>
      <patternFill patternType="solid">
        <fgColor indexed="57"/>
        <bgColor indexed="63"/>
      </patternFill>
    </fill>
    <fill>
      <patternFill patternType="solid">
        <fgColor indexed="59"/>
        <bgColor indexed="63"/>
      </patternFill>
    </fill>
    <fill>
      <patternFill patternType="solid">
        <fgColor indexed="62"/>
        <bgColor indexed="63"/>
      </patternFill>
    </fill>
    <fill>
      <patternFill patternType="solid">
        <fgColor indexed="61"/>
        <bgColor indexed="63"/>
      </patternFill>
    </fill>
    <fill>
      <patternFill patternType="solid">
        <fgColor indexed="60"/>
        <bgColor indexed="63"/>
      </patternFill>
    </fill>
    <fill>
      <patternFill patternType="gray0625"/>
    </fill>
    <fill>
      <patternFill patternType="solid">
        <fgColor rgb="FFFFFF00"/>
        <bgColor indexed="64"/>
      </patternFill>
    </fill>
  </fills>
  <borders count="1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double">
        <color indexed="64"/>
      </left>
      <right/>
      <top style="thin">
        <color indexed="64"/>
      </top>
      <bottom/>
      <diagonal/>
    </border>
    <border>
      <left/>
      <right/>
      <top style="thin">
        <color indexed="64"/>
      </top>
      <bottom/>
      <diagonal/>
    </border>
    <border>
      <left style="double">
        <color indexed="64"/>
      </left>
      <right/>
      <top/>
      <bottom/>
      <diagonal/>
    </border>
    <border>
      <left/>
      <right style="double">
        <color indexed="64"/>
      </right>
      <top/>
      <bottom/>
      <diagonal/>
    </border>
    <border>
      <left style="double">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ashed">
        <color indexed="64"/>
      </bottom>
      <diagonal/>
    </border>
    <border>
      <left/>
      <right style="thin">
        <color indexed="64"/>
      </right>
      <top style="thin">
        <color indexed="64"/>
      </top>
      <bottom style="dashed">
        <color indexed="64"/>
      </bottom>
      <diagonal/>
    </border>
    <border>
      <left style="thin">
        <color indexed="64"/>
      </left>
      <right/>
      <top style="dashed">
        <color indexed="64"/>
      </top>
      <bottom style="dashed">
        <color indexed="64"/>
      </bottom>
      <diagonal/>
    </border>
    <border>
      <left/>
      <right style="thin">
        <color indexed="64"/>
      </right>
      <top style="dashed">
        <color indexed="64"/>
      </top>
      <bottom style="dashed">
        <color indexed="64"/>
      </bottom>
      <diagonal/>
    </border>
    <border>
      <left style="thin">
        <color indexed="64"/>
      </left>
      <right/>
      <top style="dashed">
        <color indexed="64"/>
      </top>
      <bottom style="thin">
        <color indexed="64"/>
      </bottom>
      <diagonal/>
    </border>
    <border>
      <left/>
      <right style="thin">
        <color indexed="64"/>
      </right>
      <top style="dashed">
        <color indexed="64"/>
      </top>
      <bottom style="thin">
        <color indexed="64"/>
      </bottom>
      <diagonal/>
    </border>
    <border>
      <left style="double">
        <color auto="1"/>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style="thin">
        <color indexed="64"/>
      </right>
      <top style="double">
        <color auto="1"/>
      </top>
      <bottom/>
      <diagonal/>
    </border>
    <border>
      <left style="thin">
        <color indexed="64"/>
      </left>
      <right/>
      <top/>
      <bottom style="dashed">
        <color indexed="64"/>
      </bottom>
      <diagonal/>
    </border>
    <border>
      <left/>
      <right style="thin">
        <color indexed="64"/>
      </right>
      <top/>
      <bottom style="dashed">
        <color indexed="64"/>
      </bottom>
      <diagonal/>
    </border>
    <border>
      <left style="thin">
        <color indexed="64"/>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style="double">
        <color auto="1"/>
      </right>
      <top style="double">
        <color auto="1"/>
      </top>
      <bottom style="dotted">
        <color auto="1"/>
      </bottom>
      <diagonal/>
    </border>
    <border>
      <left/>
      <right/>
      <top style="double">
        <color auto="1"/>
      </top>
      <bottom style="dotted">
        <color auto="1"/>
      </bottom>
      <diagonal/>
    </border>
    <border>
      <left style="thin">
        <color indexed="64"/>
      </left>
      <right/>
      <top style="double">
        <color auto="1"/>
      </top>
      <bottom style="dotted">
        <color indexed="64"/>
      </bottom>
      <diagonal/>
    </border>
    <border>
      <left style="thin">
        <color indexed="64"/>
      </left>
      <right/>
      <top style="dotted">
        <color indexed="64"/>
      </top>
      <bottom style="dotted">
        <color indexed="64"/>
      </bottom>
      <diagonal/>
    </border>
    <border>
      <left/>
      <right style="double">
        <color auto="1"/>
      </right>
      <top style="dotted">
        <color indexed="64"/>
      </top>
      <bottom style="dotted">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dotted">
        <color indexed="64"/>
      </top>
      <bottom style="thin">
        <color indexed="64"/>
      </bottom>
      <diagonal/>
    </border>
    <border>
      <left/>
      <right style="double">
        <color indexed="64"/>
      </right>
      <top style="dotted">
        <color indexed="64"/>
      </top>
      <bottom style="thin">
        <color indexed="64"/>
      </bottom>
      <diagonal/>
    </border>
    <border>
      <left style="thin">
        <color indexed="64"/>
      </left>
      <right/>
      <top style="dashed">
        <color indexed="64"/>
      </top>
      <bottom style="dotted">
        <color indexed="64"/>
      </bottom>
      <diagonal/>
    </border>
    <border>
      <left/>
      <right style="thin">
        <color indexed="64"/>
      </right>
      <top style="dashed">
        <color indexed="64"/>
      </top>
      <bottom style="dotted">
        <color indexed="64"/>
      </bottom>
      <diagonal/>
    </border>
    <border>
      <left/>
      <right style="thin">
        <color indexed="64"/>
      </right>
      <top style="dotted">
        <color indexed="64"/>
      </top>
      <bottom style="dotted">
        <color indexed="64"/>
      </bottom>
      <diagonal/>
    </border>
    <border>
      <left/>
      <right/>
      <top style="dashed">
        <color indexed="64"/>
      </top>
      <bottom style="dashed">
        <color indexed="64"/>
      </bottom>
      <diagonal/>
    </border>
    <border>
      <left/>
      <right/>
      <top style="thin">
        <color indexed="64"/>
      </top>
      <bottom style="thin">
        <color indexed="64"/>
      </bottom>
      <diagonal/>
    </border>
    <border>
      <left/>
      <right/>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thin">
        <color indexed="64"/>
      </top>
      <bottom style="hair">
        <color indexed="64"/>
      </bottom>
      <diagonal/>
    </border>
    <border>
      <left/>
      <right/>
      <top style="hair">
        <color indexed="64"/>
      </top>
      <bottom/>
      <diagonal/>
    </border>
    <border>
      <left/>
      <right style="thin">
        <color indexed="64"/>
      </right>
      <top style="hair">
        <color indexed="64"/>
      </top>
      <bottom style="thin">
        <color indexed="64"/>
      </bottom>
      <diagonal/>
    </border>
    <border>
      <left/>
      <right/>
      <top style="thin">
        <color auto="1"/>
      </top>
      <bottom/>
      <diagonal/>
    </border>
    <border>
      <left/>
      <right/>
      <top style="thin">
        <color indexed="64"/>
      </top>
      <bottom style="hair">
        <color indexed="64"/>
      </bottom>
      <diagonal/>
    </border>
    <border>
      <left/>
      <right style="thin">
        <color indexed="64"/>
      </right>
      <top style="hair">
        <color indexed="64"/>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thin">
        <color indexed="64"/>
      </top>
      <bottom style="hair">
        <color indexed="64"/>
      </bottom>
      <diagonal/>
    </border>
    <border>
      <left style="medium">
        <color indexed="64"/>
      </left>
      <right/>
      <top/>
      <bottom/>
      <diagonal/>
    </border>
    <border>
      <left/>
      <right style="medium">
        <color indexed="64"/>
      </right>
      <top/>
      <bottom style="hair">
        <color indexed="64"/>
      </bottom>
      <diagonal/>
    </border>
    <border>
      <left style="medium">
        <color indexed="64"/>
      </left>
      <right/>
      <top/>
      <bottom style="thin">
        <color indexed="64"/>
      </bottom>
      <diagonal/>
    </border>
    <border>
      <left/>
      <right style="medium">
        <color indexed="64"/>
      </right>
      <top style="medium">
        <color indexed="64"/>
      </top>
      <bottom style="hair">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hair">
        <color indexed="64"/>
      </bottom>
      <diagonal/>
    </border>
    <border>
      <left style="medium">
        <color indexed="64"/>
      </left>
      <right/>
      <top style="thin">
        <color indexed="64"/>
      </top>
      <bottom/>
      <diagonal/>
    </border>
    <border>
      <left style="thin">
        <color indexed="64"/>
      </left>
      <right style="medium">
        <color indexed="64"/>
      </right>
      <top style="hair">
        <color indexed="64"/>
      </top>
      <bottom/>
      <diagonal/>
    </border>
    <border>
      <left/>
      <right style="medium">
        <color indexed="64"/>
      </right>
      <top style="hair">
        <color indexed="64"/>
      </top>
      <bottom style="hair">
        <color indexed="64"/>
      </bottom>
      <diagonal/>
    </border>
    <border>
      <left/>
      <right style="medium">
        <color indexed="64"/>
      </right>
      <top style="hair">
        <color indexed="64"/>
      </top>
      <bottom style="thin">
        <color indexed="64"/>
      </bottom>
      <diagonal/>
    </border>
    <border>
      <left style="thin">
        <color indexed="64"/>
      </left>
      <right style="thin">
        <color indexed="64"/>
      </right>
      <top style="dashed">
        <color indexed="64"/>
      </top>
      <bottom style="thin">
        <color indexed="64"/>
      </bottom>
      <diagonal/>
    </border>
    <border>
      <left style="thin">
        <color indexed="64"/>
      </left>
      <right/>
      <top style="dotted">
        <color indexed="64"/>
      </top>
      <bottom/>
      <diagonal/>
    </border>
    <border>
      <left/>
      <right style="thin">
        <color indexed="64"/>
      </right>
      <top style="dotted">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top style="hair">
        <color indexed="64"/>
      </top>
      <bottom/>
      <diagonal/>
    </border>
    <border>
      <left/>
      <right style="medium">
        <color indexed="64"/>
      </right>
      <top style="hair">
        <color indexed="64"/>
      </top>
      <bottom/>
      <diagonal/>
    </border>
    <border>
      <left style="medium">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style="thin">
        <color indexed="64"/>
      </left>
      <right style="medium">
        <color indexed="64"/>
      </right>
      <top style="thin">
        <color auto="1"/>
      </top>
      <bottom style="thin">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right/>
      <top style="thin">
        <color indexed="64"/>
      </top>
      <bottom style="dashed">
        <color indexed="64"/>
      </bottom>
      <diagonal/>
    </border>
    <border>
      <left/>
      <right/>
      <top style="dashed">
        <color indexed="64"/>
      </top>
      <bottom style="thin">
        <color indexed="64"/>
      </bottom>
      <diagonal/>
    </border>
    <border>
      <left style="medium">
        <color indexed="64"/>
      </left>
      <right/>
      <top/>
      <bottom style="dashed">
        <color indexed="64"/>
      </bottom>
      <diagonal/>
    </border>
    <border>
      <left/>
      <right/>
      <top/>
      <bottom style="dashed">
        <color indexed="64"/>
      </bottom>
      <diagonal/>
    </border>
    <border>
      <left/>
      <right style="medium">
        <color indexed="64"/>
      </right>
      <top/>
      <bottom style="dashed">
        <color indexed="64"/>
      </bottom>
      <diagonal/>
    </border>
    <border>
      <left style="medium">
        <color indexed="64"/>
      </left>
      <right/>
      <top style="dashed">
        <color indexed="64"/>
      </top>
      <bottom style="dashed">
        <color indexed="64"/>
      </bottom>
      <diagonal/>
    </border>
    <border>
      <left/>
      <right style="medium">
        <color indexed="64"/>
      </right>
      <top style="dashed">
        <color indexed="64"/>
      </top>
      <bottom style="dashed">
        <color indexed="64"/>
      </bottom>
      <diagonal/>
    </border>
    <border>
      <left style="medium">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8"/>
      </top>
      <bottom style="medium">
        <color indexed="8"/>
      </bottom>
      <diagonal/>
    </border>
    <border>
      <left style="medium">
        <color indexed="64"/>
      </left>
      <right style="hair">
        <color indexed="64"/>
      </right>
      <top/>
      <bottom style="hair">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bottom style="dashed">
        <color indexed="64"/>
      </bottom>
      <diagonal/>
    </border>
    <border>
      <left style="thin">
        <color indexed="64"/>
      </left>
      <right style="thin">
        <color indexed="64"/>
      </right>
      <top style="dashed">
        <color indexed="64"/>
      </top>
      <bottom/>
      <diagonal/>
    </border>
    <border>
      <left/>
      <right style="medium">
        <color indexed="64"/>
      </right>
      <top style="thin">
        <color indexed="64"/>
      </top>
      <bottom style="dashed">
        <color indexed="64"/>
      </bottom>
      <diagonal/>
    </border>
    <border>
      <left/>
      <right style="medium">
        <color indexed="64"/>
      </right>
      <top style="dashed">
        <color indexed="64"/>
      </top>
      <bottom style="thin">
        <color indexed="64"/>
      </bottom>
      <diagonal/>
    </border>
    <border>
      <left style="thin">
        <color indexed="64"/>
      </left>
      <right/>
      <top style="dashed">
        <color indexed="64"/>
      </top>
      <bottom style="medium">
        <color indexed="64"/>
      </bottom>
      <diagonal/>
    </border>
  </borders>
  <cellStyleXfs count="218">
    <xf numFmtId="0" fontId="0" fillId="0" borderId="0"/>
    <xf numFmtId="0" fontId="7" fillId="0" borderId="0"/>
    <xf numFmtId="0" fontId="2" fillId="0" borderId="0"/>
    <xf numFmtId="165" fontId="17" fillId="0" borderId="0"/>
    <xf numFmtId="166" fontId="19" fillId="0" borderId="0"/>
    <xf numFmtId="0" fontId="2" fillId="0" borderId="0"/>
    <xf numFmtId="43" fontId="31" fillId="0" borderId="0" applyFont="0" applyFill="0" applyBorder="0" applyAlignment="0" applyProtection="0"/>
    <xf numFmtId="166" fontId="6" fillId="0" borderId="0"/>
    <xf numFmtId="9" fontId="2" fillId="0" borderId="0" applyFont="0" applyFill="0" applyBorder="0" applyAlignment="0" applyProtection="0"/>
    <xf numFmtId="166" fontId="42" fillId="0" borderId="0"/>
    <xf numFmtId="0" fontId="2" fillId="0" borderId="0"/>
    <xf numFmtId="0" fontId="2" fillId="0" borderId="0"/>
    <xf numFmtId="166" fontId="68" fillId="0" borderId="0"/>
    <xf numFmtId="0" fontId="71" fillId="0" borderId="0"/>
    <xf numFmtId="0" fontId="2" fillId="0" borderId="0"/>
    <xf numFmtId="0" fontId="2" fillId="0" borderId="0"/>
    <xf numFmtId="41" fontId="84" fillId="0" borderId="0" applyFont="0" applyFill="0" applyBorder="0" applyAlignment="0" applyProtection="0"/>
    <xf numFmtId="43" fontId="84" fillId="0" borderId="0" applyFont="0" applyFill="0" applyBorder="0" applyAlignment="0" applyProtection="0"/>
    <xf numFmtId="0" fontId="2" fillId="0" borderId="0" applyFont="0" applyFill="0" applyBorder="0" applyAlignment="0" applyProtection="0"/>
    <xf numFmtId="188" fontId="84" fillId="0" borderId="0" applyFont="0" applyFill="0" applyBorder="0" applyAlignment="0" applyProtection="0"/>
    <xf numFmtId="0" fontId="84" fillId="0" borderId="0"/>
    <xf numFmtId="0" fontId="85" fillId="0" borderId="0" applyNumberFormat="0" applyFill="0" applyBorder="0" applyAlignment="0" applyProtection="0"/>
    <xf numFmtId="0" fontId="2" fillId="0" borderId="0"/>
    <xf numFmtId="0" fontId="2" fillId="0" borderId="0"/>
    <xf numFmtId="0" fontId="86" fillId="0" borderId="102">
      <protection locked="0"/>
    </xf>
    <xf numFmtId="0" fontId="87" fillId="0" borderId="102">
      <protection locked="0"/>
    </xf>
    <xf numFmtId="0" fontId="3" fillId="0" borderId="116">
      <alignment horizontal="center"/>
    </xf>
    <xf numFmtId="170" fontId="88" fillId="15" borderId="117" applyBorder="0">
      <alignment horizontal="center" vertical="center"/>
    </xf>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89" fontId="2" fillId="0" borderId="0" applyFont="0" applyFill="0" applyBorder="0" applyAlignment="0" applyProtection="0"/>
    <xf numFmtId="190" fontId="2" fillId="0" borderId="0" applyFont="0" applyFill="0" applyBorder="0" applyAlignment="0" applyProtection="0"/>
    <xf numFmtId="191" fontId="2" fillId="0" borderId="0" applyFont="0" applyFill="0" applyBorder="0" applyAlignment="0" applyProtection="0"/>
    <xf numFmtId="8" fontId="2" fillId="0" borderId="0" applyFill="0" applyBorder="0" applyAlignment="0" applyProtection="0"/>
    <xf numFmtId="8" fontId="2" fillId="0" borderId="0" applyFill="0" applyBorder="0" applyAlignment="0" applyProtection="0"/>
    <xf numFmtId="6" fontId="2" fillId="0" borderId="0" applyFill="0" applyBorder="0" applyAlignment="0" applyProtection="0"/>
    <xf numFmtId="6" fontId="2" fillId="0" borderId="0" applyFill="0" applyBorder="0" applyAlignment="0" applyProtection="0"/>
    <xf numFmtId="192" fontId="2" fillId="0" borderId="0" applyFill="0" applyBorder="0" applyAlignment="0" applyProtection="0"/>
    <xf numFmtId="0" fontId="86" fillId="0" borderId="0">
      <protection locked="0"/>
    </xf>
    <xf numFmtId="0" fontId="87" fillId="0" borderId="0">
      <protection locked="0"/>
    </xf>
    <xf numFmtId="0" fontId="86" fillId="0" borderId="0">
      <protection locked="0"/>
    </xf>
    <xf numFmtId="0" fontId="87" fillId="0" borderId="0">
      <protection locked="0"/>
    </xf>
    <xf numFmtId="0" fontId="86" fillId="0" borderId="0">
      <protection locked="0"/>
    </xf>
    <xf numFmtId="0" fontId="87" fillId="0" borderId="0">
      <protection locked="0"/>
    </xf>
    <xf numFmtId="0" fontId="86" fillId="0" borderId="0">
      <protection locked="0"/>
    </xf>
    <xf numFmtId="0" fontId="87" fillId="0" borderId="0">
      <protection locked="0"/>
    </xf>
    <xf numFmtId="0" fontId="86" fillId="0" borderId="0">
      <protection locked="0"/>
    </xf>
    <xf numFmtId="0" fontId="87" fillId="0" borderId="0">
      <protection locked="0"/>
    </xf>
    <xf numFmtId="0" fontId="86" fillId="0" borderId="0">
      <protection locked="0"/>
    </xf>
    <xf numFmtId="0" fontId="87" fillId="0" borderId="0">
      <protection locked="0"/>
    </xf>
    <xf numFmtId="0" fontId="86" fillId="0" borderId="0">
      <protection locked="0"/>
    </xf>
    <xf numFmtId="0" fontId="87" fillId="0" borderId="0">
      <protection locked="0"/>
    </xf>
    <xf numFmtId="0" fontId="89" fillId="0" borderId="0" applyNumberFormat="0" applyFill="0" applyBorder="0" applyAlignment="0" applyProtection="0"/>
    <xf numFmtId="0" fontId="72" fillId="14" borderId="0" applyNumberFormat="0" applyBorder="0" applyAlignment="0" applyProtection="0"/>
    <xf numFmtId="38" fontId="6" fillId="16" borderId="0" applyNumberFormat="0" applyBorder="0" applyAlignment="0" applyProtection="0"/>
    <xf numFmtId="0" fontId="2" fillId="0" borderId="0"/>
    <xf numFmtId="0" fontId="2" fillId="0" borderId="0"/>
    <xf numFmtId="0" fontId="2" fillId="0" borderId="0"/>
    <xf numFmtId="0" fontId="2" fillId="0" borderId="0"/>
    <xf numFmtId="0" fontId="8" fillId="0" borderId="0"/>
    <xf numFmtId="0" fontId="70" fillId="17" borderId="118">
      <alignment horizontal="centerContinuous" vertical="center"/>
    </xf>
    <xf numFmtId="0" fontId="90" fillId="0" borderId="0" applyNumberFormat="0" applyFill="0" applyBorder="0" applyAlignment="0" applyProtection="0"/>
    <xf numFmtId="0" fontId="91" fillId="18" borderId="0" applyNumberFormat="0" applyFill="0" applyBorder="0" applyAlignment="0">
      <alignment horizontal="left"/>
      <protection locked="0"/>
    </xf>
    <xf numFmtId="10" fontId="6" fillId="12" borderId="101" applyNumberFormat="0" applyBorder="0" applyAlignment="0" applyProtection="0"/>
    <xf numFmtId="10" fontId="6" fillId="12" borderId="101" applyNumberFormat="0" applyBorder="0" applyAlignment="0" applyProtection="0"/>
    <xf numFmtId="10" fontId="6" fillId="12" borderId="101" applyNumberFormat="0" applyBorder="0" applyAlignment="0" applyProtection="0"/>
    <xf numFmtId="10" fontId="6" fillId="12" borderId="101" applyNumberFormat="0" applyBorder="0" applyAlignment="0" applyProtection="0"/>
    <xf numFmtId="10" fontId="6" fillId="12" borderId="101" applyNumberFormat="0" applyBorder="0" applyAlignment="0" applyProtection="0"/>
    <xf numFmtId="10" fontId="6" fillId="12" borderId="101" applyNumberFormat="0" applyBorder="0" applyAlignment="0" applyProtection="0"/>
    <xf numFmtId="193" fontId="92" fillId="0" borderId="0" applyFont="0" applyFill="0" applyBorder="0" applyProtection="0">
      <alignment horizontal="left" vertical="center"/>
    </xf>
    <xf numFmtId="194" fontId="92" fillId="0" borderId="0" applyFont="0" applyFill="0" applyBorder="0" applyProtection="0">
      <alignment horizontal="left" vertical="center"/>
    </xf>
    <xf numFmtId="8" fontId="93" fillId="0" borderId="0" applyFont="0" applyFill="0" applyBorder="0" applyAlignment="0" applyProtection="0"/>
    <xf numFmtId="0" fontId="94" fillId="0" borderId="0" applyNumberFormat="0" applyFill="0" applyBorder="0" applyAlignment="0" applyProtection="0"/>
    <xf numFmtId="175" fontId="9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7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166" fontId="19" fillId="0" borderId="0"/>
    <xf numFmtId="0" fontId="2" fillId="0" borderId="0"/>
    <xf numFmtId="0" fontId="2" fillId="0" borderId="0"/>
    <xf numFmtId="0" fontId="71" fillId="0" borderId="0"/>
    <xf numFmtId="0" fontId="2" fillId="0" borderId="0"/>
    <xf numFmtId="0" fontId="2" fillId="0" borderId="0"/>
    <xf numFmtId="0" fontId="2" fillId="0" borderId="0"/>
    <xf numFmtId="0" fontId="71" fillId="0" borderId="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49" fontId="96" fillId="19" borderId="0">
      <alignment horizontal="center"/>
    </xf>
    <xf numFmtId="49" fontId="97" fillId="19" borderId="0">
      <alignment horizontal="center"/>
    </xf>
    <xf numFmtId="49" fontId="98" fillId="20" borderId="0">
      <alignment horizontal="center"/>
    </xf>
    <xf numFmtId="49" fontId="99" fillId="20" borderId="0">
      <alignment horizontal="center"/>
    </xf>
    <xf numFmtId="49" fontId="38" fillId="20" borderId="0">
      <alignment horizontal="center"/>
    </xf>
    <xf numFmtId="49" fontId="100" fillId="20" borderId="0">
      <alignment horizontal="center"/>
    </xf>
    <xf numFmtId="0" fontId="98" fillId="21" borderId="0">
      <alignment horizontal="center"/>
    </xf>
    <xf numFmtId="0" fontId="99" fillId="21" borderId="0">
      <alignment horizontal="center"/>
    </xf>
    <xf numFmtId="49" fontId="101" fillId="21" borderId="0">
      <alignment horizontal="center"/>
    </xf>
    <xf numFmtId="49" fontId="102" fillId="21" borderId="0">
      <alignment horizontal="center"/>
    </xf>
    <xf numFmtId="49" fontId="38" fillId="21" borderId="0">
      <alignment horizontal="center"/>
    </xf>
    <xf numFmtId="49" fontId="100" fillId="21" borderId="0">
      <alignment horizontal="center"/>
    </xf>
    <xf numFmtId="0" fontId="96" fillId="21" borderId="0">
      <alignment horizontal="center"/>
    </xf>
    <xf numFmtId="0" fontId="97" fillId="21" borderId="0">
      <alignment horizontal="center"/>
    </xf>
    <xf numFmtId="0" fontId="98" fillId="0" borderId="0">
      <alignment horizontal="center"/>
    </xf>
    <xf numFmtId="0" fontId="99" fillId="0" borderId="0">
      <alignment horizontal="center"/>
    </xf>
    <xf numFmtId="0" fontId="96" fillId="0" borderId="0">
      <alignment horizontal="center"/>
    </xf>
    <xf numFmtId="0" fontId="97" fillId="0" borderId="0">
      <alignment horizontal="center"/>
    </xf>
    <xf numFmtId="49" fontId="98" fillId="22" borderId="0">
      <alignment horizontal="center"/>
    </xf>
    <xf numFmtId="49" fontId="99" fillId="22" borderId="0">
      <alignment horizontal="center"/>
    </xf>
    <xf numFmtId="49" fontId="38" fillId="22" borderId="0">
      <alignment horizontal="center"/>
    </xf>
    <xf numFmtId="49" fontId="100" fillId="22" borderId="0">
      <alignment horizontal="center"/>
    </xf>
    <xf numFmtId="49" fontId="98" fillId="23" borderId="0">
      <alignment horizontal="center"/>
    </xf>
    <xf numFmtId="49" fontId="99" fillId="23" borderId="0">
      <alignment horizontal="center"/>
    </xf>
    <xf numFmtId="49" fontId="38" fillId="23" borderId="0">
      <alignment horizontal="center"/>
    </xf>
    <xf numFmtId="49" fontId="100" fillId="23" borderId="0">
      <alignment horizontal="center"/>
    </xf>
    <xf numFmtId="49" fontId="96" fillId="23" borderId="0">
      <alignment horizontal="center"/>
    </xf>
    <xf numFmtId="49" fontId="97" fillId="23" borderId="0">
      <alignment horizontal="center"/>
    </xf>
    <xf numFmtId="9" fontId="92" fillId="0" borderId="0" applyFont="0" applyFill="0" applyBorder="0" applyProtection="0">
      <alignment horizontal="left" vertical="center"/>
    </xf>
    <xf numFmtId="0" fontId="89" fillId="24" borderId="119" applyBorder="0"/>
    <xf numFmtId="0" fontId="92" fillId="0" borderId="0">
      <alignment horizontal="left" vertical="center"/>
    </xf>
    <xf numFmtId="0" fontId="6" fillId="0" borderId="0">
      <alignment horizontal="left" vertical="center"/>
    </xf>
    <xf numFmtId="0" fontId="85" fillId="0" borderId="0"/>
    <xf numFmtId="0" fontId="86" fillId="0" borderId="0">
      <protection locked="0"/>
    </xf>
    <xf numFmtId="0" fontId="87" fillId="0" borderId="0">
      <protection locked="0"/>
    </xf>
    <xf numFmtId="0" fontId="86" fillId="0" borderId="0">
      <protection locked="0"/>
    </xf>
    <xf numFmtId="0" fontId="87" fillId="0" borderId="0">
      <protection locked="0"/>
    </xf>
    <xf numFmtId="0" fontId="86" fillId="0" borderId="0">
      <protection locked="0"/>
    </xf>
    <xf numFmtId="0" fontId="87" fillId="0" borderId="0">
      <protection locked="0"/>
    </xf>
    <xf numFmtId="0" fontId="86" fillId="0" borderId="0">
      <protection locked="0"/>
    </xf>
    <xf numFmtId="0" fontId="87" fillId="0" borderId="0">
      <protection locked="0"/>
    </xf>
    <xf numFmtId="42" fontId="2" fillId="0" borderId="0" applyFont="0" applyFill="0" applyBorder="0" applyAlignment="0" applyProtection="0"/>
    <xf numFmtId="42" fontId="92" fillId="0" borderId="0" applyFont="0" applyFill="0" applyBorder="0" applyProtection="0">
      <alignment horizontal="left" vertical="center"/>
    </xf>
    <xf numFmtId="44" fontId="92" fillId="0" borderId="0" applyFont="0" applyFill="0" applyBorder="0" applyProtection="0">
      <alignment horizontal="left" vertical="center"/>
    </xf>
    <xf numFmtId="195" fontId="2" fillId="0" borderId="0" applyFont="0" applyFill="0" applyBorder="0" applyAlignment="0" applyProtection="0"/>
    <xf numFmtId="196" fontId="2" fillId="0" borderId="0" applyFont="0" applyFill="0" applyBorder="0" applyAlignment="0" applyProtection="0"/>
    <xf numFmtId="0" fontId="103" fillId="0" borderId="0">
      <alignment vertical="center"/>
    </xf>
    <xf numFmtId="0" fontId="104" fillId="0" borderId="0"/>
    <xf numFmtId="44" fontId="2" fillId="0" borderId="0" applyFont="0" applyFill="0" applyBorder="0" applyAlignment="0" applyProtection="0"/>
  </cellStyleXfs>
  <cellXfs count="1386">
    <xf numFmtId="0" fontId="0" fillId="0" borderId="0" xfId="0"/>
    <xf numFmtId="0" fontId="0" fillId="2" borderId="1" xfId="0" applyFill="1" applyBorder="1" applyProtection="1"/>
    <xf numFmtId="0" fontId="0" fillId="2" borderId="1" xfId="0" applyFill="1" applyBorder="1" applyAlignment="1" applyProtection="1">
      <alignment vertical="top"/>
    </xf>
    <xf numFmtId="0" fontId="0" fillId="2" borderId="2" xfId="0" applyFill="1" applyBorder="1" applyProtection="1"/>
    <xf numFmtId="0" fontId="0" fillId="2" borderId="3" xfId="0" applyFill="1" applyBorder="1" applyAlignment="1" applyProtection="1">
      <alignment horizontal="center"/>
    </xf>
    <xf numFmtId="0" fontId="0" fillId="2" borderId="3" xfId="0" applyFill="1" applyBorder="1" applyProtection="1"/>
    <xf numFmtId="0" fontId="0" fillId="2" borderId="4" xfId="0" applyFill="1" applyBorder="1" applyProtection="1"/>
    <xf numFmtId="0" fontId="3" fillId="2" borderId="2" xfId="0" applyFont="1" applyFill="1" applyBorder="1" applyAlignment="1" applyProtection="1">
      <alignment horizontal="center"/>
    </xf>
    <xf numFmtId="0" fontId="7" fillId="2" borderId="0" xfId="0" applyFont="1" applyFill="1" applyBorder="1" applyProtection="1"/>
    <xf numFmtId="0" fontId="2" fillId="2" borderId="0" xfId="0" applyFont="1" applyFill="1" applyBorder="1" applyProtection="1"/>
    <xf numFmtId="0" fontId="2" fillId="2" borderId="0" xfId="0" applyFont="1" applyFill="1" applyProtection="1"/>
    <xf numFmtId="0" fontId="0" fillId="2" borderId="15" xfId="0" applyFill="1" applyBorder="1" applyProtection="1"/>
    <xf numFmtId="0" fontId="2" fillId="2" borderId="0" xfId="0" applyFont="1" applyFill="1" applyBorder="1" applyAlignment="1" applyProtection="1">
      <alignment vertical="top"/>
    </xf>
    <xf numFmtId="0" fontId="6" fillId="2" borderId="0" xfId="0" applyFont="1" applyFill="1" applyBorder="1" applyProtection="1"/>
    <xf numFmtId="0" fontId="0" fillId="2" borderId="17" xfId="0" applyFill="1" applyBorder="1" applyAlignment="1" applyProtection="1">
      <alignment vertical="top"/>
    </xf>
    <xf numFmtId="0" fontId="0" fillId="2" borderId="17" xfId="0" applyFill="1" applyBorder="1" applyProtection="1"/>
    <xf numFmtId="0" fontId="0" fillId="2" borderId="18" xfId="0" applyFill="1" applyBorder="1" applyProtection="1"/>
    <xf numFmtId="0" fontId="15" fillId="2" borderId="17" xfId="0" applyFont="1" applyFill="1" applyBorder="1" applyProtection="1"/>
    <xf numFmtId="0" fontId="7" fillId="2" borderId="0" xfId="0" applyFont="1" applyFill="1" applyBorder="1" applyAlignment="1" applyProtection="1">
      <alignment horizontal="center"/>
    </xf>
    <xf numFmtId="0" fontId="0" fillId="2" borderId="23" xfId="0" applyFill="1" applyBorder="1" applyProtection="1"/>
    <xf numFmtId="0" fontId="0" fillId="2" borderId="24" xfId="0" applyFill="1" applyBorder="1" applyProtection="1"/>
    <xf numFmtId="0" fontId="0" fillId="6" borderId="0" xfId="0" applyFill="1" applyBorder="1" applyAlignment="1" applyProtection="1"/>
    <xf numFmtId="41" fontId="6" fillId="6" borderId="1" xfId="0" applyNumberFormat="1" applyFont="1" applyFill="1" applyBorder="1" applyProtection="1"/>
    <xf numFmtId="164" fontId="7" fillId="7" borderId="0" xfId="0" applyNumberFormat="1" applyFont="1" applyFill="1" applyBorder="1" applyAlignment="1" applyProtection="1">
      <alignment horizontal="center"/>
    </xf>
    <xf numFmtId="0" fontId="0" fillId="7" borderId="0" xfId="0" applyFill="1" applyProtection="1"/>
    <xf numFmtId="0" fontId="16" fillId="7" borderId="0" xfId="2" applyFont="1" applyFill="1" applyAlignment="1" applyProtection="1">
      <alignment vertical="center"/>
    </xf>
    <xf numFmtId="0" fontId="28" fillId="7" borderId="0" xfId="2" applyFont="1" applyFill="1" applyAlignment="1" applyProtection="1">
      <alignment vertical="center"/>
    </xf>
    <xf numFmtId="0" fontId="2" fillId="7" borderId="0" xfId="0" applyFont="1" applyFill="1" applyProtection="1"/>
    <xf numFmtId="0" fontId="2" fillId="7" borderId="0" xfId="0" applyFont="1" applyFill="1" applyBorder="1" applyProtection="1"/>
    <xf numFmtId="0" fontId="2" fillId="7" borderId="0" xfId="0" applyFont="1" applyFill="1" applyBorder="1" applyAlignment="1" applyProtection="1">
      <alignment vertical="top"/>
    </xf>
    <xf numFmtId="0" fontId="0" fillId="7" borderId="0" xfId="0" applyFill="1" applyProtection="1"/>
    <xf numFmtId="3" fontId="6" fillId="2" borderId="0" xfId="0" applyNumberFormat="1" applyFont="1" applyFill="1" applyBorder="1" applyProtection="1"/>
    <xf numFmtId="166" fontId="2" fillId="0" borderId="0" xfId="7" applyFont="1"/>
    <xf numFmtId="1" fontId="36" fillId="8" borderId="8" xfId="7" applyNumberFormat="1" applyFont="1" applyFill="1" applyBorder="1" applyAlignment="1" applyProtection="1">
      <alignment horizontal="left" vertical="center"/>
      <protection locked="0"/>
    </xf>
    <xf numFmtId="166" fontId="2" fillId="0" borderId="1" xfId="7" applyFont="1" applyBorder="1" applyAlignment="1">
      <alignment horizontal="center"/>
    </xf>
    <xf numFmtId="166" fontId="35" fillId="0" borderId="1" xfId="7" applyFont="1" applyBorder="1" applyAlignment="1">
      <alignment horizontal="center"/>
    </xf>
    <xf numFmtId="166" fontId="2" fillId="2" borderId="17" xfId="7" applyFont="1" applyFill="1" applyBorder="1" applyAlignment="1">
      <alignment vertical="center"/>
    </xf>
    <xf numFmtId="0" fontId="39" fillId="8" borderId="53" xfId="7" applyNumberFormat="1" applyFont="1" applyFill="1" applyBorder="1" applyAlignment="1" applyProtection="1">
      <alignment horizontal="left" vertical="center"/>
      <protection locked="0"/>
    </xf>
    <xf numFmtId="166" fontId="40" fillId="0" borderId="0" xfId="7" applyFont="1" applyFill="1" applyBorder="1" applyAlignment="1">
      <alignment vertical="center"/>
    </xf>
    <xf numFmtId="166" fontId="2" fillId="0" borderId="0" xfId="7" applyFont="1" applyBorder="1"/>
    <xf numFmtId="166" fontId="41" fillId="0" borderId="0" xfId="7" applyFont="1" applyFill="1" applyBorder="1" applyAlignment="1">
      <alignment horizontal="right" vertical="center"/>
    </xf>
    <xf numFmtId="166" fontId="2" fillId="0" borderId="7" xfId="7" applyFont="1" applyBorder="1"/>
    <xf numFmtId="166" fontId="2" fillId="2" borderId="54" xfId="7" applyFont="1" applyFill="1" applyBorder="1" applyAlignment="1">
      <alignment vertical="center"/>
    </xf>
    <xf numFmtId="166" fontId="38" fillId="0" borderId="0" xfId="7" applyFont="1" applyFill="1" applyBorder="1" applyAlignment="1">
      <alignment horizontal="right" vertical="center"/>
    </xf>
    <xf numFmtId="167" fontId="39" fillId="8" borderId="53" xfId="7" applyNumberFormat="1" applyFont="1" applyFill="1" applyBorder="1" applyAlignment="1" applyProtection="1">
      <alignment horizontal="left" vertical="center"/>
      <protection locked="0"/>
    </xf>
    <xf numFmtId="166" fontId="35" fillId="0" borderId="1" xfId="7" applyFont="1" applyFill="1" applyBorder="1" applyAlignment="1">
      <alignment horizontal="center"/>
    </xf>
    <xf numFmtId="166" fontId="37" fillId="9" borderId="17" xfId="7" applyFont="1" applyFill="1" applyBorder="1" applyAlignment="1">
      <alignment horizontal="centerContinuous" vertical="center"/>
    </xf>
    <xf numFmtId="166" fontId="38" fillId="0" borderId="0" xfId="7" applyFont="1" applyFill="1" applyBorder="1" applyAlignment="1">
      <alignment vertical="center"/>
    </xf>
    <xf numFmtId="166" fontId="2" fillId="0" borderId="17" xfId="7" applyFont="1" applyBorder="1"/>
    <xf numFmtId="166" fontId="36" fillId="0" borderId="0" xfId="7" applyFont="1" applyFill="1" applyBorder="1" applyAlignment="1">
      <alignment vertical="center"/>
    </xf>
    <xf numFmtId="166" fontId="36" fillId="0" borderId="0" xfId="7" applyFont="1" applyFill="1" applyBorder="1" applyAlignment="1">
      <alignment horizontal="center" vertical="center"/>
    </xf>
    <xf numFmtId="166" fontId="38" fillId="2" borderId="3" xfId="7" applyFont="1" applyFill="1" applyBorder="1" applyAlignment="1">
      <alignment horizontal="center" vertical="center" wrapText="1"/>
    </xf>
    <xf numFmtId="166" fontId="38" fillId="2" borderId="17" xfId="7" applyFont="1" applyFill="1" applyBorder="1" applyAlignment="1">
      <alignment horizontal="center" vertical="center" wrapText="1"/>
    </xf>
    <xf numFmtId="166" fontId="38" fillId="2" borderId="4" xfId="7" applyFont="1" applyFill="1" applyBorder="1" applyAlignment="1">
      <alignment horizontal="center" vertical="center" wrapText="1"/>
    </xf>
    <xf numFmtId="166" fontId="2" fillId="0" borderId="0" xfId="7" applyFont="1" applyBorder="1" applyAlignment="1">
      <alignment vertical="center"/>
    </xf>
    <xf numFmtId="166" fontId="2" fillId="0" borderId="0" xfId="7" applyFont="1" applyAlignment="1">
      <alignment horizontal="right"/>
    </xf>
    <xf numFmtId="0" fontId="16" fillId="7" borderId="0" xfId="2" applyFont="1" applyFill="1" applyBorder="1" applyAlignment="1" applyProtection="1">
      <alignment vertical="center"/>
    </xf>
    <xf numFmtId="167" fontId="22" fillId="7" borderId="0" xfId="0" applyNumberFormat="1" applyFont="1" applyFill="1" applyBorder="1" applyAlignment="1" applyProtection="1">
      <alignment vertical="center"/>
    </xf>
    <xf numFmtId="165" fontId="18" fillId="7" borderId="0" xfId="3" applyFont="1" applyFill="1" applyBorder="1" applyAlignment="1" applyProtection="1">
      <alignment horizontal="right" vertical="center"/>
    </xf>
    <xf numFmtId="0" fontId="23" fillId="7" borderId="0" xfId="0" applyFont="1" applyFill="1" applyBorder="1" applyAlignment="1" applyProtection="1">
      <alignment vertical="center"/>
    </xf>
    <xf numFmtId="166" fontId="6" fillId="0" borderId="0" xfId="7"/>
    <xf numFmtId="14" fontId="6" fillId="0" borderId="0" xfId="7" applyNumberFormat="1" applyAlignment="1">
      <alignment horizontal="left"/>
    </xf>
    <xf numFmtId="166" fontId="6" fillId="0" borderId="0" xfId="7" applyAlignment="1">
      <alignment wrapText="1"/>
    </xf>
    <xf numFmtId="166" fontId="6" fillId="0" borderId="0" xfId="7" applyAlignment="1">
      <alignment horizontal="center"/>
    </xf>
    <xf numFmtId="0" fontId="6" fillId="0" borderId="0" xfId="7" applyNumberFormat="1"/>
    <xf numFmtId="0" fontId="6" fillId="0" borderId="0" xfId="7" applyNumberFormat="1" applyFill="1"/>
    <xf numFmtId="166" fontId="22" fillId="0" borderId="0" xfId="7" applyFont="1" applyFill="1" applyBorder="1" applyAlignment="1">
      <alignment wrapText="1"/>
    </xf>
    <xf numFmtId="166" fontId="6" fillId="0" borderId="0" xfId="7" applyBorder="1"/>
    <xf numFmtId="166" fontId="44" fillId="7" borderId="0" xfId="7" applyFont="1" applyFill="1"/>
    <xf numFmtId="166" fontId="22" fillId="0" borderId="0" xfId="7" applyFont="1"/>
    <xf numFmtId="0" fontId="22" fillId="0" borderId="0" xfId="7" applyNumberFormat="1" applyFont="1"/>
    <xf numFmtId="166" fontId="6" fillId="8" borderId="2" xfId="7" applyFont="1" applyFill="1" applyBorder="1" applyAlignment="1">
      <alignment wrapText="1"/>
    </xf>
    <xf numFmtId="166" fontId="6" fillId="8" borderId="3" xfId="7" applyFont="1" applyFill="1" applyBorder="1" applyAlignment="1">
      <alignment horizontal="center" vertical="center" wrapText="1"/>
    </xf>
    <xf numFmtId="166" fontId="6" fillId="8" borderId="3" xfId="7" applyFont="1" applyFill="1" applyBorder="1" applyAlignment="1">
      <alignment wrapText="1"/>
    </xf>
    <xf numFmtId="166" fontId="6" fillId="8" borderId="4" xfId="7" applyFont="1" applyFill="1" applyBorder="1" applyAlignment="1">
      <alignment horizontal="center" vertical="center" wrapText="1"/>
    </xf>
    <xf numFmtId="166" fontId="6" fillId="8" borderId="4" xfId="7" applyFont="1" applyFill="1" applyBorder="1" applyAlignment="1">
      <alignment wrapText="1"/>
    </xf>
    <xf numFmtId="166" fontId="6" fillId="8" borderId="3" xfId="7" applyFont="1" applyFill="1" applyBorder="1" applyAlignment="1">
      <alignment horizontal="center" wrapText="1"/>
    </xf>
    <xf numFmtId="166" fontId="6" fillId="8" borderId="3" xfId="7" applyFont="1" applyFill="1" applyBorder="1" applyAlignment="1">
      <alignment horizontal="center"/>
    </xf>
    <xf numFmtId="166" fontId="2" fillId="8" borderId="3" xfId="7" applyFont="1" applyFill="1" applyBorder="1" applyAlignment="1">
      <alignment horizontal="center" wrapText="1"/>
    </xf>
    <xf numFmtId="166" fontId="2" fillId="8" borderId="3" xfId="7" applyFont="1" applyFill="1" applyBorder="1" applyAlignment="1">
      <alignment horizontal="center"/>
    </xf>
    <xf numFmtId="166" fontId="6" fillId="0" borderId="0" xfId="7" applyAlignment="1">
      <alignment horizontal="right"/>
    </xf>
    <xf numFmtId="49" fontId="6" fillId="0" borderId="0" xfId="7" applyNumberFormat="1" applyFont="1" applyAlignment="1">
      <alignment horizontal="left"/>
    </xf>
    <xf numFmtId="166" fontId="6" fillId="0" borderId="0" xfId="7" applyFont="1" applyAlignment="1">
      <alignment wrapText="1"/>
    </xf>
    <xf numFmtId="166" fontId="6" fillId="0" borderId="0" xfId="7" applyFont="1" applyAlignment="1">
      <alignment horizontal="center"/>
    </xf>
    <xf numFmtId="49" fontId="6" fillId="0" borderId="0" xfId="7" applyNumberFormat="1" applyAlignment="1">
      <alignment horizontal="left"/>
    </xf>
    <xf numFmtId="166" fontId="3" fillId="8" borderId="2" xfId="7" applyFont="1" applyFill="1" applyBorder="1" applyAlignment="1">
      <alignment horizontal="center" wrapText="1"/>
    </xf>
    <xf numFmtId="166" fontId="3" fillId="8" borderId="2" xfId="7" applyFont="1" applyFill="1" applyBorder="1"/>
    <xf numFmtId="166" fontId="3" fillId="8" borderId="2" xfId="7" applyFont="1" applyFill="1" applyBorder="1" applyAlignment="1">
      <alignment horizontal="center"/>
    </xf>
    <xf numFmtId="166" fontId="6" fillId="8" borderId="1" xfId="7" applyFont="1" applyFill="1" applyBorder="1" applyAlignment="1">
      <alignment horizontal="left" wrapText="1"/>
    </xf>
    <xf numFmtId="166" fontId="6" fillId="8" borderId="1" xfId="7" applyFont="1" applyFill="1" applyBorder="1" applyAlignment="1">
      <alignment horizontal="centerContinuous"/>
    </xf>
    <xf numFmtId="166" fontId="6" fillId="8" borderId="2" xfId="7" applyFont="1" applyFill="1" applyBorder="1" applyAlignment="1">
      <alignment horizontal="center" vertical="center" wrapText="1"/>
    </xf>
    <xf numFmtId="0" fontId="0" fillId="7" borderId="0" xfId="0" applyFill="1" applyProtection="1"/>
    <xf numFmtId="166" fontId="2" fillId="7" borderId="5" xfId="7" applyFont="1" applyFill="1" applyBorder="1"/>
    <xf numFmtId="166" fontId="2" fillId="7" borderId="52" xfId="7" applyFont="1" applyFill="1" applyBorder="1"/>
    <xf numFmtId="166" fontId="2" fillId="7" borderId="16" xfId="7" applyFont="1" applyFill="1" applyBorder="1"/>
    <xf numFmtId="166" fontId="2" fillId="7" borderId="11" xfId="7" applyFont="1" applyFill="1" applyBorder="1"/>
    <xf numFmtId="166" fontId="2" fillId="7" borderId="18" xfId="7" applyFont="1" applyFill="1" applyBorder="1"/>
    <xf numFmtId="166" fontId="2" fillId="7" borderId="9" xfId="7" applyFont="1" applyFill="1" applyBorder="1"/>
    <xf numFmtId="166" fontId="33" fillId="7" borderId="52" xfId="7" applyFont="1" applyFill="1" applyBorder="1" applyAlignment="1">
      <alignment vertical="center"/>
    </xf>
    <xf numFmtId="166" fontId="34" fillId="7" borderId="52" xfId="7" applyFont="1" applyFill="1" applyBorder="1" applyAlignment="1">
      <alignment vertical="center"/>
    </xf>
    <xf numFmtId="166" fontId="2" fillId="0" borderId="61" xfId="7" applyFont="1" applyFill="1" applyBorder="1" applyAlignment="1">
      <alignment vertical="center"/>
    </xf>
    <xf numFmtId="166" fontId="2" fillId="0" borderId="7" xfId="7" applyFont="1" applyFill="1" applyBorder="1" applyAlignment="1">
      <alignment vertical="center"/>
    </xf>
    <xf numFmtId="166" fontId="40" fillId="0" borderId="7" xfId="7" applyFont="1" applyFill="1" applyBorder="1" applyAlignment="1">
      <alignment vertical="center"/>
    </xf>
    <xf numFmtId="166" fontId="38" fillId="2" borderId="18" xfId="7" applyFont="1" applyFill="1" applyBorder="1" applyAlignment="1">
      <alignment horizontal="center" vertical="center" wrapText="1"/>
    </xf>
    <xf numFmtId="166" fontId="2" fillId="0" borderId="18" xfId="7" applyFont="1" applyBorder="1" applyAlignment="1">
      <alignment horizontal="center"/>
    </xf>
    <xf numFmtId="166" fontId="2" fillId="0" borderId="4" xfId="7" applyFont="1" applyBorder="1" applyAlignment="1">
      <alignment horizontal="center"/>
    </xf>
    <xf numFmtId="0" fontId="8" fillId="2" borderId="62" xfId="0" applyFont="1" applyFill="1" applyBorder="1" applyAlignment="1" applyProtection="1"/>
    <xf numFmtId="0" fontId="8" fillId="2" borderId="63" xfId="0" applyFont="1" applyFill="1" applyBorder="1" applyAlignment="1" applyProtection="1"/>
    <xf numFmtId="167" fontId="22" fillId="7" borderId="66" xfId="0" applyNumberFormat="1" applyFont="1" applyFill="1" applyBorder="1" applyAlignment="1" applyProtection="1">
      <alignment vertical="center"/>
    </xf>
    <xf numFmtId="0" fontId="0" fillId="2" borderId="70" xfId="0" applyFill="1" applyBorder="1" applyProtection="1"/>
    <xf numFmtId="0" fontId="0" fillId="2" borderId="66" xfId="0" applyFill="1" applyBorder="1" applyProtection="1"/>
    <xf numFmtId="0" fontId="0" fillId="2" borderId="71" xfId="0" applyFill="1" applyBorder="1" applyProtection="1"/>
    <xf numFmtId="0" fontId="0" fillId="2" borderId="72" xfId="0" applyFill="1" applyBorder="1" applyProtection="1"/>
    <xf numFmtId="0" fontId="0" fillId="2" borderId="73" xfId="0" applyFill="1" applyBorder="1" applyProtection="1"/>
    <xf numFmtId="0" fontId="23" fillId="7" borderId="17" xfId="0" applyFont="1" applyFill="1" applyBorder="1" applyAlignment="1" applyProtection="1">
      <alignment vertical="center"/>
    </xf>
    <xf numFmtId="0" fontId="23" fillId="7" borderId="70" xfId="0" applyFont="1" applyFill="1" applyBorder="1" applyAlignment="1" applyProtection="1">
      <alignment vertical="center"/>
    </xf>
    <xf numFmtId="0" fontId="16" fillId="7" borderId="68" xfId="2" applyFont="1" applyFill="1" applyBorder="1" applyAlignment="1" applyProtection="1">
      <alignment vertical="center"/>
    </xf>
    <xf numFmtId="0" fontId="0" fillId="2" borderId="0" xfId="0" applyFill="1" applyProtection="1"/>
    <xf numFmtId="170" fontId="6" fillId="7" borderId="1" xfId="0" applyNumberFormat="1" applyFont="1" applyFill="1" applyBorder="1" applyProtection="1"/>
    <xf numFmtId="170" fontId="6" fillId="7" borderId="1" xfId="0" applyNumberFormat="1" applyFont="1" applyFill="1" applyBorder="1" applyAlignment="1" applyProtection="1">
      <alignment vertical="center"/>
    </xf>
    <xf numFmtId="0" fontId="8" fillId="2" borderId="66" xfId="0" applyFont="1" applyFill="1" applyBorder="1" applyAlignment="1" applyProtection="1">
      <alignment horizontal="center"/>
    </xf>
    <xf numFmtId="0" fontId="8" fillId="2" borderId="7" xfId="0" applyFont="1" applyFill="1" applyBorder="1" applyAlignment="1" applyProtection="1">
      <alignment horizontal="center"/>
    </xf>
    <xf numFmtId="0" fontId="8" fillId="2" borderId="0" xfId="0" applyFont="1" applyFill="1" applyBorder="1" applyAlignment="1" applyProtection="1">
      <alignment horizontal="center"/>
    </xf>
    <xf numFmtId="0" fontId="0" fillId="2" borderId="0" xfId="0" applyFill="1" applyBorder="1" applyProtection="1"/>
    <xf numFmtId="0" fontId="0" fillId="2" borderId="0" xfId="0" applyFill="1" applyBorder="1" applyAlignment="1" applyProtection="1">
      <alignment vertical="top"/>
    </xf>
    <xf numFmtId="0" fontId="0" fillId="8" borderId="1" xfId="0" applyFill="1" applyBorder="1" applyAlignment="1" applyProtection="1">
      <alignment horizontal="center"/>
    </xf>
    <xf numFmtId="0" fontId="7" fillId="8" borderId="1" xfId="0" applyFont="1" applyFill="1" applyBorder="1" applyAlignment="1" applyProtection="1">
      <alignment horizontal="center"/>
    </xf>
    <xf numFmtId="164" fontId="7" fillId="8" borderId="1" xfId="0" applyNumberFormat="1" applyFont="1" applyFill="1" applyBorder="1" applyAlignment="1" applyProtection="1">
      <alignment horizontal="center"/>
    </xf>
    <xf numFmtId="0" fontId="0" fillId="7" borderId="66" xfId="0" applyFill="1" applyBorder="1"/>
    <xf numFmtId="0" fontId="2" fillId="6" borderId="1" xfId="0" applyFont="1" applyFill="1" applyBorder="1" applyAlignment="1" applyProtection="1">
      <alignment horizontal="center"/>
    </xf>
    <xf numFmtId="0" fontId="0" fillId="6" borderId="1" xfId="0" applyFill="1" applyBorder="1" applyAlignment="1" applyProtection="1">
      <alignment horizontal="center"/>
    </xf>
    <xf numFmtId="0" fontId="0" fillId="2" borderId="0" xfId="0" applyFill="1" applyBorder="1" applyProtection="1"/>
    <xf numFmtId="0" fontId="0" fillId="2" borderId="0" xfId="0" applyFill="1" applyBorder="1" applyAlignment="1" applyProtection="1">
      <alignment vertical="top"/>
    </xf>
    <xf numFmtId="0" fontId="0" fillId="7" borderId="0" xfId="0" applyFill="1" applyProtection="1"/>
    <xf numFmtId="0" fontId="0" fillId="7" borderId="0" xfId="0" applyFill="1" applyBorder="1" applyProtection="1"/>
    <xf numFmtId="0" fontId="2" fillId="2" borderId="2" xfId="0" applyFont="1" applyFill="1" applyBorder="1" applyAlignment="1" applyProtection="1">
      <alignment horizontal="center" vertical="center"/>
    </xf>
    <xf numFmtId="0" fontId="3" fillId="6" borderId="0" xfId="0" applyFont="1" applyFill="1" applyBorder="1" applyAlignment="1" applyProtection="1"/>
    <xf numFmtId="0" fontId="6" fillId="6" borderId="0" xfId="0" applyFont="1" applyFill="1" applyBorder="1" applyAlignment="1" applyProtection="1">
      <alignment wrapText="1"/>
    </xf>
    <xf numFmtId="0" fontId="2" fillId="2" borderId="1" xfId="0" applyFont="1" applyFill="1" applyBorder="1" applyAlignment="1" applyProtection="1">
      <alignment horizontal="center" vertical="center"/>
    </xf>
    <xf numFmtId="0" fontId="2" fillId="8" borderId="1" xfId="0" applyFont="1" applyFill="1" applyBorder="1" applyAlignment="1" applyProtection="1">
      <alignment wrapText="1"/>
    </xf>
    <xf numFmtId="0" fontId="0" fillId="2" borderId="91" xfId="0" applyFill="1" applyBorder="1" applyProtection="1"/>
    <xf numFmtId="0" fontId="0" fillId="2" borderId="68" xfId="0" applyFill="1" applyBorder="1" applyProtection="1"/>
    <xf numFmtId="0" fontId="2" fillId="7" borderId="0" xfId="0" applyFont="1" applyFill="1" applyBorder="1" applyAlignment="1">
      <alignment horizontal="center" vertical="center"/>
    </xf>
    <xf numFmtId="0" fontId="0" fillId="8" borderId="2" xfId="0" applyFill="1" applyBorder="1" applyAlignment="1" applyProtection="1"/>
    <xf numFmtId="14" fontId="6" fillId="7" borderId="62" xfId="7" applyNumberFormat="1" applyFill="1" applyBorder="1" applyAlignment="1">
      <alignment horizontal="left"/>
    </xf>
    <xf numFmtId="14" fontId="6" fillId="7" borderId="66" xfId="7" applyNumberFormat="1" applyFill="1" applyBorder="1" applyAlignment="1">
      <alignment horizontal="left"/>
    </xf>
    <xf numFmtId="14" fontId="6" fillId="7" borderId="68" xfId="7" applyNumberFormat="1" applyFill="1" applyBorder="1" applyAlignment="1">
      <alignment horizontal="left"/>
    </xf>
    <xf numFmtId="49" fontId="3" fillId="8" borderId="94" xfId="7" applyNumberFormat="1" applyFont="1" applyFill="1" applyBorder="1" applyAlignment="1">
      <alignment horizontal="left"/>
    </xf>
    <xf numFmtId="166" fontId="3" fillId="8" borderId="87" xfId="7" applyFont="1" applyFill="1" applyBorder="1" applyAlignment="1">
      <alignment horizontal="center"/>
    </xf>
    <xf numFmtId="49" fontId="6" fillId="8" borderId="0" xfId="7" applyNumberFormat="1" applyFont="1" applyFill="1" applyBorder="1"/>
    <xf numFmtId="49" fontId="6" fillId="8" borderId="95" xfId="7" applyNumberFormat="1" applyFont="1" applyFill="1" applyBorder="1" applyAlignment="1">
      <alignment horizontal="left"/>
    </xf>
    <xf numFmtId="166" fontId="6" fillId="8" borderId="89" xfId="7" applyFont="1" applyFill="1" applyBorder="1" applyAlignment="1">
      <alignment horizontal="centerContinuous"/>
    </xf>
    <xf numFmtId="49" fontId="6" fillId="8" borderId="94" xfId="7" quotePrefix="1" applyNumberFormat="1" applyFont="1" applyFill="1" applyBorder="1" applyAlignment="1">
      <alignment horizontal="left"/>
    </xf>
    <xf numFmtId="49" fontId="6" fillId="8" borderId="96" xfId="7" applyNumberFormat="1" applyFont="1" applyFill="1" applyBorder="1" applyAlignment="1">
      <alignment horizontal="left" vertical="center"/>
    </xf>
    <xf numFmtId="49" fontId="6" fillId="8" borderId="97" xfId="7" applyNumberFormat="1" applyFont="1" applyFill="1" applyBorder="1" applyAlignment="1">
      <alignment horizontal="left" vertical="center"/>
    </xf>
    <xf numFmtId="49" fontId="6" fillId="8" borderId="97" xfId="7" quotePrefix="1" applyNumberFormat="1" applyFont="1" applyFill="1" applyBorder="1" applyAlignment="1">
      <alignment horizontal="left"/>
    </xf>
    <xf numFmtId="166" fontId="6" fillId="8" borderId="90" xfId="7" applyFont="1" applyFill="1" applyBorder="1" applyAlignment="1">
      <alignment horizontal="center"/>
    </xf>
    <xf numFmtId="49" fontId="6" fillId="8" borderId="97" xfId="7" applyNumberFormat="1" applyFont="1" applyFill="1" applyBorder="1" applyAlignment="1">
      <alignment horizontal="left"/>
    </xf>
    <xf numFmtId="49" fontId="2" fillId="8" borderId="97" xfId="7" applyNumberFormat="1" applyFont="1" applyFill="1" applyBorder="1" applyAlignment="1">
      <alignment horizontal="left"/>
    </xf>
    <xf numFmtId="166" fontId="2" fillId="8" borderId="90" xfId="7" applyFont="1" applyFill="1" applyBorder="1" applyAlignment="1">
      <alignment horizontal="center"/>
    </xf>
    <xf numFmtId="49" fontId="6" fillId="8" borderId="94" xfId="7" applyNumberFormat="1" applyFont="1" applyFill="1" applyBorder="1" applyAlignment="1">
      <alignment horizontal="left" vertical="center"/>
    </xf>
    <xf numFmtId="49" fontId="6" fillId="8" borderId="78" xfId="7" applyNumberFormat="1" applyFont="1" applyFill="1" applyBorder="1" applyAlignment="1">
      <alignment horizontal="left" vertical="center"/>
    </xf>
    <xf numFmtId="49" fontId="6" fillId="8" borderId="66" xfId="7" quotePrefix="1" applyNumberFormat="1" applyFont="1" applyFill="1" applyBorder="1" applyAlignment="1">
      <alignment horizontal="left" vertical="center"/>
    </xf>
    <xf numFmtId="49" fontId="6" fillId="8" borderId="66" xfId="7" quotePrefix="1" applyNumberFormat="1" applyFont="1" applyFill="1" applyBorder="1" applyAlignment="1">
      <alignment horizontal="left"/>
    </xf>
    <xf numFmtId="166" fontId="6" fillId="8" borderId="70" xfId="7" applyFont="1" applyFill="1" applyBorder="1" applyAlignment="1">
      <alignment horizontal="center"/>
    </xf>
    <xf numFmtId="49" fontId="3" fillId="8" borderId="68" xfId="7" applyNumberFormat="1" applyFont="1" applyFill="1" applyBorder="1" applyAlignment="1">
      <alignment horizontal="left"/>
    </xf>
    <xf numFmtId="14" fontId="6" fillId="8" borderId="4" xfId="7" applyNumberFormat="1" applyFont="1" applyFill="1" applyBorder="1" applyAlignment="1">
      <alignment horizontal="center"/>
    </xf>
    <xf numFmtId="166" fontId="35" fillId="0" borderId="1" xfId="7" applyFont="1" applyBorder="1" applyAlignment="1" applyProtection="1">
      <alignment horizontal="right" vertical="center"/>
    </xf>
    <xf numFmtId="166" fontId="3" fillId="0" borderId="16" xfId="7" applyFont="1" applyFill="1" applyBorder="1" applyAlignment="1" applyProtection="1">
      <alignment vertical="center"/>
    </xf>
    <xf numFmtId="166" fontId="38" fillId="2" borderId="53" xfId="7" applyFont="1" applyFill="1" applyBorder="1" applyAlignment="1" applyProtection="1">
      <alignment horizontal="right" vertical="center"/>
    </xf>
    <xf numFmtId="166" fontId="38" fillId="2" borderId="55" xfId="7" applyFont="1" applyFill="1" applyBorder="1" applyAlignment="1" applyProtection="1">
      <alignment horizontal="right" vertical="center"/>
    </xf>
    <xf numFmtId="166" fontId="38" fillId="2" borderId="0" xfId="7" applyFont="1" applyFill="1" applyBorder="1" applyAlignment="1" applyProtection="1">
      <alignment horizontal="right" vertical="center"/>
    </xf>
    <xf numFmtId="166" fontId="40" fillId="0" borderId="0" xfId="7" applyFont="1" applyFill="1" applyBorder="1" applyAlignment="1" applyProtection="1">
      <alignment vertical="center"/>
    </xf>
    <xf numFmtId="49" fontId="2" fillId="7" borderId="0" xfId="0" applyNumberFormat="1" applyFont="1" applyFill="1" applyBorder="1" applyAlignment="1" applyProtection="1">
      <alignment horizontal="right" vertical="center"/>
    </xf>
    <xf numFmtId="1" fontId="47" fillId="10" borderId="0" xfId="0" applyNumberFormat="1" applyFont="1" applyFill="1" applyBorder="1" applyAlignment="1" applyProtection="1">
      <alignment horizontal="right" vertical="center"/>
    </xf>
    <xf numFmtId="166" fontId="48" fillId="7" borderId="69" xfId="9" applyFont="1" applyFill="1" applyBorder="1" applyAlignment="1" applyProtection="1">
      <alignment horizontal="center"/>
    </xf>
    <xf numFmtId="166" fontId="48" fillId="7" borderId="67" xfId="9" applyFont="1" applyFill="1" applyBorder="1" applyAlignment="1" applyProtection="1">
      <alignment horizontal="center"/>
    </xf>
    <xf numFmtId="14" fontId="48" fillId="7" borderId="67" xfId="9" quotePrefix="1" applyNumberFormat="1" applyFont="1" applyFill="1" applyBorder="1" applyAlignment="1" applyProtection="1">
      <alignment horizontal="center"/>
    </xf>
    <xf numFmtId="166" fontId="48" fillId="7" borderId="79" xfId="9" applyFont="1" applyFill="1" applyBorder="1" applyAlignment="1" applyProtection="1">
      <alignment horizontal="center"/>
    </xf>
    <xf numFmtId="0" fontId="0" fillId="0" borderId="0" xfId="0" applyProtection="1"/>
    <xf numFmtId="0" fontId="0" fillId="7" borderId="66" xfId="0" applyFill="1" applyBorder="1" applyProtection="1"/>
    <xf numFmtId="0" fontId="0" fillId="7" borderId="70" xfId="0" applyFill="1" applyBorder="1" applyProtection="1"/>
    <xf numFmtId="0" fontId="64" fillId="7" borderId="0" xfId="0" applyFont="1" applyFill="1" applyBorder="1" applyProtection="1"/>
    <xf numFmtId="0" fontId="63" fillId="0" borderId="0" xfId="0" applyFont="1" applyBorder="1" applyProtection="1"/>
    <xf numFmtId="0" fontId="63" fillId="7" borderId="0" xfId="0" applyFont="1" applyFill="1" applyBorder="1" applyProtection="1"/>
    <xf numFmtId="0" fontId="63" fillId="7" borderId="70" xfId="0" applyFont="1" applyFill="1" applyBorder="1" applyProtection="1"/>
    <xf numFmtId="0" fontId="51" fillId="7" borderId="0" xfId="0" applyFont="1" applyFill="1" applyBorder="1" applyAlignment="1" applyProtection="1">
      <alignment vertical="center"/>
    </xf>
    <xf numFmtId="0" fontId="51" fillId="7" borderId="70" xfId="0" applyFont="1" applyFill="1" applyBorder="1" applyAlignment="1" applyProtection="1">
      <alignment vertical="center"/>
    </xf>
    <xf numFmtId="0" fontId="59" fillId="7" borderId="1" xfId="0" applyFont="1" applyFill="1" applyBorder="1" applyAlignment="1" applyProtection="1">
      <alignment horizontal="right" vertical="center"/>
    </xf>
    <xf numFmtId="0" fontId="2" fillId="7" borderId="1" xfId="0" applyFont="1" applyFill="1" applyBorder="1" applyAlignment="1" applyProtection="1">
      <alignment horizontal="left"/>
    </xf>
    <xf numFmtId="0" fontId="0" fillId="7" borderId="1" xfId="0" applyFill="1" applyBorder="1" applyAlignment="1" applyProtection="1">
      <alignment horizontal="left"/>
    </xf>
    <xf numFmtId="0" fontId="0" fillId="8" borderId="89" xfId="0" applyFill="1" applyBorder="1" applyAlignment="1" applyProtection="1">
      <alignment horizontal="center"/>
    </xf>
    <xf numFmtId="0" fontId="50" fillId="7" borderId="1" xfId="0" applyFont="1" applyFill="1" applyBorder="1" applyAlignment="1" applyProtection="1">
      <alignment horizontal="right" vertical="center"/>
    </xf>
    <xf numFmtId="0" fontId="50" fillId="7" borderId="0" xfId="0" applyFont="1" applyFill="1" applyBorder="1" applyAlignment="1" applyProtection="1">
      <alignment vertical="center"/>
    </xf>
    <xf numFmtId="0" fontId="0" fillId="7" borderId="71" xfId="0" applyFill="1" applyBorder="1" applyProtection="1"/>
    <xf numFmtId="0" fontId="0" fillId="7" borderId="72" xfId="0" applyFill="1" applyBorder="1" applyProtection="1"/>
    <xf numFmtId="0" fontId="57" fillId="7" borderId="78" xfId="0" applyFont="1" applyFill="1" applyBorder="1" applyAlignment="1" applyProtection="1"/>
    <xf numFmtId="0" fontId="57" fillId="7" borderId="59" xfId="0" applyFont="1" applyFill="1" applyBorder="1" applyAlignment="1" applyProtection="1"/>
    <xf numFmtId="0" fontId="57" fillId="7" borderId="86" xfId="0" applyFont="1" applyFill="1" applyBorder="1" applyAlignment="1" applyProtection="1"/>
    <xf numFmtId="0" fontId="39" fillId="8" borderId="0" xfId="7" applyNumberFormat="1" applyFont="1" applyFill="1" applyBorder="1" applyAlignment="1" applyProtection="1">
      <alignment horizontal="left" vertical="center"/>
      <protection locked="0"/>
    </xf>
    <xf numFmtId="170" fontId="39" fillId="0" borderId="0" xfId="8" applyNumberFormat="1" applyFont="1" applyFill="1" applyBorder="1" applyAlignment="1" applyProtection="1">
      <alignment horizontal="center" vertical="center"/>
      <protection locked="0"/>
    </xf>
    <xf numFmtId="0" fontId="39" fillId="0" borderId="0" xfId="7" applyNumberFormat="1" applyFont="1" applyFill="1" applyBorder="1" applyAlignment="1" applyProtection="1">
      <alignment horizontal="left" vertical="center"/>
      <protection locked="0"/>
    </xf>
    <xf numFmtId="166" fontId="38" fillId="2" borderId="16" xfId="7" applyFont="1" applyFill="1" applyBorder="1" applyAlignment="1">
      <alignment horizontal="center" vertical="center" wrapText="1"/>
    </xf>
    <xf numFmtId="166" fontId="38" fillId="2" borderId="59" xfId="7" applyFont="1" applyFill="1" applyBorder="1" applyAlignment="1">
      <alignment horizontal="center" vertical="center" wrapText="1"/>
    </xf>
    <xf numFmtId="166" fontId="38" fillId="2" borderId="8" xfId="7" applyFont="1" applyFill="1" applyBorder="1" applyAlignment="1">
      <alignment horizontal="center" vertical="center" wrapText="1"/>
    </xf>
    <xf numFmtId="166" fontId="2" fillId="0" borderId="15" xfId="7" applyFont="1" applyBorder="1" applyAlignment="1">
      <alignment horizontal="center"/>
    </xf>
    <xf numFmtId="166" fontId="2" fillId="0" borderId="9" xfId="7" applyFont="1" applyBorder="1" applyAlignment="1">
      <alignment horizontal="center"/>
    </xf>
    <xf numFmtId="167" fontId="39" fillId="8" borderId="0" xfId="7" applyNumberFormat="1" applyFont="1" applyFill="1" applyBorder="1" applyAlignment="1" applyProtection="1">
      <alignment horizontal="left" vertical="center"/>
      <protection locked="0"/>
    </xf>
    <xf numFmtId="166" fontId="2" fillId="0" borderId="0" xfId="7" applyFont="1" applyFill="1" applyBorder="1"/>
    <xf numFmtId="166" fontId="37" fillId="0" borderId="0" xfId="7" applyFont="1" applyFill="1" applyBorder="1" applyAlignment="1">
      <alignment horizontal="centerContinuous" vertical="center"/>
    </xf>
    <xf numFmtId="166" fontId="38" fillId="0" borderId="0" xfId="7" applyFont="1" applyFill="1" applyBorder="1" applyAlignment="1">
      <alignment horizontal="center" vertical="center" wrapText="1"/>
    </xf>
    <xf numFmtId="166" fontId="38" fillId="2" borderId="8" xfId="7" applyFont="1" applyFill="1" applyBorder="1" applyAlignment="1">
      <alignment horizontal="center" vertical="center" wrapText="1"/>
    </xf>
    <xf numFmtId="166" fontId="38" fillId="2" borderId="18" xfId="7" applyFont="1" applyFill="1" applyBorder="1" applyAlignment="1">
      <alignment horizontal="center" vertical="center" wrapText="1"/>
    </xf>
    <xf numFmtId="0" fontId="39" fillId="8" borderId="55" xfId="7" applyNumberFormat="1" applyFont="1" applyFill="1" applyBorder="1" applyAlignment="1" applyProtection="1">
      <alignment horizontal="left" vertical="center"/>
      <protection locked="0"/>
    </xf>
    <xf numFmtId="0" fontId="0" fillId="2" borderId="17" xfId="0" applyFill="1" applyBorder="1" applyAlignment="1" applyProtection="1">
      <alignment vertical="center"/>
    </xf>
    <xf numFmtId="0" fontId="0" fillId="2" borderId="0" xfId="0" applyFill="1" applyBorder="1" applyAlignment="1" applyProtection="1">
      <alignment vertical="center"/>
    </xf>
    <xf numFmtId="3" fontId="2" fillId="2" borderId="0" xfId="0" applyNumberFormat="1" applyFont="1" applyFill="1" applyBorder="1" applyAlignment="1" applyProtection="1">
      <alignment vertical="center"/>
    </xf>
    <xf numFmtId="0" fontId="2" fillId="2" borderId="0" xfId="0" applyFont="1" applyFill="1" applyBorder="1" applyAlignment="1" applyProtection="1">
      <alignment vertical="center"/>
    </xf>
    <xf numFmtId="0" fontId="2" fillId="2" borderId="0" xfId="0" applyFont="1" applyFill="1" applyBorder="1" applyAlignment="1" applyProtection="1">
      <alignment vertical="center" wrapText="1"/>
    </xf>
    <xf numFmtId="0" fontId="2" fillId="2" borderId="17" xfId="0" applyFont="1" applyFill="1" applyBorder="1" applyAlignment="1" applyProtection="1">
      <alignment vertical="center"/>
    </xf>
    <xf numFmtId="0" fontId="12" fillId="2" borderId="17" xfId="0" applyFont="1" applyFill="1" applyBorder="1" applyAlignment="1" applyProtection="1">
      <alignment vertical="center"/>
    </xf>
    <xf numFmtId="0" fontId="12" fillId="2" borderId="0" xfId="0" applyFont="1" applyFill="1" applyBorder="1" applyAlignment="1" applyProtection="1">
      <alignment vertical="center"/>
    </xf>
    <xf numFmtId="0" fontId="0" fillId="2" borderId="7" xfId="0" applyFill="1" applyBorder="1" applyAlignment="1" applyProtection="1">
      <alignment vertical="center"/>
    </xf>
    <xf numFmtId="0" fontId="7" fillId="2" borderId="0" xfId="0" applyFont="1" applyFill="1" applyBorder="1" applyAlignment="1" applyProtection="1">
      <alignment vertical="center"/>
    </xf>
    <xf numFmtId="0" fontId="2" fillId="2" borderId="17" xfId="0" applyFont="1" applyFill="1" applyBorder="1" applyAlignment="1" applyProtection="1">
      <alignment horizontal="left" vertical="center"/>
    </xf>
    <xf numFmtId="0" fontId="0" fillId="2" borderId="19" xfId="0" applyFill="1" applyBorder="1" applyAlignment="1" applyProtection="1">
      <alignment vertical="center"/>
    </xf>
    <xf numFmtId="0" fontId="0" fillId="2" borderId="20" xfId="0" applyFill="1" applyBorder="1" applyAlignment="1" applyProtection="1">
      <alignment vertical="center"/>
    </xf>
    <xf numFmtId="0" fontId="25" fillId="2" borderId="21" xfId="0" applyFont="1" applyFill="1" applyBorder="1" applyAlignment="1" applyProtection="1">
      <alignment vertical="center"/>
    </xf>
    <xf numFmtId="0" fontId="25" fillId="2" borderId="51" xfId="0" applyFont="1" applyFill="1" applyBorder="1" applyAlignment="1" applyProtection="1">
      <alignment vertical="center"/>
    </xf>
    <xf numFmtId="0" fontId="25" fillId="2" borderId="22" xfId="0" applyFont="1" applyFill="1" applyBorder="1" applyAlignment="1" applyProtection="1">
      <alignment vertical="center"/>
    </xf>
    <xf numFmtId="164" fontId="39" fillId="8" borderId="55" xfId="6" applyNumberFormat="1" applyFont="1" applyFill="1" applyBorder="1" applyAlignment="1" applyProtection="1">
      <alignment horizontal="left" vertical="center"/>
      <protection locked="0"/>
    </xf>
    <xf numFmtId="164" fontId="2" fillId="0" borderId="0" xfId="7" applyNumberFormat="1" applyFont="1" applyBorder="1"/>
    <xf numFmtId="164" fontId="38" fillId="2" borderId="3" xfId="7" applyNumberFormat="1" applyFont="1" applyFill="1" applyBorder="1" applyAlignment="1">
      <alignment horizontal="center" vertical="center" wrapText="1"/>
    </xf>
    <xf numFmtId="164" fontId="2" fillId="0" borderId="18" xfId="7" applyNumberFormat="1" applyFont="1" applyBorder="1" applyAlignment="1">
      <alignment horizontal="center"/>
    </xf>
    <xf numFmtId="164" fontId="38" fillId="2" borderId="16" xfId="7" applyNumberFormat="1" applyFont="1" applyFill="1" applyBorder="1" applyAlignment="1">
      <alignment horizontal="center" vertical="center" wrapText="1"/>
    </xf>
    <xf numFmtId="164" fontId="2" fillId="0" borderId="0" xfId="7" applyNumberFormat="1" applyFont="1"/>
    <xf numFmtId="164" fontId="2" fillId="0" borderId="0" xfId="7" applyNumberFormat="1" applyFont="1" applyAlignment="1">
      <alignment horizontal="right"/>
    </xf>
    <xf numFmtId="166" fontId="2" fillId="0" borderId="11" xfId="7" applyFont="1" applyBorder="1" applyAlignment="1" applyProtection="1"/>
    <xf numFmtId="166" fontId="2" fillId="0" borderId="11" xfId="7" applyFont="1" applyBorder="1" applyProtection="1"/>
    <xf numFmtId="166" fontId="2" fillId="0" borderId="11" xfId="7" applyFont="1" applyFill="1" applyBorder="1" applyAlignment="1" applyProtection="1">
      <alignment horizontal="right" vertical="center"/>
    </xf>
    <xf numFmtId="2" fontId="0" fillId="2" borderId="0" xfId="0" applyNumberFormat="1" applyFill="1" applyBorder="1" applyProtection="1"/>
    <xf numFmtId="166" fontId="38" fillId="2" borderId="3" xfId="7" applyFont="1" applyFill="1" applyBorder="1" applyAlignment="1" applyProtection="1">
      <alignment horizontal="center" vertical="center" wrapText="1"/>
      <protection hidden="1"/>
    </xf>
    <xf numFmtId="166" fontId="34" fillId="0" borderId="6" xfId="7" applyFont="1" applyFill="1" applyBorder="1" applyAlignment="1">
      <alignment vertical="center"/>
    </xf>
    <xf numFmtId="166" fontId="38" fillId="2" borderId="8" xfId="7" applyFont="1" applyFill="1" applyBorder="1" applyAlignment="1">
      <alignment horizontal="center" vertical="center" wrapText="1"/>
    </xf>
    <xf numFmtId="166" fontId="38" fillId="2" borderId="18" xfId="7" applyFont="1" applyFill="1" applyBorder="1" applyAlignment="1">
      <alignment horizontal="center" vertical="center" wrapText="1"/>
    </xf>
    <xf numFmtId="0" fontId="39" fillId="8" borderId="55" xfId="7" applyNumberFormat="1" applyFont="1" applyFill="1" applyBorder="1" applyAlignment="1" applyProtection="1">
      <alignment horizontal="left" vertical="center"/>
      <protection locked="0"/>
    </xf>
    <xf numFmtId="0" fontId="39" fillId="8" borderId="53" xfId="7" applyNumberFormat="1" applyFont="1" applyFill="1" applyBorder="1" applyAlignment="1" applyProtection="1">
      <alignment horizontal="left" vertical="center"/>
      <protection locked="0"/>
    </xf>
    <xf numFmtId="0" fontId="2" fillId="7" borderId="16" xfId="0" applyFont="1" applyFill="1" applyBorder="1" applyAlignment="1" applyProtection="1">
      <alignment horizontal="center"/>
      <protection hidden="1"/>
    </xf>
    <xf numFmtId="0" fontId="0" fillId="7" borderId="11" xfId="0" applyFill="1" applyBorder="1" applyAlignment="1" applyProtection="1">
      <alignment horizontal="center"/>
      <protection hidden="1"/>
    </xf>
    <xf numFmtId="0" fontId="0" fillId="7" borderId="8" xfId="0" applyFill="1" applyBorder="1" applyAlignment="1" applyProtection="1">
      <alignment horizontal="center"/>
      <protection hidden="1"/>
    </xf>
    <xf numFmtId="0" fontId="0" fillId="7" borderId="0" xfId="0" applyFill="1" applyProtection="1">
      <protection hidden="1"/>
    </xf>
    <xf numFmtId="0" fontId="2" fillId="7" borderId="17" xfId="0" applyFont="1" applyFill="1" applyBorder="1" applyProtection="1">
      <protection hidden="1"/>
    </xf>
    <xf numFmtId="3" fontId="0" fillId="7" borderId="0" xfId="0" applyNumberFormat="1" applyFill="1" applyBorder="1" applyProtection="1">
      <protection hidden="1"/>
    </xf>
    <xf numFmtId="0" fontId="2" fillId="7" borderId="0" xfId="0" applyFont="1" applyFill="1" applyBorder="1" applyProtection="1">
      <protection hidden="1"/>
    </xf>
    <xf numFmtId="0" fontId="0" fillId="7" borderId="0" xfId="0" applyFill="1" applyBorder="1" applyProtection="1">
      <protection hidden="1"/>
    </xf>
    <xf numFmtId="0" fontId="0" fillId="7" borderId="7" xfId="0" applyFill="1" applyBorder="1" applyProtection="1">
      <protection hidden="1"/>
    </xf>
    <xf numFmtId="0" fontId="2" fillId="7" borderId="0" xfId="0" applyFont="1" applyFill="1" applyBorder="1" applyAlignment="1" applyProtection="1">
      <alignment vertical="top"/>
      <protection hidden="1"/>
    </xf>
    <xf numFmtId="0" fontId="2" fillId="7" borderId="18" xfId="0" applyFont="1" applyFill="1" applyBorder="1" applyProtection="1">
      <protection hidden="1"/>
    </xf>
    <xf numFmtId="0" fontId="0" fillId="7" borderId="15" xfId="0" applyFill="1" applyBorder="1" applyProtection="1">
      <protection hidden="1"/>
    </xf>
    <xf numFmtId="0" fontId="0" fillId="7" borderId="9" xfId="0" applyFill="1" applyBorder="1" applyProtection="1">
      <protection hidden="1"/>
    </xf>
    <xf numFmtId="0" fontId="2" fillId="7" borderId="0" xfId="0" applyFont="1" applyFill="1" applyAlignment="1" applyProtection="1">
      <alignment horizontal="center"/>
      <protection hidden="1"/>
    </xf>
    <xf numFmtId="0" fontId="2" fillId="7" borderId="0" xfId="0" applyFont="1" applyFill="1" applyProtection="1">
      <protection hidden="1"/>
    </xf>
    <xf numFmtId="0" fontId="2" fillId="7" borderId="0" xfId="0" applyFont="1" applyFill="1" applyAlignment="1" applyProtection="1">
      <alignment horizontal="right"/>
      <protection hidden="1"/>
    </xf>
    <xf numFmtId="0" fontId="22" fillId="7" borderId="1" xfId="0" applyFont="1" applyFill="1" applyBorder="1" applyAlignment="1" applyProtection="1">
      <alignment horizontal="center" vertical="top" wrapText="1"/>
      <protection hidden="1"/>
    </xf>
    <xf numFmtId="3" fontId="0" fillId="7" borderId="0" xfId="0" applyNumberFormat="1" applyFill="1" applyProtection="1">
      <protection hidden="1"/>
    </xf>
    <xf numFmtId="0" fontId="2" fillId="7" borderId="1" xfId="0" applyFont="1" applyFill="1" applyBorder="1" applyProtection="1">
      <protection hidden="1"/>
    </xf>
    <xf numFmtId="0" fontId="7" fillId="7" borderId="5" xfId="0" applyFont="1" applyFill="1" applyBorder="1" applyAlignment="1" applyProtection="1">
      <alignment horizontal="center"/>
      <protection hidden="1"/>
    </xf>
    <xf numFmtId="0" fontId="7" fillId="7" borderId="6" xfId="0" applyFont="1" applyFill="1" applyBorder="1" applyAlignment="1" applyProtection="1">
      <alignment horizontal="center"/>
      <protection hidden="1"/>
    </xf>
    <xf numFmtId="1" fontId="7" fillId="7" borderId="5" xfId="0" applyNumberFormat="1" applyFont="1" applyFill="1" applyBorder="1" applyAlignment="1" applyProtection="1">
      <alignment horizontal="center"/>
      <protection hidden="1"/>
    </xf>
    <xf numFmtId="1" fontId="7" fillId="7" borderId="6" xfId="0" applyNumberFormat="1" applyFont="1" applyFill="1" applyBorder="1" applyAlignment="1" applyProtection="1">
      <alignment horizontal="center"/>
      <protection hidden="1"/>
    </xf>
    <xf numFmtId="0" fontId="2" fillId="7" borderId="5" xfId="0" applyFont="1" applyFill="1" applyBorder="1" applyAlignment="1" applyProtection="1">
      <alignment horizontal="center"/>
      <protection hidden="1"/>
    </xf>
    <xf numFmtId="0" fontId="25" fillId="7" borderId="0" xfId="0" applyFont="1" applyFill="1" applyProtection="1">
      <protection hidden="1"/>
    </xf>
    <xf numFmtId="0" fontId="7" fillId="2" borderId="17" xfId="0" applyFont="1" applyFill="1" applyBorder="1" applyAlignment="1" applyProtection="1">
      <alignment horizontal="left" vertical="center"/>
    </xf>
    <xf numFmtId="0" fontId="7" fillId="2" borderId="0" xfId="0" applyFont="1" applyFill="1" applyBorder="1" applyAlignment="1" applyProtection="1">
      <alignment horizontal="left" vertical="center"/>
    </xf>
    <xf numFmtId="0" fontId="3" fillId="6" borderId="1" xfId="0" applyFont="1" applyFill="1" applyBorder="1" applyAlignment="1" applyProtection="1">
      <alignment horizontal="center"/>
    </xf>
    <xf numFmtId="0" fontId="0" fillId="6" borderId="1" xfId="0" applyFill="1" applyBorder="1" applyAlignment="1" applyProtection="1">
      <alignment horizontal="center"/>
    </xf>
    <xf numFmtId="0" fontId="0" fillId="7" borderId="0" xfId="0" applyFill="1" applyAlignment="1" applyProtection="1">
      <alignment horizontal="center"/>
      <protection hidden="1"/>
    </xf>
    <xf numFmtId="0" fontId="3" fillId="7" borderId="5" xfId="0" applyFont="1" applyFill="1" applyBorder="1" applyAlignment="1" applyProtection="1">
      <alignment horizontal="center" vertical="top" wrapText="1"/>
      <protection hidden="1"/>
    </xf>
    <xf numFmtId="0" fontId="3" fillId="7" borderId="6" xfId="0" applyFont="1" applyFill="1" applyBorder="1" applyAlignment="1" applyProtection="1">
      <alignment horizontal="center" vertical="top" wrapText="1"/>
      <protection hidden="1"/>
    </xf>
    <xf numFmtId="0" fontId="22" fillId="7" borderId="5" xfId="0" applyFont="1" applyFill="1" applyBorder="1" applyAlignment="1" applyProtection="1">
      <alignment horizontal="center" vertical="top" wrapText="1"/>
      <protection hidden="1"/>
    </xf>
    <xf numFmtId="0" fontId="22" fillId="7" borderId="6" xfId="0" applyFont="1" applyFill="1" applyBorder="1" applyAlignment="1" applyProtection="1">
      <alignment horizontal="center" vertical="top" wrapText="1"/>
      <protection hidden="1"/>
    </xf>
    <xf numFmtId="166" fontId="2" fillId="0" borderId="4" xfId="7" applyFont="1" applyBorder="1" applyAlignment="1" applyProtection="1">
      <alignment horizontal="center"/>
      <protection hidden="1"/>
    </xf>
    <xf numFmtId="166" fontId="6" fillId="8" borderId="2" xfId="7" applyFont="1" applyFill="1" applyBorder="1" applyAlignment="1">
      <alignment horizontal="center" wrapText="1"/>
    </xf>
    <xf numFmtId="166" fontId="6" fillId="8" borderId="2" xfId="7" applyFont="1" applyFill="1" applyBorder="1" applyAlignment="1">
      <alignment horizontal="center" vertical="center"/>
    </xf>
    <xf numFmtId="166" fontId="6" fillId="8" borderId="86" xfId="7" applyFont="1" applyFill="1" applyBorder="1" applyAlignment="1">
      <alignment horizontal="center" vertical="center"/>
    </xf>
    <xf numFmtId="0" fontId="0" fillId="6" borderId="5" xfId="0" applyFill="1" applyBorder="1" applyAlignment="1" applyProtection="1">
      <alignment wrapText="1"/>
    </xf>
    <xf numFmtId="0" fontId="8" fillId="7" borderId="0" xfId="0" applyFont="1" applyFill="1" applyProtection="1">
      <protection hidden="1"/>
    </xf>
    <xf numFmtId="0" fontId="3" fillId="7" borderId="0" xfId="0" applyFont="1" applyFill="1" applyBorder="1" applyProtection="1">
      <protection hidden="1"/>
    </xf>
    <xf numFmtId="0" fontId="2" fillId="7" borderId="0" xfId="0" quotePrefix="1" applyFont="1" applyFill="1" applyBorder="1" applyAlignment="1" applyProtection="1">
      <alignment vertical="top"/>
      <protection hidden="1"/>
    </xf>
    <xf numFmtId="0" fontId="0" fillId="7" borderId="0" xfId="0" applyFill="1" applyBorder="1" applyAlignment="1" applyProtection="1">
      <protection hidden="1"/>
    </xf>
    <xf numFmtId="0" fontId="7" fillId="7" borderId="0" xfId="0" applyFont="1" applyFill="1" applyBorder="1" applyAlignment="1" applyProtection="1">
      <alignment vertical="top" wrapText="1"/>
      <protection hidden="1"/>
    </xf>
    <xf numFmtId="0" fontId="0" fillId="7" borderId="0" xfId="0" applyFill="1" applyBorder="1" applyAlignment="1" applyProtection="1">
      <alignment vertical="top" wrapText="1"/>
      <protection hidden="1"/>
    </xf>
    <xf numFmtId="0" fontId="0" fillId="7" borderId="0" xfId="0" applyFill="1" applyAlignment="1" applyProtection="1">
      <alignment vertical="top"/>
      <protection hidden="1"/>
    </xf>
    <xf numFmtId="0" fontId="7" fillId="7" borderId="0" xfId="0" applyFont="1" applyFill="1" applyProtection="1">
      <protection hidden="1"/>
    </xf>
    <xf numFmtId="0" fontId="0" fillId="7" borderId="0" xfId="0" applyFill="1" applyAlignment="1" applyProtection="1">
      <alignment horizontal="left"/>
      <protection hidden="1"/>
    </xf>
    <xf numFmtId="0" fontId="0" fillId="7" borderId="0" xfId="0" applyFill="1" applyBorder="1" applyAlignment="1" applyProtection="1">
      <alignment horizontal="left"/>
      <protection hidden="1"/>
    </xf>
    <xf numFmtId="0" fontId="0" fillId="7" borderId="0" xfId="0" applyFill="1" applyBorder="1" applyAlignment="1" applyProtection="1">
      <alignment vertical="top"/>
      <protection hidden="1"/>
    </xf>
    <xf numFmtId="0" fontId="0" fillId="7" borderId="0" xfId="0" quotePrefix="1" applyFill="1" applyProtection="1">
      <protection hidden="1"/>
    </xf>
    <xf numFmtId="0" fontId="16" fillId="7" borderId="0" xfId="2" applyFont="1" applyFill="1" applyAlignment="1" applyProtection="1">
      <alignment vertical="center"/>
      <protection hidden="1"/>
    </xf>
    <xf numFmtId="0" fontId="28" fillId="7" borderId="0" xfId="2" applyFont="1" applyFill="1" applyAlignment="1" applyProtection="1">
      <alignment vertical="center"/>
      <protection hidden="1"/>
    </xf>
    <xf numFmtId="0" fontId="8" fillId="2" borderId="43" xfId="0" applyFont="1" applyFill="1" applyBorder="1" applyAlignment="1" applyProtection="1">
      <alignment horizontal="center"/>
      <protection hidden="1"/>
    </xf>
    <xf numFmtId="0" fontId="8" fillId="2" borderId="44" xfId="0" applyFont="1" applyFill="1" applyBorder="1" applyAlignment="1" applyProtection="1">
      <alignment horizontal="center"/>
      <protection hidden="1"/>
    </xf>
    <xf numFmtId="0" fontId="8" fillId="2" borderId="45" xfId="0" applyFont="1" applyFill="1" applyBorder="1" applyAlignment="1" applyProtection="1">
      <alignment horizontal="center"/>
      <protection hidden="1"/>
    </xf>
    <xf numFmtId="165" fontId="18" fillId="6" borderId="40" xfId="3" applyFont="1" applyFill="1" applyBorder="1" applyAlignment="1" applyProtection="1">
      <alignment horizontal="right" vertical="center"/>
      <protection hidden="1"/>
    </xf>
    <xf numFmtId="0" fontId="16" fillId="6" borderId="39" xfId="2" applyFont="1" applyFill="1" applyBorder="1" applyAlignment="1" applyProtection="1">
      <alignment vertical="center"/>
      <protection hidden="1"/>
    </xf>
    <xf numFmtId="167" fontId="21" fillId="6" borderId="39" xfId="0" applyNumberFormat="1" applyFont="1" applyFill="1" applyBorder="1" applyAlignment="1" applyProtection="1">
      <alignment horizontal="left" vertical="center"/>
      <protection hidden="1"/>
    </xf>
    <xf numFmtId="167" fontId="21" fillId="6" borderId="39" xfId="5" applyNumberFormat="1" applyFont="1" applyFill="1" applyBorder="1" applyAlignment="1" applyProtection="1">
      <alignment horizontal="left" vertical="center"/>
      <protection hidden="1"/>
    </xf>
    <xf numFmtId="165" fontId="18" fillId="6" borderId="39" xfId="3" applyFont="1" applyFill="1" applyBorder="1" applyAlignment="1" applyProtection="1">
      <alignment horizontal="right" vertical="center"/>
      <protection hidden="1"/>
    </xf>
    <xf numFmtId="0" fontId="20" fillId="3" borderId="39" xfId="0" applyNumberFormat="1" applyFont="1" applyFill="1" applyBorder="1" applyAlignment="1" applyProtection="1">
      <alignment horizontal="left" vertical="center"/>
      <protection hidden="1"/>
    </xf>
    <xf numFmtId="165" fontId="18" fillId="6" borderId="41" xfId="3" applyFont="1" applyFill="1" applyBorder="1" applyAlignment="1" applyProtection="1">
      <alignment horizontal="right" vertical="center"/>
      <protection hidden="1"/>
    </xf>
    <xf numFmtId="0" fontId="16" fillId="6" borderId="36" xfId="2" applyFont="1" applyFill="1" applyBorder="1" applyAlignment="1" applyProtection="1">
      <alignment vertical="center"/>
      <protection hidden="1"/>
    </xf>
    <xf numFmtId="167" fontId="21" fillId="6" borderId="36" xfId="0" applyNumberFormat="1" applyFont="1" applyFill="1" applyBorder="1" applyAlignment="1" applyProtection="1">
      <alignment horizontal="left" vertical="center"/>
      <protection hidden="1"/>
    </xf>
    <xf numFmtId="167" fontId="21" fillId="6" borderId="36" xfId="5" applyNumberFormat="1" applyFont="1" applyFill="1" applyBorder="1" applyAlignment="1" applyProtection="1">
      <alignment horizontal="left" vertical="center"/>
      <protection hidden="1"/>
    </xf>
    <xf numFmtId="165" fontId="18" fillId="6" borderId="36" xfId="3" applyFont="1" applyFill="1" applyBorder="1" applyAlignment="1" applyProtection="1">
      <alignment horizontal="right" vertical="center"/>
      <protection hidden="1"/>
    </xf>
    <xf numFmtId="0" fontId="20" fillId="3" borderId="36" xfId="0" applyNumberFormat="1" applyFont="1" applyFill="1" applyBorder="1" applyAlignment="1" applyProtection="1">
      <alignment horizontal="left" vertical="center"/>
      <protection hidden="1"/>
    </xf>
    <xf numFmtId="0" fontId="2" fillId="6" borderId="36" xfId="0" applyFont="1" applyFill="1" applyBorder="1" applyAlignment="1" applyProtection="1">
      <alignment vertical="center"/>
      <protection hidden="1"/>
    </xf>
    <xf numFmtId="165" fontId="18" fillId="6" borderId="18" xfId="3" applyFont="1" applyFill="1" applyBorder="1" applyAlignment="1" applyProtection="1">
      <alignment horizontal="right" vertical="center"/>
      <protection hidden="1"/>
    </xf>
    <xf numFmtId="165" fontId="18" fillId="6" borderId="15" xfId="3" applyFont="1" applyFill="1" applyBorder="1" applyAlignment="1" applyProtection="1">
      <alignment horizontal="right" vertical="center"/>
      <protection hidden="1"/>
    </xf>
    <xf numFmtId="0" fontId="3" fillId="6" borderId="15" xfId="3" applyNumberFormat="1" applyFont="1" applyFill="1" applyBorder="1" applyAlignment="1" applyProtection="1">
      <alignment vertical="center"/>
      <protection hidden="1"/>
    </xf>
    <xf numFmtId="0" fontId="16" fillId="6" borderId="15" xfId="2" applyFont="1" applyFill="1" applyBorder="1" applyAlignment="1" applyProtection="1">
      <alignment vertical="center"/>
      <protection hidden="1"/>
    </xf>
    <xf numFmtId="169" fontId="20" fillId="6" borderId="15" xfId="2" applyNumberFormat="1" applyFont="1" applyFill="1" applyBorder="1" applyAlignment="1" applyProtection="1">
      <alignment horizontal="right" vertical="center"/>
      <protection hidden="1"/>
    </xf>
    <xf numFmtId="0" fontId="8" fillId="2" borderId="0" xfId="0" applyFont="1" applyFill="1" applyBorder="1" applyProtection="1">
      <protection hidden="1"/>
    </xf>
    <xf numFmtId="0" fontId="0" fillId="2" borderId="0" xfId="0" applyFill="1" applyBorder="1" applyProtection="1">
      <protection hidden="1"/>
    </xf>
    <xf numFmtId="0" fontId="0" fillId="2" borderId="13" xfId="0" applyFill="1" applyBorder="1" applyProtection="1">
      <protection hidden="1"/>
    </xf>
    <xf numFmtId="0" fontId="0" fillId="2" borderId="17" xfId="0" applyFill="1" applyBorder="1" applyAlignment="1" applyProtection="1">
      <alignment vertical="center"/>
      <protection hidden="1"/>
    </xf>
    <xf numFmtId="0" fontId="0" fillId="2" borderId="0" xfId="0" applyFill="1" applyBorder="1" applyAlignment="1" applyProtection="1">
      <alignment vertical="center"/>
      <protection hidden="1"/>
    </xf>
    <xf numFmtId="3" fontId="2" fillId="2" borderId="0" xfId="0" applyNumberFormat="1" applyFont="1" applyFill="1" applyBorder="1" applyAlignment="1" applyProtection="1">
      <alignment vertical="center"/>
      <protection hidden="1"/>
    </xf>
    <xf numFmtId="0" fontId="0" fillId="2" borderId="0" xfId="0" applyFill="1" applyBorder="1" applyAlignment="1" applyProtection="1">
      <alignment vertical="top"/>
      <protection hidden="1"/>
    </xf>
    <xf numFmtId="0" fontId="2" fillId="2" borderId="0" xfId="0" applyFont="1" applyFill="1" applyBorder="1" applyAlignment="1" applyProtection="1">
      <alignment vertical="center"/>
      <protection hidden="1"/>
    </xf>
    <xf numFmtId="0" fontId="0" fillId="2" borderId="17" xfId="0" applyFill="1" applyBorder="1" applyProtection="1">
      <protection hidden="1"/>
    </xf>
    <xf numFmtId="0" fontId="0" fillId="6" borderId="0" xfId="0" applyFill="1" applyBorder="1" applyAlignment="1" applyProtection="1">
      <protection hidden="1"/>
    </xf>
    <xf numFmtId="0" fontId="2" fillId="7" borderId="0" xfId="0" applyFont="1" applyFill="1" applyBorder="1" applyAlignment="1" applyProtection="1">
      <protection hidden="1"/>
    </xf>
    <xf numFmtId="0" fontId="7" fillId="2" borderId="0" xfId="0" applyFont="1" applyFill="1" applyBorder="1" applyProtection="1">
      <protection hidden="1"/>
    </xf>
    <xf numFmtId="0" fontId="15" fillId="2" borderId="17" xfId="0" applyFont="1" applyFill="1" applyBorder="1" applyProtection="1">
      <protection hidden="1"/>
    </xf>
    <xf numFmtId="0" fontId="3" fillId="2" borderId="5" xfId="0" applyFont="1" applyFill="1" applyBorder="1" applyAlignment="1" applyProtection="1">
      <alignment horizontal="left" vertical="top" wrapText="1"/>
      <protection hidden="1"/>
    </xf>
    <xf numFmtId="0" fontId="0" fillId="2" borderId="1" xfId="0" applyFill="1" applyBorder="1" applyProtection="1">
      <protection hidden="1"/>
    </xf>
    <xf numFmtId="0" fontId="2" fillId="2" borderId="0" xfId="0" applyFont="1" applyFill="1" applyBorder="1" applyAlignment="1" applyProtection="1">
      <alignment vertical="center" wrapText="1"/>
      <protection hidden="1"/>
    </xf>
    <xf numFmtId="0" fontId="2" fillId="2" borderId="0" xfId="0" applyFont="1" applyFill="1" applyBorder="1" applyAlignment="1" applyProtection="1">
      <alignment vertical="top"/>
      <protection hidden="1"/>
    </xf>
    <xf numFmtId="0" fontId="0" fillId="2" borderId="1" xfId="0" applyFill="1" applyBorder="1" applyAlignment="1" applyProtection="1">
      <alignment vertical="top"/>
      <protection hidden="1"/>
    </xf>
    <xf numFmtId="0" fontId="2" fillId="2" borderId="17" xfId="0" applyFont="1" applyFill="1" applyBorder="1" applyAlignment="1" applyProtection="1">
      <alignment vertical="center"/>
      <protection hidden="1"/>
    </xf>
    <xf numFmtId="0" fontId="0" fillId="2" borderId="17" xfId="0" applyFill="1" applyBorder="1" applyAlignment="1" applyProtection="1">
      <alignment vertical="top"/>
      <protection hidden="1"/>
    </xf>
    <xf numFmtId="0" fontId="0" fillId="2" borderId="2" xfId="0" applyFill="1" applyBorder="1" applyProtection="1">
      <protection hidden="1"/>
    </xf>
    <xf numFmtId="0" fontId="0" fillId="2" borderId="3" xfId="0" applyFill="1" applyBorder="1" applyAlignment="1" applyProtection="1">
      <alignment horizontal="center"/>
      <protection hidden="1"/>
    </xf>
    <xf numFmtId="0" fontId="0" fillId="2" borderId="3" xfId="0" applyFill="1" applyBorder="1" applyProtection="1">
      <protection hidden="1"/>
    </xf>
    <xf numFmtId="0" fontId="0" fillId="2" borderId="4" xfId="0" applyFill="1" applyBorder="1" applyProtection="1">
      <protection hidden="1"/>
    </xf>
    <xf numFmtId="0" fontId="0" fillId="8" borderId="1" xfId="0" applyFill="1" applyBorder="1" applyAlignment="1" applyProtection="1">
      <alignment horizontal="center"/>
      <protection hidden="1"/>
    </xf>
    <xf numFmtId="0" fontId="12" fillId="2" borderId="17" xfId="0" applyFont="1" applyFill="1" applyBorder="1" applyAlignment="1" applyProtection="1">
      <alignment vertical="center"/>
      <protection hidden="1"/>
    </xf>
    <xf numFmtId="0" fontId="12" fillId="2" borderId="0" xfId="0" applyFont="1" applyFill="1" applyBorder="1" applyAlignment="1" applyProtection="1">
      <alignment vertical="center"/>
      <protection hidden="1"/>
    </xf>
    <xf numFmtId="0" fontId="0" fillId="2" borderId="7" xfId="0" applyFill="1" applyBorder="1" applyAlignment="1" applyProtection="1">
      <alignment vertical="center"/>
      <protection hidden="1"/>
    </xf>
    <xf numFmtId="0" fontId="0" fillId="6" borderId="1" xfId="0" applyFill="1" applyBorder="1" applyAlignment="1" applyProtection="1">
      <alignment horizontal="center"/>
      <protection hidden="1"/>
    </xf>
    <xf numFmtId="0" fontId="7" fillId="8" borderId="1" xfId="0" applyFont="1" applyFill="1" applyBorder="1" applyAlignment="1" applyProtection="1">
      <alignment horizontal="center"/>
      <protection hidden="1"/>
    </xf>
    <xf numFmtId="0" fontId="2" fillId="2" borderId="0" xfId="0" applyFont="1" applyFill="1" applyBorder="1" applyProtection="1">
      <protection hidden="1"/>
    </xf>
    <xf numFmtId="0" fontId="0" fillId="2" borderId="0" xfId="0" applyFill="1" applyProtection="1">
      <protection hidden="1"/>
    </xf>
    <xf numFmtId="0" fontId="0" fillId="2" borderId="18" xfId="0" applyFill="1" applyBorder="1" applyProtection="1">
      <protection hidden="1"/>
    </xf>
    <xf numFmtId="0" fontId="3" fillId="2" borderId="2" xfId="0" applyFont="1" applyFill="1" applyBorder="1" applyAlignment="1" applyProtection="1">
      <alignment horizontal="center"/>
      <protection hidden="1"/>
    </xf>
    <xf numFmtId="0" fontId="3" fillId="6" borderId="1" xfId="0" applyFont="1" applyFill="1" applyBorder="1" applyAlignment="1" applyProtection="1">
      <alignment horizontal="center"/>
      <protection hidden="1"/>
    </xf>
    <xf numFmtId="0" fontId="0" fillId="0" borderId="0" xfId="0" applyProtection="1">
      <protection hidden="1"/>
    </xf>
    <xf numFmtId="0" fontId="22" fillId="7" borderId="1" xfId="0" applyFont="1" applyFill="1" applyBorder="1" applyAlignment="1" applyProtection="1">
      <alignment horizontal="left" vertical="top" wrapText="1"/>
      <protection hidden="1"/>
    </xf>
    <xf numFmtId="0" fontId="8" fillId="2" borderId="12" xfId="0" applyFont="1" applyFill="1" applyBorder="1" applyAlignment="1" applyProtection="1">
      <alignment horizontal="center"/>
      <protection hidden="1"/>
    </xf>
    <xf numFmtId="0" fontId="8" fillId="2" borderId="7" xfId="0" applyFont="1" applyFill="1" applyBorder="1" applyAlignment="1" applyProtection="1">
      <alignment horizontal="center"/>
      <protection hidden="1"/>
    </xf>
    <xf numFmtId="0" fontId="22" fillId="2" borderId="1" xfId="0" applyFont="1" applyFill="1" applyBorder="1" applyAlignment="1" applyProtection="1">
      <alignment horizontal="center" vertical="top" wrapText="1"/>
      <protection hidden="1"/>
    </xf>
    <xf numFmtId="0" fontId="7" fillId="2" borderId="1" xfId="0" applyFont="1" applyFill="1" applyBorder="1" applyAlignment="1" applyProtection="1">
      <alignment horizontal="center"/>
      <protection hidden="1"/>
    </xf>
    <xf numFmtId="0" fontId="7" fillId="2" borderId="0" xfId="0" applyFont="1" applyFill="1" applyBorder="1" applyAlignment="1" applyProtection="1">
      <alignment vertical="center"/>
      <protection hidden="1"/>
    </xf>
    <xf numFmtId="0" fontId="0" fillId="6" borderId="5" xfId="0" applyFill="1" applyBorder="1" applyAlignment="1" applyProtection="1">
      <protection hidden="1"/>
    </xf>
    <xf numFmtId="0" fontId="7" fillId="2" borderId="1" xfId="0" applyFont="1" applyFill="1" applyBorder="1" applyAlignment="1" applyProtection="1">
      <alignment horizontal="center" vertical="top"/>
      <protection hidden="1"/>
    </xf>
    <xf numFmtId="0" fontId="7" fillId="2" borderId="17" xfId="0" applyFont="1" applyFill="1" applyBorder="1" applyAlignment="1" applyProtection="1">
      <alignment horizontal="left" vertical="center"/>
      <protection hidden="1"/>
    </xf>
    <xf numFmtId="0" fontId="7" fillId="2" borderId="0" xfId="0" applyFont="1" applyFill="1" applyBorder="1" applyAlignment="1" applyProtection="1">
      <alignment horizontal="left" vertical="center"/>
      <protection hidden="1"/>
    </xf>
    <xf numFmtId="0" fontId="2" fillId="2" borderId="17" xfId="0" applyFont="1" applyFill="1" applyBorder="1" applyAlignment="1" applyProtection="1">
      <alignment horizontal="left" vertical="center"/>
      <protection hidden="1"/>
    </xf>
    <xf numFmtId="164" fontId="7" fillId="8" borderId="1" xfId="0" applyNumberFormat="1" applyFont="1" applyFill="1" applyBorder="1" applyAlignment="1" applyProtection="1">
      <alignment horizontal="center"/>
      <protection hidden="1"/>
    </xf>
    <xf numFmtId="0" fontId="2" fillId="2" borderId="1" xfId="0" applyFont="1" applyFill="1" applyBorder="1" applyAlignment="1" applyProtection="1">
      <alignment horizontal="center"/>
      <protection hidden="1"/>
    </xf>
    <xf numFmtId="0" fontId="0" fillId="2" borderId="19" xfId="0" applyFill="1" applyBorder="1" applyAlignment="1" applyProtection="1">
      <alignment vertical="center"/>
      <protection hidden="1"/>
    </xf>
    <xf numFmtId="0" fontId="0" fillId="2" borderId="20" xfId="0" applyFill="1" applyBorder="1" applyAlignment="1" applyProtection="1">
      <alignment vertical="center"/>
      <protection hidden="1"/>
    </xf>
    <xf numFmtId="0" fontId="8" fillId="2" borderId="0" xfId="0" applyFont="1" applyFill="1" applyBorder="1" applyAlignment="1" applyProtection="1">
      <alignment horizontal="center"/>
      <protection hidden="1"/>
    </xf>
    <xf numFmtId="0" fontId="25" fillId="2" borderId="21" xfId="0" applyFont="1" applyFill="1" applyBorder="1" applyAlignment="1" applyProtection="1">
      <alignment vertical="center"/>
      <protection hidden="1"/>
    </xf>
    <xf numFmtId="0" fontId="25" fillId="2" borderId="51" xfId="0" applyFont="1" applyFill="1" applyBorder="1" applyAlignment="1" applyProtection="1">
      <alignment vertical="center"/>
      <protection hidden="1"/>
    </xf>
    <xf numFmtId="0" fontId="25" fillId="2" borderId="22" xfId="0" applyFont="1" applyFill="1" applyBorder="1" applyAlignment="1" applyProtection="1">
      <alignment vertical="center"/>
      <protection hidden="1"/>
    </xf>
    <xf numFmtId="0" fontId="0" fillId="2" borderId="12" xfId="0" applyFill="1" applyBorder="1" applyProtection="1">
      <protection hidden="1"/>
    </xf>
    <xf numFmtId="0" fontId="0" fillId="2" borderId="15" xfId="0" applyFill="1" applyBorder="1" applyProtection="1">
      <protection hidden="1"/>
    </xf>
    <xf numFmtId="0" fontId="0" fillId="2" borderId="23" xfId="0" applyFill="1" applyBorder="1" applyProtection="1">
      <protection hidden="1"/>
    </xf>
    <xf numFmtId="0" fontId="0" fillId="2" borderId="24" xfId="0" applyFill="1" applyBorder="1" applyProtection="1">
      <protection hidden="1"/>
    </xf>
    <xf numFmtId="0" fontId="7" fillId="2" borderId="0" xfId="0" applyFont="1" applyFill="1" applyBorder="1" applyAlignment="1" applyProtection="1">
      <alignment horizontal="center"/>
      <protection hidden="1"/>
    </xf>
    <xf numFmtId="164" fontId="7" fillId="7" borderId="0" xfId="0" applyNumberFormat="1" applyFont="1" applyFill="1" applyBorder="1" applyAlignment="1" applyProtection="1">
      <alignment horizontal="center"/>
      <protection hidden="1"/>
    </xf>
    <xf numFmtId="0" fontId="6" fillId="5" borderId="1" xfId="0" applyFont="1" applyFill="1" applyBorder="1" applyProtection="1">
      <protection hidden="1"/>
    </xf>
    <xf numFmtId="0" fontId="6" fillId="2" borderId="0" xfId="0" applyFont="1" applyFill="1" applyBorder="1" applyProtection="1">
      <protection hidden="1"/>
    </xf>
    <xf numFmtId="41" fontId="6" fillId="6" borderId="1" xfId="0" applyNumberFormat="1" applyFont="1" applyFill="1" applyBorder="1" applyProtection="1">
      <protection hidden="1"/>
    </xf>
    <xf numFmtId="170" fontId="0" fillId="7" borderId="0" xfId="0" applyNumberFormat="1" applyFill="1" applyProtection="1">
      <protection hidden="1"/>
    </xf>
    <xf numFmtId="164" fontId="0" fillId="7" borderId="0" xfId="0" applyNumberFormat="1" applyFill="1" applyProtection="1">
      <protection hidden="1"/>
    </xf>
    <xf numFmtId="1" fontId="6" fillId="2" borderId="0" xfId="0" applyNumberFormat="1" applyFont="1" applyFill="1" applyBorder="1" applyProtection="1">
      <protection hidden="1"/>
    </xf>
    <xf numFmtId="0" fontId="0" fillId="2" borderId="26" xfId="0" applyFill="1" applyBorder="1" applyProtection="1">
      <protection hidden="1"/>
    </xf>
    <xf numFmtId="0" fontId="0" fillId="2" borderId="27" xfId="0" applyFill="1" applyBorder="1" applyProtection="1">
      <protection hidden="1"/>
    </xf>
    <xf numFmtId="0" fontId="0" fillId="2" borderId="28" xfId="0" applyFill="1" applyBorder="1" applyProtection="1">
      <protection hidden="1"/>
    </xf>
    <xf numFmtId="166" fontId="45" fillId="7" borderId="0" xfId="7" applyFont="1" applyFill="1" applyBorder="1" applyAlignment="1" applyProtection="1">
      <alignment horizontal="center" vertical="center"/>
      <protection hidden="1"/>
    </xf>
    <xf numFmtId="167" fontId="39" fillId="7" borderId="0" xfId="7" applyNumberFormat="1" applyFont="1" applyFill="1" applyBorder="1" applyAlignment="1" applyProtection="1">
      <alignment horizontal="left" vertical="center"/>
      <protection hidden="1"/>
    </xf>
    <xf numFmtId="0" fontId="16" fillId="7" borderId="0" xfId="2" applyFont="1" applyFill="1" applyBorder="1" applyAlignment="1" applyProtection="1">
      <alignment vertical="center"/>
      <protection hidden="1"/>
    </xf>
    <xf numFmtId="0" fontId="32" fillId="7" borderId="0" xfId="0" quotePrefix="1" applyFont="1" applyFill="1" applyProtection="1">
      <protection hidden="1"/>
    </xf>
    <xf numFmtId="179" fontId="0" fillId="8" borderId="1" xfId="0" applyNumberFormat="1" applyFill="1" applyBorder="1" applyAlignment="1" applyProtection="1">
      <alignment horizontal="center"/>
    </xf>
    <xf numFmtId="181" fontId="6" fillId="7" borderId="1" xfId="0" applyNumberFormat="1" applyFont="1" applyFill="1" applyBorder="1" applyProtection="1"/>
    <xf numFmtId="181" fontId="6" fillId="2" borderId="0" xfId="6" applyNumberFormat="1" applyFont="1" applyFill="1" applyBorder="1" applyAlignment="1" applyProtection="1">
      <alignment horizontal="right"/>
    </xf>
    <xf numFmtId="183" fontId="7" fillId="2" borderId="0" xfId="0" applyNumberFormat="1" applyFont="1" applyFill="1" applyBorder="1" applyAlignment="1" applyProtection="1">
      <alignment horizontal="left" vertical="center"/>
    </xf>
    <xf numFmtId="0" fontId="25" fillId="7" borderId="0" xfId="0" applyFont="1" applyFill="1" applyProtection="1"/>
    <xf numFmtId="0" fontId="2" fillId="7" borderId="16" xfId="0" applyFont="1" applyFill="1" applyBorder="1" applyAlignment="1" applyProtection="1">
      <alignment horizontal="left" vertical="top"/>
      <protection hidden="1"/>
    </xf>
    <xf numFmtId="0" fontId="0" fillId="7" borderId="15" xfId="0" applyFill="1" applyBorder="1" applyProtection="1"/>
    <xf numFmtId="0" fontId="0" fillId="7" borderId="15" xfId="0" applyNumberFormat="1" applyFill="1" applyBorder="1" applyProtection="1"/>
    <xf numFmtId="0" fontId="14" fillId="7" borderId="66" xfId="0" applyFont="1" applyFill="1" applyBorder="1" applyAlignment="1" applyProtection="1"/>
    <xf numFmtId="0" fontId="14" fillId="7" borderId="0" xfId="0" applyFont="1" applyFill="1" applyBorder="1" applyAlignment="1" applyProtection="1"/>
    <xf numFmtId="0" fontId="0" fillId="7" borderId="0" xfId="0" applyFill="1"/>
    <xf numFmtId="166" fontId="6" fillId="8" borderId="2" xfId="7" applyFont="1" applyFill="1" applyBorder="1" applyAlignment="1">
      <alignment horizontal="center"/>
    </xf>
    <xf numFmtId="166" fontId="6" fillId="8" borderId="87" xfId="7" applyFont="1" applyFill="1" applyBorder="1" applyAlignment="1">
      <alignment horizontal="center"/>
    </xf>
    <xf numFmtId="166" fontId="6" fillId="8" borderId="101" xfId="7" applyFont="1" applyFill="1" applyBorder="1" applyAlignment="1">
      <alignment horizontal="left" wrapText="1"/>
    </xf>
    <xf numFmtId="166" fontId="6" fillId="8" borderId="101" xfId="7" applyFont="1" applyFill="1" applyBorder="1" applyAlignment="1">
      <alignment horizontal="centerContinuous"/>
    </xf>
    <xf numFmtId="166" fontId="6" fillId="8" borderId="103" xfId="7" applyFont="1" applyFill="1" applyBorder="1" applyAlignment="1">
      <alignment horizontal="centerContinuous"/>
    </xf>
    <xf numFmtId="49" fontId="6" fillId="8" borderId="100" xfId="7" applyNumberFormat="1" applyFont="1" applyFill="1" applyBorder="1" applyAlignment="1">
      <alignment horizontal="left"/>
    </xf>
    <xf numFmtId="49" fontId="6" fillId="8" borderId="78" xfId="7" quotePrefix="1" applyNumberFormat="1" applyFont="1" applyFill="1" applyBorder="1" applyAlignment="1">
      <alignment horizontal="left"/>
    </xf>
    <xf numFmtId="49" fontId="6" fillId="8" borderId="102" xfId="7" applyNumberFormat="1" applyFont="1" applyFill="1" applyBorder="1"/>
    <xf numFmtId="49" fontId="6" fillId="8" borderId="1" xfId="7" applyNumberFormat="1" applyFont="1" applyFill="1" applyBorder="1"/>
    <xf numFmtId="49" fontId="6" fillId="8" borderId="11" xfId="7" applyNumberFormat="1" applyFont="1" applyFill="1" applyBorder="1"/>
    <xf numFmtId="49" fontId="6" fillId="8" borderId="15" xfId="7" applyNumberFormat="1" applyFont="1" applyFill="1" applyBorder="1"/>
    <xf numFmtId="49" fontId="6" fillId="0" borderId="0" xfId="7" applyNumberFormat="1" applyFont="1"/>
    <xf numFmtId="14" fontId="6" fillId="0" borderId="0" xfId="7" applyNumberFormat="1"/>
    <xf numFmtId="49" fontId="6" fillId="0" borderId="0" xfId="7" applyNumberFormat="1" applyAlignment="1">
      <alignment horizontal="center"/>
    </xf>
    <xf numFmtId="49" fontId="3" fillId="8" borderId="2" xfId="7" applyNumberFormat="1" applyFont="1" applyFill="1" applyBorder="1" applyAlignment="1">
      <alignment horizontal="center"/>
    </xf>
    <xf numFmtId="49" fontId="3" fillId="8" borderId="92" xfId="7" quotePrefix="1" applyNumberFormat="1" applyFont="1" applyFill="1" applyBorder="1" applyAlignment="1">
      <alignment horizontal="left"/>
    </xf>
    <xf numFmtId="14" fontId="3" fillId="8" borderId="5" xfId="7" applyNumberFormat="1" applyFont="1" applyFill="1" applyBorder="1" applyAlignment="1">
      <alignment horizontal="centerContinuous"/>
    </xf>
    <xf numFmtId="49" fontId="3" fillId="8" borderId="52" xfId="7" applyNumberFormat="1" applyFont="1" applyFill="1" applyBorder="1"/>
    <xf numFmtId="14" fontId="3" fillId="8" borderId="89" xfId="7" applyNumberFormat="1" applyFont="1" applyFill="1" applyBorder="1" applyAlignment="1">
      <alignment horizontal="centerContinuous"/>
    </xf>
    <xf numFmtId="166" fontId="6" fillId="8" borderId="3" xfId="7" applyFont="1" applyFill="1" applyBorder="1" applyAlignment="1">
      <alignment horizontal="center" vertical="top" wrapText="1"/>
    </xf>
    <xf numFmtId="166" fontId="6" fillId="8" borderId="2" xfId="7" applyFont="1" applyFill="1" applyBorder="1" applyAlignment="1">
      <alignment horizontal="center"/>
    </xf>
    <xf numFmtId="166" fontId="6" fillId="8" borderId="87" xfId="7" applyFont="1" applyFill="1" applyBorder="1" applyAlignment="1">
      <alignment horizontal="center"/>
    </xf>
    <xf numFmtId="49" fontId="6" fillId="8" borderId="59" xfId="7" applyNumberFormat="1" applyFont="1" applyFill="1" applyBorder="1"/>
    <xf numFmtId="14" fontId="6" fillId="8" borderId="4" xfId="7" applyNumberFormat="1" applyFont="1" applyFill="1" applyBorder="1" applyAlignment="1">
      <alignment horizontal="left" wrapText="1"/>
    </xf>
    <xf numFmtId="14" fontId="3" fillId="8" borderId="5" xfId="7" applyNumberFormat="1" applyFont="1" applyFill="1" applyBorder="1" applyAlignment="1">
      <alignment horizontal="centerContinuous" wrapText="1"/>
    </xf>
    <xf numFmtId="166" fontId="2" fillId="8" borderId="3" xfId="7" applyFont="1" applyFill="1" applyBorder="1" applyAlignment="1">
      <alignment wrapText="1"/>
    </xf>
    <xf numFmtId="184" fontId="0" fillId="7" borderId="0" xfId="0" applyNumberFormat="1" applyFill="1" applyProtection="1">
      <protection hidden="1"/>
    </xf>
    <xf numFmtId="181" fontId="6" fillId="11" borderId="101" xfId="0" applyNumberFormat="1" applyFont="1" applyFill="1" applyBorder="1"/>
    <xf numFmtId="0" fontId="6" fillId="11" borderId="0" xfId="0" applyFont="1" applyFill="1"/>
    <xf numFmtId="181" fontId="6" fillId="11" borderId="0" xfId="0" applyNumberFormat="1" applyFont="1" applyFill="1"/>
    <xf numFmtId="49" fontId="3" fillId="8" borderId="100" xfId="7" applyNumberFormat="1" applyFont="1" applyFill="1" applyBorder="1" applyAlignment="1">
      <alignment horizontal="left"/>
    </xf>
    <xf numFmtId="166" fontId="3" fillId="8" borderId="101" xfId="7" applyFont="1" applyFill="1" applyBorder="1" applyAlignment="1">
      <alignment horizontal="center" wrapText="1"/>
    </xf>
    <xf numFmtId="166" fontId="3" fillId="8" borderId="101" xfId="7" applyFont="1" applyFill="1" applyBorder="1" applyAlignment="1">
      <alignment wrapText="1"/>
    </xf>
    <xf numFmtId="166" fontId="3" fillId="8" borderId="101" xfId="7" applyFont="1" applyFill="1" applyBorder="1" applyAlignment="1">
      <alignment horizontal="center"/>
    </xf>
    <xf numFmtId="49" fontId="3" fillId="8" borderId="102" xfId="7" applyNumberFormat="1" applyFont="1" applyFill="1" applyBorder="1"/>
    <xf numFmtId="166" fontId="3" fillId="8" borderId="103" xfId="7" applyFont="1" applyFill="1" applyBorder="1" applyAlignment="1">
      <alignment horizontal="center"/>
    </xf>
    <xf numFmtId="185" fontId="67" fillId="0" borderId="0" xfId="0" applyNumberFormat="1" applyFont="1" applyAlignment="1" applyProtection="1">
      <alignment vertical="center"/>
    </xf>
    <xf numFmtId="174" fontId="74" fillId="7" borderId="78" xfId="0" applyNumberFormat="1" applyFont="1" applyFill="1" applyBorder="1" applyAlignment="1" applyProtection="1">
      <alignment vertical="center"/>
    </xf>
    <xf numFmtId="0" fontId="75" fillId="7" borderId="59" xfId="0" applyFont="1" applyFill="1" applyBorder="1" applyAlignment="1" applyProtection="1">
      <alignment vertical="center"/>
    </xf>
    <xf numFmtId="174" fontId="76" fillId="7" borderId="66" xfId="0" applyNumberFormat="1" applyFont="1" applyFill="1" applyBorder="1" applyAlignment="1" applyProtection="1">
      <alignment vertical="center"/>
    </xf>
    <xf numFmtId="0" fontId="76" fillId="7" borderId="0" xfId="0" applyFont="1" applyFill="1" applyBorder="1" applyAlignment="1" applyProtection="1">
      <alignment vertical="center"/>
    </xf>
    <xf numFmtId="0" fontId="80" fillId="7" borderId="0" xfId="0" applyFont="1" applyFill="1" applyBorder="1" applyAlignment="1" applyProtection="1">
      <alignment vertical="center"/>
    </xf>
    <xf numFmtId="167" fontId="81" fillId="7" borderId="0" xfId="0" applyNumberFormat="1" applyFont="1" applyFill="1" applyBorder="1" applyAlignment="1" applyProtection="1">
      <alignment vertical="center"/>
    </xf>
    <xf numFmtId="186" fontId="76" fillId="7" borderId="0" xfId="0" applyNumberFormat="1" applyFont="1" applyFill="1" applyBorder="1" applyAlignment="1" applyProtection="1">
      <alignment horizontal="left" vertical="center"/>
    </xf>
    <xf numFmtId="0" fontId="76" fillId="7" borderId="0" xfId="0" applyFont="1" applyFill="1" applyBorder="1" applyAlignment="1" applyProtection="1">
      <alignment horizontal="center" vertical="center"/>
    </xf>
    <xf numFmtId="187" fontId="76" fillId="7" borderId="0" xfId="13" applyNumberFormat="1" applyFont="1" applyFill="1" applyBorder="1" applyAlignment="1" applyProtection="1">
      <alignment horizontal="center" vertical="center"/>
    </xf>
    <xf numFmtId="0" fontId="83" fillId="7" borderId="0" xfId="13" applyFont="1" applyFill="1" applyBorder="1" applyAlignment="1" applyProtection="1">
      <alignment horizontal="left" vertical="center"/>
    </xf>
    <xf numFmtId="1" fontId="47" fillId="0" borderId="0" xfId="0" applyNumberFormat="1" applyFont="1" applyFill="1" applyBorder="1" applyAlignment="1" applyProtection="1">
      <alignment horizontal="right" vertical="center"/>
    </xf>
    <xf numFmtId="166" fontId="48" fillId="0" borderId="0" xfId="9" applyFont="1" applyFill="1" applyBorder="1" applyAlignment="1" applyProtection="1">
      <alignment horizontal="center"/>
    </xf>
    <xf numFmtId="14" fontId="48" fillId="0" borderId="0" xfId="9" quotePrefix="1" applyNumberFormat="1" applyFont="1" applyFill="1" applyBorder="1" applyAlignment="1" applyProtection="1">
      <alignment horizontal="center"/>
    </xf>
    <xf numFmtId="0" fontId="49" fillId="0" borderId="0" xfId="10" applyFont="1" applyFill="1" applyBorder="1" applyAlignment="1" applyProtection="1">
      <alignment horizontal="left"/>
    </xf>
    <xf numFmtId="0" fontId="2" fillId="0" borderId="0" xfId="160" applyProtection="1"/>
    <xf numFmtId="0" fontId="8" fillId="0" borderId="0" xfId="10" applyFont="1" applyFill="1" applyBorder="1" applyAlignment="1" applyProtection="1">
      <alignment horizontal="center"/>
    </xf>
    <xf numFmtId="0" fontId="105" fillId="0" borderId="0" xfId="160" applyFont="1" applyBorder="1" applyAlignment="1" applyProtection="1">
      <alignment vertical="center"/>
    </xf>
    <xf numFmtId="0" fontId="105" fillId="0" borderId="15" xfId="160" applyFont="1" applyBorder="1" applyAlignment="1" applyProtection="1">
      <alignment vertical="center"/>
    </xf>
    <xf numFmtId="0" fontId="2" fillId="0" borderId="0" xfId="164" applyProtection="1"/>
    <xf numFmtId="174" fontId="2" fillId="7" borderId="94" xfId="164" applyNumberFormat="1" applyFont="1" applyFill="1" applyBorder="1" applyAlignment="1" applyProtection="1">
      <alignment vertical="center"/>
    </xf>
    <xf numFmtId="0" fontId="2" fillId="7" borderId="17" xfId="164" applyNumberFormat="1" applyFont="1" applyFill="1" applyBorder="1" applyAlignment="1" applyProtection="1">
      <alignment vertical="center"/>
    </xf>
    <xf numFmtId="0" fontId="2" fillId="7" borderId="0" xfId="164" applyFont="1" applyFill="1" applyBorder="1" applyAlignment="1" applyProtection="1">
      <alignment vertical="center"/>
    </xf>
    <xf numFmtId="166" fontId="2" fillId="7" borderId="0" xfId="158" applyFont="1" applyFill="1" applyBorder="1" applyAlignment="1" applyProtection="1">
      <alignment vertical="center"/>
    </xf>
    <xf numFmtId="174" fontId="2" fillId="7" borderId="97" xfId="164" applyNumberFormat="1" applyFont="1" applyFill="1" applyBorder="1" applyAlignment="1" applyProtection="1">
      <alignment vertical="center"/>
    </xf>
    <xf numFmtId="0" fontId="3" fillId="0" borderId="4" xfId="0" applyFont="1" applyFill="1" applyBorder="1" applyAlignment="1" applyProtection="1">
      <alignment horizontal="right" vertical="center"/>
    </xf>
    <xf numFmtId="0" fontId="105" fillId="0" borderId="16" xfId="0" applyFont="1" applyFill="1" applyBorder="1" applyAlignment="1" applyProtection="1">
      <alignment horizontal="left" vertical="center" indent="1"/>
    </xf>
    <xf numFmtId="0" fontId="105" fillId="0" borderId="8" xfId="0" applyFont="1" applyFill="1" applyBorder="1" applyAlignment="1" applyProtection="1">
      <alignment horizontal="left" vertical="center" indent="1"/>
    </xf>
    <xf numFmtId="0" fontId="0" fillId="0" borderId="5" xfId="0" applyFont="1" applyFill="1" applyBorder="1" applyAlignment="1" applyProtection="1">
      <alignment horizontal="left" vertical="center" indent="1"/>
    </xf>
    <xf numFmtId="0" fontId="0" fillId="0" borderId="102" xfId="0" applyFont="1" applyFill="1" applyBorder="1" applyAlignment="1" applyProtection="1">
      <alignment horizontal="left" vertical="center" indent="1"/>
    </xf>
    <xf numFmtId="0" fontId="0" fillId="0" borderId="6" xfId="0" applyFont="1" applyFill="1" applyBorder="1" applyAlignment="1" applyProtection="1">
      <alignment horizontal="left" vertical="center" indent="1"/>
    </xf>
    <xf numFmtId="0" fontId="73" fillId="0" borderId="17" xfId="0" applyFont="1" applyFill="1" applyBorder="1" applyAlignment="1" applyProtection="1">
      <alignment horizontal="left" vertical="center" indent="1"/>
    </xf>
    <xf numFmtId="0" fontId="73" fillId="0" borderId="7" xfId="0" applyFont="1" applyFill="1" applyBorder="1" applyAlignment="1" applyProtection="1">
      <alignment horizontal="left" vertical="center" indent="1"/>
    </xf>
    <xf numFmtId="0" fontId="0" fillId="0" borderId="18" xfId="0" applyFont="1" applyFill="1" applyBorder="1" applyAlignment="1" applyProtection="1">
      <alignment horizontal="left" vertical="center" indent="1"/>
    </xf>
    <xf numFmtId="0" fontId="0" fillId="0" borderId="15" xfId="0" applyFont="1" applyFill="1" applyBorder="1" applyAlignment="1" applyProtection="1">
      <alignment horizontal="left" vertical="center" indent="1"/>
    </xf>
    <xf numFmtId="0" fontId="0" fillId="0" borderId="9" xfId="0" applyFont="1" applyFill="1" applyBorder="1" applyAlignment="1" applyProtection="1">
      <alignment horizontal="left" vertical="center" indent="1"/>
    </xf>
    <xf numFmtId="2" fontId="0" fillId="0" borderId="4" xfId="0" applyNumberFormat="1" applyFont="1" applyFill="1" applyBorder="1" applyAlignment="1" applyProtection="1">
      <alignment vertical="center"/>
    </xf>
    <xf numFmtId="0" fontId="2" fillId="0" borderId="0" xfId="164" applyFill="1" applyAlignment="1" applyProtection="1">
      <alignment vertical="center"/>
    </xf>
    <xf numFmtId="2" fontId="0" fillId="0" borderId="101" xfId="0" applyNumberFormat="1" applyFont="1" applyFill="1" applyBorder="1" applyAlignment="1" applyProtection="1">
      <alignment vertical="center"/>
    </xf>
    <xf numFmtId="0" fontId="0" fillId="0" borderId="16" xfId="0" applyFont="1" applyFill="1" applyBorder="1" applyAlignment="1" applyProtection="1">
      <alignment horizontal="left" vertical="center" indent="1"/>
    </xf>
    <xf numFmtId="0" fontId="0" fillId="0" borderId="59" xfId="0" applyFont="1" applyFill="1" applyBorder="1" applyAlignment="1" applyProtection="1">
      <alignment horizontal="left" vertical="center" indent="1"/>
    </xf>
    <xf numFmtId="0" fontId="0" fillId="0" borderId="8" xfId="0" applyFont="1" applyFill="1" applyBorder="1" applyAlignment="1" applyProtection="1">
      <alignment horizontal="left" vertical="center" indent="1"/>
    </xf>
    <xf numFmtId="0" fontId="2" fillId="0" borderId="0" xfId="164" applyAlignment="1" applyProtection="1">
      <alignment vertical="center"/>
    </xf>
    <xf numFmtId="0" fontId="2" fillId="7" borderId="53" xfId="164" applyNumberFormat="1" applyFont="1" applyFill="1" applyBorder="1" applyAlignment="1" applyProtection="1">
      <alignment vertical="center"/>
    </xf>
    <xf numFmtId="0" fontId="2" fillId="7" borderId="53" xfId="164" applyFont="1" applyFill="1" applyBorder="1" applyAlignment="1" applyProtection="1">
      <alignment vertical="center"/>
    </xf>
    <xf numFmtId="166" fontId="2" fillId="7" borderId="53" xfId="158" applyFont="1" applyFill="1" applyBorder="1" applyAlignment="1" applyProtection="1">
      <alignment vertical="center"/>
    </xf>
    <xf numFmtId="172" fontId="2" fillId="7" borderId="0" xfId="164" applyNumberFormat="1" applyFont="1" applyFill="1" applyBorder="1" applyAlignment="1" applyProtection="1">
      <alignment vertical="center"/>
    </xf>
    <xf numFmtId="173" fontId="2" fillId="8" borderId="101" xfId="164" applyNumberFormat="1" applyFont="1" applyFill="1" applyBorder="1" applyAlignment="1" applyProtection="1">
      <alignment vertical="center"/>
      <protection locked="0"/>
    </xf>
    <xf numFmtId="0" fontId="2" fillId="0" borderId="101" xfId="164" applyNumberFormat="1" applyFont="1" applyFill="1" applyBorder="1" applyAlignment="1" applyProtection="1">
      <alignment vertical="center"/>
      <protection locked="0"/>
    </xf>
    <xf numFmtId="0" fontId="2" fillId="0" borderId="104" xfId="164" applyNumberFormat="1" applyFont="1" applyFill="1" applyBorder="1" applyAlignment="1" applyProtection="1">
      <alignment vertical="center"/>
      <protection locked="0"/>
    </xf>
    <xf numFmtId="0" fontId="2" fillId="0" borderId="105" xfId="164" applyNumberFormat="1" applyFont="1" applyFill="1" applyBorder="1" applyAlignment="1" applyProtection="1">
      <alignment vertical="center"/>
      <protection locked="0"/>
    </xf>
    <xf numFmtId="0" fontId="2" fillId="0" borderId="105" xfId="164" quotePrefix="1" applyNumberFormat="1" applyFont="1" applyFill="1" applyBorder="1" applyAlignment="1" applyProtection="1">
      <alignment vertical="center"/>
      <protection locked="0"/>
    </xf>
    <xf numFmtId="0" fontId="73" fillId="0" borderId="9" xfId="0" applyFont="1" applyFill="1" applyBorder="1" applyAlignment="1" applyProtection="1">
      <alignment horizontal="left" vertical="center" indent="1"/>
    </xf>
    <xf numFmtId="198" fontId="2" fillId="7" borderId="17" xfId="164" applyNumberFormat="1" applyFont="1" applyFill="1" applyBorder="1" applyAlignment="1" applyProtection="1">
      <alignment vertical="center"/>
    </xf>
    <xf numFmtId="0" fontId="2" fillId="7" borderId="17" xfId="164" applyNumberFormat="1" applyFont="1" applyFill="1" applyBorder="1" applyAlignment="1" applyProtection="1">
      <alignment horizontal="right" vertical="center"/>
    </xf>
    <xf numFmtId="0" fontId="110" fillId="0" borderId="17" xfId="0" applyFont="1" applyFill="1" applyBorder="1" applyAlignment="1" applyProtection="1">
      <alignment horizontal="left" vertical="center"/>
    </xf>
    <xf numFmtId="0" fontId="110" fillId="0" borderId="7" xfId="0" applyFont="1" applyFill="1" applyBorder="1" applyAlignment="1" applyProtection="1">
      <alignment horizontal="left" vertical="center"/>
    </xf>
    <xf numFmtId="0" fontId="2" fillId="0" borderId="82" xfId="164" applyNumberFormat="1" applyFont="1" applyFill="1" applyBorder="1" applyAlignment="1" applyProtection="1">
      <alignment vertical="center"/>
      <protection locked="0"/>
    </xf>
    <xf numFmtId="0" fontId="110" fillId="0" borderId="18" xfId="0" applyFont="1" applyFill="1" applyBorder="1" applyAlignment="1" applyProtection="1">
      <alignment horizontal="left" vertical="center"/>
    </xf>
    <xf numFmtId="0" fontId="110" fillId="0" borderId="9" xfId="0" applyFont="1" applyFill="1" applyBorder="1" applyAlignment="1" applyProtection="1">
      <alignment horizontal="left" vertical="center"/>
    </xf>
    <xf numFmtId="0" fontId="2" fillId="7" borderId="0" xfId="164" applyNumberFormat="1" applyFont="1" applyFill="1" applyBorder="1" applyAlignment="1" applyProtection="1">
      <alignment vertical="center"/>
    </xf>
    <xf numFmtId="0" fontId="73" fillId="0" borderId="18" xfId="0" applyFont="1" applyFill="1" applyBorder="1" applyAlignment="1" applyProtection="1">
      <alignment horizontal="left" vertical="center" indent="1"/>
    </xf>
    <xf numFmtId="0" fontId="2" fillId="7" borderId="0" xfId="164" applyNumberFormat="1" applyFont="1" applyFill="1" applyBorder="1" applyAlignment="1" applyProtection="1">
      <alignment horizontal="left" vertical="center" indent="2"/>
    </xf>
    <xf numFmtId="198" fontId="3" fillId="7" borderId="17" xfId="164" applyNumberFormat="1" applyFont="1" applyFill="1" applyBorder="1" applyAlignment="1" applyProtection="1">
      <alignment vertical="center"/>
    </xf>
    <xf numFmtId="198" fontId="3" fillId="7" borderId="17" xfId="164" applyNumberFormat="1" applyFont="1" applyFill="1" applyBorder="1" applyAlignment="1" applyProtection="1">
      <alignment horizontal="right" vertical="center"/>
    </xf>
    <xf numFmtId="0" fontId="3" fillId="7" borderId="0" xfId="164" applyFont="1" applyFill="1" applyBorder="1" applyAlignment="1" applyProtection="1">
      <alignment vertical="center"/>
    </xf>
    <xf numFmtId="164" fontId="0" fillId="0" borderId="4" xfId="0" applyNumberFormat="1" applyFont="1" applyFill="1" applyBorder="1" applyAlignment="1" applyProtection="1">
      <alignment vertical="center"/>
    </xf>
    <xf numFmtId="174" fontId="2" fillId="7" borderId="120" xfId="164" applyNumberFormat="1" applyFont="1" applyFill="1" applyBorder="1" applyAlignment="1" applyProtection="1">
      <alignment vertical="center"/>
    </xf>
    <xf numFmtId="0" fontId="2" fillId="0" borderId="0" xfId="159" applyProtection="1"/>
    <xf numFmtId="0" fontId="112" fillId="0" borderId="0" xfId="159" applyFont="1" applyFill="1" applyAlignment="1" applyProtection="1">
      <alignment vertical="center"/>
    </xf>
    <xf numFmtId="0" fontId="2" fillId="0" borderId="0" xfId="163" applyFill="1" applyProtection="1"/>
    <xf numFmtId="174" fontId="113" fillId="2" borderId="94" xfId="163" applyNumberFormat="1" applyFont="1" applyFill="1" applyBorder="1" applyAlignment="1" applyProtection="1">
      <alignment vertical="center"/>
    </xf>
    <xf numFmtId="199" fontId="2" fillId="7" borderId="16" xfId="163" applyNumberFormat="1" applyFont="1" applyFill="1" applyBorder="1" applyAlignment="1" applyProtection="1">
      <alignment horizontal="right" vertical="center"/>
    </xf>
    <xf numFmtId="0" fontId="2" fillId="7" borderId="0" xfId="163" applyFont="1" applyFill="1" applyBorder="1" applyAlignment="1" applyProtection="1">
      <alignment horizontal="left" vertical="center" indent="1"/>
    </xf>
    <xf numFmtId="0" fontId="112" fillId="0" borderId="0" xfId="163" applyFont="1" applyAlignment="1">
      <alignment vertical="center"/>
    </xf>
    <xf numFmtId="0" fontId="2" fillId="0" borderId="0" xfId="163"/>
    <xf numFmtId="174" fontId="113" fillId="2" borderId="97" xfId="163" applyNumberFormat="1" applyFont="1" applyFill="1" applyBorder="1" applyAlignment="1" applyProtection="1">
      <alignment vertical="center"/>
    </xf>
    <xf numFmtId="199" fontId="2" fillId="7" borderId="17" xfId="163" applyNumberFormat="1" applyFont="1" applyFill="1" applyBorder="1" applyAlignment="1" applyProtection="1">
      <alignment horizontal="right" vertical="center"/>
    </xf>
    <xf numFmtId="166" fontId="37" fillId="7" borderId="0" xfId="7" applyFont="1" applyFill="1" applyBorder="1" applyAlignment="1" applyProtection="1">
      <alignment horizontal="center" vertical="center"/>
    </xf>
    <xf numFmtId="166" fontId="37" fillId="7" borderId="15" xfId="7" applyFont="1" applyFill="1" applyBorder="1" applyAlignment="1" applyProtection="1">
      <alignment horizontal="center" vertical="center"/>
    </xf>
    <xf numFmtId="164" fontId="48" fillId="3" borderId="101" xfId="163" applyNumberFormat="1" applyFont="1" applyFill="1" applyBorder="1" applyAlignment="1" applyProtection="1">
      <alignment vertical="center"/>
      <protection locked="0"/>
    </xf>
    <xf numFmtId="0" fontId="3" fillId="0" borderId="101" xfId="163" applyFont="1" applyFill="1" applyBorder="1" applyAlignment="1" applyProtection="1">
      <alignment horizontal="left" vertical="center" indent="1"/>
      <protection locked="0"/>
    </xf>
    <xf numFmtId="0" fontId="2" fillId="0" borderId="122" xfId="163" applyFont="1" applyFill="1" applyBorder="1" applyAlignment="1" applyProtection="1">
      <alignment horizontal="center" vertical="center"/>
      <protection locked="0"/>
    </xf>
    <xf numFmtId="170" fontId="48" fillId="3" borderId="122" xfId="163" applyNumberFormat="1" applyFont="1" applyFill="1" applyBorder="1" applyAlignment="1" applyProtection="1">
      <alignment vertical="center"/>
      <protection locked="0"/>
    </xf>
    <xf numFmtId="0" fontId="2" fillId="0" borderId="105" xfId="163" applyFont="1" applyFill="1" applyBorder="1" applyAlignment="1" applyProtection="1">
      <alignment horizontal="center" vertical="center"/>
      <protection locked="0"/>
    </xf>
    <xf numFmtId="170" fontId="48" fillId="3" borderId="105" xfId="163" applyNumberFormat="1" applyFont="1" applyFill="1" applyBorder="1" applyAlignment="1" applyProtection="1">
      <alignment vertical="center"/>
      <protection locked="0"/>
    </xf>
    <xf numFmtId="0" fontId="112" fillId="0" borderId="66" xfId="160" applyFont="1" applyBorder="1" applyAlignment="1" applyProtection="1">
      <alignment vertical="center"/>
    </xf>
    <xf numFmtId="0" fontId="112" fillId="0" borderId="0" xfId="160" applyFont="1" applyBorder="1" applyAlignment="1" applyProtection="1">
      <alignment vertical="center"/>
    </xf>
    <xf numFmtId="0" fontId="2" fillId="0" borderId="105" xfId="163" quotePrefix="1" applyFont="1" applyFill="1" applyBorder="1" applyAlignment="1" applyProtection="1">
      <alignment horizontal="center" vertical="center"/>
      <protection locked="0"/>
    </xf>
    <xf numFmtId="2" fontId="48" fillId="3" borderId="105" xfId="163" applyNumberFormat="1" applyFont="1" applyFill="1" applyBorder="1" applyAlignment="1" applyProtection="1">
      <alignment vertical="center"/>
      <protection locked="0"/>
    </xf>
    <xf numFmtId="0" fontId="2" fillId="7" borderId="17" xfId="163" applyNumberFormat="1" applyFont="1" applyFill="1" applyBorder="1" applyAlignment="1" applyProtection="1">
      <alignment vertical="center"/>
    </xf>
    <xf numFmtId="164" fontId="48" fillId="3" borderId="105" xfId="163" applyNumberFormat="1" applyFont="1" applyFill="1" applyBorder="1" applyAlignment="1" applyProtection="1">
      <alignment vertical="center"/>
      <protection locked="0"/>
    </xf>
    <xf numFmtId="0" fontId="2" fillId="0" borderId="70" xfId="159" applyBorder="1" applyAlignment="1" applyProtection="1">
      <alignment vertical="center"/>
    </xf>
    <xf numFmtId="164" fontId="2" fillId="7" borderId="105" xfId="163" applyNumberFormat="1" applyFont="1" applyFill="1" applyBorder="1" applyAlignment="1" applyProtection="1">
      <alignment vertical="center"/>
    </xf>
    <xf numFmtId="201" fontId="2" fillId="7" borderId="105" xfId="163" applyNumberFormat="1" applyFont="1" applyFill="1" applyBorder="1" applyAlignment="1" applyProtection="1">
      <alignment vertical="center"/>
    </xf>
    <xf numFmtId="164" fontId="2" fillId="0" borderId="105" xfId="163" applyNumberFormat="1" applyFont="1" applyFill="1" applyBorder="1" applyAlignment="1" applyProtection="1">
      <alignment vertical="center"/>
    </xf>
    <xf numFmtId="164" fontId="2" fillId="0" borderId="105" xfId="163" applyNumberFormat="1" applyFont="1" applyFill="1" applyBorder="1" applyAlignment="1" applyProtection="1">
      <alignment horizontal="right" vertical="center"/>
    </xf>
    <xf numFmtId="2" fontId="2" fillId="0" borderId="105" xfId="163" applyNumberFormat="1" applyFont="1" applyBorder="1" applyProtection="1"/>
    <xf numFmtId="0" fontId="112" fillId="0" borderId="66" xfId="163" applyFont="1" applyFill="1" applyBorder="1" applyAlignment="1" applyProtection="1">
      <alignment horizontal="left" vertical="center" indent="1"/>
    </xf>
    <xf numFmtId="3" fontId="2" fillId="0" borderId="105" xfId="163" applyNumberFormat="1" applyFont="1" applyFill="1" applyBorder="1" applyAlignment="1" applyProtection="1">
      <alignment vertical="center"/>
    </xf>
    <xf numFmtId="0" fontId="2" fillId="0" borderId="123" xfId="163" quotePrefix="1" applyFont="1" applyFill="1" applyBorder="1" applyAlignment="1" applyProtection="1">
      <alignment horizontal="center" vertical="center"/>
      <protection locked="0"/>
    </xf>
    <xf numFmtId="0" fontId="2" fillId="0" borderId="123" xfId="163" applyNumberFormat="1" applyFont="1" applyFill="1" applyBorder="1" applyAlignment="1" applyProtection="1">
      <alignment horizontal="right" vertical="center"/>
    </xf>
    <xf numFmtId="0" fontId="2" fillId="7" borderId="102" xfId="163" quotePrefix="1" applyFont="1" applyFill="1" applyBorder="1" applyAlignment="1" applyProtection="1">
      <alignment horizontal="right" vertical="center" indent="1"/>
      <protection locked="0"/>
    </xf>
    <xf numFmtId="172" fontId="2" fillId="7" borderId="6" xfId="163" applyNumberFormat="1" applyFont="1" applyFill="1" applyBorder="1" applyAlignment="1" applyProtection="1">
      <alignment vertical="center"/>
    </xf>
    <xf numFmtId="0" fontId="2" fillId="0" borderId="122" xfId="163" quotePrefix="1" applyFont="1" applyFill="1" applyBorder="1" applyAlignment="1" applyProtection="1">
      <alignment horizontal="right" vertical="center" indent="1"/>
      <protection locked="0"/>
    </xf>
    <xf numFmtId="3" fontId="2" fillId="25" borderId="122" xfId="163" applyNumberFormat="1" applyFont="1" applyFill="1" applyBorder="1" applyAlignment="1" applyProtection="1">
      <alignment vertical="center"/>
    </xf>
    <xf numFmtId="0" fontId="2" fillId="0" borderId="82" xfId="163" quotePrefix="1" applyFont="1" applyFill="1" applyBorder="1" applyAlignment="1" applyProtection="1">
      <alignment horizontal="right" vertical="center" indent="1"/>
      <protection locked="0"/>
    </xf>
    <xf numFmtId="3" fontId="25" fillId="25" borderId="82" xfId="163" applyNumberFormat="1" applyFont="1" applyFill="1" applyBorder="1" applyAlignment="1" applyProtection="1">
      <alignment vertical="center"/>
    </xf>
    <xf numFmtId="0" fontId="2" fillId="7" borderId="0" xfId="163" applyNumberFormat="1" applyFont="1" applyFill="1" applyBorder="1" applyAlignment="1" applyProtection="1">
      <alignment vertical="center"/>
    </xf>
    <xf numFmtId="0" fontId="3" fillId="7" borderId="19" xfId="163" applyNumberFormat="1" applyFont="1" applyFill="1" applyBorder="1" applyAlignment="1" applyProtection="1">
      <alignment vertical="center"/>
      <protection locked="0"/>
    </xf>
    <xf numFmtId="0" fontId="3" fillId="7" borderId="21" xfId="163" applyNumberFormat="1" applyFont="1" applyFill="1" applyBorder="1" applyAlignment="1" applyProtection="1">
      <alignment vertical="center"/>
      <protection locked="0"/>
    </xf>
    <xf numFmtId="0" fontId="3" fillId="0" borderId="21" xfId="163" applyFont="1" applyBorder="1"/>
    <xf numFmtId="0" fontId="3" fillId="7" borderId="23" xfId="163" applyNumberFormat="1" applyFont="1" applyFill="1" applyBorder="1" applyAlignment="1" applyProtection="1">
      <alignment vertical="center"/>
      <protection locked="0"/>
    </xf>
    <xf numFmtId="0" fontId="2" fillId="7" borderId="21" xfId="163" applyNumberFormat="1" applyFont="1" applyFill="1" applyBorder="1" applyAlignment="1" applyProtection="1">
      <alignment vertical="center"/>
    </xf>
    <xf numFmtId="0" fontId="2" fillId="7" borderId="51" xfId="163" applyFont="1" applyFill="1" applyBorder="1" applyAlignment="1" applyProtection="1">
      <alignment horizontal="left" vertical="center" indent="1"/>
    </xf>
    <xf numFmtId="0" fontId="2" fillId="7" borderId="51" xfId="163" applyFont="1" applyFill="1" applyBorder="1" applyAlignment="1" applyProtection="1">
      <alignment horizontal="left" vertical="center"/>
    </xf>
    <xf numFmtId="0" fontId="2" fillId="7" borderId="51" xfId="163" applyFont="1" applyFill="1" applyBorder="1" applyAlignment="1" applyProtection="1">
      <alignment vertical="center"/>
    </xf>
    <xf numFmtId="0" fontId="2" fillId="7" borderId="51" xfId="163" applyFont="1" applyFill="1" applyBorder="1" applyAlignment="1" applyProtection="1">
      <alignment vertical="center"/>
      <protection locked="0"/>
    </xf>
    <xf numFmtId="0" fontId="2" fillId="7" borderId="51" xfId="163" applyNumberFormat="1" applyFont="1" applyFill="1" applyBorder="1" applyAlignment="1" applyProtection="1">
      <alignment vertical="center"/>
      <protection locked="0"/>
    </xf>
    <xf numFmtId="0" fontId="2" fillId="7" borderId="51" xfId="163" quotePrefix="1" applyNumberFormat="1" applyFont="1" applyFill="1" applyBorder="1" applyAlignment="1" applyProtection="1">
      <alignment horizontal="right" vertical="center"/>
    </xf>
    <xf numFmtId="0" fontId="2" fillId="7" borderId="51" xfId="163" applyNumberFormat="1" applyFont="1" applyFill="1" applyBorder="1" applyAlignment="1" applyProtection="1">
      <alignment vertical="center"/>
    </xf>
    <xf numFmtId="165" fontId="41" fillId="7" borderId="51" xfId="3" applyFont="1" applyFill="1" applyBorder="1" applyAlignment="1" applyProtection="1">
      <alignment horizontal="center" vertical="center"/>
      <protection locked="0"/>
    </xf>
    <xf numFmtId="0" fontId="2" fillId="7" borderId="51" xfId="163" applyFont="1" applyFill="1" applyBorder="1" applyAlignment="1">
      <alignment vertical="center"/>
    </xf>
    <xf numFmtId="0" fontId="2" fillId="7" borderId="112" xfId="163" applyFont="1" applyFill="1" applyBorder="1" applyAlignment="1">
      <alignment vertical="center"/>
    </xf>
    <xf numFmtId="174" fontId="113" fillId="2" borderId="120" xfId="163" applyNumberFormat="1" applyFont="1" applyFill="1" applyBorder="1" applyAlignment="1" applyProtection="1">
      <alignment vertical="center"/>
    </xf>
    <xf numFmtId="0" fontId="112" fillId="7" borderId="126" xfId="163" applyNumberFormat="1" applyFont="1" applyFill="1" applyBorder="1" applyAlignment="1" applyProtection="1">
      <alignment vertical="center"/>
      <protection locked="0"/>
    </xf>
    <xf numFmtId="0" fontId="112" fillId="7" borderId="114" xfId="163" applyNumberFormat="1" applyFont="1" applyFill="1" applyBorder="1" applyAlignment="1" applyProtection="1">
      <alignment vertical="center"/>
    </xf>
    <xf numFmtId="0" fontId="112" fillId="7" borderId="114" xfId="163" applyNumberFormat="1" applyFont="1" applyFill="1" applyBorder="1" applyAlignment="1" applyProtection="1">
      <alignment vertical="center"/>
      <protection locked="0"/>
    </xf>
    <xf numFmtId="165" fontId="41" fillId="7" borderId="114" xfId="3" applyFont="1" applyFill="1" applyBorder="1" applyAlignment="1" applyProtection="1">
      <alignment horizontal="center" vertical="center"/>
      <protection locked="0"/>
    </xf>
    <xf numFmtId="0" fontId="112" fillId="7" borderId="114" xfId="163" applyFont="1" applyFill="1" applyBorder="1" applyAlignment="1">
      <alignment vertical="center"/>
    </xf>
    <xf numFmtId="0" fontId="112" fillId="7" borderId="115" xfId="163" applyFont="1" applyFill="1" applyBorder="1" applyAlignment="1">
      <alignment vertical="center"/>
    </xf>
    <xf numFmtId="0" fontId="2" fillId="0" borderId="0" xfId="163" applyFill="1"/>
    <xf numFmtId="0" fontId="71" fillId="0" borderId="0" xfId="165"/>
    <xf numFmtId="0" fontId="118" fillId="6" borderId="101" xfId="165" applyFont="1" applyFill="1" applyBorder="1" applyAlignment="1" applyProtection="1">
      <alignment horizontal="right" vertical="center" indent="1"/>
      <protection locked="0"/>
    </xf>
    <xf numFmtId="174" fontId="119" fillId="7" borderId="97" xfId="165" applyNumberFormat="1" applyFont="1" applyFill="1" applyBorder="1" applyAlignment="1" applyProtection="1">
      <alignment vertical="center"/>
    </xf>
    <xf numFmtId="199" fontId="112" fillId="7" borderId="0" xfId="165" applyNumberFormat="1" applyFont="1" applyFill="1" applyBorder="1" applyAlignment="1" applyProtection="1">
      <alignment horizontal="left" vertical="center" indent="1"/>
    </xf>
    <xf numFmtId="0" fontId="71" fillId="7" borderId="0" xfId="161" applyFill="1" applyBorder="1" applyProtection="1"/>
    <xf numFmtId="0" fontId="71" fillId="7" borderId="0" xfId="161" applyFill="1" applyProtection="1"/>
    <xf numFmtId="0" fontId="112" fillId="7" borderId="0" xfId="165" applyFont="1" applyFill="1" applyBorder="1" applyAlignment="1" applyProtection="1">
      <alignment horizontal="left" vertical="center" indent="2"/>
    </xf>
    <xf numFmtId="49" fontId="112" fillId="6" borderId="122" xfId="165" applyNumberFormat="1" applyFont="1" applyFill="1" applyBorder="1" applyAlignment="1" applyProtection="1">
      <alignment horizontal="center" vertical="center"/>
      <protection locked="0"/>
    </xf>
    <xf numFmtId="0" fontId="71" fillId="7" borderId="70" xfId="161" applyFill="1" applyBorder="1" applyProtection="1"/>
    <xf numFmtId="49" fontId="112" fillId="6" borderId="105" xfId="165" applyNumberFormat="1" applyFont="1" applyFill="1" applyBorder="1" applyAlignment="1" applyProtection="1">
      <alignment horizontal="center" vertical="center"/>
      <protection locked="0"/>
    </xf>
    <xf numFmtId="0" fontId="71" fillId="0" borderId="0" xfId="161" applyProtection="1"/>
    <xf numFmtId="0" fontId="112" fillId="0" borderId="0" xfId="165" applyFont="1" applyAlignment="1">
      <alignment vertical="center"/>
    </xf>
    <xf numFmtId="0" fontId="1" fillId="0" borderId="0" xfId="145"/>
    <xf numFmtId="0" fontId="71" fillId="0" borderId="0" xfId="165" applyFill="1" applyProtection="1"/>
    <xf numFmtId="0" fontId="112" fillId="0" borderId="0" xfId="165" applyFont="1" applyFill="1" applyBorder="1" applyAlignment="1" applyProtection="1">
      <alignment horizontal="left" vertical="center" indent="1"/>
    </xf>
    <xf numFmtId="0" fontId="122" fillId="7" borderId="0" xfId="165" applyFont="1" applyFill="1" applyBorder="1" applyAlignment="1" applyProtection="1">
      <alignment horizontal="left" vertical="center" indent="2"/>
    </xf>
    <xf numFmtId="0" fontId="124" fillId="7" borderId="0" xfId="165" applyFont="1" applyFill="1" applyBorder="1" applyAlignment="1" applyProtection="1">
      <alignment horizontal="left" vertical="center" indent="2"/>
    </xf>
    <xf numFmtId="0" fontId="3" fillId="7" borderId="106" xfId="163" applyNumberFormat="1" applyFont="1" applyFill="1" applyBorder="1" applyAlignment="1" applyProtection="1">
      <alignment vertical="center"/>
      <protection locked="0"/>
    </xf>
    <xf numFmtId="0" fontId="3" fillId="7" borderId="51" xfId="163" applyNumberFormat="1" applyFont="1" applyFill="1" applyBorder="1" applyAlignment="1" applyProtection="1">
      <alignment vertical="center"/>
      <protection locked="0"/>
    </xf>
    <xf numFmtId="174" fontId="113" fillId="7" borderId="51" xfId="163" applyNumberFormat="1" applyFont="1" applyFill="1" applyBorder="1" applyAlignment="1" applyProtection="1">
      <alignment vertical="center"/>
    </xf>
    <xf numFmtId="174" fontId="113" fillId="7" borderId="107" xfId="163" applyNumberFormat="1" applyFont="1" applyFill="1" applyBorder="1" applyAlignment="1" applyProtection="1">
      <alignment vertical="center"/>
    </xf>
    <xf numFmtId="174" fontId="119" fillId="7" borderId="97" xfId="165" applyNumberFormat="1" applyFont="1" applyFill="1" applyBorder="1" applyAlignment="1" applyProtection="1">
      <alignment horizontal="left" vertical="center" indent="1"/>
    </xf>
    <xf numFmtId="0" fontId="71" fillId="0" borderId="0" xfId="165" applyFill="1"/>
    <xf numFmtId="170" fontId="6" fillId="0" borderId="0" xfId="7" applyNumberFormat="1"/>
    <xf numFmtId="0" fontId="2" fillId="0" borderId="0" xfId="164" applyFill="1" applyProtection="1">
      <protection locked="0"/>
    </xf>
    <xf numFmtId="1" fontId="47" fillId="10" borderId="0" xfId="0" applyNumberFormat="1" applyFont="1" applyFill="1" applyBorder="1" applyAlignment="1" applyProtection="1">
      <alignment horizontal="right" vertical="center"/>
      <protection locked="0"/>
    </xf>
    <xf numFmtId="0" fontId="2" fillId="0" borderId="0" xfId="164" applyProtection="1">
      <protection locked="0"/>
    </xf>
    <xf numFmtId="0" fontId="2" fillId="0" borderId="0" xfId="164" applyAlignment="1" applyProtection="1">
      <alignment vertical="center"/>
      <protection locked="0"/>
    </xf>
    <xf numFmtId="0" fontId="2" fillId="0" borderId="0" xfId="164" applyFill="1" applyAlignment="1" applyProtection="1">
      <alignment vertical="center"/>
      <protection locked="0"/>
    </xf>
    <xf numFmtId="172" fontId="3" fillId="8" borderId="104" xfId="164" applyNumberFormat="1" applyFont="1" applyFill="1" applyBorder="1" applyAlignment="1" applyProtection="1">
      <alignment vertical="center"/>
      <protection locked="0"/>
    </xf>
    <xf numFmtId="172" fontId="3" fillId="8" borderId="105" xfId="164" applyNumberFormat="1" applyFont="1" applyFill="1" applyBorder="1" applyAlignment="1" applyProtection="1">
      <alignment vertical="center"/>
      <protection locked="0"/>
    </xf>
    <xf numFmtId="173" fontId="3" fillId="8" borderId="105" xfId="164" applyNumberFormat="1" applyFont="1" applyFill="1" applyBorder="1" applyAlignment="1" applyProtection="1">
      <alignment vertical="center"/>
      <protection locked="0"/>
    </xf>
    <xf numFmtId="197" fontId="3" fillId="8" borderId="105" xfId="164" applyNumberFormat="1" applyFont="1" applyFill="1" applyBorder="1" applyAlignment="1" applyProtection="1">
      <alignment vertical="center"/>
      <protection locked="0"/>
    </xf>
    <xf numFmtId="3" fontId="3" fillId="8" borderId="82" xfId="164" applyNumberFormat="1" applyFont="1" applyFill="1" applyBorder="1" applyAlignment="1" applyProtection="1">
      <alignment vertical="center"/>
      <protection locked="0"/>
    </xf>
    <xf numFmtId="3" fontId="3" fillId="8" borderId="101" xfId="164" applyNumberFormat="1" applyFont="1" applyFill="1" applyBorder="1" applyAlignment="1" applyProtection="1">
      <alignment vertical="center"/>
      <protection locked="0"/>
    </xf>
    <xf numFmtId="0" fontId="2" fillId="7" borderId="101" xfId="164" applyFont="1" applyFill="1" applyBorder="1" applyAlignment="1" applyProtection="1">
      <alignment vertical="center"/>
      <protection locked="0"/>
    </xf>
    <xf numFmtId="0" fontId="3" fillId="0" borderId="0" xfId="164" applyFont="1" applyAlignment="1" applyProtection="1">
      <alignment vertical="center"/>
      <protection locked="0"/>
    </xf>
    <xf numFmtId="0" fontId="3" fillId="0" borderId="101" xfId="164" applyNumberFormat="1" applyFont="1" applyFill="1" applyBorder="1" applyAlignment="1" applyProtection="1">
      <alignment horizontal="center" vertical="center"/>
    </xf>
    <xf numFmtId="0" fontId="2" fillId="0" borderId="101" xfId="164" applyNumberFormat="1" applyFont="1" applyFill="1" applyBorder="1" applyAlignment="1" applyProtection="1">
      <alignment horizontal="center" vertical="center"/>
    </xf>
    <xf numFmtId="0" fontId="2" fillId="0" borderId="0" xfId="164" applyFill="1" applyProtection="1"/>
    <xf numFmtId="0" fontId="2" fillId="0" borderId="0" xfId="164" applyFont="1" applyAlignment="1" applyProtection="1"/>
    <xf numFmtId="2" fontId="48" fillId="7" borderId="0" xfId="164" applyNumberFormat="1" applyFont="1" applyFill="1" applyBorder="1" applyAlignment="1" applyProtection="1">
      <alignment vertical="center"/>
    </xf>
    <xf numFmtId="3" fontId="2" fillId="7" borderId="0" xfId="164" applyNumberFormat="1" applyFont="1" applyFill="1" applyBorder="1" applyAlignment="1" applyProtection="1">
      <alignment vertical="center"/>
    </xf>
    <xf numFmtId="2" fontId="2" fillId="7" borderId="0" xfId="164" applyNumberFormat="1" applyFont="1" applyFill="1" applyBorder="1" applyAlignment="1" applyProtection="1">
      <alignment vertical="center"/>
    </xf>
    <xf numFmtId="167" fontId="107" fillId="7" borderId="86" xfId="5" applyNumberFormat="1" applyFont="1" applyFill="1" applyBorder="1" applyAlignment="1" applyProtection="1">
      <alignment horizontal="center" vertical="center"/>
    </xf>
    <xf numFmtId="0" fontId="2" fillId="7" borderId="90" xfId="164" applyFont="1" applyFill="1" applyBorder="1" applyProtection="1"/>
    <xf numFmtId="0" fontId="2" fillId="7" borderId="90" xfId="164" applyFont="1" applyFill="1" applyBorder="1" applyAlignment="1" applyProtection="1">
      <alignment vertical="center"/>
    </xf>
    <xf numFmtId="0" fontId="2" fillId="7" borderId="16" xfId="164" applyFont="1" applyFill="1" applyBorder="1" applyAlignment="1" applyProtection="1">
      <alignment vertical="center"/>
    </xf>
    <xf numFmtId="165" fontId="107" fillId="7" borderId="70" xfId="3" applyFont="1" applyFill="1" applyBorder="1" applyAlignment="1" applyProtection="1">
      <alignment horizontal="center" vertical="center"/>
    </xf>
    <xf numFmtId="0" fontId="2" fillId="7" borderId="72" xfId="164" applyFont="1" applyFill="1" applyBorder="1" applyAlignment="1" applyProtection="1">
      <alignment vertical="center"/>
    </xf>
    <xf numFmtId="165" fontId="107" fillId="7" borderId="73" xfId="3" applyFont="1" applyFill="1" applyBorder="1" applyAlignment="1" applyProtection="1">
      <alignment horizontal="center" vertical="center"/>
    </xf>
    <xf numFmtId="0" fontId="2" fillId="7" borderId="17" xfId="164" applyFont="1" applyFill="1" applyBorder="1" applyAlignment="1" applyProtection="1">
      <alignment vertical="center"/>
    </xf>
    <xf numFmtId="0" fontId="2" fillId="7" borderId="121" xfId="164" applyFont="1" applyFill="1" applyBorder="1" applyAlignment="1" applyProtection="1">
      <alignment vertical="center"/>
    </xf>
    <xf numFmtId="173" fontId="2" fillId="7" borderId="0" xfId="164" applyNumberFormat="1" applyFont="1" applyFill="1" applyBorder="1" applyAlignment="1" applyProtection="1">
      <alignment vertical="center"/>
    </xf>
    <xf numFmtId="0" fontId="3" fillId="7" borderId="0" xfId="164" applyFont="1" applyFill="1" applyBorder="1" applyAlignment="1" applyProtection="1">
      <alignment horizontal="left" vertical="center"/>
    </xf>
    <xf numFmtId="0" fontId="2" fillId="7" borderId="0" xfId="164" applyFont="1" applyFill="1" applyBorder="1" applyAlignment="1" applyProtection="1">
      <alignment horizontal="left" vertical="center"/>
    </xf>
    <xf numFmtId="2" fontId="2" fillId="7" borderId="0" xfId="164" applyNumberFormat="1" applyFont="1" applyFill="1" applyBorder="1" applyAlignment="1" applyProtection="1">
      <alignment horizontal="left" vertical="center"/>
    </xf>
    <xf numFmtId="0" fontId="2" fillId="7" borderId="0" xfId="164" applyNumberFormat="1" applyFont="1" applyFill="1" applyBorder="1" applyAlignment="1" applyProtection="1">
      <alignment horizontal="left" vertical="center"/>
    </xf>
    <xf numFmtId="0" fontId="105" fillId="0" borderId="16" xfId="164" applyFont="1" applyBorder="1" applyAlignment="1" applyProtection="1">
      <alignment horizontal="left" vertical="center" indent="1"/>
    </xf>
    <xf numFmtId="0" fontId="105" fillId="0" borderId="8" xfId="164" applyFont="1" applyBorder="1" applyAlignment="1" applyProtection="1">
      <alignment horizontal="left" vertical="center" indent="1"/>
    </xf>
    <xf numFmtId="0" fontId="105" fillId="0" borderId="59" xfId="164" applyFont="1" applyBorder="1" applyAlignment="1" applyProtection="1">
      <alignment horizontal="left" vertical="center" indent="1"/>
    </xf>
    <xf numFmtId="0" fontId="3" fillId="0" borderId="2" xfId="164" applyFont="1" applyBorder="1" applyAlignment="1" applyProtection="1">
      <alignment vertical="center"/>
    </xf>
    <xf numFmtId="0" fontId="105" fillId="0" borderId="18" xfId="164" applyFont="1" applyBorder="1" applyAlignment="1" applyProtection="1">
      <alignment horizontal="left" vertical="center" indent="1"/>
    </xf>
    <xf numFmtId="0" fontId="105" fillId="0" borderId="9" xfId="164" applyFont="1" applyBorder="1" applyAlignment="1" applyProtection="1">
      <alignment horizontal="left" vertical="center" indent="1"/>
    </xf>
    <xf numFmtId="0" fontId="105" fillId="0" borderId="15" xfId="164" applyFont="1" applyBorder="1" applyAlignment="1" applyProtection="1">
      <alignment horizontal="left" vertical="center" indent="1"/>
    </xf>
    <xf numFmtId="0" fontId="105" fillId="0" borderId="18" xfId="164" applyFont="1" applyFill="1" applyBorder="1" applyAlignment="1" applyProtection="1">
      <alignment horizontal="left" vertical="center" indent="1"/>
    </xf>
    <xf numFmtId="0" fontId="105" fillId="0" borderId="15" xfId="164" applyFont="1" applyFill="1" applyBorder="1" applyAlignment="1" applyProtection="1">
      <alignment horizontal="left" vertical="center" indent="1"/>
    </xf>
    <xf numFmtId="0" fontId="105" fillId="0" borderId="9" xfId="164" applyFont="1" applyFill="1" applyBorder="1" applyAlignment="1" applyProtection="1">
      <alignment horizontal="left" vertical="center" indent="1"/>
    </xf>
    <xf numFmtId="0" fontId="109" fillId="0" borderId="5" xfId="164" applyFont="1" applyBorder="1" applyAlignment="1" applyProtection="1">
      <alignment horizontal="left" vertical="center" indent="1"/>
    </xf>
    <xf numFmtId="0" fontId="109" fillId="0" borderId="102" xfId="164" applyFont="1" applyBorder="1" applyAlignment="1" applyProtection="1">
      <alignment horizontal="left" vertical="center" indent="1"/>
    </xf>
    <xf numFmtId="0" fontId="109" fillId="0" borderId="6" xfId="164" applyFont="1" applyBorder="1" applyAlignment="1" applyProtection="1">
      <alignment horizontal="left" vertical="center" indent="1"/>
    </xf>
    <xf numFmtId="2" fontId="109" fillId="0" borderId="101" xfId="164" applyNumberFormat="1" applyFont="1" applyFill="1" applyBorder="1" applyAlignment="1" applyProtection="1">
      <alignment vertical="center"/>
    </xf>
    <xf numFmtId="0" fontId="109" fillId="0" borderId="18" xfId="164" applyFont="1" applyBorder="1" applyAlignment="1" applyProtection="1">
      <alignment horizontal="left" vertical="center" indent="1"/>
    </xf>
    <xf numFmtId="0" fontId="109" fillId="0" borderId="15" xfId="164" applyFont="1" applyBorder="1" applyAlignment="1" applyProtection="1">
      <alignment horizontal="left" vertical="center" indent="1"/>
    </xf>
    <xf numFmtId="0" fontId="109" fillId="0" borderId="9" xfId="164" applyFont="1" applyBorder="1" applyAlignment="1" applyProtection="1">
      <alignment horizontal="left" vertical="center" indent="1"/>
    </xf>
    <xf numFmtId="0" fontId="105" fillId="0" borderId="17" xfId="164" applyFont="1" applyFill="1" applyBorder="1" applyAlignment="1" applyProtection="1">
      <alignment horizontal="left" vertical="center" indent="1"/>
    </xf>
    <xf numFmtId="0" fontId="105" fillId="0" borderId="7" xfId="164" applyFont="1" applyFill="1" applyBorder="1" applyAlignment="1" applyProtection="1">
      <alignment horizontal="left" vertical="center" indent="1"/>
    </xf>
    <xf numFmtId="0" fontId="105" fillId="0" borderId="18" xfId="164" applyFont="1" applyBorder="1" applyAlignment="1" applyProtection="1">
      <alignment vertical="center"/>
    </xf>
    <xf numFmtId="0" fontId="105" fillId="0" borderId="9" xfId="164" applyFont="1" applyBorder="1" applyAlignment="1" applyProtection="1">
      <alignment vertical="center"/>
    </xf>
    <xf numFmtId="2" fontId="109" fillId="0" borderId="101" xfId="164" applyNumberFormat="1" applyFont="1" applyBorder="1" applyAlignment="1" applyProtection="1">
      <alignment vertical="center"/>
    </xf>
    <xf numFmtId="2" fontId="109" fillId="0" borderId="4" xfId="164" applyNumberFormat="1" applyFont="1" applyBorder="1" applyAlignment="1" applyProtection="1">
      <alignment vertical="center"/>
    </xf>
    <xf numFmtId="0" fontId="112" fillId="0" borderId="0" xfId="164" applyFont="1" applyAlignment="1" applyProtection="1">
      <alignment vertical="center"/>
    </xf>
    <xf numFmtId="0" fontId="2" fillId="0" borderId="0" xfId="164" applyAlignment="1" applyProtection="1">
      <alignment horizontal="left" vertical="center" indent="1"/>
    </xf>
    <xf numFmtId="0" fontId="105" fillId="0" borderId="0" xfId="164" applyFont="1" applyAlignment="1" applyProtection="1">
      <alignment vertical="center"/>
    </xf>
    <xf numFmtId="173" fontId="2" fillId="0" borderId="105" xfId="164" applyNumberFormat="1" applyFont="1" applyFill="1" applyBorder="1" applyAlignment="1" applyProtection="1">
      <alignment vertical="center"/>
    </xf>
    <xf numFmtId="0" fontId="2" fillId="0" borderId="105" xfId="164" applyNumberFormat="1" applyFont="1" applyFill="1" applyBorder="1" applyAlignment="1" applyProtection="1">
      <alignment horizontal="right" vertical="center"/>
    </xf>
    <xf numFmtId="164" fontId="2" fillId="0" borderId="105" xfId="164" applyNumberFormat="1" applyFont="1" applyFill="1" applyBorder="1" applyAlignment="1" applyProtection="1">
      <alignment vertical="center"/>
    </xf>
    <xf numFmtId="170" fontId="2" fillId="0" borderId="105" xfId="164" applyNumberFormat="1" applyFont="1" applyFill="1" applyBorder="1" applyAlignment="1" applyProtection="1">
      <alignment vertical="center"/>
    </xf>
    <xf numFmtId="3" fontId="2" fillId="0" borderId="107" xfId="164" applyNumberFormat="1" applyFont="1" applyFill="1" applyBorder="1" applyAlignment="1" applyProtection="1">
      <alignment vertical="center"/>
    </xf>
    <xf numFmtId="170" fontId="21" fillId="7" borderId="105" xfId="0" applyNumberFormat="1" applyFont="1" applyFill="1" applyBorder="1" applyAlignment="1" applyProtection="1">
      <alignment horizontal="left" vertical="center"/>
      <protection locked="0"/>
    </xf>
    <xf numFmtId="170" fontId="3" fillId="7" borderId="105" xfId="0" applyNumberFormat="1" applyFont="1" applyFill="1" applyBorder="1" applyAlignment="1" applyProtection="1">
      <alignment vertical="center"/>
      <protection locked="0"/>
    </xf>
    <xf numFmtId="0" fontId="0" fillId="7" borderId="59" xfId="0" applyFill="1" applyBorder="1" applyProtection="1"/>
    <xf numFmtId="0" fontId="0" fillId="7" borderId="86" xfId="0" applyFill="1" applyBorder="1" applyProtection="1"/>
    <xf numFmtId="0" fontId="2" fillId="0" borderId="0" xfId="0" applyFont="1" applyProtection="1"/>
    <xf numFmtId="0" fontId="112" fillId="0" borderId="0" xfId="163" applyFont="1" applyAlignment="1" applyProtection="1">
      <alignment vertical="center"/>
    </xf>
    <xf numFmtId="0" fontId="2" fillId="0" borderId="0" xfId="163" applyAlignment="1" applyProtection="1">
      <alignment vertical="center"/>
    </xf>
    <xf numFmtId="0" fontId="2" fillId="0" borderId="0" xfId="163" applyProtection="1"/>
    <xf numFmtId="0" fontId="112" fillId="0" borderId="0" xfId="163" applyFont="1" applyAlignment="1" applyProtection="1">
      <alignment horizontal="right" vertical="center"/>
    </xf>
    <xf numFmtId="0" fontId="112" fillId="0" borderId="0" xfId="163" applyFont="1" applyAlignment="1" applyProtection="1">
      <alignment horizontal="center" vertical="center"/>
    </xf>
    <xf numFmtId="0" fontId="112" fillId="0" borderId="0" xfId="163" quotePrefix="1" applyFont="1" applyAlignment="1" applyProtection="1">
      <alignment horizontal="right" vertical="center"/>
    </xf>
    <xf numFmtId="200" fontId="112" fillId="0" borderId="0" xfId="163" applyNumberFormat="1" applyFont="1" applyAlignment="1" applyProtection="1">
      <alignment vertical="center"/>
    </xf>
    <xf numFmtId="0" fontId="112" fillId="0" borderId="0" xfId="164" applyFont="1" applyBorder="1" applyAlignment="1" applyProtection="1">
      <alignment horizontal="right" vertical="center"/>
    </xf>
    <xf numFmtId="0" fontId="112" fillId="0" borderId="0" xfId="164" applyFont="1" applyBorder="1" applyAlignment="1" applyProtection="1">
      <alignment vertical="center"/>
    </xf>
    <xf numFmtId="0" fontId="112" fillId="0" borderId="0" xfId="164" applyFont="1" applyBorder="1" applyAlignment="1" applyProtection="1">
      <alignment vertical="center" wrapText="1"/>
    </xf>
    <xf numFmtId="0" fontId="2" fillId="0" borderId="70" xfId="163" applyBorder="1" applyAlignment="1" applyProtection="1">
      <alignment vertical="center"/>
    </xf>
    <xf numFmtId="0" fontId="112" fillId="0" borderId="66" xfId="164" applyFont="1" applyBorder="1" applyAlignment="1" applyProtection="1">
      <alignment vertical="center"/>
    </xf>
    <xf numFmtId="0" fontId="112" fillId="0" borderId="66" xfId="164" applyFont="1" applyBorder="1" applyAlignment="1" applyProtection="1">
      <alignment horizontal="right" vertical="center"/>
    </xf>
    <xf numFmtId="164" fontId="115" fillId="3" borderId="0" xfId="164" applyNumberFormat="1" applyFont="1" applyFill="1" applyBorder="1" applyAlignment="1" applyProtection="1">
      <alignment vertical="center"/>
    </xf>
    <xf numFmtId="0" fontId="116" fillId="0" borderId="0" xfId="164" applyFont="1" applyBorder="1" applyAlignment="1" applyProtection="1">
      <alignment vertical="center"/>
    </xf>
    <xf numFmtId="164" fontId="112" fillId="0" borderId="0" xfId="164" applyNumberFormat="1" applyFont="1" applyBorder="1" applyAlignment="1" applyProtection="1">
      <alignment vertical="center"/>
    </xf>
    <xf numFmtId="0" fontId="2" fillId="0" borderId="70" xfId="163" applyFont="1" applyBorder="1" applyAlignment="1" applyProtection="1">
      <alignment vertical="center"/>
    </xf>
    <xf numFmtId="2" fontId="112" fillId="0" borderId="0" xfId="164" applyNumberFormat="1" applyFont="1" applyBorder="1" applyAlignment="1" applyProtection="1">
      <alignment vertical="center"/>
    </xf>
    <xf numFmtId="179" fontId="112" fillId="0" borderId="0" xfId="164" applyNumberFormat="1" applyFont="1" applyBorder="1" applyAlignment="1" applyProtection="1">
      <alignment vertical="center"/>
    </xf>
    <xf numFmtId="0" fontId="112" fillId="0" borderId="66" xfId="163" applyFont="1" applyBorder="1" applyAlignment="1" applyProtection="1">
      <alignment horizontal="right" vertical="center"/>
    </xf>
    <xf numFmtId="164" fontId="115" fillId="3" borderId="0" xfId="163" applyNumberFormat="1" applyFont="1" applyFill="1" applyBorder="1" applyAlignment="1" applyProtection="1">
      <alignment vertical="center"/>
    </xf>
    <xf numFmtId="0" fontId="112" fillId="0" borderId="0" xfId="163" applyFont="1" applyBorder="1" applyAlignment="1" applyProtection="1">
      <alignment horizontal="right" vertical="center"/>
    </xf>
    <xf numFmtId="0" fontId="112" fillId="0" borderId="0" xfId="163" applyFont="1" applyBorder="1" applyAlignment="1" applyProtection="1">
      <alignment vertical="center"/>
    </xf>
    <xf numFmtId="0" fontId="116" fillId="0" borderId="0" xfId="163" applyFont="1" applyBorder="1" applyAlignment="1" applyProtection="1">
      <alignment vertical="center"/>
    </xf>
    <xf numFmtId="164" fontId="112" fillId="0" borderId="0" xfId="163" applyNumberFormat="1" applyFont="1" applyBorder="1" applyAlignment="1" applyProtection="1">
      <alignment vertical="center"/>
    </xf>
    <xf numFmtId="2" fontId="112" fillId="0" borderId="0" xfId="163" applyNumberFormat="1" applyFont="1" applyBorder="1" applyAlignment="1" applyProtection="1">
      <alignment vertical="center"/>
    </xf>
    <xf numFmtId="179" fontId="112" fillId="0" borderId="0" xfId="163" applyNumberFormat="1" applyFont="1" applyBorder="1" applyAlignment="1" applyProtection="1">
      <alignment vertical="center"/>
    </xf>
    <xf numFmtId="0" fontId="112" fillId="0" borderId="66" xfId="163" applyFont="1" applyBorder="1" applyAlignment="1" applyProtection="1">
      <alignment vertical="center"/>
    </xf>
    <xf numFmtId="0" fontId="112" fillId="0" borderId="70" xfId="163" applyFont="1" applyBorder="1" applyAlignment="1" applyProtection="1">
      <alignment horizontal="right" vertical="center"/>
    </xf>
    <xf numFmtId="0" fontId="112" fillId="0" borderId="0" xfId="163" quotePrefix="1" applyFont="1" applyBorder="1" applyAlignment="1" applyProtection="1">
      <alignment horizontal="right" vertical="center"/>
    </xf>
    <xf numFmtId="0" fontId="112" fillId="0" borderId="70" xfId="163" quotePrefix="1" applyFont="1" applyBorder="1" applyAlignment="1" applyProtection="1">
      <alignment horizontal="right" vertical="center"/>
    </xf>
    <xf numFmtId="3" fontId="115" fillId="3" borderId="66" xfId="163" applyNumberFormat="1" applyFont="1" applyFill="1" applyBorder="1" applyAlignment="1" applyProtection="1">
      <alignment vertical="center"/>
    </xf>
    <xf numFmtId="3" fontId="112" fillId="0" borderId="0" xfId="163" applyNumberFormat="1" applyFont="1" applyBorder="1" applyAlignment="1" applyProtection="1">
      <alignment vertical="center"/>
    </xf>
    <xf numFmtId="1" fontId="112" fillId="0" borderId="70" xfId="163" applyNumberFormat="1" applyFont="1" applyBorder="1" applyAlignment="1" applyProtection="1">
      <alignment vertical="center"/>
    </xf>
    <xf numFmtId="3" fontId="112" fillId="0" borderId="66" xfId="163" applyNumberFormat="1" applyFont="1" applyBorder="1" applyAlignment="1" applyProtection="1">
      <alignment vertical="center"/>
    </xf>
    <xf numFmtId="200" fontId="112" fillId="0" borderId="70" xfId="163" applyNumberFormat="1" applyFont="1" applyBorder="1" applyAlignment="1" applyProtection="1">
      <alignment vertical="center"/>
    </xf>
    <xf numFmtId="0" fontId="112" fillId="0" borderId="71" xfId="163" applyFont="1" applyBorder="1" applyAlignment="1" applyProtection="1">
      <alignment vertical="center"/>
    </xf>
    <xf numFmtId="0" fontId="112" fillId="0" borderId="72" xfId="163" applyFont="1" applyBorder="1" applyAlignment="1" applyProtection="1">
      <alignment vertical="center"/>
    </xf>
    <xf numFmtId="0" fontId="2" fillId="0" borderId="73" xfId="163" applyBorder="1" applyAlignment="1" applyProtection="1">
      <alignment vertical="center"/>
    </xf>
    <xf numFmtId="170" fontId="112" fillId="0" borderId="0" xfId="163" applyNumberFormat="1" applyFont="1" applyAlignment="1" applyProtection="1">
      <alignment horizontal="right" vertical="center"/>
    </xf>
    <xf numFmtId="0" fontId="2" fillId="7" borderId="0" xfId="163" applyFont="1" applyFill="1" applyProtection="1"/>
    <xf numFmtId="0" fontId="2" fillId="7" borderId="0" xfId="163" applyFont="1" applyFill="1" applyBorder="1" applyProtection="1"/>
    <xf numFmtId="0" fontId="3" fillId="7" borderId="0" xfId="163" applyNumberFormat="1" applyFont="1" applyFill="1" applyBorder="1" applyAlignment="1" applyProtection="1">
      <alignment vertical="center"/>
    </xf>
    <xf numFmtId="167" fontId="41" fillId="7" borderId="0" xfId="162" applyNumberFormat="1" applyFont="1" applyFill="1" applyBorder="1" applyAlignment="1" applyProtection="1">
      <alignment horizontal="center" vertical="center"/>
    </xf>
    <xf numFmtId="0" fontId="2" fillId="7" borderId="0" xfId="163" applyFont="1" applyFill="1" applyBorder="1" applyAlignment="1" applyProtection="1">
      <alignment vertical="center"/>
    </xf>
    <xf numFmtId="0" fontId="2" fillId="7" borderId="70" xfId="163" applyFont="1" applyFill="1" applyBorder="1" applyAlignment="1" applyProtection="1">
      <alignment vertical="center"/>
    </xf>
    <xf numFmtId="0" fontId="2" fillId="7" borderId="0" xfId="163" applyFill="1" applyProtection="1"/>
    <xf numFmtId="0" fontId="112" fillId="7" borderId="0" xfId="163" applyFont="1" applyFill="1" applyAlignment="1" applyProtection="1">
      <alignment vertical="center"/>
    </xf>
    <xf numFmtId="2" fontId="2" fillId="7" borderId="70" xfId="163" quotePrefix="1" applyNumberFormat="1" applyFont="1" applyFill="1" applyBorder="1" applyAlignment="1" applyProtection="1">
      <alignment horizontal="center" vertical="center"/>
    </xf>
    <xf numFmtId="0" fontId="3" fillId="0" borderId="101" xfId="163" applyFont="1" applyFill="1" applyBorder="1" applyAlignment="1" applyProtection="1">
      <alignment horizontal="center" vertical="center"/>
    </xf>
    <xf numFmtId="0" fontId="2" fillId="7" borderId="0" xfId="163" applyFont="1" applyFill="1" applyBorder="1" applyAlignment="1" applyProtection="1">
      <alignment horizontal="center" vertical="center"/>
    </xf>
    <xf numFmtId="2" fontId="2" fillId="7" borderId="0" xfId="163" quotePrefix="1" applyNumberFormat="1" applyFont="1" applyFill="1" applyBorder="1" applyAlignment="1" applyProtection="1">
      <alignment horizontal="center" vertical="center"/>
    </xf>
    <xf numFmtId="0" fontId="2" fillId="7" borderId="70" xfId="163" applyFont="1" applyFill="1" applyBorder="1" applyAlignment="1" applyProtection="1">
      <alignment horizontal="center" vertical="center"/>
    </xf>
    <xf numFmtId="2" fontId="2" fillId="7" borderId="0" xfId="163" applyNumberFormat="1" applyFont="1" applyFill="1" applyBorder="1" applyAlignment="1" applyProtection="1">
      <alignment vertical="center"/>
    </xf>
    <xf numFmtId="164" fontId="2" fillId="7" borderId="70" xfId="163" applyNumberFormat="1" applyFont="1" applyFill="1" applyBorder="1" applyAlignment="1" applyProtection="1">
      <alignment vertical="center"/>
    </xf>
    <xf numFmtId="164" fontId="2" fillId="7" borderId="0" xfId="163" applyNumberFormat="1" applyFont="1" applyFill="1" applyBorder="1" applyAlignment="1" applyProtection="1">
      <alignment vertical="center"/>
    </xf>
    <xf numFmtId="0" fontId="2" fillId="7" borderId="8" xfId="163" applyFont="1" applyFill="1" applyBorder="1" applyProtection="1"/>
    <xf numFmtId="0" fontId="2" fillId="7" borderId="7" xfId="163" applyFont="1" applyFill="1" applyBorder="1" applyProtection="1"/>
    <xf numFmtId="202" fontId="2" fillId="7" borderId="7" xfId="163" applyNumberFormat="1" applyFont="1" applyFill="1" applyBorder="1" applyProtection="1"/>
    <xf numFmtId="0" fontId="2" fillId="7" borderId="7" xfId="163" applyNumberFormat="1" applyFont="1" applyFill="1" applyBorder="1" applyAlignment="1" applyProtection="1">
      <alignment vertical="center"/>
    </xf>
    <xf numFmtId="0" fontId="2" fillId="7" borderId="9" xfId="163" applyNumberFormat="1" applyFont="1" applyFill="1" applyBorder="1" applyAlignment="1" applyProtection="1">
      <alignment vertical="center"/>
    </xf>
    <xf numFmtId="165" fontId="41" fillId="7" borderId="0" xfId="3" applyFont="1" applyFill="1" applyBorder="1" applyAlignment="1" applyProtection="1">
      <alignment horizontal="center" vertical="center"/>
    </xf>
    <xf numFmtId="0" fontId="71" fillId="7" borderId="94" xfId="165" applyFill="1" applyBorder="1" applyProtection="1"/>
    <xf numFmtId="0" fontId="71" fillId="7" borderId="0" xfId="165" applyFill="1" applyBorder="1" applyProtection="1"/>
    <xf numFmtId="0" fontId="112" fillId="7" borderId="0" xfId="165" applyFont="1" applyFill="1" applyBorder="1" applyAlignment="1" applyProtection="1">
      <alignment vertical="center"/>
    </xf>
    <xf numFmtId="0" fontId="1" fillId="7" borderId="0" xfId="145" applyFill="1" applyBorder="1" applyProtection="1"/>
    <xf numFmtId="0" fontId="71" fillId="7" borderId="70" xfId="165" applyFill="1" applyBorder="1" applyProtection="1"/>
    <xf numFmtId="0" fontId="71" fillId="7" borderId="97" xfId="165" applyFill="1" applyBorder="1" applyProtection="1"/>
    <xf numFmtId="0" fontId="71" fillId="7" borderId="0" xfId="165" applyFill="1" applyProtection="1"/>
    <xf numFmtId="49" fontId="118" fillId="6" borderId="101" xfId="165" applyNumberFormat="1" applyFont="1" applyFill="1" applyBorder="1" applyAlignment="1" applyProtection="1">
      <alignment horizontal="center"/>
    </xf>
    <xf numFmtId="0" fontId="71" fillId="0" borderId="0" xfId="165" applyProtection="1"/>
    <xf numFmtId="0" fontId="2" fillId="7" borderId="0" xfId="165" applyFont="1" applyFill="1" applyBorder="1" applyAlignment="1" applyProtection="1"/>
    <xf numFmtId="0" fontId="2" fillId="7" borderId="0" xfId="165" applyFont="1" applyFill="1" applyAlignment="1" applyProtection="1"/>
    <xf numFmtId="0" fontId="2" fillId="0" borderId="0" xfId="165" applyFont="1" applyAlignment="1" applyProtection="1"/>
    <xf numFmtId="0" fontId="112" fillId="7" borderId="0" xfId="165" applyNumberFormat="1" applyFont="1" applyFill="1" applyBorder="1" applyAlignment="1" applyProtection="1">
      <alignment horizontal="left" vertical="center" indent="1"/>
    </xf>
    <xf numFmtId="0" fontId="112" fillId="7" borderId="0" xfId="165" applyNumberFormat="1" applyFont="1" applyFill="1" applyBorder="1" applyAlignment="1" applyProtection="1">
      <alignment vertical="center"/>
    </xf>
    <xf numFmtId="0" fontId="112" fillId="7" borderId="59" xfId="165" applyNumberFormat="1" applyFont="1" applyFill="1" applyBorder="1" applyAlignment="1" applyProtection="1">
      <alignment horizontal="left" vertical="center" indent="1"/>
    </xf>
    <xf numFmtId="0" fontId="112" fillId="7" borderId="0" xfId="165" applyFont="1" applyFill="1" applyBorder="1" applyAlignment="1" applyProtection="1">
      <alignment horizontal="left" vertical="center" indent="1"/>
    </xf>
    <xf numFmtId="0" fontId="112" fillId="7" borderId="15" xfId="165" applyFont="1" applyFill="1" applyBorder="1" applyAlignment="1" applyProtection="1">
      <alignment horizontal="left" vertical="center" indent="1"/>
    </xf>
    <xf numFmtId="49" fontId="112" fillId="7" borderId="105" xfId="165" applyNumberFormat="1" applyFont="1" applyFill="1" applyBorder="1" applyAlignment="1" applyProtection="1">
      <alignment horizontal="center"/>
    </xf>
    <xf numFmtId="49" fontId="112" fillId="7" borderId="123" xfId="165" applyNumberFormat="1" applyFont="1" applyFill="1" applyBorder="1" applyAlignment="1" applyProtection="1">
      <alignment horizontal="center"/>
    </xf>
    <xf numFmtId="49" fontId="112" fillId="7" borderId="59" xfId="165" applyNumberFormat="1" applyFont="1" applyFill="1" applyBorder="1" applyAlignment="1" applyProtection="1">
      <alignment horizontal="right"/>
    </xf>
    <xf numFmtId="0" fontId="112" fillId="7" borderId="0" xfId="165" applyFont="1" applyFill="1" applyBorder="1" applyAlignment="1" applyProtection="1">
      <alignment horizontal="center" vertical="center"/>
    </xf>
    <xf numFmtId="0" fontId="71" fillId="7" borderId="15" xfId="165" applyFill="1" applyBorder="1" applyProtection="1"/>
    <xf numFmtId="49" fontId="112" fillId="6" borderId="105" xfId="165" quotePrefix="1" applyNumberFormat="1" applyFont="1" applyFill="1" applyBorder="1" applyAlignment="1" applyProtection="1">
      <alignment horizontal="center" vertical="center"/>
    </xf>
    <xf numFmtId="49" fontId="122" fillId="6" borderId="105" xfId="165" quotePrefix="1" applyNumberFormat="1" applyFont="1" applyFill="1" applyBorder="1" applyAlignment="1" applyProtection="1">
      <alignment horizontal="center" vertical="center"/>
    </xf>
    <xf numFmtId="49" fontId="124" fillId="6" borderId="105" xfId="165" quotePrefix="1" applyNumberFormat="1" applyFont="1" applyFill="1" applyBorder="1" applyAlignment="1" applyProtection="1">
      <alignment horizontal="center" vertical="center"/>
    </xf>
    <xf numFmtId="0" fontId="2" fillId="7" borderId="70" xfId="165" applyFont="1" applyFill="1" applyBorder="1" applyAlignment="1" applyProtection="1"/>
    <xf numFmtId="0" fontId="71" fillId="0" borderId="97" xfId="165" applyBorder="1" applyProtection="1"/>
    <xf numFmtId="0" fontId="71" fillId="7" borderId="97" xfId="165" applyFill="1" applyBorder="1" applyAlignment="1" applyProtection="1">
      <alignment horizontal="left" indent="1"/>
    </xf>
    <xf numFmtId="0" fontId="71" fillId="7" borderId="120" xfId="165" applyFill="1" applyBorder="1" applyAlignment="1" applyProtection="1">
      <alignment horizontal="left" indent="1"/>
    </xf>
    <xf numFmtId="0" fontId="112" fillId="0" borderId="0" xfId="165" applyFont="1" applyAlignment="1" applyProtection="1">
      <alignment horizontal="right" vertical="center"/>
    </xf>
    <xf numFmtId="0" fontId="112" fillId="0" borderId="0" xfId="165" applyFont="1" applyAlignment="1" applyProtection="1">
      <alignment vertical="center"/>
    </xf>
    <xf numFmtId="0" fontId="2" fillId="0" borderId="0" xfId="165" applyFont="1" applyAlignment="1" applyProtection="1">
      <alignment vertical="center"/>
    </xf>
    <xf numFmtId="164" fontId="115" fillId="3" borderId="0" xfId="165" applyNumberFormat="1" applyFont="1" applyFill="1" applyBorder="1" applyAlignment="1" applyProtection="1">
      <alignment vertical="center"/>
    </xf>
    <xf numFmtId="0" fontId="1" fillId="0" borderId="0" xfId="145" applyProtection="1"/>
    <xf numFmtId="0" fontId="71" fillId="0" borderId="0" xfId="165" applyAlignment="1" applyProtection="1">
      <alignment vertical="center"/>
    </xf>
    <xf numFmtId="164" fontId="112" fillId="0" borderId="0" xfId="165" applyNumberFormat="1" applyFont="1" applyAlignment="1" applyProtection="1">
      <alignment vertical="center"/>
    </xf>
    <xf numFmtId="2" fontId="112" fillId="0" borderId="0" xfId="165" applyNumberFormat="1" applyFont="1" applyAlignment="1" applyProtection="1">
      <alignment vertical="center"/>
    </xf>
    <xf numFmtId="0" fontId="112" fillId="0" borderId="0" xfId="165" quotePrefix="1" applyFont="1" applyAlignment="1" applyProtection="1">
      <alignment horizontal="right" vertical="center"/>
    </xf>
    <xf numFmtId="3" fontId="115" fillId="3" borderId="0" xfId="165" applyNumberFormat="1" applyFont="1" applyFill="1" applyBorder="1" applyAlignment="1" applyProtection="1">
      <alignment vertical="center"/>
    </xf>
    <xf numFmtId="3" fontId="112" fillId="0" borderId="0" xfId="165" applyNumberFormat="1" applyFont="1" applyAlignment="1" applyProtection="1">
      <alignment vertical="center"/>
    </xf>
    <xf numFmtId="179" fontId="112" fillId="0" borderId="0" xfId="165" applyNumberFormat="1" applyFont="1" applyAlignment="1" applyProtection="1">
      <alignment vertical="center"/>
    </xf>
    <xf numFmtId="1" fontId="112" fillId="0" borderId="0" xfId="165" applyNumberFormat="1" applyFont="1" applyAlignment="1" applyProtection="1">
      <alignment vertical="center"/>
    </xf>
    <xf numFmtId="200" fontId="112" fillId="0" borderId="0" xfId="165" applyNumberFormat="1" applyFont="1" applyAlignment="1" applyProtection="1">
      <alignment vertical="center"/>
    </xf>
    <xf numFmtId="49" fontId="6" fillId="8" borderId="94" xfId="7" applyNumberFormat="1" applyFont="1" applyFill="1" applyBorder="1" applyAlignment="1">
      <alignment horizontal="left"/>
    </xf>
    <xf numFmtId="166" fontId="6" fillId="8" borderId="2" xfId="7" applyFont="1" applyFill="1" applyBorder="1" applyAlignment="1">
      <alignment horizontal="center"/>
    </xf>
    <xf numFmtId="166" fontId="6" fillId="8" borderId="87" xfId="7" applyFont="1" applyFill="1" applyBorder="1" applyAlignment="1">
      <alignment horizontal="center"/>
    </xf>
    <xf numFmtId="203" fontId="3" fillId="0" borderId="16" xfId="7" applyNumberFormat="1" applyFont="1" applyFill="1" applyBorder="1" applyAlignment="1" applyProtection="1">
      <alignment horizontal="left" vertical="center"/>
    </xf>
    <xf numFmtId="203" fontId="3" fillId="0" borderId="59" xfId="7" applyNumberFormat="1" applyFont="1" applyFill="1" applyBorder="1" applyAlignment="1" applyProtection="1">
      <alignment horizontal="left" vertical="center"/>
    </xf>
    <xf numFmtId="166" fontId="2" fillId="0" borderId="16" xfId="7" applyFont="1" applyBorder="1" applyAlignment="1">
      <alignment horizontal="left" vertical="top" wrapText="1"/>
    </xf>
    <xf numFmtId="166" fontId="2" fillId="0" borderId="59" xfId="7" applyFont="1" applyBorder="1" applyAlignment="1">
      <alignment horizontal="left" vertical="top" wrapText="1"/>
    </xf>
    <xf numFmtId="166" fontId="2" fillId="0" borderId="8" xfId="7" applyFont="1" applyBorder="1" applyAlignment="1">
      <alignment horizontal="left" vertical="top" wrapText="1"/>
    </xf>
    <xf numFmtId="166" fontId="2" fillId="0" borderId="18" xfId="7" applyFont="1" applyBorder="1" applyAlignment="1">
      <alignment horizontal="left" vertical="top" wrapText="1"/>
    </xf>
    <xf numFmtId="166" fontId="2" fillId="0" borderId="15" xfId="7" applyFont="1" applyBorder="1" applyAlignment="1">
      <alignment horizontal="left" vertical="top" wrapText="1"/>
    </xf>
    <xf numFmtId="166" fontId="2" fillId="0" borderId="9" xfId="7" applyFont="1" applyBorder="1" applyAlignment="1">
      <alignment horizontal="left" vertical="top" wrapText="1"/>
    </xf>
    <xf numFmtId="166" fontId="37" fillId="9" borderId="18" xfId="7" applyFont="1" applyFill="1" applyBorder="1" applyAlignment="1" applyProtection="1">
      <alignment horizontal="center" vertical="center"/>
    </xf>
    <xf numFmtId="166" fontId="37" fillId="9" borderId="15" xfId="7" applyFont="1" applyFill="1" applyBorder="1" applyAlignment="1" applyProtection="1">
      <alignment horizontal="center" vertical="center"/>
    </xf>
    <xf numFmtId="166" fontId="37" fillId="9" borderId="9" xfId="7" applyFont="1" applyFill="1" applyBorder="1" applyAlignment="1" applyProtection="1">
      <alignment horizontal="center" vertical="center"/>
    </xf>
    <xf numFmtId="0" fontId="39" fillId="8" borderId="2" xfId="7" applyNumberFormat="1" applyFont="1" applyFill="1" applyBorder="1" applyAlignment="1" applyProtection="1">
      <alignment horizontal="center" vertical="center" wrapText="1"/>
      <protection locked="0"/>
    </xf>
    <xf numFmtId="0" fontId="39" fillId="8" borderId="4" xfId="7" applyNumberFormat="1" applyFont="1" applyFill="1" applyBorder="1" applyAlignment="1" applyProtection="1">
      <alignment horizontal="center" vertical="center" wrapText="1"/>
      <protection locked="0"/>
    </xf>
    <xf numFmtId="176" fontId="39" fillId="8" borderId="2" xfId="7" applyNumberFormat="1" applyFont="1" applyFill="1" applyBorder="1" applyAlignment="1" applyProtection="1">
      <alignment horizontal="center" vertical="center" wrapText="1"/>
      <protection locked="0"/>
    </xf>
    <xf numFmtId="164" fontId="39" fillId="8" borderId="4" xfId="7" applyNumberFormat="1" applyFont="1" applyFill="1" applyBorder="1" applyAlignment="1" applyProtection="1">
      <alignment horizontal="center" vertical="center" wrapText="1"/>
      <protection locked="0"/>
    </xf>
    <xf numFmtId="172" fontId="39" fillId="8" borderId="4" xfId="7" applyNumberFormat="1" applyFont="1" applyFill="1" applyBorder="1" applyAlignment="1" applyProtection="1">
      <alignment horizontal="center" vertical="center" wrapText="1"/>
      <protection locked="0"/>
    </xf>
    <xf numFmtId="180" fontId="39" fillId="8" borderId="2" xfId="7" applyNumberFormat="1" applyFont="1" applyFill="1" applyBorder="1" applyAlignment="1" applyProtection="1">
      <alignment horizontal="center" vertical="center" wrapText="1"/>
      <protection locked="0"/>
    </xf>
    <xf numFmtId="180" fontId="39" fillId="8" borderId="2" xfId="8" applyNumberFormat="1" applyFont="1" applyFill="1" applyBorder="1" applyAlignment="1" applyProtection="1">
      <alignment horizontal="center" vertical="center" wrapText="1"/>
      <protection locked="0"/>
    </xf>
    <xf numFmtId="180" fontId="39" fillId="8" borderId="4" xfId="8" applyNumberFormat="1" applyFont="1" applyFill="1" applyBorder="1" applyAlignment="1" applyProtection="1">
      <alignment horizontal="center" vertical="center" wrapText="1"/>
      <protection locked="0"/>
    </xf>
    <xf numFmtId="0" fontId="46" fillId="8" borderId="60" xfId="7" applyNumberFormat="1" applyFont="1" applyFill="1" applyBorder="1" applyAlignment="1" applyProtection="1">
      <alignment horizontal="center" vertical="center"/>
      <protection locked="0"/>
    </xf>
    <xf numFmtId="0" fontId="46" fillId="8" borderId="56" xfId="7" applyNumberFormat="1" applyFont="1" applyFill="1" applyBorder="1" applyAlignment="1" applyProtection="1">
      <alignment horizontal="center" vertical="center"/>
      <protection locked="0"/>
    </xf>
    <xf numFmtId="170" fontId="39" fillId="8" borderId="4" xfId="7" applyNumberFormat="1" applyFont="1" applyFill="1" applyBorder="1" applyAlignment="1" applyProtection="1">
      <alignment horizontal="center" vertical="center" wrapText="1"/>
      <protection locked="0"/>
    </xf>
    <xf numFmtId="2" fontId="39" fillId="0" borderId="2" xfId="7" applyNumberFormat="1" applyFont="1" applyFill="1" applyBorder="1" applyAlignment="1" applyProtection="1">
      <alignment horizontal="center" vertical="center" wrapText="1"/>
    </xf>
    <xf numFmtId="3" fontId="39" fillId="0" borderId="4" xfId="7" applyNumberFormat="1" applyFont="1" applyFill="1" applyBorder="1" applyAlignment="1" applyProtection="1">
      <alignment horizontal="center" vertical="center" wrapText="1"/>
    </xf>
    <xf numFmtId="176" fontId="39" fillId="8" borderId="2" xfId="8" applyNumberFormat="1" applyFont="1" applyFill="1" applyBorder="1" applyAlignment="1" applyProtection="1">
      <alignment horizontal="center" vertical="center" wrapText="1"/>
      <protection locked="0"/>
    </xf>
    <xf numFmtId="172" fontId="39" fillId="8" borderId="4" xfId="8" applyNumberFormat="1" applyFont="1" applyFill="1" applyBorder="1" applyAlignment="1" applyProtection="1">
      <alignment horizontal="center" vertical="center" wrapText="1"/>
      <protection locked="0"/>
    </xf>
    <xf numFmtId="176" fontId="39" fillId="0" borderId="2" xfId="7" applyNumberFormat="1" applyFont="1" applyFill="1" applyBorder="1" applyAlignment="1" applyProtection="1">
      <alignment horizontal="center" vertical="center" wrapText="1"/>
    </xf>
    <xf numFmtId="172" fontId="39" fillId="0" borderId="4" xfId="7" applyNumberFormat="1" applyFont="1" applyFill="1" applyBorder="1" applyAlignment="1" applyProtection="1">
      <alignment horizontal="center" vertical="center" wrapText="1"/>
    </xf>
    <xf numFmtId="166" fontId="35" fillId="0" borderId="2" xfId="7" applyFont="1" applyFill="1" applyBorder="1" applyAlignment="1">
      <alignment horizontal="center"/>
    </xf>
    <xf numFmtId="166" fontId="35" fillId="0" borderId="4" xfId="7" applyFont="1" applyFill="1" applyBorder="1" applyAlignment="1">
      <alignment horizontal="center"/>
    </xf>
    <xf numFmtId="166" fontId="35" fillId="0" borderId="2" xfId="7" applyFont="1" applyBorder="1" applyAlignment="1">
      <alignment horizontal="center"/>
    </xf>
    <xf numFmtId="166" fontId="35" fillId="0" borderId="4" xfId="7" applyFont="1" applyBorder="1" applyAlignment="1">
      <alignment horizontal="center"/>
    </xf>
    <xf numFmtId="0" fontId="39" fillId="8" borderId="16" xfId="7" applyNumberFormat="1" applyFont="1" applyFill="1" applyBorder="1" applyAlignment="1" applyProtection="1">
      <alignment horizontal="center" vertical="center" wrapText="1"/>
      <protection locked="0"/>
    </xf>
    <xf numFmtId="0" fontId="39" fillId="8" borderId="18" xfId="7" applyNumberFormat="1" applyFont="1" applyFill="1" applyBorder="1" applyAlignment="1" applyProtection="1">
      <alignment horizontal="center" vertical="center" wrapText="1"/>
      <protection locked="0"/>
    </xf>
    <xf numFmtId="0" fontId="39" fillId="8" borderId="59" xfId="7" applyNumberFormat="1" applyFont="1" applyFill="1" applyBorder="1" applyAlignment="1" applyProtection="1">
      <alignment horizontal="center" vertical="center" wrapText="1"/>
      <protection locked="0"/>
    </xf>
    <xf numFmtId="0" fontId="39" fillId="8" borderId="15" xfId="7" applyNumberFormat="1" applyFont="1" applyFill="1" applyBorder="1" applyAlignment="1" applyProtection="1">
      <alignment horizontal="center" vertical="center" wrapText="1"/>
      <protection locked="0"/>
    </xf>
    <xf numFmtId="164" fontId="39" fillId="8" borderId="2" xfId="7" applyNumberFormat="1" applyFont="1" applyFill="1" applyBorder="1" applyAlignment="1" applyProtection="1">
      <alignment horizontal="center" vertical="center" wrapText="1"/>
      <protection locked="0"/>
    </xf>
    <xf numFmtId="166" fontId="38" fillId="2" borderId="16" xfId="7" applyFont="1" applyFill="1" applyBorder="1" applyAlignment="1">
      <alignment horizontal="center" vertical="center" wrapText="1"/>
    </xf>
    <xf numFmtId="166" fontId="38" fillId="2" borderId="59" xfId="7" applyFont="1" applyFill="1" applyBorder="1" applyAlignment="1">
      <alignment horizontal="center" vertical="center" wrapText="1"/>
    </xf>
    <xf numFmtId="166" fontId="38" fillId="2" borderId="18" xfId="7" applyFont="1" applyFill="1" applyBorder="1" applyAlignment="1">
      <alignment horizontal="center" vertical="center" wrapText="1"/>
    </xf>
    <xf numFmtId="166" fontId="38" fillId="2" borderId="15" xfId="7" applyFont="1" applyFill="1" applyBorder="1" applyAlignment="1">
      <alignment horizontal="center" vertical="center" wrapText="1"/>
    </xf>
    <xf numFmtId="166" fontId="35" fillId="0" borderId="2" xfId="7" applyFont="1" applyFill="1" applyBorder="1" applyAlignment="1">
      <alignment horizontal="center" vertical="center"/>
    </xf>
    <xf numFmtId="166" fontId="35" fillId="0" borderId="4" xfId="7" applyFont="1" applyFill="1" applyBorder="1" applyAlignment="1">
      <alignment horizontal="center" vertical="center"/>
    </xf>
    <xf numFmtId="176" fontId="39" fillId="8" borderId="2" xfId="7" applyNumberFormat="1" applyFont="1" applyFill="1" applyBorder="1" applyAlignment="1" applyProtection="1">
      <alignment horizontal="center" vertical="center" wrapText="1"/>
      <protection hidden="1"/>
    </xf>
    <xf numFmtId="172" fontId="39" fillId="8" borderId="4" xfId="7" applyNumberFormat="1" applyFont="1" applyFill="1" applyBorder="1" applyAlignment="1" applyProtection="1">
      <alignment horizontal="center" vertical="center" wrapText="1"/>
      <protection hidden="1"/>
    </xf>
    <xf numFmtId="0" fontId="39" fillId="8" borderId="55" xfId="7" applyNumberFormat="1" applyFont="1" applyFill="1" applyBorder="1" applyAlignment="1" applyProtection="1">
      <alignment horizontal="left" vertical="center"/>
      <protection locked="0"/>
    </xf>
    <xf numFmtId="0" fontId="39" fillId="8" borderId="57" xfId="7" applyNumberFormat="1" applyFont="1" applyFill="1" applyBorder="1" applyAlignment="1" applyProtection="1">
      <alignment horizontal="left" vertical="center"/>
      <protection locked="0"/>
    </xf>
    <xf numFmtId="0" fontId="39" fillId="8" borderId="53" xfId="7" applyNumberFormat="1" applyFont="1" applyFill="1" applyBorder="1" applyAlignment="1" applyProtection="1">
      <alignment horizontal="left" vertical="center"/>
      <protection locked="0"/>
    </xf>
    <xf numFmtId="172" fontId="39" fillId="8" borderId="59" xfId="7" applyNumberFormat="1" applyFont="1" applyFill="1" applyBorder="1" applyAlignment="1" applyProtection="1">
      <alignment horizontal="center" vertical="center" wrapText="1"/>
      <protection locked="0"/>
    </xf>
    <xf numFmtId="172" fontId="39" fillId="8" borderId="15" xfId="7" applyNumberFormat="1" applyFont="1" applyFill="1" applyBorder="1" applyAlignment="1" applyProtection="1">
      <alignment horizontal="center" vertical="center" wrapText="1"/>
      <protection locked="0"/>
    </xf>
    <xf numFmtId="172" fontId="39" fillId="8" borderId="8" xfId="7" applyNumberFormat="1" applyFont="1" applyFill="1" applyBorder="1" applyAlignment="1" applyProtection="1">
      <alignment horizontal="center" vertical="center" wrapText="1"/>
      <protection locked="0"/>
    </xf>
    <xf numFmtId="172" fontId="39" fillId="8" borderId="9" xfId="7" applyNumberFormat="1" applyFont="1" applyFill="1" applyBorder="1" applyAlignment="1" applyProtection="1">
      <alignment horizontal="center" vertical="center" wrapText="1"/>
      <protection locked="0"/>
    </xf>
    <xf numFmtId="171" fontId="37" fillId="9" borderId="5" xfId="7" applyNumberFormat="1" applyFont="1" applyFill="1" applyBorder="1" applyAlignment="1" applyProtection="1">
      <alignment horizontal="center" vertical="center"/>
    </xf>
    <xf numFmtId="171" fontId="37" fillId="9" borderId="52" xfId="7" applyNumberFormat="1" applyFont="1" applyFill="1" applyBorder="1" applyAlignment="1" applyProtection="1">
      <alignment horizontal="center" vertical="center"/>
    </xf>
    <xf numFmtId="171" fontId="37" fillId="9" borderId="6" xfId="7" applyNumberFormat="1" applyFont="1" applyFill="1" applyBorder="1" applyAlignment="1" applyProtection="1">
      <alignment horizontal="center" vertical="center"/>
    </xf>
    <xf numFmtId="166" fontId="37" fillId="9" borderId="5" xfId="7" applyFont="1" applyFill="1" applyBorder="1" applyAlignment="1">
      <alignment horizontal="center" vertical="center"/>
    </xf>
    <xf numFmtId="166" fontId="37" fillId="9" borderId="52" xfId="7" applyFont="1" applyFill="1" applyBorder="1" applyAlignment="1">
      <alignment horizontal="center" vertical="center"/>
    </xf>
    <xf numFmtId="166" fontId="37" fillId="9" borderId="6" xfId="7" applyFont="1" applyFill="1" applyBorder="1" applyAlignment="1">
      <alignment horizontal="center" vertical="center"/>
    </xf>
    <xf numFmtId="166" fontId="37" fillId="9" borderId="5" xfId="7" applyFont="1" applyFill="1" applyBorder="1" applyAlignment="1" applyProtection="1">
      <alignment horizontal="center" vertical="center"/>
    </xf>
    <xf numFmtId="166" fontId="37" fillId="9" borderId="52" xfId="7" applyFont="1" applyFill="1" applyBorder="1" applyAlignment="1" applyProtection="1">
      <alignment horizontal="center" vertical="center"/>
    </xf>
    <xf numFmtId="166" fontId="37" fillId="9" borderId="6" xfId="7" applyFont="1" applyFill="1" applyBorder="1" applyAlignment="1" applyProtection="1">
      <alignment horizontal="center" vertical="center"/>
    </xf>
    <xf numFmtId="164" fontId="38" fillId="2" borderId="2" xfId="7" applyNumberFormat="1" applyFont="1" applyFill="1" applyBorder="1" applyAlignment="1">
      <alignment horizontal="center" vertical="center" wrapText="1"/>
    </xf>
    <xf numFmtId="164" fontId="38" fillId="2" borderId="4" xfId="7" applyNumberFormat="1" applyFont="1" applyFill="1" applyBorder="1" applyAlignment="1">
      <alignment horizontal="center" vertical="center" wrapText="1"/>
    </xf>
    <xf numFmtId="3" fontId="39" fillId="0" borderId="2" xfId="7" applyNumberFormat="1" applyFont="1" applyFill="1" applyBorder="1" applyAlignment="1" applyProtection="1">
      <alignment horizontal="center" vertical="center" wrapText="1"/>
    </xf>
    <xf numFmtId="164" fontId="39" fillId="8" borderId="59" xfId="7" applyNumberFormat="1" applyFont="1" applyFill="1" applyBorder="1" applyAlignment="1" applyProtection="1">
      <alignment horizontal="center" vertical="center" wrapText="1"/>
      <protection locked="0"/>
    </xf>
    <xf numFmtId="164" fontId="39" fillId="8" borderId="15" xfId="7" applyNumberFormat="1" applyFont="1" applyFill="1" applyBorder="1" applyAlignment="1" applyProtection="1">
      <alignment horizontal="center" vertical="center" wrapText="1"/>
      <protection locked="0"/>
    </xf>
    <xf numFmtId="166" fontId="38" fillId="2" borderId="8" xfId="7" applyFont="1" applyFill="1" applyBorder="1" applyAlignment="1">
      <alignment horizontal="center" vertical="center" wrapText="1"/>
    </xf>
    <xf numFmtId="166" fontId="38" fillId="2" borderId="9" xfId="7" applyFont="1" applyFill="1" applyBorder="1" applyAlignment="1">
      <alignment horizontal="center" vertical="center" wrapText="1"/>
    </xf>
    <xf numFmtId="172" fontId="39" fillId="8" borderId="2" xfId="7" applyNumberFormat="1" applyFont="1" applyFill="1" applyBorder="1" applyAlignment="1" applyProtection="1">
      <alignment horizontal="center" vertical="center" wrapText="1"/>
      <protection locked="0"/>
    </xf>
    <xf numFmtId="3" fontId="39" fillId="8" borderId="2" xfId="7" applyNumberFormat="1" applyFont="1" applyFill="1" applyBorder="1" applyAlignment="1" applyProtection="1">
      <alignment horizontal="center" vertical="center" wrapText="1"/>
      <protection locked="0"/>
    </xf>
    <xf numFmtId="3" fontId="39" fillId="8" borderId="4" xfId="7" applyNumberFormat="1" applyFont="1" applyFill="1" applyBorder="1" applyAlignment="1" applyProtection="1">
      <alignment horizontal="center" vertical="center" wrapText="1"/>
      <protection locked="0"/>
    </xf>
    <xf numFmtId="172" fontId="39" fillId="8" borderId="2" xfId="8" applyNumberFormat="1" applyFont="1" applyFill="1" applyBorder="1" applyAlignment="1" applyProtection="1">
      <alignment horizontal="center" vertical="center" wrapText="1"/>
      <protection locked="0"/>
    </xf>
    <xf numFmtId="0" fontId="3" fillId="7" borderId="111" xfId="0" applyFont="1" applyFill="1" applyBorder="1" applyAlignment="1" applyProtection="1">
      <alignment horizontal="left" indent="2"/>
      <protection locked="0"/>
    </xf>
    <xf numFmtId="0" fontId="3" fillId="7" borderId="51" xfId="0" applyFont="1" applyFill="1" applyBorder="1" applyAlignment="1" applyProtection="1">
      <alignment horizontal="left" indent="2"/>
      <protection locked="0"/>
    </xf>
    <xf numFmtId="0" fontId="3" fillId="7" borderId="112" xfId="0" applyFont="1" applyFill="1" applyBorder="1" applyAlignment="1" applyProtection="1">
      <alignment horizontal="left" indent="2"/>
      <protection locked="0"/>
    </xf>
    <xf numFmtId="0" fontId="3" fillId="7" borderId="113" xfId="0" applyFont="1" applyFill="1" applyBorder="1" applyAlignment="1" applyProtection="1">
      <alignment horizontal="left" indent="2"/>
      <protection locked="0"/>
    </xf>
    <xf numFmtId="0" fontId="3" fillId="7" borderId="114" xfId="0" applyFont="1" applyFill="1" applyBorder="1" applyAlignment="1" applyProtection="1">
      <alignment horizontal="left" indent="2"/>
      <protection locked="0"/>
    </xf>
    <xf numFmtId="0" fontId="3" fillId="7" borderId="115" xfId="0" applyFont="1" applyFill="1" applyBorder="1" applyAlignment="1" applyProtection="1">
      <alignment horizontal="left" indent="2"/>
      <protection locked="0"/>
    </xf>
    <xf numFmtId="166" fontId="23" fillId="13" borderId="92" xfId="12" applyFont="1" applyFill="1" applyBorder="1" applyAlignment="1" applyProtection="1">
      <alignment horizontal="center" vertical="center"/>
    </xf>
    <xf numFmtId="166" fontId="23" fillId="13" borderId="102" xfId="12" applyFont="1" applyFill="1" applyBorder="1" applyAlignment="1" applyProtection="1">
      <alignment horizontal="center" vertical="center"/>
    </xf>
    <xf numFmtId="166" fontId="23" fillId="13" borderId="85" xfId="12" applyFont="1" applyFill="1" applyBorder="1" applyAlignment="1" applyProtection="1">
      <alignment horizontal="center" vertical="center"/>
    </xf>
    <xf numFmtId="174" fontId="69" fillId="7" borderId="108" xfId="0" applyNumberFormat="1" applyFont="1" applyFill="1" applyBorder="1" applyAlignment="1" applyProtection="1">
      <alignment horizontal="left" vertical="center" indent="2"/>
      <protection locked="0"/>
    </xf>
    <xf numFmtId="174" fontId="69" fillId="7" borderId="109" xfId="0" applyNumberFormat="1" applyFont="1" applyFill="1" applyBorder="1" applyAlignment="1" applyProtection="1">
      <alignment horizontal="left" vertical="center" indent="2"/>
      <protection locked="0"/>
    </xf>
    <xf numFmtId="174" fontId="69" fillId="7" borderId="110" xfId="0" applyNumberFormat="1" applyFont="1" applyFill="1" applyBorder="1" applyAlignment="1" applyProtection="1">
      <alignment horizontal="left" vertical="center" indent="2"/>
      <protection locked="0"/>
    </xf>
    <xf numFmtId="174" fontId="69" fillId="7" borderId="111" xfId="0" applyNumberFormat="1" applyFont="1" applyFill="1" applyBorder="1" applyAlignment="1" applyProtection="1">
      <alignment horizontal="left" vertical="center" indent="2"/>
      <protection locked="0"/>
    </xf>
    <xf numFmtId="174" fontId="69" fillId="7" borderId="51" xfId="0" applyNumberFormat="1" applyFont="1" applyFill="1" applyBorder="1" applyAlignment="1" applyProtection="1">
      <alignment horizontal="left" vertical="center" indent="2"/>
      <protection locked="0"/>
    </xf>
    <xf numFmtId="174" fontId="69" fillId="7" borderId="112" xfId="0" applyNumberFormat="1" applyFont="1" applyFill="1" applyBorder="1" applyAlignment="1" applyProtection="1">
      <alignment horizontal="left" vertical="center" indent="2"/>
      <protection locked="0"/>
    </xf>
    <xf numFmtId="186" fontId="76" fillId="2" borderId="101" xfId="0" applyNumberFormat="1" applyFont="1" applyFill="1" applyBorder="1" applyAlignment="1" applyProtection="1">
      <alignment horizontal="left" vertical="center"/>
    </xf>
    <xf numFmtId="186" fontId="82" fillId="3" borderId="5" xfId="0" applyNumberFormat="1" applyFont="1" applyFill="1" applyBorder="1" applyAlignment="1" applyProtection="1">
      <alignment horizontal="center" vertical="center"/>
      <protection locked="0"/>
    </xf>
    <xf numFmtId="186" fontId="82" fillId="3" borderId="102" xfId="0" applyNumberFormat="1" applyFont="1" applyFill="1" applyBorder="1" applyAlignment="1" applyProtection="1">
      <alignment horizontal="center" vertical="center"/>
      <protection locked="0"/>
    </xf>
    <xf numFmtId="186" fontId="82" fillId="3" borderId="6" xfId="0" applyNumberFormat="1" applyFont="1" applyFill="1" applyBorder="1" applyAlignment="1" applyProtection="1">
      <alignment horizontal="center" vertical="center"/>
      <protection locked="0"/>
    </xf>
    <xf numFmtId="187" fontId="82" fillId="3" borderId="19" xfId="13" applyNumberFormat="1" applyFont="1" applyFill="1" applyBorder="1" applyAlignment="1" applyProtection="1">
      <alignment horizontal="left" vertical="center"/>
      <protection locked="0"/>
    </xf>
    <xf numFmtId="187" fontId="82" fillId="3" borderId="106" xfId="13" applyNumberFormat="1" applyFont="1" applyFill="1" applyBorder="1" applyAlignment="1" applyProtection="1">
      <alignment horizontal="left" vertical="center"/>
      <protection locked="0"/>
    </xf>
    <xf numFmtId="187" fontId="82" fillId="3" borderId="20" xfId="13" applyNumberFormat="1" applyFont="1" applyFill="1" applyBorder="1" applyAlignment="1" applyProtection="1">
      <alignment horizontal="left" vertical="center"/>
      <protection locked="0"/>
    </xf>
    <xf numFmtId="187" fontId="82" fillId="3" borderId="23" xfId="13" applyNumberFormat="1" applyFont="1" applyFill="1" applyBorder="1" applyAlignment="1" applyProtection="1">
      <alignment horizontal="left" vertical="center"/>
      <protection locked="0"/>
    </xf>
    <xf numFmtId="187" fontId="82" fillId="3" borderId="107" xfId="13" applyNumberFormat="1" applyFont="1" applyFill="1" applyBorder="1" applyAlignment="1" applyProtection="1">
      <alignment horizontal="left" vertical="center"/>
      <protection locked="0"/>
    </xf>
    <xf numFmtId="187" fontId="82" fillId="3" borderId="24" xfId="13" applyNumberFormat="1" applyFont="1" applyFill="1" applyBorder="1" applyAlignment="1" applyProtection="1">
      <alignment horizontal="left" vertical="center"/>
      <protection locked="0"/>
    </xf>
    <xf numFmtId="0" fontId="37" fillId="9" borderId="17" xfId="0" applyFont="1" applyFill="1" applyBorder="1" applyAlignment="1" applyProtection="1">
      <alignment horizontal="center" vertical="center"/>
    </xf>
    <xf numFmtId="0" fontId="37" fillId="9" borderId="0" xfId="0" applyFont="1" applyFill="1" applyBorder="1" applyAlignment="1" applyProtection="1">
      <alignment horizontal="center" vertical="center"/>
    </xf>
    <xf numFmtId="0" fontId="37" fillId="9" borderId="18" xfId="0" applyFont="1" applyFill="1" applyBorder="1" applyAlignment="1" applyProtection="1">
      <alignment horizontal="center" vertical="center"/>
    </xf>
    <xf numFmtId="0" fontId="37" fillId="9" borderId="15" xfId="0" applyFont="1" applyFill="1" applyBorder="1" applyAlignment="1" applyProtection="1">
      <alignment horizontal="center" vertical="center"/>
    </xf>
    <xf numFmtId="0" fontId="37" fillId="9" borderId="102" xfId="0" applyFont="1" applyFill="1" applyBorder="1" applyAlignment="1" applyProtection="1">
      <alignment horizontal="center" vertical="center"/>
    </xf>
    <xf numFmtId="0" fontId="37" fillId="9" borderId="59" xfId="0" applyFont="1" applyFill="1" applyBorder="1" applyAlignment="1" applyProtection="1">
      <alignment horizontal="center" vertical="center"/>
    </xf>
    <xf numFmtId="0" fontId="37" fillId="9" borderId="8" xfId="0" applyFont="1" applyFill="1" applyBorder="1" applyAlignment="1" applyProtection="1">
      <alignment horizontal="center" vertical="center"/>
    </xf>
    <xf numFmtId="0" fontId="37" fillId="9" borderId="7" xfId="0" applyFont="1" applyFill="1" applyBorder="1" applyAlignment="1" applyProtection="1">
      <alignment horizontal="center" vertical="center"/>
    </xf>
    <xf numFmtId="0" fontId="8" fillId="2" borderId="78" xfId="10" applyFont="1" applyFill="1" applyBorder="1" applyAlignment="1" applyProtection="1">
      <alignment horizontal="center" vertical="center"/>
    </xf>
    <xf numFmtId="0" fontId="8" fillId="2" borderId="59" xfId="10" applyFont="1" applyFill="1" applyBorder="1" applyAlignment="1" applyProtection="1">
      <alignment horizontal="center" vertical="center"/>
    </xf>
    <xf numFmtId="0" fontId="8" fillId="2" borderId="86" xfId="10" applyFont="1" applyFill="1" applyBorder="1" applyAlignment="1" applyProtection="1">
      <alignment horizontal="center" vertical="center"/>
    </xf>
    <xf numFmtId="0" fontId="77" fillId="7" borderId="104" xfId="0" applyFont="1" applyFill="1" applyBorder="1" applyAlignment="1" applyProtection="1">
      <alignment vertical="center"/>
      <protection locked="0"/>
    </xf>
    <xf numFmtId="170" fontId="78" fillId="7" borderId="104" xfId="0" applyNumberFormat="1" applyFont="1" applyFill="1" applyBorder="1" applyAlignment="1" applyProtection="1">
      <alignment horizontal="left" vertical="center"/>
      <protection locked="0"/>
    </xf>
    <xf numFmtId="0" fontId="38" fillId="7" borderId="104" xfId="0" applyFont="1" applyFill="1" applyBorder="1" applyAlignment="1" applyProtection="1">
      <alignment horizontal="right" vertical="center"/>
      <protection locked="0"/>
    </xf>
    <xf numFmtId="0" fontId="38" fillId="7" borderId="105" xfId="0" applyFont="1" applyFill="1" applyBorder="1" applyAlignment="1" applyProtection="1">
      <alignment horizontal="right" vertical="center"/>
      <protection locked="0"/>
    </xf>
    <xf numFmtId="0" fontId="38" fillId="7" borderId="82" xfId="0" applyFont="1" applyFill="1" applyBorder="1" applyAlignment="1" applyProtection="1">
      <alignment horizontal="right" vertical="center"/>
      <protection locked="0"/>
    </xf>
    <xf numFmtId="167" fontId="79" fillId="7" borderId="104" xfId="0" applyNumberFormat="1" applyFont="1" applyFill="1" applyBorder="1" applyAlignment="1" applyProtection="1">
      <alignment horizontal="left" vertical="center" wrapText="1"/>
      <protection locked="0"/>
    </xf>
    <xf numFmtId="167" fontId="79" fillId="7" borderId="105" xfId="0" applyNumberFormat="1" applyFont="1" applyFill="1" applyBorder="1" applyAlignment="1" applyProtection="1">
      <alignment horizontal="left" vertical="center" wrapText="1"/>
      <protection locked="0"/>
    </xf>
    <xf numFmtId="167" fontId="79" fillId="7" borderId="82" xfId="0" applyNumberFormat="1" applyFont="1" applyFill="1" applyBorder="1" applyAlignment="1" applyProtection="1">
      <alignment horizontal="left" vertical="center" wrapText="1"/>
      <protection locked="0"/>
    </xf>
    <xf numFmtId="0" fontId="77" fillId="7" borderId="105" xfId="0" applyFont="1" applyFill="1" applyBorder="1" applyAlignment="1" applyProtection="1">
      <alignment vertical="center"/>
      <protection locked="0"/>
    </xf>
    <xf numFmtId="0" fontId="77" fillId="7" borderId="82" xfId="0" applyFont="1" applyFill="1" applyBorder="1" applyAlignment="1" applyProtection="1">
      <alignment vertical="center"/>
      <protection locked="0"/>
    </xf>
    <xf numFmtId="170" fontId="78" fillId="7" borderId="82" xfId="0" applyNumberFormat="1" applyFont="1" applyFill="1" applyBorder="1" applyAlignment="1" applyProtection="1">
      <alignment horizontal="left" vertical="center"/>
      <protection locked="0"/>
    </xf>
    <xf numFmtId="0" fontId="14" fillId="2" borderId="66" xfId="10" applyFont="1" applyFill="1" applyBorder="1" applyAlignment="1" applyProtection="1">
      <alignment horizontal="left"/>
    </xf>
    <xf numFmtId="0" fontId="14" fillId="2" borderId="0" xfId="10" applyFont="1" applyFill="1" applyBorder="1" applyAlignment="1" applyProtection="1">
      <alignment horizontal="left"/>
    </xf>
    <xf numFmtId="0" fontId="14" fillId="2" borderId="7" xfId="10" applyFont="1" applyFill="1" applyBorder="1" applyAlignment="1" applyProtection="1">
      <alignment horizontal="left"/>
    </xf>
    <xf numFmtId="0" fontId="49" fillId="7" borderId="98" xfId="10" applyFont="1" applyFill="1" applyBorder="1" applyAlignment="1" applyProtection="1">
      <alignment horizontal="left"/>
    </xf>
    <xf numFmtId="0" fontId="49" fillId="7" borderId="57" xfId="10" applyFont="1" applyFill="1" applyBorder="1" applyAlignment="1" applyProtection="1">
      <alignment horizontal="left"/>
    </xf>
    <xf numFmtId="0" fontId="49" fillId="7" borderId="61" xfId="10" applyFont="1" applyFill="1" applyBorder="1" applyAlignment="1" applyProtection="1">
      <alignment horizontal="left"/>
    </xf>
    <xf numFmtId="0" fontId="14" fillId="2" borderId="17" xfId="10" applyFont="1" applyFill="1" applyBorder="1" applyAlignment="1" applyProtection="1">
      <alignment horizontal="right"/>
    </xf>
    <xf numFmtId="0" fontId="14" fillId="2" borderId="0" xfId="10" applyFont="1" applyFill="1" applyBorder="1" applyAlignment="1" applyProtection="1">
      <alignment horizontal="right"/>
    </xf>
    <xf numFmtId="0" fontId="14" fillId="2" borderId="7" xfId="10" applyFont="1" applyFill="1" applyBorder="1" applyAlignment="1" applyProtection="1">
      <alignment horizontal="right"/>
    </xf>
    <xf numFmtId="0" fontId="49" fillId="7" borderId="99" xfId="10" applyFont="1" applyFill="1" applyBorder="1" applyAlignment="1" applyProtection="1">
      <alignment horizontal="left"/>
    </xf>
    <xf numFmtId="0" fontId="14" fillId="2" borderId="68" xfId="10" applyFont="1" applyFill="1" applyBorder="1" applyAlignment="1" applyProtection="1">
      <alignment horizontal="left"/>
    </xf>
    <xf numFmtId="0" fontId="14" fillId="2" borderId="15" xfId="10" applyFont="1" applyFill="1" applyBorder="1" applyAlignment="1" applyProtection="1">
      <alignment horizontal="left"/>
    </xf>
    <xf numFmtId="0" fontId="14" fillId="2" borderId="9" xfId="10" applyFont="1" applyFill="1" applyBorder="1" applyAlignment="1" applyProtection="1">
      <alignment horizontal="left"/>
    </xf>
    <xf numFmtId="0" fontId="49" fillId="7" borderId="75" xfId="10" applyFont="1" applyFill="1" applyBorder="1" applyAlignment="1" applyProtection="1">
      <alignment horizontal="left"/>
    </xf>
    <xf numFmtId="0" fontId="49" fillId="7" borderId="76" xfId="10" applyFont="1" applyFill="1" applyBorder="1" applyAlignment="1" applyProtection="1">
      <alignment horizontal="left"/>
    </xf>
    <xf numFmtId="0" fontId="49" fillId="7" borderId="58" xfId="10" applyFont="1" applyFill="1" applyBorder="1" applyAlignment="1" applyProtection="1">
      <alignment horizontal="left"/>
    </xf>
    <xf numFmtId="0" fontId="14" fillId="2" borderId="18" xfId="10" applyFont="1" applyFill="1" applyBorder="1" applyAlignment="1" applyProtection="1">
      <alignment horizontal="right"/>
    </xf>
    <xf numFmtId="0" fontId="14" fillId="2" borderId="15" xfId="10" applyFont="1" applyFill="1" applyBorder="1" applyAlignment="1" applyProtection="1">
      <alignment horizontal="right"/>
    </xf>
    <xf numFmtId="0" fontId="14" fillId="2" borderId="9" xfId="10" applyFont="1" applyFill="1" applyBorder="1" applyAlignment="1" applyProtection="1">
      <alignment horizontal="right"/>
    </xf>
    <xf numFmtId="0" fontId="49" fillId="7" borderId="81" xfId="10" applyFont="1" applyFill="1" applyBorder="1" applyAlignment="1" applyProtection="1">
      <alignment horizontal="left"/>
    </xf>
    <xf numFmtId="0" fontId="8" fillId="2" borderId="63" xfId="0" applyFont="1" applyFill="1" applyBorder="1" applyAlignment="1" applyProtection="1">
      <alignment horizontal="center" vertical="center"/>
    </xf>
    <xf numFmtId="0" fontId="8" fillId="2" borderId="0" xfId="0" applyFont="1" applyFill="1" applyBorder="1" applyAlignment="1" applyProtection="1">
      <alignment horizontal="center" vertical="center"/>
    </xf>
    <xf numFmtId="0" fontId="8" fillId="2" borderId="15" xfId="0" applyFont="1" applyFill="1" applyBorder="1" applyAlignment="1" applyProtection="1">
      <alignment horizontal="center" vertical="center"/>
    </xf>
    <xf numFmtId="166" fontId="2" fillId="2" borderId="63" xfId="9" applyFont="1" applyFill="1" applyBorder="1" applyAlignment="1" applyProtection="1">
      <alignment horizontal="right"/>
    </xf>
    <xf numFmtId="166" fontId="2" fillId="2" borderId="64" xfId="9" applyFont="1" applyFill="1" applyBorder="1" applyAlignment="1" applyProtection="1">
      <alignment horizontal="right"/>
    </xf>
    <xf numFmtId="166" fontId="2" fillId="2" borderId="0" xfId="9" applyFont="1" applyFill="1" applyBorder="1" applyAlignment="1" applyProtection="1">
      <alignment horizontal="right"/>
    </xf>
    <xf numFmtId="166" fontId="2" fillId="2" borderId="7" xfId="9" applyFont="1" applyFill="1" applyBorder="1" applyAlignment="1" applyProtection="1">
      <alignment horizontal="right"/>
    </xf>
    <xf numFmtId="166" fontId="2" fillId="2" borderId="15" xfId="9" applyFont="1" applyFill="1" applyBorder="1" applyAlignment="1" applyProtection="1">
      <alignment horizontal="right"/>
    </xf>
    <xf numFmtId="166" fontId="2" fillId="2" borderId="9" xfId="9" applyFont="1" applyFill="1" applyBorder="1" applyAlignment="1" applyProtection="1">
      <alignment horizontal="right"/>
    </xf>
    <xf numFmtId="0" fontId="14" fillId="2" borderId="78" xfId="10" applyFont="1" applyFill="1" applyBorder="1" applyAlignment="1" applyProtection="1">
      <alignment horizontal="left"/>
    </xf>
    <xf numFmtId="0" fontId="14" fillId="2" borderId="59" xfId="10" applyFont="1" applyFill="1" applyBorder="1" applyAlignment="1" applyProtection="1">
      <alignment horizontal="left"/>
    </xf>
    <xf numFmtId="0" fontId="14" fillId="2" borderId="8" xfId="10" applyFont="1" applyFill="1" applyBorder="1" applyAlignment="1" applyProtection="1">
      <alignment horizontal="left"/>
    </xf>
    <xf numFmtId="0" fontId="49" fillId="7" borderId="74" xfId="10" applyFont="1" applyFill="1" applyBorder="1" applyAlignment="1" applyProtection="1">
      <alignment horizontal="left"/>
    </xf>
    <xf numFmtId="0" fontId="49" fillId="7" borderId="60" xfId="10" applyFont="1" applyFill="1" applyBorder="1" applyAlignment="1" applyProtection="1">
      <alignment horizontal="left"/>
    </xf>
    <xf numFmtId="0" fontId="49" fillId="7" borderId="56" xfId="10" applyFont="1" applyFill="1" applyBorder="1" applyAlignment="1" applyProtection="1">
      <alignment horizontal="left"/>
    </xf>
    <xf numFmtId="0" fontId="14" fillId="2" borderId="16" xfId="10" applyFont="1" applyFill="1" applyBorder="1" applyAlignment="1" applyProtection="1">
      <alignment horizontal="right"/>
    </xf>
    <xf numFmtId="0" fontId="14" fillId="2" borderId="59" xfId="10" applyFont="1" applyFill="1" applyBorder="1" applyAlignment="1" applyProtection="1">
      <alignment horizontal="right"/>
    </xf>
    <xf numFmtId="0" fontId="14" fillId="2" borderId="8" xfId="10" applyFont="1" applyFill="1" applyBorder="1" applyAlignment="1" applyProtection="1">
      <alignment horizontal="right"/>
    </xf>
    <xf numFmtId="0" fontId="49" fillId="7" borderId="65" xfId="10" applyFont="1" applyFill="1" applyBorder="1" applyAlignment="1" applyProtection="1">
      <alignment horizontal="left"/>
    </xf>
    <xf numFmtId="3" fontId="7" fillId="8" borderId="5" xfId="0" applyNumberFormat="1" applyFont="1" applyFill="1" applyBorder="1" applyAlignment="1" applyProtection="1">
      <alignment horizontal="center"/>
      <protection hidden="1"/>
    </xf>
    <xf numFmtId="0" fontId="7" fillId="8" borderId="6" xfId="0" applyFont="1" applyFill="1" applyBorder="1" applyAlignment="1" applyProtection="1">
      <alignment horizontal="center"/>
      <protection hidden="1"/>
    </xf>
    <xf numFmtId="0" fontId="7" fillId="8" borderId="5" xfId="0" applyFont="1" applyFill="1" applyBorder="1" applyAlignment="1" applyProtection="1">
      <alignment horizontal="center"/>
      <protection hidden="1"/>
    </xf>
    <xf numFmtId="170" fontId="0" fillId="7" borderId="0" xfId="0" applyNumberFormat="1" applyFill="1" applyAlignment="1" applyProtection="1">
      <alignment horizontal="center"/>
      <protection hidden="1"/>
    </xf>
    <xf numFmtId="164" fontId="0" fillId="7" borderId="0" xfId="0" applyNumberFormat="1" applyFill="1" applyAlignment="1" applyProtection="1">
      <alignment horizontal="center"/>
      <protection hidden="1"/>
    </xf>
    <xf numFmtId="167" fontId="22" fillId="2" borderId="25" xfId="0" applyNumberFormat="1" applyFont="1" applyFill="1" applyBorder="1" applyAlignment="1" applyProtection="1">
      <alignment horizontal="center" vertical="center"/>
      <protection hidden="1"/>
    </xf>
    <xf numFmtId="167" fontId="22" fillId="2" borderId="29" xfId="0" applyNumberFormat="1" applyFont="1" applyFill="1" applyBorder="1" applyAlignment="1" applyProtection="1">
      <alignment horizontal="center" vertical="center"/>
      <protection hidden="1"/>
    </xf>
    <xf numFmtId="0" fontId="20" fillId="3" borderId="39" xfId="4" applyNumberFormat="1" applyFont="1" applyFill="1" applyBorder="1" applyAlignment="1" applyProtection="1">
      <alignment horizontal="center" vertical="center"/>
      <protection hidden="1"/>
    </xf>
    <xf numFmtId="168" fontId="20" fillId="3" borderId="39" xfId="4" applyNumberFormat="1" applyFont="1" applyFill="1" applyBorder="1" applyAlignment="1" applyProtection="1">
      <alignment horizontal="left" vertical="center"/>
      <protection hidden="1"/>
    </xf>
    <xf numFmtId="168" fontId="20" fillId="3" borderId="38" xfId="4" applyNumberFormat="1" applyFont="1" applyFill="1" applyBorder="1" applyAlignment="1" applyProtection="1">
      <alignment horizontal="left" vertical="center"/>
      <protection hidden="1"/>
    </xf>
    <xf numFmtId="167" fontId="22" fillId="2" borderId="12" xfId="0" applyNumberFormat="1" applyFont="1" applyFill="1" applyBorder="1" applyAlignment="1" applyProtection="1">
      <alignment horizontal="center" vertical="center"/>
      <protection hidden="1"/>
    </xf>
    <xf numFmtId="167" fontId="22" fillId="2" borderId="7" xfId="0" applyNumberFormat="1" applyFont="1" applyFill="1" applyBorder="1" applyAlignment="1" applyProtection="1">
      <alignment horizontal="center" vertical="center"/>
      <protection hidden="1"/>
    </xf>
    <xf numFmtId="0" fontId="20" fillId="3" borderId="36" xfId="4" applyNumberFormat="1" applyFont="1" applyFill="1" applyBorder="1" applyAlignment="1" applyProtection="1">
      <alignment horizontal="center" vertical="center"/>
      <protection hidden="1"/>
    </xf>
    <xf numFmtId="168" fontId="20" fillId="3" borderId="36" xfId="4" applyNumberFormat="1" applyFont="1" applyFill="1" applyBorder="1" applyAlignment="1" applyProtection="1">
      <alignment horizontal="left" vertical="center"/>
      <protection hidden="1"/>
    </xf>
    <xf numFmtId="168" fontId="20" fillId="3" borderId="42" xfId="4" applyNumberFormat="1" applyFont="1" applyFill="1" applyBorder="1" applyAlignment="1" applyProtection="1">
      <alignment horizontal="left" vertical="center"/>
      <protection hidden="1"/>
    </xf>
    <xf numFmtId="0" fontId="22" fillId="2" borderId="5" xfId="0" applyFont="1" applyFill="1" applyBorder="1" applyAlignment="1" applyProtection="1">
      <alignment horizontal="center" vertical="top" wrapText="1"/>
      <protection hidden="1"/>
    </xf>
    <xf numFmtId="0" fontId="22" fillId="2" borderId="6" xfId="0" applyFont="1" applyFill="1" applyBorder="1" applyAlignment="1" applyProtection="1">
      <alignment horizontal="center" vertical="top" wrapText="1"/>
      <protection hidden="1"/>
    </xf>
    <xf numFmtId="0" fontId="7" fillId="2" borderId="17" xfId="0" applyFont="1" applyFill="1" applyBorder="1" applyAlignment="1" applyProtection="1">
      <alignment horizontal="left" vertical="center"/>
      <protection hidden="1"/>
    </xf>
    <xf numFmtId="0" fontId="7" fillId="2" borderId="0" xfId="0" applyFont="1" applyFill="1" applyBorder="1" applyAlignment="1" applyProtection="1">
      <alignment horizontal="left" vertical="center"/>
      <protection hidden="1"/>
    </xf>
    <xf numFmtId="178" fontId="0" fillId="0" borderId="33" xfId="0" applyNumberFormat="1" applyFill="1" applyBorder="1" applyAlignment="1" applyProtection="1">
      <alignment vertical="center"/>
      <protection hidden="1"/>
    </xf>
    <xf numFmtId="177" fontId="0" fillId="0" borderId="34" xfId="0" applyNumberFormat="1" applyFill="1" applyBorder="1" applyAlignment="1" applyProtection="1">
      <alignment vertical="center"/>
      <protection hidden="1"/>
    </xf>
    <xf numFmtId="0" fontId="2" fillId="8" borderId="5" xfId="0" applyFont="1" applyFill="1" applyBorder="1" applyAlignment="1" applyProtection="1">
      <alignment horizontal="center"/>
      <protection hidden="1"/>
    </xf>
    <xf numFmtId="170" fontId="0" fillId="8" borderId="21" xfId="0" applyNumberFormat="1" applyFill="1" applyBorder="1" applyAlignment="1" applyProtection="1">
      <alignment vertical="center"/>
      <protection hidden="1"/>
    </xf>
    <xf numFmtId="170" fontId="0" fillId="8" borderId="22" xfId="0" applyNumberFormat="1" applyFill="1" applyBorder="1" applyAlignment="1" applyProtection="1">
      <alignment vertical="center"/>
      <protection hidden="1"/>
    </xf>
    <xf numFmtId="0" fontId="8" fillId="2" borderId="12" xfId="0" applyFont="1" applyFill="1" applyBorder="1" applyAlignment="1" applyProtection="1">
      <alignment horizontal="center"/>
      <protection hidden="1"/>
    </xf>
    <xf numFmtId="0" fontId="8" fillId="2" borderId="7" xfId="0" applyFont="1" applyFill="1" applyBorder="1" applyAlignment="1" applyProtection="1">
      <alignment horizontal="center"/>
      <protection hidden="1"/>
    </xf>
    <xf numFmtId="0" fontId="0" fillId="7" borderId="0" xfId="0" applyFill="1" applyAlignment="1" applyProtection="1">
      <alignment horizontal="center"/>
      <protection hidden="1"/>
    </xf>
    <xf numFmtId="1" fontId="7" fillId="6" borderId="5" xfId="0" applyNumberFormat="1" applyFont="1" applyFill="1" applyBorder="1" applyAlignment="1" applyProtection="1">
      <alignment horizontal="center"/>
      <protection hidden="1"/>
    </xf>
    <xf numFmtId="1" fontId="7" fillId="6" borderId="6" xfId="0" applyNumberFormat="1" applyFont="1" applyFill="1" applyBorder="1" applyAlignment="1" applyProtection="1">
      <alignment horizontal="center"/>
      <protection hidden="1"/>
    </xf>
    <xf numFmtId="0" fontId="3" fillId="7" borderId="5" xfId="0" applyFont="1" applyFill="1" applyBorder="1" applyAlignment="1" applyProtection="1">
      <alignment horizontal="center" vertical="top" wrapText="1"/>
      <protection hidden="1"/>
    </xf>
    <xf numFmtId="0" fontId="3" fillId="7" borderId="6" xfId="0" applyFont="1" applyFill="1" applyBorder="1" applyAlignment="1" applyProtection="1">
      <alignment horizontal="center" vertical="top" wrapText="1"/>
      <protection hidden="1"/>
    </xf>
    <xf numFmtId="0" fontId="22" fillId="7" borderId="5" xfId="0" applyFont="1" applyFill="1" applyBorder="1" applyAlignment="1" applyProtection="1">
      <alignment horizontal="center" vertical="top" wrapText="1"/>
      <protection hidden="1"/>
    </xf>
    <xf numFmtId="0" fontId="22" fillId="7" borderId="6" xfId="0" applyFont="1" applyFill="1" applyBorder="1" applyAlignment="1" applyProtection="1">
      <alignment horizontal="center" vertical="top" wrapText="1"/>
      <protection hidden="1"/>
    </xf>
    <xf numFmtId="0" fontId="25" fillId="2" borderId="21" xfId="0" applyFont="1" applyFill="1" applyBorder="1" applyAlignment="1" applyProtection="1">
      <alignment horizontal="left" vertical="center"/>
    </xf>
    <xf numFmtId="0" fontId="25" fillId="2" borderId="51" xfId="0" applyFont="1" applyFill="1" applyBorder="1" applyAlignment="1" applyProtection="1">
      <alignment horizontal="left" vertical="center"/>
    </xf>
    <xf numFmtId="3" fontId="25" fillId="2" borderId="21" xfId="0" applyNumberFormat="1" applyFont="1" applyFill="1" applyBorder="1" applyAlignment="1" applyProtection="1">
      <alignment horizontal="center" vertical="center"/>
    </xf>
    <xf numFmtId="0" fontId="25" fillId="2" borderId="22" xfId="0" applyFont="1" applyFill="1" applyBorder="1" applyAlignment="1" applyProtection="1">
      <alignment horizontal="center" vertical="center"/>
    </xf>
    <xf numFmtId="170" fontId="0" fillId="7" borderId="21" xfId="0" applyNumberFormat="1" applyFill="1" applyBorder="1" applyAlignment="1" applyProtection="1">
      <alignment vertical="center"/>
    </xf>
    <xf numFmtId="170" fontId="0" fillId="7" borderId="22" xfId="0" applyNumberFormat="1" applyFill="1" applyBorder="1" applyAlignment="1" applyProtection="1">
      <alignment vertical="center"/>
    </xf>
    <xf numFmtId="0" fontId="7" fillId="2" borderId="17" xfId="0" applyFont="1" applyFill="1" applyBorder="1" applyAlignment="1" applyProtection="1">
      <alignment horizontal="left" vertical="center"/>
    </xf>
    <xf numFmtId="0" fontId="7" fillId="2" borderId="0" xfId="0" applyFont="1" applyFill="1" applyBorder="1" applyAlignment="1" applyProtection="1">
      <alignment horizontal="left" vertical="center"/>
    </xf>
    <xf numFmtId="0" fontId="3" fillId="2" borderId="1" xfId="0" applyFont="1" applyFill="1" applyBorder="1" applyAlignment="1" applyProtection="1">
      <alignment horizontal="center" vertical="top" wrapText="1"/>
    </xf>
    <xf numFmtId="3" fontId="25" fillId="2" borderId="21" xfId="0" applyNumberFormat="1" applyFont="1" applyFill="1" applyBorder="1" applyAlignment="1" applyProtection="1">
      <alignment horizontal="center" vertical="center"/>
      <protection hidden="1"/>
    </xf>
    <xf numFmtId="0" fontId="25" fillId="2" borderId="22" xfId="0" applyFont="1" applyFill="1" applyBorder="1" applyAlignment="1" applyProtection="1">
      <alignment horizontal="center" vertical="center"/>
      <protection hidden="1"/>
    </xf>
    <xf numFmtId="0" fontId="25" fillId="2" borderId="21" xfId="0" applyFont="1" applyFill="1" applyBorder="1" applyAlignment="1" applyProtection="1">
      <alignment horizontal="left" vertical="center"/>
      <protection hidden="1"/>
    </xf>
    <xf numFmtId="0" fontId="25" fillId="2" borderId="51" xfId="0" applyFont="1" applyFill="1" applyBorder="1" applyAlignment="1" applyProtection="1">
      <alignment horizontal="left" vertical="center"/>
      <protection hidden="1"/>
    </xf>
    <xf numFmtId="3" fontId="0" fillId="6" borderId="41" xfId="0" applyNumberFormat="1" applyFill="1" applyBorder="1" applyAlignment="1" applyProtection="1">
      <alignment horizontal="right" vertical="center"/>
      <protection hidden="1"/>
    </xf>
    <xf numFmtId="3" fontId="0" fillId="6" borderId="50" xfId="0" applyNumberFormat="1" applyFill="1" applyBorder="1" applyAlignment="1" applyProtection="1">
      <alignment horizontal="right" vertical="center"/>
      <protection hidden="1"/>
    </xf>
    <xf numFmtId="0" fontId="7" fillId="2" borderId="18" xfId="0" applyFont="1" applyFill="1" applyBorder="1" applyAlignment="1" applyProtection="1">
      <alignment horizontal="left" vertical="center"/>
      <protection hidden="1"/>
    </xf>
    <xf numFmtId="0" fontId="7" fillId="2" borderId="15" xfId="0" applyFont="1" applyFill="1" applyBorder="1" applyAlignment="1" applyProtection="1">
      <alignment horizontal="left" vertical="center"/>
      <protection hidden="1"/>
    </xf>
    <xf numFmtId="3" fontId="2" fillId="6" borderId="37" xfId="0" applyNumberFormat="1" applyFont="1" applyFill="1" applyBorder="1" applyAlignment="1" applyProtection="1">
      <alignment vertical="center"/>
      <protection hidden="1"/>
    </xf>
    <xf numFmtId="0" fontId="8" fillId="2" borderId="0" xfId="0" applyFont="1" applyFill="1" applyBorder="1" applyAlignment="1" applyProtection="1">
      <alignment horizontal="center"/>
      <protection hidden="1"/>
    </xf>
    <xf numFmtId="166" fontId="37" fillId="9" borderId="16" xfId="7" applyFont="1" applyFill="1" applyBorder="1" applyAlignment="1" applyProtection="1">
      <alignment horizontal="center" vertical="center"/>
      <protection hidden="1"/>
    </xf>
    <xf numFmtId="166" fontId="37" fillId="9" borderId="11" xfId="7" applyFont="1" applyFill="1" applyBorder="1" applyAlignment="1" applyProtection="1">
      <alignment horizontal="center" vertical="center"/>
      <protection hidden="1"/>
    </xf>
    <xf numFmtId="166" fontId="37" fillId="9" borderId="8" xfId="7" applyFont="1" applyFill="1" applyBorder="1" applyAlignment="1" applyProtection="1">
      <alignment horizontal="center" vertical="center"/>
      <protection hidden="1"/>
    </xf>
    <xf numFmtId="170" fontId="0" fillId="7" borderId="21" xfId="0" applyNumberFormat="1" applyFill="1" applyBorder="1" applyAlignment="1" applyProtection="1">
      <alignment vertical="center"/>
      <protection hidden="1"/>
    </xf>
    <xf numFmtId="170" fontId="0" fillId="7" borderId="22" xfId="0" applyNumberFormat="1" applyFill="1" applyBorder="1" applyAlignment="1" applyProtection="1">
      <alignment vertical="center"/>
      <protection hidden="1"/>
    </xf>
    <xf numFmtId="3" fontId="0" fillId="6" borderId="48" xfId="0" applyNumberFormat="1" applyFill="1" applyBorder="1" applyAlignment="1" applyProtection="1">
      <alignment horizontal="right" vertical="center"/>
      <protection hidden="1"/>
    </xf>
    <xf numFmtId="3" fontId="0" fillId="6" borderId="49" xfId="0" applyNumberFormat="1" applyFill="1" applyBorder="1" applyAlignment="1" applyProtection="1">
      <alignment horizontal="right" vertical="center"/>
      <protection hidden="1"/>
    </xf>
    <xf numFmtId="0" fontId="3" fillId="2" borderId="1" xfId="0" applyFont="1" applyFill="1" applyBorder="1" applyAlignment="1" applyProtection="1">
      <alignment horizontal="center" vertical="top" wrapText="1"/>
      <protection hidden="1"/>
    </xf>
    <xf numFmtId="173" fontId="0" fillId="7" borderId="41" xfId="0" applyNumberFormat="1" applyFill="1" applyBorder="1" applyAlignment="1" applyProtection="1">
      <alignment horizontal="right" vertical="center"/>
      <protection hidden="1"/>
    </xf>
    <xf numFmtId="173" fontId="0" fillId="7" borderId="50" xfId="0" applyNumberFormat="1" applyFill="1" applyBorder="1" applyAlignment="1" applyProtection="1">
      <alignment horizontal="right" vertical="center"/>
      <protection hidden="1"/>
    </xf>
    <xf numFmtId="172" fontId="0" fillId="6" borderId="35" xfId="0" applyNumberFormat="1" applyFill="1" applyBorder="1" applyAlignment="1" applyProtection="1">
      <alignment vertical="center"/>
      <protection hidden="1"/>
    </xf>
    <xf numFmtId="3" fontId="0" fillId="6" borderId="35" xfId="0" applyNumberFormat="1" applyFill="1" applyBorder="1" applyAlignment="1" applyProtection="1">
      <alignment vertical="center"/>
      <protection hidden="1"/>
    </xf>
    <xf numFmtId="3" fontId="0" fillId="6" borderId="83" xfId="0" applyNumberFormat="1" applyFill="1" applyBorder="1" applyAlignment="1" applyProtection="1">
      <alignment horizontal="right" vertical="center"/>
      <protection hidden="1"/>
    </xf>
    <xf numFmtId="3" fontId="0" fillId="6" borderId="84" xfId="0" applyNumberFormat="1" applyFill="1" applyBorder="1" applyAlignment="1" applyProtection="1">
      <alignment horizontal="right" vertical="center"/>
      <protection hidden="1"/>
    </xf>
    <xf numFmtId="3" fontId="2" fillId="6" borderId="82" xfId="0" applyNumberFormat="1" applyFont="1" applyFill="1" applyBorder="1" applyAlignment="1" applyProtection="1">
      <alignment vertical="center"/>
      <protection hidden="1"/>
    </xf>
    <xf numFmtId="3" fontId="2" fillId="8" borderId="82" xfId="0" applyNumberFormat="1" applyFont="1" applyFill="1" applyBorder="1" applyAlignment="1" applyProtection="1">
      <alignment vertical="center"/>
      <protection hidden="1"/>
    </xf>
    <xf numFmtId="3" fontId="0" fillId="6" borderId="32" xfId="0" applyNumberFormat="1" applyFill="1" applyBorder="1" applyAlignment="1" applyProtection="1">
      <alignment vertical="center"/>
      <protection hidden="1"/>
    </xf>
    <xf numFmtId="0" fontId="0" fillId="6" borderId="35" xfId="0" applyFill="1" applyBorder="1" applyAlignment="1" applyProtection="1">
      <alignment vertical="center"/>
      <protection hidden="1"/>
    </xf>
    <xf numFmtId="2" fontId="0" fillId="6" borderId="35" xfId="0" applyNumberFormat="1" applyFill="1" applyBorder="1" applyAlignment="1" applyProtection="1">
      <alignment vertical="center"/>
      <protection hidden="1"/>
    </xf>
    <xf numFmtId="3" fontId="0" fillId="6" borderId="21" xfId="0" applyNumberFormat="1" applyFill="1" applyBorder="1" applyAlignment="1" applyProtection="1">
      <alignment vertical="center"/>
      <protection hidden="1"/>
    </xf>
    <xf numFmtId="3" fontId="0" fillId="6" borderId="22" xfId="0" applyNumberFormat="1" applyFill="1" applyBorder="1" applyAlignment="1" applyProtection="1">
      <alignment vertical="center"/>
      <protection hidden="1"/>
    </xf>
    <xf numFmtId="0" fontId="0" fillId="6" borderId="1" xfId="0" applyFill="1" applyBorder="1" applyAlignment="1" applyProtection="1">
      <alignment horizontal="center"/>
      <protection hidden="1"/>
    </xf>
    <xf numFmtId="172" fontId="0" fillId="6" borderId="33" xfId="0" applyNumberFormat="1" applyFill="1" applyBorder="1" applyAlignment="1" applyProtection="1">
      <alignment vertical="center"/>
      <protection hidden="1"/>
    </xf>
    <xf numFmtId="172" fontId="0" fillId="6" borderId="34" xfId="0" applyNumberFormat="1" applyFill="1" applyBorder="1" applyAlignment="1" applyProtection="1">
      <alignment vertical="center"/>
      <protection hidden="1"/>
    </xf>
    <xf numFmtId="0" fontId="2" fillId="2" borderId="17" xfId="0" applyFont="1" applyFill="1" applyBorder="1" applyAlignment="1" applyProtection="1">
      <alignment horizontal="left" vertical="center" wrapText="1"/>
      <protection hidden="1"/>
    </xf>
    <xf numFmtId="0" fontId="2" fillId="2" borderId="0" xfId="0" applyFont="1" applyFill="1" applyBorder="1" applyAlignment="1" applyProtection="1">
      <alignment horizontal="left" vertical="center" wrapText="1"/>
      <protection hidden="1"/>
    </xf>
    <xf numFmtId="0" fontId="2" fillId="2" borderId="7" xfId="0" applyFont="1" applyFill="1" applyBorder="1" applyAlignment="1" applyProtection="1">
      <alignment horizontal="left" vertical="center" wrapText="1"/>
      <protection hidden="1"/>
    </xf>
    <xf numFmtId="0" fontId="0" fillId="6" borderId="30" xfId="0" applyFill="1" applyBorder="1" applyAlignment="1" applyProtection="1">
      <alignment vertical="center"/>
      <protection hidden="1"/>
    </xf>
    <xf numFmtId="0" fontId="0" fillId="6" borderId="31" xfId="0" applyFill="1" applyBorder="1" applyAlignment="1" applyProtection="1">
      <alignment vertical="center"/>
      <protection hidden="1"/>
    </xf>
    <xf numFmtId="0" fontId="3" fillId="6" borderId="1" xfId="0" applyFont="1" applyFill="1" applyBorder="1" applyAlignment="1" applyProtection="1">
      <alignment horizontal="center"/>
      <protection hidden="1"/>
    </xf>
    <xf numFmtId="0" fontId="6" fillId="6" borderId="16" xfId="0" applyFont="1" applyFill="1" applyBorder="1" applyAlignment="1" applyProtection="1">
      <alignment horizontal="center" wrapText="1"/>
      <protection hidden="1"/>
    </xf>
    <xf numFmtId="0" fontId="6" fillId="6" borderId="8" xfId="0" applyFont="1" applyFill="1" applyBorder="1" applyAlignment="1" applyProtection="1">
      <alignment horizontal="center" wrapText="1"/>
      <protection hidden="1"/>
    </xf>
    <xf numFmtId="0" fontId="6" fillId="6" borderId="18" xfId="0" applyFont="1" applyFill="1" applyBorder="1" applyAlignment="1" applyProtection="1">
      <alignment horizontal="center" wrapText="1"/>
      <protection hidden="1"/>
    </xf>
    <xf numFmtId="0" fontId="6" fillId="6" borderId="9" xfId="0" applyFont="1" applyFill="1" applyBorder="1" applyAlignment="1" applyProtection="1">
      <alignment horizontal="center" wrapText="1"/>
      <protection hidden="1"/>
    </xf>
    <xf numFmtId="3" fontId="0" fillId="8" borderId="21" xfId="0" applyNumberFormat="1" applyFill="1" applyBorder="1" applyAlignment="1" applyProtection="1">
      <alignment vertical="center"/>
      <protection hidden="1"/>
    </xf>
    <xf numFmtId="3" fontId="0" fillId="8" borderId="22" xfId="0" applyNumberFormat="1" applyFill="1" applyBorder="1" applyAlignment="1" applyProtection="1">
      <alignment vertical="center"/>
      <protection hidden="1"/>
    </xf>
    <xf numFmtId="0" fontId="14" fillId="6" borderId="23" xfId="0" applyFont="1" applyFill="1" applyBorder="1" applyAlignment="1" applyProtection="1">
      <alignment horizontal="right" vertical="center"/>
      <protection hidden="1"/>
    </xf>
    <xf numFmtId="0" fontId="14" fillId="6" borderId="24" xfId="0" applyFont="1" applyFill="1" applyBorder="1" applyAlignment="1" applyProtection="1">
      <alignment horizontal="right" vertical="center"/>
      <protection hidden="1"/>
    </xf>
    <xf numFmtId="0" fontId="14" fillId="8" borderId="21" xfId="0" applyFont="1" applyFill="1" applyBorder="1" applyAlignment="1" applyProtection="1">
      <alignment horizontal="right" vertical="center"/>
      <protection hidden="1"/>
    </xf>
    <xf numFmtId="0" fontId="14" fillId="8" borderId="22" xfId="0" applyFont="1" applyFill="1" applyBorder="1" applyAlignment="1" applyProtection="1">
      <alignment horizontal="right" vertical="center"/>
      <protection hidden="1"/>
    </xf>
    <xf numFmtId="0" fontId="0" fillId="6" borderId="21" xfId="0" applyFill="1" applyBorder="1" applyAlignment="1" applyProtection="1">
      <alignment horizontal="right" vertical="center"/>
      <protection hidden="1"/>
    </xf>
    <xf numFmtId="0" fontId="0" fillId="6" borderId="22" xfId="0" applyFill="1" applyBorder="1" applyAlignment="1" applyProtection="1">
      <alignment horizontal="right" vertical="center"/>
      <protection hidden="1"/>
    </xf>
    <xf numFmtId="0" fontId="0" fillId="8" borderId="21" xfId="0" applyFill="1" applyBorder="1" applyAlignment="1" applyProtection="1">
      <alignment horizontal="right" vertical="center"/>
      <protection hidden="1"/>
    </xf>
    <xf numFmtId="0" fontId="0" fillId="8" borderId="22" xfId="0" applyFill="1" applyBorder="1" applyAlignment="1" applyProtection="1">
      <alignment horizontal="right" vertical="center"/>
      <protection hidden="1"/>
    </xf>
    <xf numFmtId="0" fontId="7" fillId="8" borderId="18" xfId="0" applyFont="1" applyFill="1" applyBorder="1" applyAlignment="1" applyProtection="1">
      <alignment horizontal="center"/>
      <protection hidden="1"/>
    </xf>
    <xf numFmtId="0" fontId="7" fillId="8" borderId="9" xfId="0" applyFont="1" applyFill="1" applyBorder="1" applyAlignment="1" applyProtection="1">
      <alignment horizontal="center"/>
      <protection hidden="1"/>
    </xf>
    <xf numFmtId="0" fontId="3" fillId="2" borderId="0" xfId="0" applyFont="1" applyFill="1" applyBorder="1" applyAlignment="1" applyProtection="1">
      <alignment horizontal="center" wrapText="1"/>
      <protection hidden="1"/>
    </xf>
    <xf numFmtId="0" fontId="3" fillId="2" borderId="15" xfId="0" applyFont="1" applyFill="1" applyBorder="1" applyAlignment="1" applyProtection="1">
      <alignment horizontal="center" wrapText="1"/>
      <protection hidden="1"/>
    </xf>
    <xf numFmtId="170" fontId="0" fillId="6" borderId="35" xfId="0" applyNumberFormat="1" applyFill="1" applyBorder="1" applyAlignment="1" applyProtection="1">
      <alignment vertical="center"/>
      <protection hidden="1"/>
    </xf>
    <xf numFmtId="0" fontId="0" fillId="8" borderId="21" xfId="0" applyFill="1" applyBorder="1" applyAlignment="1" applyProtection="1">
      <alignment vertical="center"/>
      <protection hidden="1"/>
    </xf>
    <xf numFmtId="0" fontId="0" fillId="8" borderId="22" xfId="0" applyFill="1" applyBorder="1" applyAlignment="1" applyProtection="1">
      <alignment vertical="center"/>
      <protection hidden="1"/>
    </xf>
    <xf numFmtId="0" fontId="0" fillId="0" borderId="21" xfId="0" applyFill="1" applyBorder="1" applyAlignment="1" applyProtection="1">
      <alignment vertical="center"/>
      <protection hidden="1"/>
    </xf>
    <xf numFmtId="0" fontId="0" fillId="0" borderId="22" xfId="0" applyFill="1" applyBorder="1" applyAlignment="1" applyProtection="1">
      <alignment vertical="center"/>
      <protection hidden="1"/>
    </xf>
    <xf numFmtId="164" fontId="0" fillId="7" borderId="21" xfId="0" applyNumberFormat="1" applyFill="1" applyBorder="1" applyAlignment="1" applyProtection="1">
      <alignment vertical="center"/>
      <protection hidden="1"/>
    </xf>
    <xf numFmtId="164" fontId="0" fillId="7" borderId="22" xfId="0" applyNumberFormat="1" applyFill="1" applyBorder="1" applyAlignment="1" applyProtection="1">
      <alignment vertical="center"/>
      <protection hidden="1"/>
    </xf>
    <xf numFmtId="167" fontId="22" fillId="2" borderId="14" xfId="0" applyNumberFormat="1" applyFont="1" applyFill="1" applyBorder="1" applyAlignment="1" applyProtection="1">
      <alignment horizontal="center" vertical="center"/>
      <protection hidden="1"/>
    </xf>
    <xf numFmtId="167" fontId="22" fillId="2" borderId="9" xfId="0" applyNumberFormat="1" applyFont="1" applyFill="1" applyBorder="1" applyAlignment="1" applyProtection="1">
      <alignment horizontal="center" vertical="center"/>
      <protection hidden="1"/>
    </xf>
    <xf numFmtId="0" fontId="20" fillId="3" borderId="15" xfId="3" applyNumberFormat="1" applyFont="1" applyFill="1" applyBorder="1" applyAlignment="1" applyProtection="1">
      <alignment horizontal="center" vertical="center"/>
      <protection hidden="1"/>
    </xf>
    <xf numFmtId="168" fontId="20" fillId="3" borderId="46" xfId="4" applyNumberFormat="1" applyFont="1" applyFill="1" applyBorder="1" applyAlignment="1" applyProtection="1">
      <alignment horizontal="left" vertical="center"/>
      <protection hidden="1"/>
    </xf>
    <xf numFmtId="168" fontId="20" fillId="3" borderId="47" xfId="4" applyNumberFormat="1" applyFont="1" applyFill="1" applyBorder="1" applyAlignment="1" applyProtection="1">
      <alignment horizontal="left" vertical="center"/>
      <protection hidden="1"/>
    </xf>
    <xf numFmtId="0" fontId="8" fillId="2" borderId="10" xfId="0" applyFont="1" applyFill="1" applyBorder="1" applyAlignment="1" applyProtection="1">
      <alignment horizontal="center"/>
      <protection hidden="1"/>
    </xf>
    <xf numFmtId="0" fontId="8" fillId="2" borderId="8" xfId="0" applyFont="1" applyFill="1" applyBorder="1" applyAlignment="1" applyProtection="1">
      <alignment horizontal="center"/>
      <protection hidden="1"/>
    </xf>
    <xf numFmtId="166" fontId="37" fillId="9" borderId="17" xfId="7" applyFont="1" applyFill="1" applyBorder="1" applyAlignment="1" applyProtection="1">
      <alignment horizontal="center" vertical="center"/>
      <protection hidden="1"/>
    </xf>
    <xf numFmtId="166" fontId="37" fillId="9" borderId="0" xfId="7" applyFont="1" applyFill="1" applyBorder="1" applyAlignment="1" applyProtection="1">
      <alignment horizontal="center" vertical="center"/>
      <protection hidden="1"/>
    </xf>
    <xf numFmtId="166" fontId="37" fillId="9" borderId="7" xfId="7" applyFont="1" applyFill="1" applyBorder="1" applyAlignment="1" applyProtection="1">
      <alignment horizontal="center" vertical="center"/>
      <protection hidden="1"/>
    </xf>
    <xf numFmtId="0" fontId="23" fillId="4" borderId="16" xfId="0" applyFont="1" applyFill="1" applyBorder="1" applyAlignment="1" applyProtection="1">
      <alignment horizontal="center" vertical="center"/>
      <protection hidden="1"/>
    </xf>
    <xf numFmtId="0" fontId="23" fillId="4" borderId="11" xfId="0" applyFont="1" applyFill="1" applyBorder="1" applyAlignment="1" applyProtection="1">
      <alignment horizontal="center" vertical="center"/>
      <protection hidden="1"/>
    </xf>
    <xf numFmtId="0" fontId="23" fillId="4" borderId="8" xfId="0" applyFont="1" applyFill="1" applyBorder="1" applyAlignment="1" applyProtection="1">
      <alignment horizontal="center" vertical="center"/>
      <protection hidden="1"/>
    </xf>
    <xf numFmtId="0" fontId="23" fillId="4" borderId="18" xfId="0" applyFont="1" applyFill="1" applyBorder="1" applyAlignment="1" applyProtection="1">
      <alignment horizontal="center" vertical="center"/>
      <protection hidden="1"/>
    </xf>
    <xf numFmtId="0" fontId="23" fillId="4" borderId="15" xfId="0" applyFont="1" applyFill="1" applyBorder="1" applyAlignment="1" applyProtection="1">
      <alignment horizontal="center" vertical="center"/>
      <protection hidden="1"/>
    </xf>
    <xf numFmtId="0" fontId="23" fillId="4" borderId="9" xfId="0" applyFont="1" applyFill="1" applyBorder="1" applyAlignment="1" applyProtection="1">
      <alignment horizontal="center" vertical="center"/>
      <protection hidden="1"/>
    </xf>
    <xf numFmtId="3" fontId="0" fillId="6" borderId="33" xfId="0" applyNumberFormat="1" applyFill="1" applyBorder="1" applyAlignment="1" applyProtection="1">
      <alignment vertical="center"/>
      <protection hidden="1"/>
    </xf>
    <xf numFmtId="3" fontId="0" fillId="6" borderId="34" xfId="0" applyNumberFormat="1" applyFill="1" applyBorder="1" applyAlignment="1" applyProtection="1">
      <alignment vertical="center"/>
      <protection hidden="1"/>
    </xf>
    <xf numFmtId="0" fontId="8" fillId="2" borderId="66" xfId="0" applyFont="1" applyFill="1" applyBorder="1" applyAlignment="1" applyProtection="1">
      <alignment horizontal="center"/>
    </xf>
    <xf numFmtId="0" fontId="8" fillId="2" borderId="7" xfId="0" applyFont="1" applyFill="1" applyBorder="1" applyAlignment="1" applyProtection="1">
      <alignment horizontal="center"/>
    </xf>
    <xf numFmtId="0" fontId="6" fillId="6" borderId="16" xfId="0" applyFont="1" applyFill="1" applyBorder="1" applyAlignment="1" applyProtection="1">
      <alignment horizontal="center" wrapText="1"/>
    </xf>
    <xf numFmtId="0" fontId="6" fillId="6" borderId="8" xfId="0" applyFont="1" applyFill="1" applyBorder="1" applyAlignment="1" applyProtection="1">
      <alignment horizontal="center" wrapText="1"/>
    </xf>
    <xf numFmtId="0" fontId="6" fillId="6" borderId="18" xfId="0" applyFont="1" applyFill="1" applyBorder="1" applyAlignment="1" applyProtection="1">
      <alignment horizontal="center" wrapText="1"/>
    </xf>
    <xf numFmtId="0" fontId="6" fillId="6" borderId="9" xfId="0" applyFont="1" applyFill="1" applyBorder="1" applyAlignment="1" applyProtection="1">
      <alignment horizontal="center" wrapText="1"/>
    </xf>
    <xf numFmtId="0" fontId="7" fillId="8" borderId="5" xfId="0" applyFont="1" applyFill="1" applyBorder="1" applyAlignment="1" applyProtection="1">
      <alignment horizontal="center"/>
    </xf>
    <xf numFmtId="0" fontId="7" fillId="8" borderId="6" xfId="0" applyFont="1" applyFill="1" applyBorder="1" applyAlignment="1" applyProtection="1">
      <alignment horizontal="center"/>
    </xf>
    <xf numFmtId="170" fontId="0" fillId="8" borderId="21" xfId="0" applyNumberFormat="1" applyFill="1" applyBorder="1" applyAlignment="1" applyProtection="1">
      <alignment vertical="center"/>
      <protection locked="0"/>
    </xf>
    <xf numFmtId="170" fontId="0" fillId="8" borderId="22" xfId="0" applyNumberFormat="1" applyFill="1" applyBorder="1" applyAlignment="1" applyProtection="1">
      <alignment vertical="center"/>
      <protection locked="0"/>
    </xf>
    <xf numFmtId="3" fontId="0" fillId="6" borderId="21" xfId="0" applyNumberFormat="1" applyFill="1" applyBorder="1" applyAlignment="1" applyProtection="1">
      <alignment vertical="center"/>
    </xf>
    <xf numFmtId="3" fontId="0" fillId="6" borderId="22" xfId="0" applyNumberFormat="1" applyFill="1" applyBorder="1" applyAlignment="1" applyProtection="1">
      <alignment vertical="center"/>
    </xf>
    <xf numFmtId="172" fontId="0" fillId="8" borderId="21" xfId="0" applyNumberFormat="1" applyFill="1" applyBorder="1" applyAlignment="1" applyProtection="1">
      <alignment horizontal="right" vertical="center"/>
      <protection locked="0"/>
    </xf>
    <xf numFmtId="172" fontId="0" fillId="8" borderId="22" xfId="0" applyNumberFormat="1" applyFill="1" applyBorder="1" applyAlignment="1" applyProtection="1">
      <alignment horizontal="right" vertical="center"/>
      <protection locked="0"/>
    </xf>
    <xf numFmtId="0" fontId="3" fillId="6" borderId="1" xfId="0" applyFont="1" applyFill="1" applyBorder="1" applyAlignment="1" applyProtection="1">
      <alignment horizontal="center"/>
    </xf>
    <xf numFmtId="0" fontId="0" fillId="6" borderId="1" xfId="0" applyFill="1" applyBorder="1" applyAlignment="1" applyProtection="1">
      <alignment horizontal="center"/>
    </xf>
    <xf numFmtId="164" fontId="0" fillId="7" borderId="21" xfId="0" applyNumberFormat="1" applyFill="1" applyBorder="1" applyAlignment="1" applyProtection="1">
      <alignment vertical="center"/>
    </xf>
    <xf numFmtId="164" fontId="0" fillId="7" borderId="22" xfId="0" applyNumberFormat="1" applyFill="1" applyBorder="1" applyAlignment="1" applyProtection="1">
      <alignment vertical="center"/>
    </xf>
    <xf numFmtId="166" fontId="37" fillId="9" borderId="16" xfId="7" applyFont="1" applyFill="1" applyBorder="1" applyAlignment="1" applyProtection="1">
      <alignment horizontal="center" vertical="center"/>
    </xf>
    <xf numFmtId="166" fontId="37" fillId="9" borderId="11" xfId="7" applyFont="1" applyFill="1" applyBorder="1" applyAlignment="1" applyProtection="1">
      <alignment horizontal="center" vertical="center"/>
    </xf>
    <xf numFmtId="166" fontId="37" fillId="9" borderId="8" xfId="7" applyFont="1" applyFill="1" applyBorder="1" applyAlignment="1" applyProtection="1">
      <alignment horizontal="center" vertical="center"/>
    </xf>
    <xf numFmtId="0" fontId="2" fillId="2" borderId="17" xfId="0" applyFont="1" applyFill="1" applyBorder="1" applyAlignment="1" applyProtection="1">
      <alignment horizontal="left" vertical="center" wrapText="1"/>
    </xf>
    <xf numFmtId="0" fontId="2" fillId="2" borderId="0" xfId="0" applyFont="1" applyFill="1" applyBorder="1" applyAlignment="1" applyProtection="1">
      <alignment horizontal="left" vertical="center" wrapText="1"/>
    </xf>
    <xf numFmtId="0" fontId="2" fillId="2" borderId="7" xfId="0" applyFont="1" applyFill="1" applyBorder="1" applyAlignment="1" applyProtection="1">
      <alignment horizontal="left" vertical="center" wrapText="1"/>
    </xf>
    <xf numFmtId="0" fontId="0" fillId="7" borderId="21" xfId="0" applyFill="1" applyBorder="1" applyAlignment="1" applyProtection="1">
      <alignment vertical="center"/>
    </xf>
    <xf numFmtId="0" fontId="0" fillId="7" borderId="22" xfId="0" applyFill="1" applyBorder="1" applyAlignment="1" applyProtection="1">
      <alignment vertical="center"/>
    </xf>
    <xf numFmtId="0" fontId="0" fillId="6" borderId="30" xfId="0" applyFill="1" applyBorder="1" applyAlignment="1" applyProtection="1">
      <alignment vertical="center"/>
    </xf>
    <xf numFmtId="0" fontId="0" fillId="6" borderId="31" xfId="0" applyFill="1" applyBorder="1" applyAlignment="1" applyProtection="1">
      <alignment vertical="center"/>
    </xf>
    <xf numFmtId="3" fontId="0" fillId="6" borderId="83" xfId="0" applyNumberFormat="1" applyFill="1" applyBorder="1" applyAlignment="1" applyProtection="1">
      <alignment horizontal="right" vertical="center"/>
    </xf>
    <xf numFmtId="3" fontId="0" fillId="6" borderId="84" xfId="0" applyNumberFormat="1" applyFill="1" applyBorder="1" applyAlignment="1" applyProtection="1">
      <alignment horizontal="right" vertical="center"/>
    </xf>
    <xf numFmtId="172" fontId="2" fillId="8" borderId="82" xfId="0" applyNumberFormat="1" applyFont="1" applyFill="1" applyBorder="1" applyAlignment="1" applyProtection="1">
      <alignment vertical="center"/>
      <protection locked="0"/>
    </xf>
    <xf numFmtId="4" fontId="0" fillId="6" borderId="35" xfId="0" applyNumberFormat="1" applyFill="1" applyBorder="1" applyAlignment="1" applyProtection="1">
      <alignment vertical="center"/>
    </xf>
    <xf numFmtId="3" fontId="2" fillId="6" borderId="82" xfId="0" applyNumberFormat="1" applyFont="1" applyFill="1" applyBorder="1" applyAlignment="1" applyProtection="1">
      <alignment vertical="center"/>
    </xf>
    <xf numFmtId="178" fontId="0" fillId="0" borderId="33" xfId="0" applyNumberFormat="1" applyFill="1" applyBorder="1" applyAlignment="1" applyProtection="1">
      <alignment vertical="center"/>
    </xf>
    <xf numFmtId="177" fontId="0" fillId="0" borderId="34" xfId="0" applyNumberFormat="1" applyFill="1" applyBorder="1" applyAlignment="1" applyProtection="1">
      <alignment vertical="center"/>
    </xf>
    <xf numFmtId="3" fontId="2" fillId="6" borderId="37" xfId="0" applyNumberFormat="1" applyFont="1" applyFill="1" applyBorder="1" applyAlignment="1" applyProtection="1">
      <alignment vertical="center"/>
    </xf>
    <xf numFmtId="3" fontId="0" fillId="6" borderId="41" xfId="0" applyNumberFormat="1" applyFill="1" applyBorder="1" applyAlignment="1" applyProtection="1">
      <alignment horizontal="right" vertical="center"/>
    </xf>
    <xf numFmtId="3" fontId="0" fillId="6" borderId="50" xfId="0" applyNumberFormat="1" applyFill="1" applyBorder="1" applyAlignment="1" applyProtection="1">
      <alignment horizontal="right" vertical="center"/>
    </xf>
    <xf numFmtId="0" fontId="14" fillId="0" borderId="21" xfId="0" applyFont="1" applyFill="1" applyBorder="1" applyAlignment="1" applyProtection="1">
      <alignment horizontal="right" vertical="center"/>
    </xf>
    <xf numFmtId="0" fontId="14" fillId="0" borderId="22" xfId="0" applyFont="1" applyFill="1" applyBorder="1" applyAlignment="1" applyProtection="1">
      <alignment horizontal="right" vertical="center"/>
    </xf>
    <xf numFmtId="172" fontId="0" fillId="6" borderId="33" xfId="0" applyNumberFormat="1" applyFill="1" applyBorder="1" applyAlignment="1" applyProtection="1">
      <alignment vertical="center"/>
    </xf>
    <xf numFmtId="172" fontId="0" fillId="6" borderId="34" xfId="0" applyNumberFormat="1" applyFill="1" applyBorder="1" applyAlignment="1" applyProtection="1">
      <alignment vertical="center"/>
    </xf>
    <xf numFmtId="2" fontId="0" fillId="6" borderId="35" xfId="0" applyNumberFormat="1" applyFill="1" applyBorder="1" applyAlignment="1" applyProtection="1">
      <alignment vertical="center"/>
    </xf>
    <xf numFmtId="0" fontId="0" fillId="6" borderId="35" xfId="0" applyFill="1" applyBorder="1" applyAlignment="1" applyProtection="1">
      <alignment vertical="center"/>
    </xf>
    <xf numFmtId="3" fontId="0" fillId="6" borderId="32" xfId="0" applyNumberFormat="1" applyFill="1" applyBorder="1" applyAlignment="1" applyProtection="1">
      <alignment vertical="center"/>
    </xf>
    <xf numFmtId="0" fontId="7" fillId="8" borderId="18" xfId="0" applyFont="1" applyFill="1" applyBorder="1" applyAlignment="1" applyProtection="1">
      <alignment horizontal="center"/>
    </xf>
    <xf numFmtId="0" fontId="7" fillId="8" borderId="9" xfId="0" applyFont="1" applyFill="1" applyBorder="1" applyAlignment="1" applyProtection="1">
      <alignment horizontal="center"/>
    </xf>
    <xf numFmtId="179" fontId="0" fillId="8" borderId="21" xfId="0" applyNumberFormat="1" applyFill="1" applyBorder="1" applyAlignment="1" applyProtection="1">
      <alignment horizontal="right" vertical="center"/>
      <protection locked="0"/>
    </xf>
    <xf numFmtId="179" fontId="0" fillId="8" borderId="22" xfId="0" applyNumberFormat="1" applyFill="1" applyBorder="1" applyAlignment="1" applyProtection="1">
      <alignment horizontal="right" vertical="center"/>
      <protection locked="0"/>
    </xf>
    <xf numFmtId="0" fontId="14" fillId="6" borderId="23" xfId="0" applyFont="1" applyFill="1" applyBorder="1" applyAlignment="1" applyProtection="1">
      <alignment horizontal="right" vertical="center"/>
    </xf>
    <xf numFmtId="0" fontId="14" fillId="6" borderId="24" xfId="0" applyFont="1" applyFill="1" applyBorder="1" applyAlignment="1" applyProtection="1">
      <alignment horizontal="right" vertical="center"/>
    </xf>
    <xf numFmtId="0" fontId="0" fillId="8" borderId="21" xfId="0" applyFill="1" applyBorder="1" applyAlignment="1" applyProtection="1">
      <alignment vertical="center"/>
      <protection locked="0"/>
    </xf>
    <xf numFmtId="0" fontId="0" fillId="8" borderId="22" xfId="0" applyFill="1" applyBorder="1" applyAlignment="1" applyProtection="1">
      <alignment vertical="center"/>
      <protection locked="0"/>
    </xf>
    <xf numFmtId="0" fontId="3" fillId="2" borderId="0" xfId="0" applyFont="1" applyFill="1" applyBorder="1" applyAlignment="1" applyProtection="1">
      <alignment horizontal="center" wrapText="1"/>
    </xf>
    <xf numFmtId="0" fontId="3" fillId="2" borderId="15" xfId="0" applyFont="1" applyFill="1" applyBorder="1" applyAlignment="1" applyProtection="1">
      <alignment horizontal="center" wrapText="1"/>
    </xf>
    <xf numFmtId="0" fontId="3" fillId="2" borderId="17" xfId="0" applyFont="1" applyFill="1" applyBorder="1" applyAlignment="1" applyProtection="1">
      <alignment horizontal="center" wrapText="1"/>
    </xf>
    <xf numFmtId="0" fontId="3" fillId="2" borderId="18" xfId="0" applyFont="1" applyFill="1" applyBorder="1" applyAlignment="1" applyProtection="1">
      <alignment horizontal="center" wrapText="1"/>
    </xf>
    <xf numFmtId="0" fontId="14" fillId="2" borderId="78" xfId="10" applyFont="1" applyFill="1" applyBorder="1" applyAlignment="1" applyProtection="1">
      <alignment horizontal="left"/>
      <protection hidden="1"/>
    </xf>
    <xf numFmtId="0" fontId="14" fillId="2" borderId="11" xfId="10" applyFont="1" applyFill="1" applyBorder="1" applyAlignment="1" applyProtection="1">
      <alignment horizontal="left"/>
      <protection hidden="1"/>
    </xf>
    <xf numFmtId="0" fontId="14" fillId="2" borderId="8" xfId="10" applyFont="1" applyFill="1" applyBorder="1" applyAlignment="1" applyProtection="1">
      <alignment horizontal="left"/>
      <protection hidden="1"/>
    </xf>
    <xf numFmtId="0" fontId="14" fillId="2" borderId="11" xfId="10" applyFont="1" applyFill="1" applyBorder="1" applyAlignment="1" applyProtection="1">
      <alignment horizontal="right"/>
    </xf>
    <xf numFmtId="166" fontId="37" fillId="9" borderId="17" xfId="7" applyFont="1" applyFill="1" applyBorder="1" applyAlignment="1" applyProtection="1">
      <alignment horizontal="center" vertical="center"/>
    </xf>
    <xf numFmtId="166" fontId="37" fillId="9" borderId="0" xfId="7" applyFont="1" applyFill="1" applyBorder="1" applyAlignment="1" applyProtection="1">
      <alignment horizontal="center" vertical="center"/>
    </xf>
    <xf numFmtId="166" fontId="37" fillId="9" borderId="70" xfId="7" applyFont="1" applyFill="1" applyBorder="1" applyAlignment="1" applyProtection="1">
      <alignment horizontal="center" vertical="center"/>
    </xf>
    <xf numFmtId="0" fontId="14" fillId="2" borderId="68" xfId="10" applyFont="1" applyFill="1" applyBorder="1" applyAlignment="1" applyProtection="1">
      <alignment horizontal="left"/>
      <protection hidden="1"/>
    </xf>
    <xf numFmtId="0" fontId="14" fillId="2" borderId="15" xfId="10" applyFont="1" applyFill="1" applyBorder="1" applyAlignment="1" applyProtection="1">
      <alignment horizontal="left"/>
      <protection hidden="1"/>
    </xf>
    <xf numFmtId="0" fontId="14" fillId="2" borderId="9" xfId="10" applyFont="1" applyFill="1" applyBorder="1" applyAlignment="1" applyProtection="1">
      <alignment horizontal="left"/>
      <protection hidden="1"/>
    </xf>
    <xf numFmtId="0" fontId="49" fillId="7" borderId="54" xfId="10" applyFont="1" applyFill="1" applyBorder="1" applyAlignment="1" applyProtection="1">
      <alignment horizontal="left"/>
    </xf>
    <xf numFmtId="0" fontId="49" fillId="7" borderId="55" xfId="10" applyFont="1" applyFill="1" applyBorder="1" applyAlignment="1" applyProtection="1">
      <alignment horizontal="left"/>
    </xf>
    <xf numFmtId="0" fontId="49" fillId="7" borderId="77" xfId="10" applyFont="1" applyFill="1" applyBorder="1" applyAlignment="1" applyProtection="1">
      <alignment horizontal="left"/>
    </xf>
    <xf numFmtId="0" fontId="14" fillId="2" borderId="66" xfId="10" applyFont="1" applyFill="1" applyBorder="1" applyAlignment="1" applyProtection="1">
      <alignment horizontal="left"/>
      <protection hidden="1"/>
    </xf>
    <xf numFmtId="0" fontId="14" fillId="2" borderId="0" xfId="10" applyFont="1" applyFill="1" applyBorder="1" applyAlignment="1" applyProtection="1">
      <alignment horizontal="left"/>
      <protection hidden="1"/>
    </xf>
    <xf numFmtId="0" fontId="14" fillId="2" borderId="7" xfId="10" applyFont="1" applyFill="1" applyBorder="1" applyAlignment="1" applyProtection="1">
      <alignment horizontal="left"/>
      <protection hidden="1"/>
    </xf>
    <xf numFmtId="0" fontId="49" fillId="7" borderId="80" xfId="10" applyFont="1" applyFill="1" applyBorder="1" applyAlignment="1" applyProtection="1">
      <alignment horizontal="left"/>
    </xf>
    <xf numFmtId="166" fontId="37" fillId="9" borderId="7" xfId="7" applyFont="1" applyFill="1" applyBorder="1" applyAlignment="1" applyProtection="1">
      <alignment horizontal="center" vertical="center"/>
    </xf>
    <xf numFmtId="0" fontId="8" fillId="2" borderId="92" xfId="10" applyFont="1" applyFill="1" applyBorder="1" applyAlignment="1" applyProtection="1">
      <alignment horizontal="center"/>
    </xf>
    <xf numFmtId="0" fontId="8" fillId="2" borderId="52" xfId="10" applyFont="1" applyFill="1" applyBorder="1" applyAlignment="1" applyProtection="1">
      <alignment horizontal="center"/>
    </xf>
    <xf numFmtId="0" fontId="8" fillId="2" borderId="85" xfId="10" applyFont="1" applyFill="1" applyBorder="1" applyAlignment="1" applyProtection="1">
      <alignment horizontal="center"/>
    </xf>
    <xf numFmtId="0" fontId="8" fillId="2" borderId="0" xfId="0" applyFont="1" applyFill="1" applyBorder="1" applyAlignment="1" applyProtection="1">
      <alignment horizontal="center"/>
    </xf>
    <xf numFmtId="0" fontId="7" fillId="2" borderId="18" xfId="0" applyFont="1" applyFill="1" applyBorder="1" applyAlignment="1" applyProtection="1">
      <alignment horizontal="left" vertical="center"/>
    </xf>
    <xf numFmtId="0" fontId="7" fillId="2" borderId="15" xfId="0" applyFont="1" applyFill="1" applyBorder="1" applyAlignment="1" applyProtection="1">
      <alignment horizontal="left" vertical="center"/>
    </xf>
    <xf numFmtId="173" fontId="0" fillId="8" borderId="41" xfId="0" applyNumberFormat="1" applyFill="1" applyBorder="1" applyAlignment="1" applyProtection="1">
      <alignment horizontal="right" vertical="center"/>
      <protection locked="0"/>
    </xf>
    <xf numFmtId="173" fontId="0" fillId="8" borderId="50" xfId="0" applyNumberFormat="1" applyFill="1" applyBorder="1" applyAlignment="1" applyProtection="1">
      <alignment horizontal="right" vertical="center"/>
      <protection locked="0"/>
    </xf>
    <xf numFmtId="3" fontId="0" fillId="6" borderId="48" xfId="0" applyNumberFormat="1" applyFill="1" applyBorder="1" applyAlignment="1" applyProtection="1">
      <alignment horizontal="right" vertical="center"/>
    </xf>
    <xf numFmtId="3" fontId="0" fillId="6" borderId="49" xfId="0" applyNumberFormat="1" applyFill="1" applyBorder="1" applyAlignment="1" applyProtection="1">
      <alignment horizontal="right" vertical="center"/>
    </xf>
    <xf numFmtId="172" fontId="0" fillId="6" borderId="35" xfId="0" applyNumberFormat="1" applyFill="1" applyBorder="1" applyAlignment="1" applyProtection="1">
      <alignment vertical="center"/>
    </xf>
    <xf numFmtId="170" fontId="0" fillId="6" borderId="35" xfId="0" applyNumberFormat="1" applyFill="1" applyBorder="1" applyAlignment="1" applyProtection="1">
      <alignment vertical="center"/>
    </xf>
    <xf numFmtId="182" fontId="0" fillId="6" borderId="33" xfId="0" applyNumberFormat="1" applyFill="1" applyBorder="1" applyAlignment="1" applyProtection="1">
      <alignment vertical="center"/>
    </xf>
    <xf numFmtId="3" fontId="0" fillId="6" borderId="34" xfId="0" applyNumberFormat="1" applyFill="1" applyBorder="1" applyAlignment="1" applyProtection="1">
      <alignment vertical="center"/>
    </xf>
    <xf numFmtId="0" fontId="0" fillId="6" borderId="21" xfId="0" applyFill="1" applyBorder="1" applyAlignment="1" applyProtection="1">
      <alignment horizontal="right" vertical="center"/>
    </xf>
    <xf numFmtId="0" fontId="0" fillId="6" borderId="22" xfId="0" applyFill="1" applyBorder="1" applyAlignment="1" applyProtection="1">
      <alignment horizontal="right" vertical="center"/>
    </xf>
    <xf numFmtId="0" fontId="14" fillId="8" borderId="21" xfId="0" applyFont="1" applyFill="1" applyBorder="1" applyAlignment="1" applyProtection="1">
      <alignment horizontal="right" vertical="center"/>
      <protection locked="0"/>
    </xf>
    <xf numFmtId="0" fontId="14" fillId="8" borderId="22" xfId="0" applyFont="1" applyFill="1" applyBorder="1" applyAlignment="1" applyProtection="1">
      <alignment horizontal="right" vertical="center"/>
      <protection locked="0"/>
    </xf>
    <xf numFmtId="0" fontId="2" fillId="0" borderId="23" xfId="164" applyFont="1" applyFill="1" applyBorder="1" applyAlignment="1" applyProtection="1">
      <alignment horizontal="left" vertical="center" indent="2"/>
    </xf>
    <xf numFmtId="0" fontId="2" fillId="0" borderId="107" xfId="164" applyFont="1" applyFill="1" applyBorder="1" applyAlignment="1" applyProtection="1">
      <alignment horizontal="left" vertical="center" indent="2"/>
    </xf>
    <xf numFmtId="0" fontId="2" fillId="0" borderId="24" xfId="164" applyFont="1" applyFill="1" applyBorder="1" applyAlignment="1" applyProtection="1">
      <alignment horizontal="left" vertical="center" indent="2"/>
    </xf>
    <xf numFmtId="0" fontId="2" fillId="7" borderId="101" xfId="164" applyNumberFormat="1" applyFont="1" applyFill="1" applyBorder="1" applyAlignment="1" applyProtection="1">
      <alignment horizontal="left" vertical="center" indent="2"/>
    </xf>
    <xf numFmtId="0" fontId="2" fillId="0" borderId="21" xfId="164" applyFont="1" applyFill="1" applyBorder="1" applyAlignment="1" applyProtection="1">
      <alignment horizontal="left" vertical="center" indent="2"/>
    </xf>
    <xf numFmtId="0" fontId="2" fillId="0" borderId="51" xfId="164" applyFont="1" applyFill="1" applyBorder="1" applyAlignment="1" applyProtection="1">
      <alignment horizontal="left" vertical="center" indent="2"/>
    </xf>
    <xf numFmtId="0" fontId="2" fillId="0" borderId="22" xfId="164" applyFont="1" applyFill="1" applyBorder="1" applyAlignment="1" applyProtection="1">
      <alignment horizontal="left" vertical="center" indent="2"/>
    </xf>
    <xf numFmtId="0" fontId="8" fillId="2" borderId="102" xfId="10" applyFont="1" applyFill="1" applyBorder="1" applyAlignment="1" applyProtection="1">
      <alignment horizontal="center"/>
    </xf>
    <xf numFmtId="166" fontId="37" fillId="9" borderId="102" xfId="7" applyFont="1" applyFill="1" applyBorder="1" applyAlignment="1" applyProtection="1">
      <alignment horizontal="center" vertical="center"/>
    </xf>
    <xf numFmtId="166" fontId="37" fillId="13" borderId="102" xfId="7" applyFont="1" applyFill="1" applyBorder="1" applyAlignment="1" applyProtection="1">
      <alignment horizontal="center" vertical="center"/>
    </xf>
    <xf numFmtId="0" fontId="2" fillId="7" borderId="19" xfId="164" applyFont="1" applyFill="1" applyBorder="1" applyAlignment="1" applyProtection="1">
      <alignment horizontal="left" vertical="center" wrapText="1"/>
    </xf>
    <xf numFmtId="0" fontId="2" fillId="7" borderId="106" xfId="164" applyFont="1" applyFill="1" applyBorder="1" applyAlignment="1" applyProtection="1">
      <alignment horizontal="left" vertical="center" wrapText="1"/>
    </xf>
    <xf numFmtId="0" fontId="2" fillId="7" borderId="20" xfId="164" applyFont="1" applyFill="1" applyBorder="1" applyAlignment="1" applyProtection="1">
      <alignment horizontal="left" vertical="center" wrapText="1"/>
    </xf>
    <xf numFmtId="0" fontId="2" fillId="7" borderId="21" xfId="164" applyFont="1" applyFill="1" applyBorder="1" applyAlignment="1" applyProtection="1">
      <alignment horizontal="left" vertical="center" wrapText="1"/>
    </xf>
    <xf numFmtId="0" fontId="2" fillId="7" borderId="51" xfId="164" applyFont="1" applyFill="1" applyBorder="1" applyAlignment="1" applyProtection="1">
      <alignment horizontal="left" vertical="center" wrapText="1"/>
    </xf>
    <xf numFmtId="0" fontId="2" fillId="7" borderId="22" xfId="164" applyFont="1" applyFill="1" applyBorder="1" applyAlignment="1" applyProtection="1">
      <alignment horizontal="left" vertical="center" wrapText="1"/>
    </xf>
    <xf numFmtId="0" fontId="2" fillId="7" borderId="21" xfId="164" applyNumberFormat="1" applyFont="1" applyFill="1" applyBorder="1" applyAlignment="1" applyProtection="1">
      <alignment horizontal="left" vertical="center" wrapText="1"/>
    </xf>
    <xf numFmtId="0" fontId="2" fillId="7" borderId="51" xfId="164" applyNumberFormat="1" applyFont="1" applyFill="1" applyBorder="1" applyAlignment="1" applyProtection="1">
      <alignment horizontal="left" vertical="center" wrapText="1"/>
    </xf>
    <xf numFmtId="0" fontId="2" fillId="7" borderId="22" xfId="164" applyNumberFormat="1" applyFont="1" applyFill="1" applyBorder="1" applyAlignment="1" applyProtection="1">
      <alignment horizontal="left" vertical="center" wrapText="1"/>
    </xf>
    <xf numFmtId="0" fontId="2" fillId="7" borderId="23" xfId="164" applyNumberFormat="1" applyFont="1" applyFill="1" applyBorder="1" applyAlignment="1" applyProtection="1">
      <alignment horizontal="left" vertical="center" wrapText="1"/>
    </xf>
    <xf numFmtId="0" fontId="2" fillId="7" borderId="107" xfId="164" applyNumberFormat="1" applyFont="1" applyFill="1" applyBorder="1" applyAlignment="1" applyProtection="1">
      <alignment horizontal="left" vertical="center" wrapText="1"/>
    </xf>
    <xf numFmtId="0" fontId="2" fillId="7" borderId="24" xfId="164" applyNumberFormat="1" applyFont="1" applyFill="1" applyBorder="1" applyAlignment="1" applyProtection="1">
      <alignment horizontal="left" vertical="center" wrapText="1"/>
    </xf>
    <xf numFmtId="0" fontId="2" fillId="0" borderId="101" xfId="164" applyNumberFormat="1" applyFont="1" applyFill="1" applyBorder="1" applyAlignment="1" applyProtection="1">
      <alignment horizontal="right" vertical="center"/>
    </xf>
    <xf numFmtId="0" fontId="3" fillId="0" borderId="5" xfId="164" applyNumberFormat="1" applyFont="1" applyFill="1" applyBorder="1" applyAlignment="1" applyProtection="1">
      <alignment horizontal="left" vertical="center"/>
    </xf>
    <xf numFmtId="0" fontId="3" fillId="0" borderId="102" xfId="164" applyNumberFormat="1" applyFont="1" applyFill="1" applyBorder="1" applyAlignment="1" applyProtection="1">
      <alignment horizontal="left" vertical="center"/>
    </xf>
    <xf numFmtId="0" fontId="3" fillId="0" borderId="6" xfId="164" applyNumberFormat="1" applyFont="1" applyFill="1" applyBorder="1" applyAlignment="1" applyProtection="1">
      <alignment horizontal="left" vertical="center"/>
    </xf>
    <xf numFmtId="0" fontId="3" fillId="0" borderId="2" xfId="164" applyNumberFormat="1" applyFont="1" applyFill="1" applyBorder="1" applyAlignment="1" applyProtection="1">
      <alignment horizontal="center" vertical="center"/>
    </xf>
    <xf numFmtId="0" fontId="3" fillId="0" borderId="4" xfId="164" applyNumberFormat="1" applyFont="1" applyFill="1" applyBorder="1" applyAlignment="1" applyProtection="1">
      <alignment horizontal="center" vertical="center"/>
    </xf>
    <xf numFmtId="0" fontId="2" fillId="0" borderId="5" xfId="164" applyNumberFormat="1" applyFont="1" applyFill="1" applyBorder="1" applyAlignment="1" applyProtection="1">
      <alignment horizontal="left" vertical="center" indent="1"/>
    </xf>
    <xf numFmtId="0" fontId="2" fillId="0" borderId="102" xfId="164" applyNumberFormat="1" applyFont="1" applyFill="1" applyBorder="1" applyAlignment="1" applyProtection="1">
      <alignment horizontal="left" vertical="center" indent="1"/>
    </xf>
    <xf numFmtId="0" fontId="2" fillId="0" borderId="6" xfId="164" applyNumberFormat="1" applyFont="1" applyFill="1" applyBorder="1" applyAlignment="1" applyProtection="1">
      <alignment horizontal="left" vertical="center" indent="1"/>
    </xf>
    <xf numFmtId="0" fontId="2" fillId="0" borderId="19" xfId="164" applyFont="1" applyFill="1" applyBorder="1" applyAlignment="1" applyProtection="1">
      <alignment horizontal="left" vertical="center" indent="2"/>
    </xf>
    <xf numFmtId="0" fontId="2" fillId="0" borderId="106" xfId="164" applyFont="1" applyFill="1" applyBorder="1" applyAlignment="1" applyProtection="1">
      <alignment horizontal="left" vertical="center" indent="2"/>
    </xf>
    <xf numFmtId="0" fontId="2" fillId="0" borderId="20" xfId="164" applyFont="1" applyFill="1" applyBorder="1" applyAlignment="1" applyProtection="1">
      <alignment horizontal="left" vertical="center" indent="2"/>
    </xf>
    <xf numFmtId="0" fontId="2" fillId="7" borderId="21" xfId="163" applyFont="1" applyFill="1" applyBorder="1" applyAlignment="1" applyProtection="1">
      <alignment horizontal="left" vertical="center" indent="1"/>
    </xf>
    <xf numFmtId="0" fontId="2" fillId="7" borderId="51" xfId="163" applyFont="1" applyFill="1" applyBorder="1" applyAlignment="1" applyProtection="1">
      <alignment horizontal="left" vertical="center" indent="1"/>
    </xf>
    <xf numFmtId="0" fontId="2" fillId="7" borderId="51" xfId="163" applyFont="1" applyFill="1" applyBorder="1" applyAlignment="1" applyProtection="1">
      <alignment vertical="center"/>
      <protection locked="0"/>
    </xf>
    <xf numFmtId="0" fontId="2" fillId="7" borderId="112" xfId="163" applyFont="1" applyFill="1" applyBorder="1" applyAlignment="1" applyProtection="1">
      <alignment vertical="center"/>
      <protection locked="0"/>
    </xf>
    <xf numFmtId="0" fontId="2" fillId="7" borderId="19" xfId="163" applyFont="1" applyFill="1" applyBorder="1" applyAlignment="1" applyProtection="1">
      <alignment horizontal="left" vertical="center" indent="1"/>
    </xf>
    <xf numFmtId="0" fontId="2" fillId="7" borderId="106" xfId="163" applyFont="1" applyFill="1" applyBorder="1" applyAlignment="1" applyProtection="1">
      <alignment horizontal="left" vertical="center" indent="1"/>
    </xf>
    <xf numFmtId="0" fontId="2" fillId="7" borderId="106" xfId="163" applyFont="1" applyFill="1" applyBorder="1" applyAlignment="1" applyProtection="1">
      <alignment vertical="center"/>
      <protection locked="0"/>
    </xf>
    <xf numFmtId="0" fontId="2" fillId="7" borderId="124" xfId="163" applyFont="1" applyFill="1" applyBorder="1" applyAlignment="1" applyProtection="1">
      <alignment vertical="center"/>
      <protection locked="0"/>
    </xf>
    <xf numFmtId="0" fontId="2" fillId="7" borderId="51" xfId="163" applyFont="1" applyFill="1" applyBorder="1" applyAlignment="1" applyProtection="1">
      <alignment horizontal="left" vertical="center" indent="1"/>
      <protection locked="0"/>
    </xf>
    <xf numFmtId="0" fontId="2" fillId="7" borderId="112" xfId="163" applyFont="1" applyFill="1" applyBorder="1" applyAlignment="1" applyProtection="1">
      <alignment horizontal="left" vertical="center" indent="1"/>
      <protection locked="0"/>
    </xf>
    <xf numFmtId="0" fontId="2" fillId="7" borderId="107" xfId="163" applyFont="1" applyFill="1" applyBorder="1" applyAlignment="1" applyProtection="1">
      <alignment horizontal="left" vertical="center" indent="1"/>
      <protection locked="0"/>
    </xf>
    <xf numFmtId="0" fontId="2" fillId="7" borderId="125" xfId="163" applyFont="1" applyFill="1" applyBorder="1" applyAlignment="1" applyProtection="1">
      <alignment horizontal="left" vertical="center" indent="1"/>
      <protection locked="0"/>
    </xf>
    <xf numFmtId="0" fontId="2" fillId="7" borderId="17" xfId="163" applyFont="1" applyFill="1" applyBorder="1" applyAlignment="1" applyProtection="1">
      <alignment horizontal="left" vertical="center" indent="1"/>
    </xf>
    <xf numFmtId="0" fontId="2" fillId="7" borderId="0" xfId="163" applyFont="1" applyFill="1" applyBorder="1" applyAlignment="1" applyProtection="1">
      <alignment horizontal="left" vertical="center" indent="1"/>
    </xf>
    <xf numFmtId="0" fontId="25" fillId="7" borderId="18" xfId="163" applyFont="1" applyFill="1" applyBorder="1" applyAlignment="1" applyProtection="1">
      <alignment horizontal="left" vertical="center" indent="1"/>
    </xf>
    <xf numFmtId="0" fontId="25" fillId="7" borderId="15" xfId="163" applyFont="1" applyFill="1" applyBorder="1" applyAlignment="1" applyProtection="1">
      <alignment horizontal="left" vertical="center" indent="1"/>
    </xf>
    <xf numFmtId="0" fontId="2" fillId="7" borderId="106" xfId="163" applyFont="1" applyFill="1" applyBorder="1" applyAlignment="1" applyProtection="1">
      <alignment horizontal="left" vertical="center" indent="1"/>
      <protection locked="0"/>
    </xf>
    <xf numFmtId="0" fontId="2" fillId="7" borderId="124" xfId="163" applyFont="1" applyFill="1" applyBorder="1" applyAlignment="1" applyProtection="1">
      <alignment horizontal="left" vertical="center" indent="1"/>
      <protection locked="0"/>
    </xf>
    <xf numFmtId="0" fontId="2" fillId="7" borderId="51" xfId="163" applyFont="1" applyFill="1" applyBorder="1"/>
    <xf numFmtId="0" fontId="2" fillId="7" borderId="112" xfId="163" applyFont="1" applyFill="1" applyBorder="1"/>
    <xf numFmtId="0" fontId="3" fillId="0" borderId="101" xfId="163" applyFont="1" applyFill="1" applyBorder="1" applyAlignment="1" applyProtection="1">
      <alignment horizontal="left" vertical="center"/>
    </xf>
    <xf numFmtId="0" fontId="2" fillId="7" borderId="16" xfId="163" applyFont="1" applyFill="1" applyBorder="1" applyProtection="1"/>
    <xf numFmtId="0" fontId="2" fillId="7" borderId="59" xfId="163" applyFont="1" applyFill="1" applyBorder="1" applyProtection="1"/>
    <xf numFmtId="0" fontId="112" fillId="0" borderId="62" xfId="163" applyFont="1" applyBorder="1" applyAlignment="1" applyProtection="1">
      <alignment horizontal="center" vertical="center"/>
    </xf>
    <xf numFmtId="0" fontId="112" fillId="0" borderId="63" xfId="163" applyFont="1" applyBorder="1" applyAlignment="1" applyProtection="1">
      <alignment horizontal="center" vertical="center"/>
    </xf>
    <xf numFmtId="0" fontId="112" fillId="0" borderId="93" xfId="163" applyFont="1" applyBorder="1" applyAlignment="1" applyProtection="1">
      <alignment horizontal="center" vertical="center"/>
    </xf>
    <xf numFmtId="0" fontId="112" fillId="0" borderId="66" xfId="163" applyFont="1" applyBorder="1" applyAlignment="1" applyProtection="1">
      <alignment horizontal="center" vertical="center"/>
    </xf>
    <xf numFmtId="0" fontId="112" fillId="0" borderId="0" xfId="163" applyFont="1" applyBorder="1" applyAlignment="1" applyProtection="1">
      <alignment horizontal="center" vertical="center"/>
    </xf>
    <xf numFmtId="0" fontId="112" fillId="0" borderId="70" xfId="163" applyFont="1" applyBorder="1" applyAlignment="1" applyProtection="1">
      <alignment horizontal="center" vertical="center"/>
    </xf>
    <xf numFmtId="0" fontId="71" fillId="7" borderId="21" xfId="165" applyFill="1" applyBorder="1" applyAlignment="1">
      <alignment horizontal="left" indent="1"/>
    </xf>
    <xf numFmtId="0" fontId="71" fillId="7" borderId="51" xfId="165" applyFill="1" applyBorder="1" applyAlignment="1">
      <alignment horizontal="left" indent="1"/>
    </xf>
    <xf numFmtId="0" fontId="71" fillId="7" borderId="51" xfId="165" applyFill="1" applyBorder="1"/>
    <xf numFmtId="0" fontId="71" fillId="7" borderId="112" xfId="165" applyFill="1" applyBorder="1"/>
    <xf numFmtId="0" fontId="71" fillId="7" borderId="126" xfId="165" applyFill="1" applyBorder="1" applyAlignment="1">
      <alignment horizontal="left" indent="1"/>
    </xf>
    <xf numFmtId="0" fontId="71" fillId="7" borderId="114" xfId="165" applyFill="1" applyBorder="1" applyAlignment="1">
      <alignment horizontal="left" indent="1"/>
    </xf>
    <xf numFmtId="0" fontId="71" fillId="7" borderId="114" xfId="165" applyFill="1" applyBorder="1"/>
    <xf numFmtId="0" fontId="71" fillId="7" borderId="115" xfId="165" applyFill="1" applyBorder="1"/>
    <xf numFmtId="174" fontId="119" fillId="7" borderId="21" xfId="165" applyNumberFormat="1" applyFont="1" applyFill="1" applyBorder="1" applyAlignment="1" applyProtection="1">
      <alignment horizontal="left" vertical="center" indent="1"/>
    </xf>
    <xf numFmtId="174" fontId="119" fillId="7" borderId="51" xfId="165" applyNumberFormat="1" applyFont="1" applyFill="1" applyBorder="1" applyAlignment="1" applyProtection="1">
      <alignment horizontal="left" vertical="center" indent="1"/>
    </xf>
    <xf numFmtId="0" fontId="112" fillId="7" borderId="51" xfId="165" applyFont="1" applyFill="1" applyBorder="1" applyAlignment="1" applyProtection="1">
      <alignment vertical="center"/>
      <protection locked="0"/>
    </xf>
    <xf numFmtId="0" fontId="112" fillId="7" borderId="112" xfId="165" applyFont="1" applyFill="1" applyBorder="1" applyAlignment="1" applyProtection="1">
      <alignment vertical="center"/>
      <protection locked="0"/>
    </xf>
    <xf numFmtId="0" fontId="112" fillId="7" borderId="51" xfId="165" applyNumberFormat="1" applyFont="1" applyFill="1" applyBorder="1" applyAlignment="1" applyProtection="1">
      <alignment vertical="center"/>
      <protection locked="0"/>
    </xf>
    <xf numFmtId="0" fontId="112" fillId="7" borderId="112" xfId="165" applyNumberFormat="1" applyFont="1" applyFill="1" applyBorder="1" applyAlignment="1" applyProtection="1">
      <alignment vertical="center"/>
      <protection locked="0"/>
    </xf>
    <xf numFmtId="0" fontId="112" fillId="7" borderId="21" xfId="165" applyFont="1" applyFill="1" applyBorder="1" applyAlignment="1" applyProtection="1">
      <alignment horizontal="left" vertical="center" indent="2"/>
    </xf>
    <xf numFmtId="0" fontId="112" fillId="7" borderId="51" xfId="165" applyFont="1" applyFill="1" applyBorder="1" applyAlignment="1" applyProtection="1">
      <alignment horizontal="left" vertical="center" indent="2"/>
    </xf>
    <xf numFmtId="166" fontId="23" fillId="13" borderId="5" xfId="12" applyFont="1" applyFill="1" applyBorder="1" applyAlignment="1" applyProtection="1">
      <alignment horizontal="center" vertical="center"/>
    </xf>
    <xf numFmtId="0" fontId="112" fillId="7" borderId="19" xfId="165" applyFont="1" applyFill="1" applyBorder="1" applyAlignment="1" applyProtection="1">
      <alignment horizontal="left" vertical="center" indent="2"/>
    </xf>
    <xf numFmtId="0" fontId="112" fillId="7" borderId="106" xfId="165" applyFont="1" applyFill="1" applyBorder="1" applyAlignment="1" applyProtection="1">
      <alignment horizontal="left" vertical="center" indent="2"/>
    </xf>
    <xf numFmtId="0" fontId="112" fillId="7" borderId="106" xfId="165" applyFont="1" applyFill="1" applyBorder="1" applyAlignment="1" applyProtection="1">
      <alignment vertical="center"/>
      <protection locked="0"/>
    </xf>
    <xf numFmtId="0" fontId="112" fillId="7" borderId="124" xfId="165" applyFont="1" applyFill="1" applyBorder="1" applyAlignment="1" applyProtection="1">
      <alignment vertical="center"/>
      <protection locked="0"/>
    </xf>
    <xf numFmtId="0" fontId="112" fillId="7" borderId="23" xfId="165" applyNumberFormat="1" applyFont="1" applyFill="1" applyBorder="1" applyAlignment="1" applyProtection="1">
      <alignment horizontal="left" vertical="center" indent="1"/>
    </xf>
    <xf numFmtId="0" fontId="112" fillId="7" borderId="107" xfId="165" applyNumberFormat="1" applyFont="1" applyFill="1" applyBorder="1" applyAlignment="1" applyProtection="1">
      <alignment horizontal="left" vertical="center" indent="1"/>
    </xf>
    <xf numFmtId="0" fontId="112" fillId="7" borderId="24" xfId="165" applyNumberFormat="1" applyFont="1" applyFill="1" applyBorder="1" applyAlignment="1" applyProtection="1">
      <alignment horizontal="left" vertical="center" indent="1"/>
    </xf>
    <xf numFmtId="0" fontId="112" fillId="7" borderId="123" xfId="165" applyFont="1" applyFill="1" applyBorder="1" applyAlignment="1" applyProtection="1">
      <alignment horizontal="right" vertical="center"/>
    </xf>
    <xf numFmtId="0" fontId="124" fillId="6" borderId="21" xfId="165" applyFont="1" applyFill="1" applyBorder="1" applyAlignment="1" applyProtection="1">
      <alignment horizontal="left" vertical="center" indent="2"/>
    </xf>
    <xf numFmtId="0" fontId="124" fillId="6" borderId="51" xfId="165" applyFont="1" applyFill="1" applyBorder="1" applyAlignment="1" applyProtection="1">
      <alignment horizontal="left" vertical="center" indent="2"/>
    </xf>
    <xf numFmtId="0" fontId="124" fillId="6" borderId="22" xfId="165" applyFont="1" applyFill="1" applyBorder="1" applyAlignment="1" applyProtection="1">
      <alignment horizontal="left" vertical="center" indent="2"/>
    </xf>
    <xf numFmtId="3" fontId="124" fillId="6" borderId="105" xfId="165" applyNumberFormat="1" applyFont="1" applyFill="1" applyBorder="1" applyAlignment="1" applyProtection="1">
      <alignment horizontal="right" vertical="center"/>
    </xf>
    <xf numFmtId="0" fontId="112" fillId="7" borderId="21" xfId="165" applyNumberFormat="1" applyFont="1" applyFill="1" applyBorder="1" applyAlignment="1" applyProtection="1">
      <alignment horizontal="left" vertical="center" indent="1"/>
    </xf>
    <xf numFmtId="0" fontId="112" fillId="7" borderId="51" xfId="165" applyNumberFormat="1" applyFont="1" applyFill="1" applyBorder="1" applyAlignment="1" applyProtection="1">
      <alignment horizontal="left" vertical="center" indent="1"/>
    </xf>
    <xf numFmtId="0" fontId="112" fillId="7" borderId="22" xfId="165" applyNumberFormat="1" applyFont="1" applyFill="1" applyBorder="1" applyAlignment="1" applyProtection="1">
      <alignment horizontal="left" vertical="center" indent="1"/>
    </xf>
    <xf numFmtId="0" fontId="112" fillId="7" borderId="105" xfId="165" applyFont="1" applyFill="1" applyBorder="1" applyAlignment="1" applyProtection="1">
      <alignment horizontal="right" vertical="center"/>
    </xf>
    <xf numFmtId="0" fontId="122" fillId="6" borderId="21" xfId="165" applyFont="1" applyFill="1" applyBorder="1" applyAlignment="1" applyProtection="1">
      <alignment horizontal="left" vertical="center" indent="2"/>
    </xf>
    <xf numFmtId="0" fontId="122" fillId="6" borderId="51" xfId="165" applyFont="1" applyFill="1" applyBorder="1" applyAlignment="1" applyProtection="1">
      <alignment horizontal="left" vertical="center" indent="2"/>
    </xf>
    <xf numFmtId="0" fontId="122" fillId="6" borderId="22" xfId="165" applyFont="1" applyFill="1" applyBorder="1" applyAlignment="1" applyProtection="1">
      <alignment horizontal="left" vertical="center" indent="2"/>
    </xf>
    <xf numFmtId="172" fontId="122" fillId="6" borderId="105" xfId="165" applyNumberFormat="1" applyFont="1" applyFill="1" applyBorder="1" applyAlignment="1" applyProtection="1">
      <alignment horizontal="right" vertical="center"/>
    </xf>
    <xf numFmtId="3" fontId="122" fillId="6" borderId="105" xfId="165" applyNumberFormat="1" applyFont="1" applyFill="1" applyBorder="1" applyAlignment="1" applyProtection="1">
      <alignment horizontal="right" vertical="center"/>
    </xf>
    <xf numFmtId="0" fontId="112" fillId="6" borderId="21" xfId="165" applyFont="1" applyFill="1" applyBorder="1" applyAlignment="1" applyProtection="1">
      <alignment horizontal="left" vertical="center" indent="2"/>
    </xf>
    <xf numFmtId="0" fontId="112" fillId="6" borderId="51" xfId="165" applyFont="1" applyFill="1" applyBorder="1" applyAlignment="1" applyProtection="1">
      <alignment horizontal="left" vertical="center" indent="2"/>
    </xf>
    <xf numFmtId="0" fontId="112" fillId="6" borderId="22" xfId="165" applyFont="1" applyFill="1" applyBorder="1" applyAlignment="1" applyProtection="1">
      <alignment horizontal="left" vertical="center" indent="2"/>
    </xf>
    <xf numFmtId="3" fontId="112" fillId="6" borderId="105" xfId="165" applyNumberFormat="1" applyFont="1" applyFill="1" applyBorder="1" applyAlignment="1" applyProtection="1">
      <alignment horizontal="right" vertical="center"/>
    </xf>
    <xf numFmtId="164" fontId="112" fillId="6" borderId="105" xfId="165" applyNumberFormat="1" applyFont="1" applyFill="1" applyBorder="1" applyAlignment="1" applyProtection="1">
      <alignment horizontal="right" vertical="center"/>
    </xf>
    <xf numFmtId="164" fontId="115" fillId="3" borderId="105" xfId="165" applyNumberFormat="1" applyFont="1" applyFill="1" applyBorder="1" applyAlignment="1" applyProtection="1">
      <alignment horizontal="right" vertical="center"/>
      <protection locked="0"/>
    </xf>
    <xf numFmtId="201" fontId="112" fillId="7" borderId="105" xfId="165" applyNumberFormat="1" applyFont="1" applyFill="1" applyBorder="1" applyAlignment="1" applyProtection="1">
      <alignment horizontal="right" vertical="center"/>
    </xf>
    <xf numFmtId="164" fontId="112" fillId="7" borderId="105" xfId="165" applyNumberFormat="1" applyFont="1" applyFill="1" applyBorder="1" applyAlignment="1" applyProtection="1">
      <alignment horizontal="right" vertical="center"/>
    </xf>
    <xf numFmtId="170" fontId="115" fillId="3" borderId="105" xfId="165" applyNumberFormat="1" applyFont="1" applyFill="1" applyBorder="1" applyAlignment="1" applyProtection="1">
      <alignment horizontal="right" vertical="center"/>
      <protection locked="0"/>
    </xf>
    <xf numFmtId="0" fontId="8" fillId="2" borderId="92" xfId="10" applyFont="1" applyFill="1" applyBorder="1" applyAlignment="1" applyProtection="1">
      <alignment horizontal="center" vertical="center"/>
    </xf>
    <xf numFmtId="0" fontId="8" fillId="2" borderId="102" xfId="10" applyFont="1" applyFill="1" applyBorder="1" applyAlignment="1" applyProtection="1">
      <alignment horizontal="center" vertical="center"/>
    </xf>
    <xf numFmtId="0" fontId="8" fillId="2" borderId="85" xfId="10" applyFont="1" applyFill="1" applyBorder="1" applyAlignment="1" applyProtection="1">
      <alignment horizontal="center" vertical="center"/>
    </xf>
    <xf numFmtId="0" fontId="118" fillId="6" borderId="5" xfId="165" applyFont="1" applyFill="1" applyBorder="1" applyAlignment="1" applyProtection="1">
      <alignment horizontal="left" vertical="center"/>
    </xf>
    <xf numFmtId="0" fontId="118" fillId="6" borderId="102" xfId="165" applyFont="1" applyFill="1" applyBorder="1" applyAlignment="1" applyProtection="1">
      <alignment horizontal="left" vertical="center"/>
    </xf>
    <xf numFmtId="164" fontId="115" fillId="3" borderId="101" xfId="165" applyNumberFormat="1" applyFont="1" applyFill="1" applyBorder="1" applyAlignment="1" applyProtection="1">
      <alignment vertical="center"/>
      <protection locked="0"/>
    </xf>
    <xf numFmtId="199" fontId="112" fillId="6" borderId="16" xfId="165" applyNumberFormat="1" applyFont="1" applyFill="1" applyBorder="1" applyAlignment="1" applyProtection="1">
      <alignment horizontal="left" vertical="center" indent="1"/>
    </xf>
    <xf numFmtId="199" fontId="112" fillId="6" borderId="59" xfId="165" applyNumberFormat="1" applyFont="1" applyFill="1" applyBorder="1" applyAlignment="1" applyProtection="1">
      <alignment horizontal="left" vertical="center" indent="1"/>
    </xf>
    <xf numFmtId="199" fontId="112" fillId="6" borderId="8" xfId="165" applyNumberFormat="1" applyFont="1" applyFill="1" applyBorder="1" applyAlignment="1" applyProtection="1">
      <alignment horizontal="left" vertical="center" indent="1"/>
    </xf>
    <xf numFmtId="0" fontId="118" fillId="6" borderId="101" xfId="165" applyFont="1" applyFill="1" applyBorder="1" applyAlignment="1" applyProtection="1">
      <alignment horizontal="center" vertical="center"/>
    </xf>
    <xf numFmtId="0" fontId="112" fillId="6" borderId="30" xfId="165" applyFont="1" applyFill="1" applyBorder="1" applyAlignment="1" applyProtection="1">
      <alignment horizontal="left" vertical="center" indent="2"/>
    </xf>
    <xf numFmtId="0" fontId="112" fillId="6" borderId="109" xfId="165" applyFont="1" applyFill="1" applyBorder="1" applyAlignment="1" applyProtection="1">
      <alignment horizontal="left" vertical="center" indent="2"/>
    </xf>
    <xf numFmtId="0" fontId="112" fillId="6" borderId="31" xfId="165" applyFont="1" applyFill="1" applyBorder="1" applyAlignment="1" applyProtection="1">
      <alignment horizontal="left" vertical="center" indent="2"/>
    </xf>
    <xf numFmtId="2" fontId="115" fillId="3" borderId="122" xfId="165" applyNumberFormat="1" applyFont="1" applyFill="1" applyBorder="1" applyAlignment="1" applyProtection="1">
      <alignment horizontal="right" vertical="center"/>
      <protection locked="0"/>
    </xf>
    <xf numFmtId="0" fontId="50" fillId="7" borderId="0" xfId="0" applyFont="1" applyFill="1" applyBorder="1" applyAlignment="1" applyProtection="1">
      <alignment horizontal="center" vertical="center"/>
    </xf>
    <xf numFmtId="0" fontId="50" fillId="7" borderId="7" xfId="0" applyFont="1" applyFill="1" applyBorder="1" applyAlignment="1" applyProtection="1">
      <alignment horizontal="center" vertical="center"/>
    </xf>
    <xf numFmtId="0" fontId="2" fillId="7" borderId="16" xfId="0" applyFont="1" applyFill="1" applyBorder="1" applyAlignment="1" applyProtection="1">
      <alignment horizontal="center" wrapText="1"/>
    </xf>
    <xf numFmtId="0" fontId="2" fillId="7" borderId="8" xfId="0" applyFont="1" applyFill="1" applyBorder="1" applyAlignment="1" applyProtection="1">
      <alignment horizontal="center" wrapText="1"/>
    </xf>
    <xf numFmtId="0" fontId="2" fillId="7" borderId="18" xfId="0" applyFont="1" applyFill="1" applyBorder="1" applyAlignment="1" applyProtection="1">
      <alignment horizontal="center" wrapText="1"/>
    </xf>
    <xf numFmtId="0" fontId="2" fillId="7" borderId="9" xfId="0" applyFont="1" applyFill="1" applyBorder="1" applyAlignment="1" applyProtection="1">
      <alignment horizontal="center" wrapText="1"/>
    </xf>
    <xf numFmtId="0" fontId="14" fillId="7" borderId="2" xfId="0" applyFont="1" applyFill="1" applyBorder="1" applyAlignment="1" applyProtection="1">
      <alignment horizontal="center"/>
    </xf>
    <xf numFmtId="0" fontId="14" fillId="7" borderId="4" xfId="0" applyFont="1" applyFill="1" applyBorder="1" applyAlignment="1" applyProtection="1">
      <alignment horizontal="center"/>
    </xf>
    <xf numFmtId="0" fontId="14" fillId="7" borderId="87" xfId="0" applyFont="1" applyFill="1" applyBorder="1" applyAlignment="1" applyProtection="1">
      <alignment horizontal="center"/>
    </xf>
    <xf numFmtId="0" fontId="14" fillId="7" borderId="88" xfId="0" applyFont="1" applyFill="1" applyBorder="1" applyAlignment="1" applyProtection="1">
      <alignment horizontal="center"/>
    </xf>
    <xf numFmtId="0" fontId="51" fillId="7" borderId="16" xfId="0" applyFont="1" applyFill="1" applyBorder="1" applyAlignment="1" applyProtection="1">
      <alignment horizontal="center" vertical="center"/>
    </xf>
    <xf numFmtId="0" fontId="51" fillId="7" borderId="59" xfId="0" applyFont="1" applyFill="1" applyBorder="1" applyAlignment="1" applyProtection="1">
      <alignment horizontal="center" vertical="center"/>
    </xf>
    <xf numFmtId="0" fontId="51" fillId="7" borderId="8" xfId="0" applyFont="1" applyFill="1" applyBorder="1" applyAlignment="1" applyProtection="1">
      <alignment horizontal="center" vertical="center"/>
    </xf>
    <xf numFmtId="0" fontId="51" fillId="7" borderId="18" xfId="0" applyFont="1" applyFill="1" applyBorder="1" applyAlignment="1" applyProtection="1">
      <alignment horizontal="center" vertical="center"/>
    </xf>
    <xf numFmtId="0" fontId="51" fillId="7" borderId="15" xfId="0" applyFont="1" applyFill="1" applyBorder="1" applyAlignment="1" applyProtection="1">
      <alignment horizontal="center" vertical="center"/>
    </xf>
    <xf numFmtId="0" fontId="51" fillId="7" borderId="9" xfId="0" applyFont="1" applyFill="1" applyBorder="1" applyAlignment="1" applyProtection="1">
      <alignment horizontal="center" vertical="center"/>
    </xf>
    <xf numFmtId="0" fontId="50" fillId="7" borderId="0" xfId="0" applyFont="1" applyFill="1" applyBorder="1" applyAlignment="1" applyProtection="1">
      <alignment horizontal="left" vertical="center"/>
    </xf>
    <xf numFmtId="0" fontId="50" fillId="7" borderId="70" xfId="0" applyFont="1" applyFill="1" applyBorder="1" applyAlignment="1" applyProtection="1">
      <alignment horizontal="left" vertical="center"/>
    </xf>
    <xf numFmtId="0" fontId="50" fillId="7" borderId="0" xfId="0" applyFont="1" applyFill="1" applyBorder="1" applyAlignment="1" applyProtection="1">
      <alignment horizontal="left" vertical="center" wrapText="1"/>
    </xf>
    <xf numFmtId="0" fontId="50" fillId="7" borderId="70" xfId="0" applyFont="1" applyFill="1" applyBorder="1" applyAlignment="1" applyProtection="1">
      <alignment horizontal="left" vertical="center" wrapText="1"/>
    </xf>
    <xf numFmtId="0" fontId="14" fillId="7" borderId="0" xfId="0" applyFont="1" applyFill="1" applyBorder="1" applyAlignment="1" applyProtection="1">
      <alignment horizontal="left" indent="2"/>
    </xf>
    <xf numFmtId="0" fontId="3" fillId="7" borderId="5" xfId="0" applyFont="1" applyFill="1" applyBorder="1" applyAlignment="1" applyProtection="1">
      <alignment horizontal="center"/>
    </xf>
    <xf numFmtId="0" fontId="3" fillId="7" borderId="52" xfId="0" applyFont="1" applyFill="1" applyBorder="1" applyAlignment="1" applyProtection="1">
      <alignment horizontal="center"/>
    </xf>
    <xf numFmtId="0" fontId="3" fillId="7" borderId="85" xfId="0" applyFont="1" applyFill="1" applyBorder="1" applyAlignment="1" applyProtection="1">
      <alignment horizontal="center"/>
    </xf>
    <xf numFmtId="0" fontId="0" fillId="2" borderId="2" xfId="0" applyFill="1" applyBorder="1" applyAlignment="1" applyProtection="1">
      <alignment horizontal="center" vertical="center"/>
    </xf>
    <xf numFmtId="0" fontId="0" fillId="2" borderId="3" xfId="0" applyFill="1" applyBorder="1" applyAlignment="1" applyProtection="1">
      <alignment horizontal="center" vertical="center"/>
    </xf>
    <xf numFmtId="0" fontId="0" fillId="2" borderId="4" xfId="0" applyFill="1" applyBorder="1" applyAlignment="1" applyProtection="1">
      <alignment horizontal="center" vertical="center"/>
    </xf>
    <xf numFmtId="0" fontId="50" fillId="7" borderId="72" xfId="0" applyFont="1" applyFill="1" applyBorder="1" applyAlignment="1" applyProtection="1">
      <alignment horizontal="left" vertical="center"/>
    </xf>
    <xf numFmtId="0" fontId="50" fillId="7" borderId="73" xfId="0" applyFont="1" applyFill="1" applyBorder="1" applyAlignment="1" applyProtection="1">
      <alignment horizontal="left" vertical="center"/>
    </xf>
    <xf numFmtId="166" fontId="37" fillId="9" borderId="59" xfId="7" applyFont="1" applyFill="1" applyBorder="1" applyAlignment="1" applyProtection="1">
      <alignment horizontal="center" vertical="center"/>
    </xf>
    <xf numFmtId="0" fontId="14" fillId="7" borderId="70" xfId="0" applyFont="1" applyFill="1" applyBorder="1" applyAlignment="1" applyProtection="1">
      <alignment horizontal="left" indent="2"/>
    </xf>
    <xf numFmtId="166" fontId="23" fillId="9" borderId="0" xfId="7" applyFont="1" applyFill="1" applyBorder="1" applyAlignment="1" applyProtection="1">
      <alignment horizontal="center" vertical="center"/>
    </xf>
    <xf numFmtId="0" fontId="64" fillId="7" borderId="0" xfId="0" applyFont="1" applyFill="1" applyBorder="1" applyAlignment="1" applyProtection="1">
      <alignment horizontal="left" wrapText="1"/>
    </xf>
    <xf numFmtId="0" fontId="64" fillId="7" borderId="70" xfId="0" applyFont="1" applyFill="1" applyBorder="1" applyAlignment="1" applyProtection="1">
      <alignment horizontal="left" wrapText="1"/>
    </xf>
    <xf numFmtId="0" fontId="2" fillId="7" borderId="5" xfId="0" applyFont="1" applyFill="1" applyBorder="1" applyAlignment="1" applyProtection="1">
      <alignment horizontal="left"/>
    </xf>
    <xf numFmtId="0" fontId="2" fillId="7" borderId="6" xfId="0" applyFont="1" applyFill="1" applyBorder="1" applyAlignment="1" applyProtection="1">
      <alignment horizontal="left"/>
    </xf>
    <xf numFmtId="0" fontId="63" fillId="0" borderId="0" xfId="0" applyFont="1" applyBorder="1" applyAlignment="1" applyProtection="1">
      <alignment horizontal="left" indent="3"/>
    </xf>
    <xf numFmtId="0" fontId="63" fillId="0" borderId="70" xfId="0" applyFont="1" applyBorder="1" applyAlignment="1" applyProtection="1">
      <alignment horizontal="left" indent="3"/>
    </xf>
    <xf numFmtId="0" fontId="2" fillId="7" borderId="0" xfId="0" applyFont="1" applyFill="1" applyBorder="1" applyAlignment="1" applyProtection="1">
      <alignment horizontal="left" vertical="center"/>
    </xf>
    <xf numFmtId="0" fontId="2" fillId="7" borderId="70" xfId="0" applyFont="1" applyFill="1" applyBorder="1" applyAlignment="1" applyProtection="1">
      <alignment horizontal="left" vertical="center"/>
    </xf>
    <xf numFmtId="0" fontId="2" fillId="7" borderId="1" xfId="0" applyFont="1" applyFill="1" applyBorder="1" applyAlignment="1" applyProtection="1">
      <alignment horizontal="left"/>
    </xf>
    <xf numFmtId="0" fontId="0" fillId="7" borderId="1" xfId="0" applyFill="1" applyBorder="1" applyAlignment="1" applyProtection="1">
      <alignment horizontal="left"/>
    </xf>
    <xf numFmtId="0" fontId="62" fillId="7" borderId="0" xfId="0" applyFont="1" applyFill="1" applyBorder="1" applyAlignment="1" applyProtection="1">
      <alignment horizontal="left" vertical="center"/>
    </xf>
    <xf numFmtId="0" fontId="62" fillId="7" borderId="70" xfId="0" applyFont="1" applyFill="1" applyBorder="1" applyAlignment="1" applyProtection="1">
      <alignment horizontal="left" vertical="center"/>
    </xf>
    <xf numFmtId="166" fontId="23" fillId="9" borderId="17" xfId="7" applyFont="1" applyFill="1" applyBorder="1" applyAlignment="1" applyProtection="1">
      <alignment horizontal="center" vertical="center"/>
    </xf>
    <xf numFmtId="0" fontId="14" fillId="7" borderId="66" xfId="0" applyFont="1" applyFill="1" applyBorder="1" applyAlignment="1" applyProtection="1">
      <alignment horizontal="left" indent="2"/>
    </xf>
    <xf numFmtId="0" fontId="50" fillId="7" borderId="66" xfId="0" applyFont="1" applyFill="1" applyBorder="1" applyAlignment="1" applyProtection="1">
      <alignment horizontal="center" vertical="center"/>
    </xf>
    <xf numFmtId="0" fontId="3" fillId="7" borderId="6" xfId="0" applyFont="1" applyFill="1" applyBorder="1" applyAlignment="1" applyProtection="1">
      <alignment horizontal="center"/>
    </xf>
    <xf numFmtId="166" fontId="2" fillId="2" borderId="63" xfId="9" applyFont="1" applyFill="1" applyBorder="1" applyAlignment="1" applyProtection="1">
      <alignment horizontal="right"/>
      <protection hidden="1"/>
    </xf>
    <xf numFmtId="166" fontId="2" fillId="2" borderId="64" xfId="9" applyFont="1" applyFill="1" applyBorder="1" applyAlignment="1" applyProtection="1">
      <alignment horizontal="right"/>
      <protection hidden="1"/>
    </xf>
    <xf numFmtId="166" fontId="2" fillId="2" borderId="0" xfId="9" applyFont="1" applyFill="1" applyBorder="1" applyAlignment="1" applyProtection="1">
      <alignment horizontal="right"/>
      <protection hidden="1"/>
    </xf>
    <xf numFmtId="166" fontId="2" fillId="2" borderId="7" xfId="9" applyFont="1" applyFill="1" applyBorder="1" applyAlignment="1" applyProtection="1">
      <alignment horizontal="right"/>
      <protection hidden="1"/>
    </xf>
    <xf numFmtId="166" fontId="2" fillId="2" borderId="15" xfId="9" applyFont="1" applyFill="1" applyBorder="1" applyAlignment="1" applyProtection="1">
      <alignment horizontal="right"/>
      <protection hidden="1"/>
    </xf>
    <xf numFmtId="166" fontId="2" fillId="2" borderId="9" xfId="9" applyFont="1" applyFill="1" applyBorder="1" applyAlignment="1" applyProtection="1">
      <alignment horizontal="right"/>
      <protection hidden="1"/>
    </xf>
    <xf numFmtId="0" fontId="14" fillId="2" borderId="59" xfId="10" applyFont="1" applyFill="1" applyBorder="1" applyAlignment="1" applyProtection="1">
      <alignment horizontal="left"/>
      <protection hidden="1"/>
    </xf>
    <xf numFmtId="0" fontId="8" fillId="2" borderId="92" xfId="10" applyFont="1" applyFill="1" applyBorder="1" applyAlignment="1" applyProtection="1">
      <alignment horizontal="center"/>
      <protection hidden="1"/>
    </xf>
    <xf numFmtId="0" fontId="8" fillId="2" borderId="52" xfId="10" applyFont="1" applyFill="1" applyBorder="1" applyAlignment="1" applyProtection="1">
      <alignment horizontal="center"/>
      <protection hidden="1"/>
    </xf>
    <xf numFmtId="0" fontId="8" fillId="2" borderId="85" xfId="10" applyFont="1" applyFill="1" applyBorder="1" applyAlignment="1" applyProtection="1">
      <alignment horizontal="center"/>
      <protection hidden="1"/>
    </xf>
    <xf numFmtId="0" fontId="14" fillId="2" borderId="16" xfId="10" applyFont="1" applyFill="1" applyBorder="1" applyAlignment="1" applyProtection="1">
      <alignment horizontal="right"/>
      <protection hidden="1"/>
    </xf>
    <xf numFmtId="0" fontId="14" fillId="2" borderId="59" xfId="10" applyFont="1" applyFill="1" applyBorder="1" applyAlignment="1" applyProtection="1">
      <alignment horizontal="right"/>
      <protection hidden="1"/>
    </xf>
    <xf numFmtId="0" fontId="14" fillId="2" borderId="8" xfId="10" applyFont="1" applyFill="1" applyBorder="1" applyAlignment="1" applyProtection="1">
      <alignment horizontal="right"/>
      <protection hidden="1"/>
    </xf>
    <xf numFmtId="0" fontId="14" fillId="2" borderId="17" xfId="10" applyFont="1" applyFill="1" applyBorder="1" applyAlignment="1" applyProtection="1">
      <alignment horizontal="right"/>
      <protection hidden="1"/>
    </xf>
    <xf numFmtId="0" fontId="14" fillId="2" borderId="0" xfId="10" applyFont="1" applyFill="1" applyBorder="1" applyAlignment="1" applyProtection="1">
      <alignment horizontal="right"/>
      <protection hidden="1"/>
    </xf>
    <xf numFmtId="0" fontId="14" fillId="2" borderId="7" xfId="10" applyFont="1" applyFill="1" applyBorder="1" applyAlignment="1" applyProtection="1">
      <alignment horizontal="right"/>
      <protection hidden="1"/>
    </xf>
    <xf numFmtId="0" fontId="14" fillId="2" borderId="18" xfId="10" applyFont="1" applyFill="1" applyBorder="1" applyAlignment="1" applyProtection="1">
      <alignment horizontal="right"/>
      <protection hidden="1"/>
    </xf>
    <xf numFmtId="0" fontId="14" fillId="2" borderId="15" xfId="10" applyFont="1" applyFill="1" applyBorder="1" applyAlignment="1" applyProtection="1">
      <alignment horizontal="right"/>
      <protection hidden="1"/>
    </xf>
    <xf numFmtId="0" fontId="14" fillId="2" borderId="9" xfId="10" applyFont="1" applyFill="1" applyBorder="1" applyAlignment="1" applyProtection="1">
      <alignment horizontal="right"/>
      <protection hidden="1"/>
    </xf>
    <xf numFmtId="0" fontId="63" fillId="0" borderId="0" xfId="0" applyFont="1" applyAlignment="1" applyProtection="1">
      <alignment horizontal="left" indent="3"/>
    </xf>
    <xf numFmtId="0" fontId="2" fillId="7" borderId="72" xfId="0" applyFont="1" applyFill="1" applyBorder="1" applyAlignment="1">
      <alignment horizontal="left" vertical="center"/>
    </xf>
    <xf numFmtId="0" fontId="2" fillId="7" borderId="73" xfId="0" applyFont="1" applyFill="1" applyBorder="1" applyAlignment="1">
      <alignment horizontal="left" vertical="center"/>
    </xf>
    <xf numFmtId="0" fontId="0" fillId="7" borderId="71" xfId="0" applyFill="1" applyBorder="1" applyAlignment="1">
      <alignment horizontal="right"/>
    </xf>
    <xf numFmtId="0" fontId="0" fillId="7" borderId="72" xfId="0" applyFill="1" applyBorder="1" applyAlignment="1">
      <alignment horizontal="right"/>
    </xf>
    <xf numFmtId="0" fontId="0" fillId="7" borderId="66" xfId="0" applyFill="1" applyBorder="1" applyAlignment="1">
      <alignment horizontal="right"/>
    </xf>
    <xf numFmtId="0" fontId="0" fillId="7" borderId="0" xfId="0" applyFill="1" applyBorder="1" applyAlignment="1">
      <alignment horizontal="right"/>
    </xf>
    <xf numFmtId="0" fontId="2" fillId="7" borderId="0" xfId="0" applyFont="1" applyFill="1" applyBorder="1" applyAlignment="1">
      <alignment horizontal="left" vertical="center"/>
    </xf>
    <xf numFmtId="0" fontId="2" fillId="7" borderId="70" xfId="0" applyFont="1" applyFill="1" applyBorder="1" applyAlignment="1">
      <alignment horizontal="left" vertical="center"/>
    </xf>
    <xf numFmtId="0" fontId="2" fillId="7" borderId="0" xfId="0" applyFont="1" applyFill="1" applyBorder="1" applyAlignment="1">
      <alignment horizontal="left"/>
    </xf>
    <xf numFmtId="0" fontId="2" fillId="7" borderId="70" xfId="0" applyFont="1" applyFill="1" applyBorder="1" applyAlignment="1">
      <alignment horizontal="left"/>
    </xf>
    <xf numFmtId="0" fontId="14" fillId="7" borderId="66" xfId="0" applyFont="1" applyFill="1" applyBorder="1" applyAlignment="1">
      <alignment horizontal="right"/>
    </xf>
    <xf numFmtId="0" fontId="14" fillId="7" borderId="0" xfId="0" applyFont="1" applyFill="1" applyBorder="1" applyAlignment="1">
      <alignment horizontal="right"/>
    </xf>
    <xf numFmtId="166" fontId="6" fillId="8" borderId="2" xfId="7" applyFont="1" applyFill="1" applyBorder="1" applyAlignment="1">
      <alignment horizontal="center" vertical="center" wrapText="1"/>
    </xf>
    <xf numFmtId="166" fontId="6" fillId="8" borderId="3" xfId="7" applyFont="1" applyFill="1" applyBorder="1" applyAlignment="1">
      <alignment horizontal="center" vertical="center" wrapText="1"/>
    </xf>
    <xf numFmtId="166" fontId="6" fillId="8" borderId="2" xfId="7" applyFont="1" applyFill="1" applyBorder="1" applyAlignment="1">
      <alignment horizontal="left" vertical="center" wrapText="1"/>
    </xf>
    <xf numFmtId="166" fontId="6" fillId="8" borderId="3" xfId="7" applyFont="1" applyFill="1" applyBorder="1" applyAlignment="1">
      <alignment horizontal="left" vertical="center" wrapText="1"/>
    </xf>
    <xf numFmtId="166" fontId="6" fillId="8" borderId="2" xfId="7" applyFont="1" applyFill="1" applyBorder="1" applyAlignment="1">
      <alignment horizontal="center" vertical="center"/>
    </xf>
    <xf numFmtId="166" fontId="6" fillId="8" borderId="3" xfId="7" applyFont="1" applyFill="1" applyBorder="1" applyAlignment="1">
      <alignment horizontal="center" vertical="center"/>
    </xf>
    <xf numFmtId="166" fontId="6" fillId="8" borderId="87" xfId="7" applyFont="1" applyFill="1" applyBorder="1" applyAlignment="1">
      <alignment horizontal="center" vertical="center"/>
    </xf>
    <xf numFmtId="166" fontId="6" fillId="8" borderId="90" xfId="7" applyFont="1" applyFill="1" applyBorder="1" applyAlignment="1">
      <alignment horizontal="center" vertical="center"/>
    </xf>
    <xf numFmtId="166" fontId="6" fillId="8" borderId="3" xfId="7" applyFont="1" applyFill="1" applyBorder="1" applyAlignment="1">
      <alignment horizontal="left" wrapText="1"/>
    </xf>
    <xf numFmtId="166" fontId="6" fillId="8" borderId="2" xfId="7" applyFont="1" applyFill="1" applyBorder="1" applyAlignment="1">
      <alignment horizontal="center"/>
    </xf>
    <xf numFmtId="166" fontId="6" fillId="8" borderId="3" xfId="7" applyFont="1" applyFill="1" applyBorder="1" applyAlignment="1">
      <alignment horizontal="center"/>
    </xf>
    <xf numFmtId="166" fontId="6" fillId="8" borderId="4" xfId="7" applyFont="1" applyFill="1" applyBorder="1" applyAlignment="1">
      <alignment horizontal="center"/>
    </xf>
    <xf numFmtId="166" fontId="6" fillId="8" borderId="87" xfId="7" applyFont="1" applyFill="1" applyBorder="1" applyAlignment="1">
      <alignment horizontal="center"/>
    </xf>
    <xf numFmtId="166" fontId="6" fillId="8" borderId="90" xfId="7" applyFont="1" applyFill="1" applyBorder="1" applyAlignment="1">
      <alignment horizontal="center"/>
    </xf>
    <xf numFmtId="166" fontId="6" fillId="8" borderId="88" xfId="7" applyFont="1" applyFill="1" applyBorder="1" applyAlignment="1">
      <alignment horizontal="center"/>
    </xf>
    <xf numFmtId="166" fontId="6" fillId="8" borderId="86" xfId="7" applyFont="1" applyFill="1" applyBorder="1" applyAlignment="1">
      <alignment horizontal="center"/>
    </xf>
    <xf numFmtId="166" fontId="6" fillId="8" borderId="70" xfId="7" applyFont="1" applyFill="1" applyBorder="1" applyAlignment="1">
      <alignment horizontal="center"/>
    </xf>
    <xf numFmtId="166" fontId="6" fillId="8" borderId="91" xfId="7" applyFont="1" applyFill="1" applyBorder="1" applyAlignment="1">
      <alignment horizontal="center"/>
    </xf>
    <xf numFmtId="14" fontId="3" fillId="0" borderId="92" xfId="7" applyNumberFormat="1" applyFont="1" applyFill="1" applyBorder="1" applyAlignment="1">
      <alignment horizontal="center"/>
    </xf>
    <xf numFmtId="14" fontId="3" fillId="0" borderId="52" xfId="7" applyNumberFormat="1" applyFont="1" applyFill="1" applyBorder="1" applyAlignment="1">
      <alignment horizontal="center"/>
    </xf>
    <xf numFmtId="14" fontId="3" fillId="0" borderId="85" xfId="7" applyNumberFormat="1" applyFont="1" applyFill="1" applyBorder="1" applyAlignment="1">
      <alignment horizontal="center"/>
    </xf>
    <xf numFmtId="49" fontId="3" fillId="8" borderId="78" xfId="7" quotePrefix="1" applyNumberFormat="1" applyFont="1" applyFill="1" applyBorder="1" applyAlignment="1">
      <alignment horizontal="left"/>
    </xf>
    <xf numFmtId="49" fontId="3" fillId="8" borderId="59" xfId="7" quotePrefix="1" applyNumberFormat="1" applyFont="1" applyFill="1" applyBorder="1" applyAlignment="1">
      <alignment horizontal="left"/>
    </xf>
    <xf numFmtId="49" fontId="3" fillId="8" borderId="8" xfId="7" quotePrefix="1" applyNumberFormat="1" applyFont="1" applyFill="1" applyBorder="1" applyAlignment="1">
      <alignment horizontal="left"/>
    </xf>
    <xf numFmtId="166" fontId="8" fillId="7" borderId="63" xfId="7" applyFont="1" applyFill="1" applyBorder="1" applyAlignment="1">
      <alignment horizontal="center" vertical="center" wrapText="1"/>
    </xf>
    <xf numFmtId="166" fontId="8" fillId="7" borderId="93" xfId="7" applyFont="1" applyFill="1" applyBorder="1" applyAlignment="1">
      <alignment horizontal="center" vertical="center" wrapText="1"/>
    </xf>
    <xf numFmtId="166" fontId="8" fillId="7" borderId="0" xfId="7" applyFont="1" applyFill="1" applyBorder="1" applyAlignment="1">
      <alignment horizontal="center" vertical="center" wrapText="1"/>
    </xf>
    <xf numFmtId="166" fontId="8" fillId="7" borderId="70" xfId="7" applyFont="1" applyFill="1" applyBorder="1" applyAlignment="1">
      <alignment horizontal="center" vertical="center" wrapText="1"/>
    </xf>
    <xf numFmtId="166" fontId="8" fillId="7" borderId="15" xfId="7" applyFont="1" applyFill="1" applyBorder="1" applyAlignment="1">
      <alignment horizontal="center" vertical="center" wrapText="1"/>
    </xf>
    <xf numFmtId="166" fontId="8" fillId="7" borderId="91" xfId="7" applyFont="1" applyFill="1" applyBorder="1" applyAlignment="1">
      <alignment horizontal="center" vertical="center" wrapText="1"/>
    </xf>
  </cellXfs>
  <cellStyles count="218">
    <cellStyle name="??%U?&amp;H?_x0008_V_x0011_._x0012__x0007__x0001__x0001_" xfId="14"/>
    <cellStyle name="??%U?&amp;H?_x0008_V_x0011_._x0012__x0007__x0001__x0001_ 2" xfId="15"/>
    <cellStyle name="????[0]_NEGS" xfId="16"/>
    <cellStyle name="????_NEGS" xfId="17"/>
    <cellStyle name="???_NEGS" xfId="18"/>
    <cellStyle name="??[0]_NEGS" xfId="19"/>
    <cellStyle name="??_NEGS" xfId="20"/>
    <cellStyle name="_EPCM compare sheet for Almatis-E(June-12)" xfId="21"/>
    <cellStyle name="_Project Cost Forecast_VAM_200707" xfId="22"/>
    <cellStyle name="_Project Cost Forecast_VAM_200707 2" xfId="23"/>
    <cellStyle name="Blue" xfId="24"/>
    <cellStyle name="Blue 2" xfId="25"/>
    <cellStyle name="buffer" xfId="26"/>
    <cellStyle name="Category" xfId="27"/>
    <cellStyle name="Comma" xfId="6" builtinId="3"/>
    <cellStyle name="Comma 2" xfId="28"/>
    <cellStyle name="Comma 2 2" xfId="29"/>
    <cellStyle name="Comma 3" xfId="30"/>
    <cellStyle name="Currency 2" xfId="31"/>
    <cellStyle name="Dezimal [0]_T122.xls" xfId="32"/>
    <cellStyle name="Dezimal_T122.xls" xfId="33"/>
    <cellStyle name="Dollars" xfId="34"/>
    <cellStyle name="Dollars 2" xfId="35"/>
    <cellStyle name="Dollars(0)" xfId="36"/>
    <cellStyle name="Dollars(0) 2" xfId="37"/>
    <cellStyle name="Dollars_schoepentoeter" xfId="38"/>
    <cellStyle name="F2" xfId="39"/>
    <cellStyle name="F2 2" xfId="40"/>
    <cellStyle name="F3" xfId="41"/>
    <cellStyle name="F3 2" xfId="42"/>
    <cellStyle name="F4" xfId="43"/>
    <cellStyle name="F4 2" xfId="44"/>
    <cellStyle name="F5" xfId="45"/>
    <cellStyle name="F5 2" xfId="46"/>
    <cellStyle name="F6" xfId="47"/>
    <cellStyle name="F6 2" xfId="48"/>
    <cellStyle name="F7" xfId="49"/>
    <cellStyle name="F7 2" xfId="50"/>
    <cellStyle name="F8" xfId="51"/>
    <cellStyle name="F8 2" xfId="52"/>
    <cellStyle name="fs" xfId="53"/>
    <cellStyle name="Good 2" xfId="54"/>
    <cellStyle name="Grey" xfId="55"/>
    <cellStyle name="header1" xfId="56"/>
    <cellStyle name="header1 2" xfId="57"/>
    <cellStyle name="header2" xfId="58"/>
    <cellStyle name="header2 2" xfId="59"/>
    <cellStyle name="header3" xfId="60"/>
    <cellStyle name="heading" xfId="61"/>
    <cellStyle name="ht" xfId="62"/>
    <cellStyle name="ImputData" xfId="63"/>
    <cellStyle name="Input [yellow]" xfId="64"/>
    <cellStyle name="Input [yellow] 2" xfId="65"/>
    <cellStyle name="Input [yellow] 3" xfId="66"/>
    <cellStyle name="Input [yellow] 4" xfId="67"/>
    <cellStyle name="Input [yellow] 5" xfId="68"/>
    <cellStyle name="Input [yellow] 6" xfId="69"/>
    <cellStyle name="Komma [0]_COVER" xfId="70"/>
    <cellStyle name="Komma_COVER" xfId="71"/>
    <cellStyle name="Moneda_INDICE NAVE IV (NOG-1)" xfId="72"/>
    <cellStyle name="mystyle" xfId="73"/>
    <cellStyle name="Normal" xfId="0" builtinId="0"/>
    <cellStyle name="Normal - Style1" xfId="74"/>
    <cellStyle name="Normal 10" xfId="75"/>
    <cellStyle name="Normal 11" xfId="76"/>
    <cellStyle name="Normal 12" xfId="77"/>
    <cellStyle name="Normal 13" xfId="78"/>
    <cellStyle name="Normal 14" xfId="79"/>
    <cellStyle name="Normal 15" xfId="80"/>
    <cellStyle name="Normal 16" xfId="81"/>
    <cellStyle name="Normal 17" xfId="82"/>
    <cellStyle name="Normal 18" xfId="83"/>
    <cellStyle name="Normal 19" xfId="84"/>
    <cellStyle name="Normal 2" xfId="1"/>
    <cellStyle name="Normal 2 2" xfId="85"/>
    <cellStyle name="Normal 2 2 2" xfId="86"/>
    <cellStyle name="Normal 2 2 3" xfId="87"/>
    <cellStyle name="Normal 2 3" xfId="88"/>
    <cellStyle name="Normal 20" xfId="89"/>
    <cellStyle name="Normal 21" xfId="90"/>
    <cellStyle name="Normal 22" xfId="91"/>
    <cellStyle name="Normal 23" xfId="92"/>
    <cellStyle name="Normal 24" xfId="93"/>
    <cellStyle name="Normal 25" xfId="94"/>
    <cellStyle name="Normal 26" xfId="95"/>
    <cellStyle name="Normal 27" xfId="96"/>
    <cellStyle name="Normal 28" xfId="97"/>
    <cellStyle name="Normal 29" xfId="98"/>
    <cellStyle name="Normal 3" xfId="7"/>
    <cellStyle name="Normal 30" xfId="99"/>
    <cellStyle name="Normal 31" xfId="100"/>
    <cellStyle name="Normal 32" xfId="101"/>
    <cellStyle name="Normal 33" xfId="102"/>
    <cellStyle name="Normal 34" xfId="103"/>
    <cellStyle name="Normal 35" xfId="104"/>
    <cellStyle name="Normal 36" xfId="105"/>
    <cellStyle name="Normal 37" xfId="106"/>
    <cellStyle name="Normal 38" xfId="107"/>
    <cellStyle name="Normal 39" xfId="108"/>
    <cellStyle name="Normal 4" xfId="11"/>
    <cellStyle name="Normal 4 2" xfId="109"/>
    <cellStyle name="Normal 40" xfId="110"/>
    <cellStyle name="Normal 41" xfId="111"/>
    <cellStyle name="Normal 42" xfId="112"/>
    <cellStyle name="Normal 43" xfId="113"/>
    <cellStyle name="Normal 44" xfId="114"/>
    <cellStyle name="Normal 45" xfId="115"/>
    <cellStyle name="Normal 46" xfId="116"/>
    <cellStyle name="Normal 47" xfId="117"/>
    <cellStyle name="Normal 48" xfId="118"/>
    <cellStyle name="Normal 49" xfId="119"/>
    <cellStyle name="Normal 5" xfId="4"/>
    <cellStyle name="Normal 50" xfId="120"/>
    <cellStyle name="Normal 51" xfId="121"/>
    <cellStyle name="Normal 52" xfId="122"/>
    <cellStyle name="Normal 53" xfId="123"/>
    <cellStyle name="Normal 54" xfId="124"/>
    <cellStyle name="Normal 55" xfId="125"/>
    <cellStyle name="Normal 56" xfId="126"/>
    <cellStyle name="Normal 57" xfId="127"/>
    <cellStyle name="Normal 58" xfId="128"/>
    <cellStyle name="Normal 59" xfId="129"/>
    <cellStyle name="Normal 6" xfId="130"/>
    <cellStyle name="Normal 6 2" xfId="131"/>
    <cellStyle name="Normal 6 3" xfId="132"/>
    <cellStyle name="Normal 60" xfId="133"/>
    <cellStyle name="Normal 61" xfId="134"/>
    <cellStyle name="Normal 62" xfId="135"/>
    <cellStyle name="Normal 63" xfId="136"/>
    <cellStyle name="Normal 64" xfId="137"/>
    <cellStyle name="Normal 65" xfId="138"/>
    <cellStyle name="Normal 66" xfId="139"/>
    <cellStyle name="Normal 66 2" xfId="140"/>
    <cellStyle name="Normal 66 2 2" xfId="141"/>
    <cellStyle name="Normal 67" xfId="142"/>
    <cellStyle name="Normal 68" xfId="143"/>
    <cellStyle name="Normal 69" xfId="144"/>
    <cellStyle name="Normal 7" xfId="145"/>
    <cellStyle name="Normal 7 2" xfId="146"/>
    <cellStyle name="Normal 70" xfId="147"/>
    <cellStyle name="Normal 70 2" xfId="148"/>
    <cellStyle name="Normal 71" xfId="149"/>
    <cellStyle name="Normal 71 2" xfId="150"/>
    <cellStyle name="Normal 72" xfId="151"/>
    <cellStyle name="Normal 72 2" xfId="152"/>
    <cellStyle name="Normal 73" xfId="153"/>
    <cellStyle name="Normal 73 2" xfId="154"/>
    <cellStyle name="Normal 74" xfId="155"/>
    <cellStyle name="Normal 8" xfId="156"/>
    <cellStyle name="Normal 9" xfId="157"/>
    <cellStyle name="Normal_API 660-S&amp;T Heat Exchanger - Unprotected" xfId="158"/>
    <cellStyle name="Normal_C-1805 Design Basis" xfId="159"/>
    <cellStyle name="Normal_C-1805 Design Basis 2" xfId="160"/>
    <cellStyle name="Normal_C-1805 Design Basis 3" xfId="161"/>
    <cellStyle name="Normal_Hydraulics" xfId="10"/>
    <cellStyle name="Normal_Nozzle Sizing" xfId="2"/>
    <cellStyle name="Normal_PSV-STD-BLANK" xfId="5"/>
    <cellStyle name="Normal_PSV-STD-BLANK 2" xfId="162"/>
    <cellStyle name="Normal_PZ4734" xfId="3"/>
    <cellStyle name="Normal_Sheet1_1" xfId="13"/>
    <cellStyle name="Normal_Suction Hydraulics" xfId="9"/>
    <cellStyle name="Normal_TANKDR" xfId="12"/>
    <cellStyle name="Normal_Vapor Control Valve-5" xfId="163"/>
    <cellStyle name="Normal_Vapor Control Valve-5 2" xfId="164"/>
    <cellStyle name="Normal_Vapor Control Valve-5 3" xfId="165"/>
    <cellStyle name="Percent [2]" xfId="166"/>
    <cellStyle name="Percent [2] 2" xfId="167"/>
    <cellStyle name="Percent 2" xfId="8"/>
    <cellStyle name="Percent 2 2" xfId="168"/>
    <cellStyle name="pmxBorderCellsS" xfId="169"/>
    <cellStyle name="pmxBorderCellsS 2" xfId="170"/>
    <cellStyle name="pmxCategoryHeadingB" xfId="171"/>
    <cellStyle name="pmxCategoryHeadingB 2" xfId="172"/>
    <cellStyle name="pmxCategoryHeadingM" xfId="173"/>
    <cellStyle name="pmxCategoryHeadingM 2" xfId="174"/>
    <cellStyle name="pmxHeadingB" xfId="175"/>
    <cellStyle name="pmxHeadingB 2" xfId="176"/>
    <cellStyle name="pmxHeadingL" xfId="177"/>
    <cellStyle name="pmxHeadingL 2" xfId="178"/>
    <cellStyle name="pmxHeadingM" xfId="179"/>
    <cellStyle name="pmxHeadingM 2" xfId="180"/>
    <cellStyle name="pmxHeadingS" xfId="181"/>
    <cellStyle name="pmxHeadingS 2" xfId="182"/>
    <cellStyle name="pmxMinorHeadingB" xfId="183"/>
    <cellStyle name="pmxMinorHeadingB 2" xfId="184"/>
    <cellStyle name="pmxMinorHeadingS" xfId="185"/>
    <cellStyle name="pmxMinorHeadingS 2" xfId="186"/>
    <cellStyle name="pmxSubHeadingB" xfId="187"/>
    <cellStyle name="pmxSubHeadingB 2" xfId="188"/>
    <cellStyle name="pmxSubHeadingM" xfId="189"/>
    <cellStyle name="pmxSubHeadingM 2" xfId="190"/>
    <cellStyle name="pmxSubSubHeadingB" xfId="191"/>
    <cellStyle name="pmxSubSubHeadingB 2" xfId="192"/>
    <cellStyle name="pmxSubSubHeadingM" xfId="193"/>
    <cellStyle name="pmxSubSubHeadingM 2" xfId="194"/>
    <cellStyle name="pmxSubSubHeadingS" xfId="195"/>
    <cellStyle name="pmxSubSubHeadingS 2" xfId="196"/>
    <cellStyle name="Procent_COVER" xfId="197"/>
    <cellStyle name="shade_1022_02.XLS" xfId="198"/>
    <cellStyle name="Standaard_COVER" xfId="199"/>
    <cellStyle name="Standard_KP_GLRD" xfId="200"/>
    <cellStyle name="Style 1" xfId="201"/>
    <cellStyle name="Style1" xfId="202"/>
    <cellStyle name="Style1 2" xfId="203"/>
    <cellStyle name="Style2" xfId="204"/>
    <cellStyle name="Style2 2" xfId="205"/>
    <cellStyle name="Style3" xfId="206"/>
    <cellStyle name="Style3 2" xfId="207"/>
    <cellStyle name="Style4" xfId="208"/>
    <cellStyle name="Style4 2" xfId="209"/>
    <cellStyle name="Valuta (0)_PERSONAL" xfId="210"/>
    <cellStyle name="Valuta [0]_COVER" xfId="211"/>
    <cellStyle name="Valuta_COVER" xfId="212"/>
    <cellStyle name="Währung [0]_T122.xls" xfId="213"/>
    <cellStyle name="Währung_T122.xls" xfId="214"/>
    <cellStyle name="常规_Datasheet column sample-CDB" xfId="215"/>
    <cellStyle name="昗弨_Cover (2)" xfId="216"/>
    <cellStyle name="货币_3.17 Process Equipment List m1" xfId="217"/>
  </cellStyles>
  <dxfs count="0"/>
  <tableStyles count="0" defaultTableStyle="TableStyleMedium9" defaultPivotStyle="PivotStyleLight16"/>
  <colors>
    <mruColors>
      <color rgb="FFCCFFFF"/>
      <color rgb="FF0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rendline>
            <c:trendlineType val="poly"/>
            <c:order val="4"/>
            <c:dispRSqr val="1"/>
            <c:dispEq val="1"/>
            <c:trendlineLbl>
              <c:layout>
                <c:manualLayout>
                  <c:x val="0.17745122484689413"/>
                  <c:y val="0.58285870516185478"/>
                </c:manualLayout>
              </c:layout>
              <c:numFmt formatCode="General" sourceLinked="0"/>
            </c:trendlineLbl>
          </c:trendline>
          <c:xVal>
            <c:numRef>
              <c:f>'API 2000 Calculation'!$T$22:$T$52</c:f>
            </c:numRef>
          </c:xVal>
          <c:yVal>
            <c:numRef>
              <c:f>'API 2000 Calculation'!$U$22:$U$52</c:f>
            </c:numRef>
          </c:yVal>
          <c:smooth val="1"/>
        </c:ser>
        <c:dLbls>
          <c:showLegendKey val="0"/>
          <c:showVal val="0"/>
          <c:showCatName val="0"/>
          <c:showSerName val="0"/>
          <c:showPercent val="0"/>
          <c:showBubbleSize val="0"/>
        </c:dLbls>
        <c:axId val="177009816"/>
        <c:axId val="177010992"/>
      </c:scatterChart>
      <c:valAx>
        <c:axId val="177009816"/>
        <c:scaling>
          <c:orientation val="minMax"/>
        </c:scaling>
        <c:delete val="0"/>
        <c:axPos val="b"/>
        <c:numFmt formatCode="General" sourceLinked="1"/>
        <c:majorTickMark val="out"/>
        <c:minorTickMark val="none"/>
        <c:tickLblPos val="nextTo"/>
        <c:crossAx val="177010992"/>
        <c:crosses val="autoZero"/>
        <c:crossBetween val="midCat"/>
      </c:valAx>
      <c:valAx>
        <c:axId val="177010992"/>
        <c:scaling>
          <c:orientation val="minMax"/>
        </c:scaling>
        <c:delete val="0"/>
        <c:axPos val="l"/>
        <c:majorGridlines/>
        <c:numFmt formatCode="General" sourceLinked="1"/>
        <c:majorTickMark val="out"/>
        <c:minorTickMark val="none"/>
        <c:tickLblPos val="nextTo"/>
        <c:crossAx val="17700981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78018372703412"/>
          <c:y val="7.4548702245552642E-2"/>
          <c:w val="0.58021872265966756"/>
          <c:h val="0.89719889180519097"/>
        </c:manualLayout>
      </c:layout>
      <c:scatterChart>
        <c:scatterStyle val="smoothMarker"/>
        <c:varyColors val="0"/>
        <c:ser>
          <c:idx val="0"/>
          <c:order val="0"/>
          <c:trendline>
            <c:trendlineType val="poly"/>
            <c:order val="6"/>
            <c:dispRSqr val="0"/>
            <c:dispEq val="1"/>
            <c:trendlineLbl>
              <c:layout>
                <c:manualLayout>
                  <c:x val="0.17166994750656167"/>
                  <c:y val="-0.56021361913094192"/>
                </c:manualLayout>
              </c:layout>
              <c:numFmt formatCode="General" sourceLinked="0"/>
            </c:trendlineLbl>
          </c:trendline>
          <c:xVal>
            <c:numRef>
              <c:f>'API 2000 Calculation'!$M$53:$M$60</c:f>
              <c:numCache>
                <c:formatCode>General</c:formatCode>
                <c:ptCount val="8"/>
                <c:pt idx="0">
                  <c:v>0</c:v>
                </c:pt>
                <c:pt idx="1">
                  <c:v>1</c:v>
                </c:pt>
                <c:pt idx="2">
                  <c:v>2</c:v>
                </c:pt>
                <c:pt idx="3">
                  <c:v>4</c:v>
                </c:pt>
                <c:pt idx="4">
                  <c:v>6</c:v>
                </c:pt>
                <c:pt idx="5">
                  <c:v>8</c:v>
                </c:pt>
                <c:pt idx="6">
                  <c:v>10</c:v>
                </c:pt>
                <c:pt idx="7">
                  <c:v>12</c:v>
                </c:pt>
              </c:numCache>
            </c:numRef>
          </c:xVal>
          <c:yVal>
            <c:numRef>
              <c:f>'API 2000 Calculation'!$N$53:$N$60</c:f>
              <c:numCache>
                <c:formatCode>0.000</c:formatCode>
                <c:ptCount val="8"/>
                <c:pt idx="0">
                  <c:v>1</c:v>
                </c:pt>
                <c:pt idx="1">
                  <c:v>0.3</c:v>
                </c:pt>
                <c:pt idx="2">
                  <c:v>0.15</c:v>
                </c:pt>
                <c:pt idx="3">
                  <c:v>7.4999999999999997E-2</c:v>
                </c:pt>
                <c:pt idx="4">
                  <c:v>0.05</c:v>
                </c:pt>
                <c:pt idx="5">
                  <c:v>3.7499999999999999E-2</c:v>
                </c:pt>
                <c:pt idx="6">
                  <c:v>0.03</c:v>
                </c:pt>
                <c:pt idx="7">
                  <c:v>2.5000000000000001E-2</c:v>
                </c:pt>
              </c:numCache>
            </c:numRef>
          </c:yVal>
          <c:smooth val="1"/>
        </c:ser>
        <c:dLbls>
          <c:showLegendKey val="0"/>
          <c:showVal val="0"/>
          <c:showCatName val="0"/>
          <c:showSerName val="0"/>
          <c:showPercent val="0"/>
          <c:showBubbleSize val="0"/>
        </c:dLbls>
        <c:axId val="177009424"/>
        <c:axId val="177010600"/>
      </c:scatterChart>
      <c:valAx>
        <c:axId val="177009424"/>
        <c:scaling>
          <c:orientation val="minMax"/>
        </c:scaling>
        <c:delete val="0"/>
        <c:axPos val="b"/>
        <c:numFmt formatCode="General" sourceLinked="1"/>
        <c:majorTickMark val="out"/>
        <c:minorTickMark val="none"/>
        <c:tickLblPos val="nextTo"/>
        <c:crossAx val="177010600"/>
        <c:crosses val="autoZero"/>
        <c:crossBetween val="midCat"/>
      </c:valAx>
      <c:valAx>
        <c:axId val="177010600"/>
        <c:scaling>
          <c:orientation val="minMax"/>
        </c:scaling>
        <c:delete val="0"/>
        <c:axPos val="l"/>
        <c:majorGridlines/>
        <c:numFmt formatCode="0.000" sourceLinked="1"/>
        <c:majorTickMark val="out"/>
        <c:minorTickMark val="none"/>
        <c:tickLblPos val="nextTo"/>
        <c:crossAx val="17700942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rendline>
            <c:trendlineType val="poly"/>
            <c:order val="4"/>
            <c:dispRSqr val="1"/>
            <c:dispEq val="1"/>
            <c:trendlineLbl>
              <c:layout>
                <c:manualLayout>
                  <c:x val="0.17745122484689413"/>
                  <c:y val="0.58285870516185478"/>
                </c:manualLayout>
              </c:layout>
              <c:numFmt formatCode="General" sourceLinked="0"/>
            </c:trendlineLbl>
          </c:trendline>
          <c:xVal>
            <c:numRef>
              <c:f>'API 2000 Calculation'!$T$22:$T$52</c:f>
            </c:numRef>
          </c:xVal>
          <c:yVal>
            <c:numRef>
              <c:f>'API 2000 Calculation'!$U$22:$U$52</c:f>
            </c:numRef>
          </c:yVal>
          <c:smooth val="1"/>
        </c:ser>
        <c:dLbls>
          <c:showLegendKey val="0"/>
          <c:showVal val="0"/>
          <c:showCatName val="0"/>
          <c:showSerName val="0"/>
          <c:showPercent val="0"/>
          <c:showBubbleSize val="0"/>
        </c:dLbls>
        <c:axId val="180322184"/>
        <c:axId val="180323752"/>
      </c:scatterChart>
      <c:valAx>
        <c:axId val="180322184"/>
        <c:scaling>
          <c:orientation val="minMax"/>
        </c:scaling>
        <c:delete val="0"/>
        <c:axPos val="b"/>
        <c:numFmt formatCode="General" sourceLinked="1"/>
        <c:majorTickMark val="out"/>
        <c:minorTickMark val="none"/>
        <c:tickLblPos val="nextTo"/>
        <c:crossAx val="180323752"/>
        <c:crosses val="autoZero"/>
        <c:crossBetween val="midCat"/>
      </c:valAx>
      <c:valAx>
        <c:axId val="180323752"/>
        <c:scaling>
          <c:orientation val="minMax"/>
        </c:scaling>
        <c:delete val="0"/>
        <c:axPos val="l"/>
        <c:majorGridlines/>
        <c:numFmt formatCode="General" sourceLinked="1"/>
        <c:majorTickMark val="out"/>
        <c:minorTickMark val="none"/>
        <c:tickLblPos val="nextTo"/>
        <c:crossAx val="18032218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78018372703412"/>
          <c:y val="7.4548702245552642E-2"/>
          <c:w val="0.58021872265966756"/>
          <c:h val="0.89719889180519097"/>
        </c:manualLayout>
      </c:layout>
      <c:scatterChart>
        <c:scatterStyle val="smoothMarker"/>
        <c:varyColors val="0"/>
        <c:ser>
          <c:idx val="0"/>
          <c:order val="0"/>
          <c:trendline>
            <c:trendlineType val="poly"/>
            <c:order val="6"/>
            <c:dispRSqr val="0"/>
            <c:dispEq val="1"/>
            <c:trendlineLbl>
              <c:layout>
                <c:manualLayout>
                  <c:x val="0.17166994750656167"/>
                  <c:y val="-0.56021361913094192"/>
                </c:manualLayout>
              </c:layout>
              <c:numFmt formatCode="General" sourceLinked="0"/>
            </c:trendlineLbl>
          </c:trendline>
          <c:xVal>
            <c:numRef>
              <c:f>'API 2000 Calculation'!$M$53:$M$60</c:f>
              <c:numCache>
                <c:formatCode>General</c:formatCode>
                <c:ptCount val="8"/>
                <c:pt idx="0">
                  <c:v>0</c:v>
                </c:pt>
                <c:pt idx="1">
                  <c:v>1</c:v>
                </c:pt>
                <c:pt idx="2">
                  <c:v>2</c:v>
                </c:pt>
                <c:pt idx="3">
                  <c:v>4</c:v>
                </c:pt>
                <c:pt idx="4">
                  <c:v>6</c:v>
                </c:pt>
                <c:pt idx="5">
                  <c:v>8</c:v>
                </c:pt>
                <c:pt idx="6">
                  <c:v>10</c:v>
                </c:pt>
                <c:pt idx="7">
                  <c:v>12</c:v>
                </c:pt>
              </c:numCache>
            </c:numRef>
          </c:xVal>
          <c:yVal>
            <c:numRef>
              <c:f>'API 2000 Calculation'!$N$53:$N$60</c:f>
              <c:numCache>
                <c:formatCode>0.000</c:formatCode>
                <c:ptCount val="8"/>
                <c:pt idx="0">
                  <c:v>1</c:v>
                </c:pt>
                <c:pt idx="1">
                  <c:v>0.3</c:v>
                </c:pt>
                <c:pt idx="2">
                  <c:v>0.15</c:v>
                </c:pt>
                <c:pt idx="3">
                  <c:v>7.4999999999999997E-2</c:v>
                </c:pt>
                <c:pt idx="4">
                  <c:v>0.05</c:v>
                </c:pt>
                <c:pt idx="5">
                  <c:v>3.7499999999999999E-2</c:v>
                </c:pt>
                <c:pt idx="6">
                  <c:v>0.03</c:v>
                </c:pt>
                <c:pt idx="7">
                  <c:v>2.5000000000000001E-2</c:v>
                </c:pt>
              </c:numCache>
            </c:numRef>
          </c:yVal>
          <c:smooth val="1"/>
        </c:ser>
        <c:dLbls>
          <c:showLegendKey val="0"/>
          <c:showVal val="0"/>
          <c:showCatName val="0"/>
          <c:showSerName val="0"/>
          <c:showPercent val="0"/>
          <c:showBubbleSize val="0"/>
        </c:dLbls>
        <c:axId val="180326104"/>
        <c:axId val="180326496"/>
      </c:scatterChart>
      <c:valAx>
        <c:axId val="180326104"/>
        <c:scaling>
          <c:orientation val="minMax"/>
        </c:scaling>
        <c:delete val="0"/>
        <c:axPos val="b"/>
        <c:numFmt formatCode="General" sourceLinked="1"/>
        <c:majorTickMark val="out"/>
        <c:minorTickMark val="none"/>
        <c:tickLblPos val="nextTo"/>
        <c:crossAx val="180326496"/>
        <c:crosses val="autoZero"/>
        <c:crossBetween val="midCat"/>
      </c:valAx>
      <c:valAx>
        <c:axId val="180326496"/>
        <c:scaling>
          <c:orientation val="minMax"/>
        </c:scaling>
        <c:delete val="0"/>
        <c:axPos val="l"/>
        <c:majorGridlines/>
        <c:numFmt formatCode="0.000" sourceLinked="1"/>
        <c:majorTickMark val="out"/>
        <c:minorTickMark val="none"/>
        <c:tickLblPos val="nextTo"/>
        <c:crossAx val="18032610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rendline>
            <c:trendlineType val="poly"/>
            <c:order val="4"/>
            <c:dispRSqr val="1"/>
            <c:dispEq val="1"/>
            <c:trendlineLbl>
              <c:layout>
                <c:manualLayout>
                  <c:x val="0.17745122484689413"/>
                  <c:y val="0.58285870516185478"/>
                </c:manualLayout>
              </c:layout>
              <c:numFmt formatCode="General" sourceLinked="0"/>
            </c:trendlineLbl>
          </c:trendline>
          <c:xVal>
            <c:numRef>
              <c:f>'API 2000 Calculation'!$T$22:$T$52</c:f>
            </c:numRef>
          </c:xVal>
          <c:yVal>
            <c:numRef>
              <c:f>'API 2000 Calculation'!$U$22:$U$52</c:f>
            </c:numRef>
          </c:yVal>
          <c:smooth val="1"/>
        </c:ser>
        <c:dLbls>
          <c:showLegendKey val="0"/>
          <c:showVal val="0"/>
          <c:showCatName val="0"/>
          <c:showSerName val="0"/>
          <c:showPercent val="0"/>
          <c:showBubbleSize val="0"/>
        </c:dLbls>
        <c:axId val="180327672"/>
        <c:axId val="180322576"/>
      </c:scatterChart>
      <c:valAx>
        <c:axId val="180327672"/>
        <c:scaling>
          <c:orientation val="minMax"/>
        </c:scaling>
        <c:delete val="0"/>
        <c:axPos val="b"/>
        <c:numFmt formatCode="General" sourceLinked="1"/>
        <c:majorTickMark val="out"/>
        <c:minorTickMark val="none"/>
        <c:tickLblPos val="nextTo"/>
        <c:crossAx val="180322576"/>
        <c:crosses val="autoZero"/>
        <c:crossBetween val="midCat"/>
      </c:valAx>
      <c:valAx>
        <c:axId val="180322576"/>
        <c:scaling>
          <c:orientation val="minMax"/>
        </c:scaling>
        <c:delete val="0"/>
        <c:axPos val="l"/>
        <c:majorGridlines/>
        <c:numFmt formatCode="General" sourceLinked="1"/>
        <c:majorTickMark val="out"/>
        <c:minorTickMark val="none"/>
        <c:tickLblPos val="nextTo"/>
        <c:crossAx val="18032767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78018372703412"/>
          <c:y val="7.4548702245552642E-2"/>
          <c:w val="0.58021872265966756"/>
          <c:h val="0.89719889180519097"/>
        </c:manualLayout>
      </c:layout>
      <c:scatterChart>
        <c:scatterStyle val="smoothMarker"/>
        <c:varyColors val="0"/>
        <c:ser>
          <c:idx val="0"/>
          <c:order val="0"/>
          <c:trendline>
            <c:trendlineType val="poly"/>
            <c:order val="6"/>
            <c:dispRSqr val="0"/>
            <c:dispEq val="1"/>
            <c:trendlineLbl>
              <c:layout>
                <c:manualLayout>
                  <c:x val="0.17166994750656167"/>
                  <c:y val="-0.56021361913094192"/>
                </c:manualLayout>
              </c:layout>
              <c:numFmt formatCode="General" sourceLinked="0"/>
            </c:trendlineLbl>
          </c:trendline>
          <c:xVal>
            <c:numRef>
              <c:f>'API 2000 Calculation'!$M$53:$M$60</c:f>
              <c:numCache>
                <c:formatCode>General</c:formatCode>
                <c:ptCount val="8"/>
                <c:pt idx="0">
                  <c:v>0</c:v>
                </c:pt>
                <c:pt idx="1">
                  <c:v>1</c:v>
                </c:pt>
                <c:pt idx="2">
                  <c:v>2</c:v>
                </c:pt>
                <c:pt idx="3">
                  <c:v>4</c:v>
                </c:pt>
                <c:pt idx="4">
                  <c:v>6</c:v>
                </c:pt>
                <c:pt idx="5">
                  <c:v>8</c:v>
                </c:pt>
                <c:pt idx="6">
                  <c:v>10</c:v>
                </c:pt>
                <c:pt idx="7">
                  <c:v>12</c:v>
                </c:pt>
              </c:numCache>
            </c:numRef>
          </c:xVal>
          <c:yVal>
            <c:numRef>
              <c:f>'API 2000 Calculation'!$N$53:$N$60</c:f>
              <c:numCache>
                <c:formatCode>0.000</c:formatCode>
                <c:ptCount val="8"/>
                <c:pt idx="0">
                  <c:v>1</c:v>
                </c:pt>
                <c:pt idx="1">
                  <c:v>0.3</c:v>
                </c:pt>
                <c:pt idx="2">
                  <c:v>0.15</c:v>
                </c:pt>
                <c:pt idx="3">
                  <c:v>7.4999999999999997E-2</c:v>
                </c:pt>
                <c:pt idx="4">
                  <c:v>0.05</c:v>
                </c:pt>
                <c:pt idx="5">
                  <c:v>3.7499999999999999E-2</c:v>
                </c:pt>
                <c:pt idx="6">
                  <c:v>0.03</c:v>
                </c:pt>
                <c:pt idx="7">
                  <c:v>2.5000000000000001E-2</c:v>
                </c:pt>
              </c:numCache>
            </c:numRef>
          </c:yVal>
          <c:smooth val="1"/>
        </c:ser>
        <c:dLbls>
          <c:showLegendKey val="0"/>
          <c:showVal val="0"/>
          <c:showCatName val="0"/>
          <c:showSerName val="0"/>
          <c:showPercent val="0"/>
          <c:showBubbleSize val="0"/>
        </c:dLbls>
        <c:axId val="180328456"/>
        <c:axId val="180321008"/>
      </c:scatterChart>
      <c:valAx>
        <c:axId val="180328456"/>
        <c:scaling>
          <c:orientation val="minMax"/>
        </c:scaling>
        <c:delete val="0"/>
        <c:axPos val="b"/>
        <c:numFmt formatCode="General" sourceLinked="1"/>
        <c:majorTickMark val="out"/>
        <c:minorTickMark val="none"/>
        <c:tickLblPos val="nextTo"/>
        <c:crossAx val="180321008"/>
        <c:crosses val="autoZero"/>
        <c:crossBetween val="midCat"/>
      </c:valAx>
      <c:valAx>
        <c:axId val="180321008"/>
        <c:scaling>
          <c:orientation val="minMax"/>
        </c:scaling>
        <c:delete val="0"/>
        <c:axPos val="l"/>
        <c:majorGridlines/>
        <c:numFmt formatCode="0.000" sourceLinked="1"/>
        <c:majorTickMark val="out"/>
        <c:minorTickMark val="none"/>
        <c:tickLblPos val="nextTo"/>
        <c:crossAx val="18032845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rendline>
            <c:trendlineType val="poly"/>
            <c:order val="4"/>
            <c:dispRSqr val="1"/>
            <c:dispEq val="1"/>
            <c:trendlineLbl>
              <c:layout>
                <c:manualLayout>
                  <c:x val="0.17745122484689413"/>
                  <c:y val="0.58285870516185478"/>
                </c:manualLayout>
              </c:layout>
              <c:numFmt formatCode="General" sourceLinked="0"/>
            </c:trendlineLbl>
          </c:trendline>
          <c:xVal>
            <c:numRef>
              <c:f>'API 2000 Calculation'!$T$22:$T$52</c:f>
            </c:numRef>
          </c:xVal>
          <c:yVal>
            <c:numRef>
              <c:f>'API 2000 Calculation'!$U$22:$U$52</c:f>
            </c:numRef>
          </c:yVal>
          <c:smooth val="1"/>
        </c:ser>
        <c:dLbls>
          <c:showLegendKey val="0"/>
          <c:showVal val="0"/>
          <c:showCatName val="0"/>
          <c:showSerName val="0"/>
          <c:showPercent val="0"/>
          <c:showBubbleSize val="0"/>
        </c:dLbls>
        <c:axId val="180322968"/>
        <c:axId val="180323360"/>
      </c:scatterChart>
      <c:valAx>
        <c:axId val="180322968"/>
        <c:scaling>
          <c:orientation val="minMax"/>
        </c:scaling>
        <c:delete val="0"/>
        <c:axPos val="b"/>
        <c:numFmt formatCode="General" sourceLinked="1"/>
        <c:majorTickMark val="out"/>
        <c:minorTickMark val="none"/>
        <c:tickLblPos val="nextTo"/>
        <c:crossAx val="180323360"/>
        <c:crosses val="autoZero"/>
        <c:crossBetween val="midCat"/>
      </c:valAx>
      <c:valAx>
        <c:axId val="180323360"/>
        <c:scaling>
          <c:orientation val="minMax"/>
        </c:scaling>
        <c:delete val="0"/>
        <c:axPos val="l"/>
        <c:majorGridlines/>
        <c:numFmt formatCode="General" sourceLinked="1"/>
        <c:majorTickMark val="out"/>
        <c:minorTickMark val="none"/>
        <c:tickLblPos val="nextTo"/>
        <c:crossAx val="18032296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78018372703412"/>
          <c:y val="7.4548702245552642E-2"/>
          <c:w val="0.58021872265966756"/>
          <c:h val="0.89719889180519097"/>
        </c:manualLayout>
      </c:layout>
      <c:scatterChart>
        <c:scatterStyle val="smoothMarker"/>
        <c:varyColors val="0"/>
        <c:ser>
          <c:idx val="0"/>
          <c:order val="0"/>
          <c:trendline>
            <c:trendlineType val="poly"/>
            <c:order val="6"/>
            <c:dispRSqr val="0"/>
            <c:dispEq val="1"/>
            <c:trendlineLbl>
              <c:layout>
                <c:manualLayout>
                  <c:x val="0.17166994750656167"/>
                  <c:y val="-0.56021361913094192"/>
                </c:manualLayout>
              </c:layout>
              <c:numFmt formatCode="General" sourceLinked="0"/>
            </c:trendlineLbl>
          </c:trendline>
          <c:xVal>
            <c:numRef>
              <c:f>'API 2000 Calculation'!$M$53:$M$60</c:f>
              <c:numCache>
                <c:formatCode>General</c:formatCode>
                <c:ptCount val="8"/>
                <c:pt idx="0">
                  <c:v>0</c:v>
                </c:pt>
                <c:pt idx="1">
                  <c:v>1</c:v>
                </c:pt>
                <c:pt idx="2">
                  <c:v>2</c:v>
                </c:pt>
                <c:pt idx="3">
                  <c:v>4</c:v>
                </c:pt>
                <c:pt idx="4">
                  <c:v>6</c:v>
                </c:pt>
                <c:pt idx="5">
                  <c:v>8</c:v>
                </c:pt>
                <c:pt idx="6">
                  <c:v>10</c:v>
                </c:pt>
                <c:pt idx="7">
                  <c:v>12</c:v>
                </c:pt>
              </c:numCache>
            </c:numRef>
          </c:xVal>
          <c:yVal>
            <c:numRef>
              <c:f>'API 2000 Calculation'!$N$53:$N$60</c:f>
              <c:numCache>
                <c:formatCode>0.000</c:formatCode>
                <c:ptCount val="8"/>
                <c:pt idx="0">
                  <c:v>1</c:v>
                </c:pt>
                <c:pt idx="1">
                  <c:v>0.3</c:v>
                </c:pt>
                <c:pt idx="2">
                  <c:v>0.15</c:v>
                </c:pt>
                <c:pt idx="3">
                  <c:v>7.4999999999999997E-2</c:v>
                </c:pt>
                <c:pt idx="4">
                  <c:v>0.05</c:v>
                </c:pt>
                <c:pt idx="5">
                  <c:v>3.7499999999999999E-2</c:v>
                </c:pt>
                <c:pt idx="6">
                  <c:v>0.03</c:v>
                </c:pt>
                <c:pt idx="7">
                  <c:v>2.5000000000000001E-2</c:v>
                </c:pt>
              </c:numCache>
            </c:numRef>
          </c:yVal>
          <c:smooth val="1"/>
        </c:ser>
        <c:dLbls>
          <c:showLegendKey val="0"/>
          <c:showVal val="0"/>
          <c:showCatName val="0"/>
          <c:showSerName val="0"/>
          <c:showPercent val="0"/>
          <c:showBubbleSize val="0"/>
        </c:dLbls>
        <c:axId val="240997416"/>
        <c:axId val="241002120"/>
      </c:scatterChart>
      <c:valAx>
        <c:axId val="240997416"/>
        <c:scaling>
          <c:orientation val="minMax"/>
        </c:scaling>
        <c:delete val="0"/>
        <c:axPos val="b"/>
        <c:numFmt formatCode="General" sourceLinked="1"/>
        <c:majorTickMark val="out"/>
        <c:minorTickMark val="none"/>
        <c:tickLblPos val="nextTo"/>
        <c:crossAx val="241002120"/>
        <c:crosses val="autoZero"/>
        <c:crossBetween val="midCat"/>
      </c:valAx>
      <c:valAx>
        <c:axId val="241002120"/>
        <c:scaling>
          <c:orientation val="minMax"/>
        </c:scaling>
        <c:delete val="0"/>
        <c:axPos val="l"/>
        <c:majorGridlines/>
        <c:numFmt formatCode="0.000" sourceLinked="1"/>
        <c:majorTickMark val="out"/>
        <c:minorTickMark val="none"/>
        <c:tickLblPos val="nextTo"/>
        <c:crossAx val="24099741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7</xdr:col>
      <xdr:colOff>0</xdr:colOff>
      <xdr:row>11</xdr:row>
      <xdr:rowOff>0</xdr:rowOff>
    </xdr:from>
    <xdr:ext cx="76200" cy="200025"/>
    <xdr:sp macro="" textlink="">
      <xdr:nvSpPr>
        <xdr:cNvPr id="2" name="Text Box 2"/>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3" name="Text Box 3"/>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4" name="Text Box 4"/>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5" name="Text Box 5"/>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6" name="Text Box 6"/>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7" name="Text Box 7"/>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8" name="Text Box 8"/>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9" name="Text Box 9"/>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10" name="Text Box 10"/>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11" name="Text Box 11"/>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12" name="Text Box 12"/>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13" name="Text Box 13"/>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14" name="Text Box 14"/>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15" name="Text Box 15"/>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16" name="Text Box 16"/>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17" name="Text Box 17"/>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18" name="Text Box 18"/>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7</xdr:col>
      <xdr:colOff>0</xdr:colOff>
      <xdr:row>11</xdr:row>
      <xdr:rowOff>0</xdr:rowOff>
    </xdr:from>
    <xdr:ext cx="76200" cy="200025"/>
    <xdr:sp macro="" textlink="">
      <xdr:nvSpPr>
        <xdr:cNvPr id="19" name="Text Box 19"/>
        <xdr:cNvSpPr txBox="1">
          <a:spLocks noChangeArrowheads="1"/>
        </xdr:cNvSpPr>
      </xdr:nvSpPr>
      <xdr:spPr bwMode="auto">
        <a:xfrm>
          <a:off x="2752725" y="1866900"/>
          <a:ext cx="76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wsDr>
</file>

<file path=xl/drawings/drawing2.xml><?xml version="1.0" encoding="utf-8"?>
<xdr:wsDr xmlns:xdr="http://schemas.openxmlformats.org/drawingml/2006/spreadsheetDrawing" xmlns:a="http://schemas.openxmlformats.org/drawingml/2006/main">
  <xdr:twoCellAnchor>
    <xdr:from>
      <xdr:col>5</xdr:col>
      <xdr:colOff>194315</xdr:colOff>
      <xdr:row>84</xdr:row>
      <xdr:rowOff>74384</xdr:rowOff>
    </xdr:from>
    <xdr:to>
      <xdr:col>12</xdr:col>
      <xdr:colOff>171450</xdr:colOff>
      <xdr:row>84</xdr:row>
      <xdr:rowOff>76199</xdr:rowOff>
    </xdr:to>
    <xdr:sp macro="" textlink="">
      <xdr:nvSpPr>
        <xdr:cNvPr id="6429" name="Line 42"/>
        <xdr:cNvSpPr>
          <a:spLocks noChangeShapeType="1"/>
        </xdr:cNvSpPr>
      </xdr:nvSpPr>
      <xdr:spPr bwMode="auto">
        <a:xfrm>
          <a:off x="2089790" y="15019109"/>
          <a:ext cx="4520560"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75</xdr:row>
      <xdr:rowOff>34018</xdr:rowOff>
    </xdr:from>
    <xdr:to>
      <xdr:col>4</xdr:col>
      <xdr:colOff>120974</xdr:colOff>
      <xdr:row>85</xdr:row>
      <xdr:rowOff>136073</xdr:rowOff>
    </xdr:to>
    <xdr:sp macro="" textlink="">
      <xdr:nvSpPr>
        <xdr:cNvPr id="6433" name="Line 58"/>
        <xdr:cNvSpPr>
          <a:spLocks noChangeShapeType="1"/>
        </xdr:cNvSpPr>
      </xdr:nvSpPr>
      <xdr:spPr bwMode="auto">
        <a:xfrm flipH="1">
          <a:off x="930599" y="7511143"/>
          <a:ext cx="0" cy="1571626"/>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64</xdr:row>
      <xdr:rowOff>64068</xdr:rowOff>
    </xdr:from>
    <xdr:to>
      <xdr:col>12</xdr:col>
      <xdr:colOff>160818</xdr:colOff>
      <xdr:row>84</xdr:row>
      <xdr:rowOff>145597</xdr:rowOff>
    </xdr:to>
    <xdr:sp macro="" textlink="">
      <xdr:nvSpPr>
        <xdr:cNvPr id="6434" name="Line 40"/>
        <xdr:cNvSpPr>
          <a:spLocks noChangeShapeType="1"/>
        </xdr:cNvSpPr>
      </xdr:nvSpPr>
      <xdr:spPr bwMode="auto">
        <a:xfrm>
          <a:off x="6599718" y="11932218"/>
          <a:ext cx="0" cy="332002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84</xdr:row>
      <xdr:rowOff>123825</xdr:rowOff>
    </xdr:from>
    <xdr:to>
      <xdr:col>12</xdr:col>
      <xdr:colOff>171451</xdr:colOff>
      <xdr:row>84</xdr:row>
      <xdr:rowOff>128571</xdr:rowOff>
    </xdr:to>
    <xdr:sp macro="" textlink="">
      <xdr:nvSpPr>
        <xdr:cNvPr id="6435" name="Line 41"/>
        <xdr:cNvSpPr>
          <a:spLocks noChangeShapeType="1"/>
        </xdr:cNvSpPr>
      </xdr:nvSpPr>
      <xdr:spPr bwMode="auto">
        <a:xfrm flipV="1">
          <a:off x="687163" y="15230475"/>
          <a:ext cx="5923188"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61</xdr:row>
      <xdr:rowOff>25400</xdr:rowOff>
    </xdr:from>
    <xdr:to>
      <xdr:col>12</xdr:col>
      <xdr:colOff>161925</xdr:colOff>
      <xdr:row>64</xdr:row>
      <xdr:rowOff>66675</xdr:rowOff>
    </xdr:to>
    <xdr:sp macro="" textlink="">
      <xdr:nvSpPr>
        <xdr:cNvPr id="6436" name="AutoShape 38"/>
        <xdr:cNvSpPr>
          <a:spLocks noChangeArrowheads="1"/>
        </xdr:cNvSpPr>
      </xdr:nvSpPr>
      <xdr:spPr bwMode="auto">
        <a:xfrm>
          <a:off x="657224" y="11407775"/>
          <a:ext cx="5943601" cy="527050"/>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64</xdr:row>
      <xdr:rowOff>83118</xdr:rowOff>
    </xdr:from>
    <xdr:to>
      <xdr:col>2</xdr:col>
      <xdr:colOff>678</xdr:colOff>
      <xdr:row>84</xdr:row>
      <xdr:rowOff>123825</xdr:rowOff>
    </xdr:to>
    <xdr:sp macro="" textlink="">
      <xdr:nvSpPr>
        <xdr:cNvPr id="6437" name="Line 39"/>
        <xdr:cNvSpPr>
          <a:spLocks noChangeShapeType="1"/>
        </xdr:cNvSpPr>
      </xdr:nvSpPr>
      <xdr:spPr bwMode="auto">
        <a:xfrm flipH="1">
          <a:off x="666750" y="12160818"/>
          <a:ext cx="678" cy="327920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68</xdr:row>
      <xdr:rowOff>104491</xdr:rowOff>
    </xdr:from>
    <xdr:to>
      <xdr:col>12</xdr:col>
      <xdr:colOff>161925</xdr:colOff>
      <xdr:row>68</xdr:row>
      <xdr:rowOff>104774</xdr:rowOff>
    </xdr:to>
    <xdr:sp macro="" textlink="">
      <xdr:nvSpPr>
        <xdr:cNvPr id="6438" name="Line 43"/>
        <xdr:cNvSpPr>
          <a:spLocks noChangeShapeType="1"/>
        </xdr:cNvSpPr>
      </xdr:nvSpPr>
      <xdr:spPr bwMode="auto">
        <a:xfrm flipH="1" flipV="1">
          <a:off x="2087769" y="12620341"/>
          <a:ext cx="4513056"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68</xdr:row>
      <xdr:rowOff>122464</xdr:rowOff>
    </xdr:from>
    <xdr:to>
      <xdr:col>9</xdr:col>
      <xdr:colOff>107545</xdr:colOff>
      <xdr:row>72</xdr:row>
      <xdr:rowOff>40821</xdr:rowOff>
    </xdr:to>
    <xdr:sp macro="" textlink="">
      <xdr:nvSpPr>
        <xdr:cNvPr id="6442" name="Line 47"/>
        <xdr:cNvSpPr>
          <a:spLocks noChangeShapeType="1"/>
        </xdr:cNvSpPr>
      </xdr:nvSpPr>
      <xdr:spPr bwMode="auto">
        <a:xfrm>
          <a:off x="3148741" y="6456589"/>
          <a:ext cx="0" cy="571500"/>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75</xdr:row>
      <xdr:rowOff>129267</xdr:rowOff>
    </xdr:from>
    <xdr:to>
      <xdr:col>9</xdr:col>
      <xdr:colOff>119108</xdr:colOff>
      <xdr:row>84</xdr:row>
      <xdr:rowOff>74838</xdr:rowOff>
    </xdr:to>
    <xdr:sp macro="" textlink="">
      <xdr:nvSpPr>
        <xdr:cNvPr id="6443" name="Line 48"/>
        <xdr:cNvSpPr>
          <a:spLocks noChangeShapeType="1"/>
        </xdr:cNvSpPr>
      </xdr:nvSpPr>
      <xdr:spPr bwMode="auto">
        <a:xfrm>
          <a:off x="3160304" y="7606392"/>
          <a:ext cx="0" cy="1251857"/>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278220</xdr:colOff>
      <xdr:row>83</xdr:row>
      <xdr:rowOff>23762</xdr:rowOff>
    </xdr:from>
    <xdr:to>
      <xdr:col>16</xdr:col>
      <xdr:colOff>258973</xdr:colOff>
      <xdr:row>84</xdr:row>
      <xdr:rowOff>7363</xdr:rowOff>
    </xdr:to>
    <xdr:sp macro="" textlink="">
      <xdr:nvSpPr>
        <xdr:cNvPr id="6193" name="Text Box 49"/>
        <xdr:cNvSpPr txBox="1">
          <a:spLocks noChangeArrowheads="1"/>
        </xdr:cNvSpPr>
      </xdr:nvSpPr>
      <xdr:spPr bwMode="auto">
        <a:xfrm>
          <a:off x="8682632" y="16429174"/>
          <a:ext cx="1202194"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68</xdr:row>
      <xdr:rowOff>3066</xdr:rowOff>
    </xdr:from>
    <xdr:to>
      <xdr:col>16</xdr:col>
      <xdr:colOff>74817</xdr:colOff>
      <xdr:row>68</xdr:row>
      <xdr:rowOff>149953</xdr:rowOff>
    </xdr:to>
    <xdr:sp macro="" textlink="">
      <xdr:nvSpPr>
        <xdr:cNvPr id="6197" name="Text Box 53"/>
        <xdr:cNvSpPr txBox="1">
          <a:spLocks noChangeArrowheads="1"/>
        </xdr:cNvSpPr>
      </xdr:nvSpPr>
      <xdr:spPr bwMode="auto">
        <a:xfrm>
          <a:off x="6384626" y="6337191"/>
          <a:ext cx="786316"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66</xdr:row>
      <xdr:rowOff>80211</xdr:rowOff>
    </xdr:from>
    <xdr:to>
      <xdr:col>4</xdr:col>
      <xdr:colOff>132537</xdr:colOff>
      <xdr:row>71</xdr:row>
      <xdr:rowOff>135601</xdr:rowOff>
    </xdr:to>
    <xdr:sp macro="" textlink="">
      <xdr:nvSpPr>
        <xdr:cNvPr id="6452" name="Line 57"/>
        <xdr:cNvSpPr>
          <a:spLocks noChangeShapeType="1"/>
        </xdr:cNvSpPr>
      </xdr:nvSpPr>
      <xdr:spPr bwMode="auto">
        <a:xfrm>
          <a:off x="799287" y="6055895"/>
          <a:ext cx="0" cy="857495"/>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66</xdr:row>
      <xdr:rowOff>11953</xdr:rowOff>
    </xdr:from>
    <xdr:to>
      <xdr:col>16</xdr:col>
      <xdr:colOff>240637</xdr:colOff>
      <xdr:row>66</xdr:row>
      <xdr:rowOff>158840</xdr:rowOff>
    </xdr:to>
    <xdr:sp macro="" textlink="">
      <xdr:nvSpPr>
        <xdr:cNvPr id="6203" name="Text Box 59"/>
        <xdr:cNvSpPr txBox="1">
          <a:spLocks noChangeArrowheads="1"/>
        </xdr:cNvSpPr>
      </xdr:nvSpPr>
      <xdr:spPr bwMode="auto">
        <a:xfrm>
          <a:off x="6257246" y="6019507"/>
          <a:ext cx="936641"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64</xdr:row>
      <xdr:rowOff>5581</xdr:rowOff>
    </xdr:from>
    <xdr:to>
      <xdr:col>16</xdr:col>
      <xdr:colOff>239965</xdr:colOff>
      <xdr:row>64</xdr:row>
      <xdr:rowOff>152468</xdr:rowOff>
    </xdr:to>
    <xdr:sp macro="" textlink="">
      <xdr:nvSpPr>
        <xdr:cNvPr id="6208" name="Text Box 64"/>
        <xdr:cNvSpPr txBox="1">
          <a:spLocks noChangeArrowheads="1"/>
        </xdr:cNvSpPr>
      </xdr:nvSpPr>
      <xdr:spPr bwMode="auto">
        <a:xfrm>
          <a:off x="6387885" y="5686563"/>
          <a:ext cx="94820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64</xdr:row>
      <xdr:rowOff>73592</xdr:rowOff>
    </xdr:from>
    <xdr:to>
      <xdr:col>12</xdr:col>
      <xdr:colOff>1104900</xdr:colOff>
      <xdr:row>64</xdr:row>
      <xdr:rowOff>76199</xdr:rowOff>
    </xdr:to>
    <xdr:sp macro="" textlink="">
      <xdr:nvSpPr>
        <xdr:cNvPr id="6457" name="Line 65"/>
        <xdr:cNvSpPr>
          <a:spLocks noChangeShapeType="1"/>
        </xdr:cNvSpPr>
      </xdr:nvSpPr>
      <xdr:spPr bwMode="auto">
        <a:xfrm>
          <a:off x="6599024" y="1197984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67</xdr:row>
      <xdr:rowOff>9988</xdr:rowOff>
    </xdr:from>
    <xdr:to>
      <xdr:col>11</xdr:col>
      <xdr:colOff>331131</xdr:colOff>
      <xdr:row>68</xdr:row>
      <xdr:rowOff>27214</xdr:rowOff>
    </xdr:to>
    <xdr:sp macro="" textlink="">
      <xdr:nvSpPr>
        <xdr:cNvPr id="6210" name="Text Box 66"/>
        <xdr:cNvSpPr txBox="1">
          <a:spLocks noChangeArrowheads="1"/>
        </xdr:cNvSpPr>
      </xdr:nvSpPr>
      <xdr:spPr bwMode="auto">
        <a:xfrm>
          <a:off x="2466497" y="6180827"/>
          <a:ext cx="1831116" cy="180512"/>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66</xdr:row>
      <xdr:rowOff>85654</xdr:rowOff>
    </xdr:from>
    <xdr:to>
      <xdr:col>7</xdr:col>
      <xdr:colOff>242428</xdr:colOff>
      <xdr:row>68</xdr:row>
      <xdr:rowOff>108859</xdr:rowOff>
    </xdr:to>
    <xdr:sp macro="" textlink="">
      <xdr:nvSpPr>
        <xdr:cNvPr id="6459" name="Line 67"/>
        <xdr:cNvSpPr>
          <a:spLocks noChangeShapeType="1"/>
        </xdr:cNvSpPr>
      </xdr:nvSpPr>
      <xdr:spPr bwMode="auto">
        <a:xfrm>
          <a:off x="2399160" y="6093208"/>
          <a:ext cx="0" cy="349776"/>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66</xdr:row>
      <xdr:rowOff>85651</xdr:rowOff>
    </xdr:from>
    <xdr:to>
      <xdr:col>12</xdr:col>
      <xdr:colOff>161925</xdr:colOff>
      <xdr:row>66</xdr:row>
      <xdr:rowOff>85724</xdr:rowOff>
    </xdr:to>
    <xdr:sp macro="" textlink="">
      <xdr:nvSpPr>
        <xdr:cNvPr id="6439" name="Line 44"/>
        <xdr:cNvSpPr>
          <a:spLocks noChangeShapeType="1"/>
        </xdr:cNvSpPr>
      </xdr:nvSpPr>
      <xdr:spPr bwMode="auto">
        <a:xfrm flipH="1" flipV="1">
          <a:off x="1487904" y="12277651"/>
          <a:ext cx="5112921"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64</xdr:row>
      <xdr:rowOff>132883</xdr:rowOff>
    </xdr:from>
    <xdr:to>
      <xdr:col>11</xdr:col>
      <xdr:colOff>188095</xdr:colOff>
      <xdr:row>66</xdr:row>
      <xdr:rowOff>85652</xdr:rowOff>
    </xdr:to>
    <xdr:grpSp>
      <xdr:nvGrpSpPr>
        <xdr:cNvPr id="3" name="Group 2"/>
        <xdr:cNvGrpSpPr/>
      </xdr:nvGrpSpPr>
      <xdr:grpSpPr>
        <a:xfrm>
          <a:off x="4479858" y="13355824"/>
          <a:ext cx="2129208" cy="266534"/>
          <a:chOff x="6368609" y="12001033"/>
          <a:chExt cx="1344236" cy="276619"/>
        </a:xfrm>
      </xdr:grpSpPr>
      <xdr:sp macro="" textlink="">
        <xdr:nvSpPr>
          <xdr:cNvPr id="6431"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432"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207"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6460"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66</xdr:row>
      <xdr:rowOff>83117</xdr:rowOff>
    </xdr:from>
    <xdr:to>
      <xdr:col>12</xdr:col>
      <xdr:colOff>1104900</xdr:colOff>
      <xdr:row>66</xdr:row>
      <xdr:rowOff>85724</xdr:rowOff>
    </xdr:to>
    <xdr:sp macro="" textlink="">
      <xdr:nvSpPr>
        <xdr:cNvPr id="30" name="Line 65"/>
        <xdr:cNvSpPr>
          <a:spLocks noChangeShapeType="1"/>
        </xdr:cNvSpPr>
      </xdr:nvSpPr>
      <xdr:spPr bwMode="auto">
        <a:xfrm>
          <a:off x="6599024" y="12313217"/>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68</xdr:row>
      <xdr:rowOff>102167</xdr:rowOff>
    </xdr:from>
    <xdr:to>
      <xdr:col>12</xdr:col>
      <xdr:colOff>1104900</xdr:colOff>
      <xdr:row>68</xdr:row>
      <xdr:rowOff>104774</xdr:rowOff>
    </xdr:to>
    <xdr:sp macro="" textlink="">
      <xdr:nvSpPr>
        <xdr:cNvPr id="31" name="Line 65"/>
        <xdr:cNvSpPr>
          <a:spLocks noChangeShapeType="1"/>
        </xdr:cNvSpPr>
      </xdr:nvSpPr>
      <xdr:spPr bwMode="auto">
        <a:xfrm>
          <a:off x="6599024" y="12656117"/>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83</xdr:row>
      <xdr:rowOff>73592</xdr:rowOff>
    </xdr:from>
    <xdr:to>
      <xdr:col>12</xdr:col>
      <xdr:colOff>1104900</xdr:colOff>
      <xdr:row>83</xdr:row>
      <xdr:rowOff>76199</xdr:rowOff>
    </xdr:to>
    <xdr:sp macro="" textlink="">
      <xdr:nvSpPr>
        <xdr:cNvPr id="32" name="Line 65"/>
        <xdr:cNvSpPr>
          <a:spLocks noChangeShapeType="1"/>
        </xdr:cNvSpPr>
      </xdr:nvSpPr>
      <xdr:spPr bwMode="auto">
        <a:xfrm>
          <a:off x="6599024" y="15056417"/>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194315</xdr:colOff>
      <xdr:row>84</xdr:row>
      <xdr:rowOff>74384</xdr:rowOff>
    </xdr:from>
    <xdr:to>
      <xdr:col>12</xdr:col>
      <xdr:colOff>171450</xdr:colOff>
      <xdr:row>84</xdr:row>
      <xdr:rowOff>76199</xdr:rowOff>
    </xdr:to>
    <xdr:sp macro="" textlink="">
      <xdr:nvSpPr>
        <xdr:cNvPr id="33" name="Line 42"/>
        <xdr:cNvSpPr>
          <a:spLocks noChangeShapeType="1"/>
        </xdr:cNvSpPr>
      </xdr:nvSpPr>
      <xdr:spPr bwMode="auto">
        <a:xfrm>
          <a:off x="2088109" y="15717796"/>
          <a:ext cx="4515517"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75</xdr:row>
      <xdr:rowOff>34018</xdr:rowOff>
    </xdr:from>
    <xdr:to>
      <xdr:col>4</xdr:col>
      <xdr:colOff>120974</xdr:colOff>
      <xdr:row>85</xdr:row>
      <xdr:rowOff>136073</xdr:rowOff>
    </xdr:to>
    <xdr:sp macro="" textlink="">
      <xdr:nvSpPr>
        <xdr:cNvPr id="34" name="Line 58"/>
        <xdr:cNvSpPr>
          <a:spLocks noChangeShapeType="1"/>
        </xdr:cNvSpPr>
      </xdr:nvSpPr>
      <xdr:spPr bwMode="auto">
        <a:xfrm flipH="1">
          <a:off x="1566533" y="14422371"/>
          <a:ext cx="0" cy="1513996"/>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64</xdr:row>
      <xdr:rowOff>64068</xdr:rowOff>
    </xdr:from>
    <xdr:to>
      <xdr:col>12</xdr:col>
      <xdr:colOff>160818</xdr:colOff>
      <xdr:row>84</xdr:row>
      <xdr:rowOff>145597</xdr:rowOff>
    </xdr:to>
    <xdr:sp macro="" textlink="">
      <xdr:nvSpPr>
        <xdr:cNvPr id="35" name="Line 40"/>
        <xdr:cNvSpPr>
          <a:spLocks noChangeShapeType="1"/>
        </xdr:cNvSpPr>
      </xdr:nvSpPr>
      <xdr:spPr bwMode="auto">
        <a:xfrm>
          <a:off x="6592994" y="12726715"/>
          <a:ext cx="0" cy="32191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84</xdr:row>
      <xdr:rowOff>123825</xdr:rowOff>
    </xdr:from>
    <xdr:to>
      <xdr:col>12</xdr:col>
      <xdr:colOff>171451</xdr:colOff>
      <xdr:row>84</xdr:row>
      <xdr:rowOff>128571</xdr:rowOff>
    </xdr:to>
    <xdr:sp macro="" textlink="">
      <xdr:nvSpPr>
        <xdr:cNvPr id="36" name="Line 41"/>
        <xdr:cNvSpPr>
          <a:spLocks noChangeShapeType="1"/>
        </xdr:cNvSpPr>
      </xdr:nvSpPr>
      <xdr:spPr bwMode="auto">
        <a:xfrm flipV="1">
          <a:off x="692766" y="15924119"/>
          <a:ext cx="5910861"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61</xdr:row>
      <xdr:rowOff>25400</xdr:rowOff>
    </xdr:from>
    <xdr:to>
      <xdr:col>12</xdr:col>
      <xdr:colOff>161925</xdr:colOff>
      <xdr:row>64</xdr:row>
      <xdr:rowOff>66675</xdr:rowOff>
    </xdr:to>
    <xdr:sp macro="" textlink="">
      <xdr:nvSpPr>
        <xdr:cNvPr id="37" name="AutoShape 38"/>
        <xdr:cNvSpPr>
          <a:spLocks noChangeArrowheads="1"/>
        </xdr:cNvSpPr>
      </xdr:nvSpPr>
      <xdr:spPr bwMode="auto">
        <a:xfrm>
          <a:off x="658345" y="12217400"/>
          <a:ext cx="5935756" cy="511922"/>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64</xdr:row>
      <xdr:rowOff>83118</xdr:rowOff>
    </xdr:from>
    <xdr:to>
      <xdr:col>2</xdr:col>
      <xdr:colOff>678</xdr:colOff>
      <xdr:row>84</xdr:row>
      <xdr:rowOff>123825</xdr:rowOff>
    </xdr:to>
    <xdr:sp macro="" textlink="">
      <xdr:nvSpPr>
        <xdr:cNvPr id="38" name="Line 39"/>
        <xdr:cNvSpPr>
          <a:spLocks noChangeShapeType="1"/>
        </xdr:cNvSpPr>
      </xdr:nvSpPr>
      <xdr:spPr bwMode="auto">
        <a:xfrm flipH="1">
          <a:off x="672353" y="12745765"/>
          <a:ext cx="678" cy="31783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68</xdr:row>
      <xdr:rowOff>104491</xdr:rowOff>
    </xdr:from>
    <xdr:to>
      <xdr:col>12</xdr:col>
      <xdr:colOff>161925</xdr:colOff>
      <xdr:row>68</xdr:row>
      <xdr:rowOff>104774</xdr:rowOff>
    </xdr:to>
    <xdr:sp macro="" textlink="">
      <xdr:nvSpPr>
        <xdr:cNvPr id="39" name="Line 43"/>
        <xdr:cNvSpPr>
          <a:spLocks noChangeShapeType="1"/>
        </xdr:cNvSpPr>
      </xdr:nvSpPr>
      <xdr:spPr bwMode="auto">
        <a:xfrm flipH="1" flipV="1">
          <a:off x="2086088" y="13394667"/>
          <a:ext cx="4508013"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68</xdr:row>
      <xdr:rowOff>122464</xdr:rowOff>
    </xdr:from>
    <xdr:to>
      <xdr:col>9</xdr:col>
      <xdr:colOff>107545</xdr:colOff>
      <xdr:row>72</xdr:row>
      <xdr:rowOff>40821</xdr:rowOff>
    </xdr:to>
    <xdr:sp macro="" textlink="">
      <xdr:nvSpPr>
        <xdr:cNvPr id="40" name="Line 47"/>
        <xdr:cNvSpPr>
          <a:spLocks noChangeShapeType="1"/>
        </xdr:cNvSpPr>
      </xdr:nvSpPr>
      <xdr:spPr bwMode="auto">
        <a:xfrm>
          <a:off x="5150192" y="13412640"/>
          <a:ext cx="0" cy="54588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75</xdr:row>
      <xdr:rowOff>129267</xdr:rowOff>
    </xdr:from>
    <xdr:to>
      <xdr:col>9</xdr:col>
      <xdr:colOff>119108</xdr:colOff>
      <xdr:row>84</xdr:row>
      <xdr:rowOff>74838</xdr:rowOff>
    </xdr:to>
    <xdr:sp macro="" textlink="">
      <xdr:nvSpPr>
        <xdr:cNvPr id="41" name="Line 48"/>
        <xdr:cNvSpPr>
          <a:spLocks noChangeShapeType="1"/>
        </xdr:cNvSpPr>
      </xdr:nvSpPr>
      <xdr:spPr bwMode="auto">
        <a:xfrm>
          <a:off x="5161755" y="14517620"/>
          <a:ext cx="0" cy="120063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278220</xdr:colOff>
      <xdr:row>83</xdr:row>
      <xdr:rowOff>23762</xdr:rowOff>
    </xdr:from>
    <xdr:to>
      <xdr:col>16</xdr:col>
      <xdr:colOff>258973</xdr:colOff>
      <xdr:row>84</xdr:row>
      <xdr:rowOff>7363</xdr:rowOff>
    </xdr:to>
    <xdr:sp macro="" textlink="">
      <xdr:nvSpPr>
        <xdr:cNvPr id="42" name="Text Box 49"/>
        <xdr:cNvSpPr txBox="1">
          <a:spLocks noChangeArrowheads="1"/>
        </xdr:cNvSpPr>
      </xdr:nvSpPr>
      <xdr:spPr bwMode="auto">
        <a:xfrm>
          <a:off x="8682632" y="16429174"/>
          <a:ext cx="1202194"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68</xdr:row>
      <xdr:rowOff>3066</xdr:rowOff>
    </xdr:from>
    <xdr:to>
      <xdr:col>16</xdr:col>
      <xdr:colOff>74817</xdr:colOff>
      <xdr:row>68</xdr:row>
      <xdr:rowOff>149953</xdr:rowOff>
    </xdr:to>
    <xdr:sp macro="" textlink="">
      <xdr:nvSpPr>
        <xdr:cNvPr id="43" name="Text Box 53"/>
        <xdr:cNvSpPr txBox="1">
          <a:spLocks noChangeArrowheads="1"/>
        </xdr:cNvSpPr>
      </xdr:nvSpPr>
      <xdr:spPr bwMode="auto">
        <a:xfrm>
          <a:off x="8366866" y="13293242"/>
          <a:ext cx="109848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66</xdr:row>
      <xdr:rowOff>80211</xdr:rowOff>
    </xdr:from>
    <xdr:to>
      <xdr:col>4</xdr:col>
      <xdr:colOff>132537</xdr:colOff>
      <xdr:row>71</xdr:row>
      <xdr:rowOff>135601</xdr:rowOff>
    </xdr:to>
    <xdr:sp macro="" textlink="">
      <xdr:nvSpPr>
        <xdr:cNvPr id="44" name="Line 57"/>
        <xdr:cNvSpPr>
          <a:spLocks noChangeShapeType="1"/>
        </xdr:cNvSpPr>
      </xdr:nvSpPr>
      <xdr:spPr bwMode="auto">
        <a:xfrm>
          <a:off x="1578096" y="13056623"/>
          <a:ext cx="0" cy="839802"/>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66</xdr:row>
      <xdr:rowOff>11953</xdr:rowOff>
    </xdr:from>
    <xdr:to>
      <xdr:col>16</xdr:col>
      <xdr:colOff>240637</xdr:colOff>
      <xdr:row>66</xdr:row>
      <xdr:rowOff>158840</xdr:rowOff>
    </xdr:to>
    <xdr:sp macro="" textlink="">
      <xdr:nvSpPr>
        <xdr:cNvPr id="45" name="Text Box 59"/>
        <xdr:cNvSpPr txBox="1">
          <a:spLocks noChangeArrowheads="1"/>
        </xdr:cNvSpPr>
      </xdr:nvSpPr>
      <xdr:spPr bwMode="auto">
        <a:xfrm>
          <a:off x="8382361" y="12988365"/>
          <a:ext cx="124880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64</xdr:row>
      <xdr:rowOff>5581</xdr:rowOff>
    </xdr:from>
    <xdr:to>
      <xdr:col>16</xdr:col>
      <xdr:colOff>239965</xdr:colOff>
      <xdr:row>64</xdr:row>
      <xdr:rowOff>152468</xdr:rowOff>
    </xdr:to>
    <xdr:sp macro="" textlink="">
      <xdr:nvSpPr>
        <xdr:cNvPr id="46" name="Text Box 64"/>
        <xdr:cNvSpPr txBox="1">
          <a:spLocks noChangeArrowheads="1"/>
        </xdr:cNvSpPr>
      </xdr:nvSpPr>
      <xdr:spPr bwMode="auto">
        <a:xfrm>
          <a:off x="8370125" y="12668228"/>
          <a:ext cx="1260369"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64</xdr:row>
      <xdr:rowOff>73592</xdr:rowOff>
    </xdr:from>
    <xdr:to>
      <xdr:col>12</xdr:col>
      <xdr:colOff>1104900</xdr:colOff>
      <xdr:row>64</xdr:row>
      <xdr:rowOff>76199</xdr:rowOff>
    </xdr:to>
    <xdr:sp macro="" textlink="">
      <xdr:nvSpPr>
        <xdr:cNvPr id="47" name="Line 65"/>
        <xdr:cNvSpPr>
          <a:spLocks noChangeShapeType="1"/>
        </xdr:cNvSpPr>
      </xdr:nvSpPr>
      <xdr:spPr bwMode="auto">
        <a:xfrm>
          <a:off x="6592300" y="1273623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67</xdr:row>
      <xdr:rowOff>9988</xdr:rowOff>
    </xdr:from>
    <xdr:to>
      <xdr:col>11</xdr:col>
      <xdr:colOff>331131</xdr:colOff>
      <xdr:row>68</xdr:row>
      <xdr:rowOff>27214</xdr:rowOff>
    </xdr:to>
    <xdr:sp macro="" textlink="">
      <xdr:nvSpPr>
        <xdr:cNvPr id="48" name="Text Box 66"/>
        <xdr:cNvSpPr txBox="1">
          <a:spLocks noChangeArrowheads="1"/>
        </xdr:cNvSpPr>
      </xdr:nvSpPr>
      <xdr:spPr bwMode="auto">
        <a:xfrm>
          <a:off x="3113637" y="13143282"/>
          <a:ext cx="3201435" cy="174108"/>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66</xdr:row>
      <xdr:rowOff>85654</xdr:rowOff>
    </xdr:from>
    <xdr:to>
      <xdr:col>7</xdr:col>
      <xdr:colOff>242428</xdr:colOff>
      <xdr:row>68</xdr:row>
      <xdr:rowOff>108859</xdr:rowOff>
    </xdr:to>
    <xdr:sp macro="" textlink="">
      <xdr:nvSpPr>
        <xdr:cNvPr id="49" name="Line 67"/>
        <xdr:cNvSpPr>
          <a:spLocks noChangeShapeType="1"/>
        </xdr:cNvSpPr>
      </xdr:nvSpPr>
      <xdr:spPr bwMode="auto">
        <a:xfrm>
          <a:off x="3032693" y="13062066"/>
          <a:ext cx="0" cy="336969"/>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66</xdr:row>
      <xdr:rowOff>85651</xdr:rowOff>
    </xdr:from>
    <xdr:to>
      <xdr:col>12</xdr:col>
      <xdr:colOff>161925</xdr:colOff>
      <xdr:row>66</xdr:row>
      <xdr:rowOff>85724</xdr:rowOff>
    </xdr:to>
    <xdr:sp macro="" textlink="">
      <xdr:nvSpPr>
        <xdr:cNvPr id="50" name="Line 44"/>
        <xdr:cNvSpPr>
          <a:spLocks noChangeShapeType="1"/>
        </xdr:cNvSpPr>
      </xdr:nvSpPr>
      <xdr:spPr bwMode="auto">
        <a:xfrm flipH="1" flipV="1">
          <a:off x="1485663" y="13062063"/>
          <a:ext cx="5108438"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64</xdr:row>
      <xdr:rowOff>132883</xdr:rowOff>
    </xdr:from>
    <xdr:to>
      <xdr:col>11</xdr:col>
      <xdr:colOff>188095</xdr:colOff>
      <xdr:row>66</xdr:row>
      <xdr:rowOff>85652</xdr:rowOff>
    </xdr:to>
    <xdr:grpSp>
      <xdr:nvGrpSpPr>
        <xdr:cNvPr id="51" name="Group 50"/>
        <xdr:cNvGrpSpPr/>
      </xdr:nvGrpSpPr>
      <xdr:grpSpPr>
        <a:xfrm>
          <a:off x="4479858" y="13355824"/>
          <a:ext cx="2129208" cy="266534"/>
          <a:chOff x="6368609" y="12001033"/>
          <a:chExt cx="1344236" cy="276619"/>
        </a:xfrm>
      </xdr:grpSpPr>
      <xdr:sp macro="" textlink="">
        <xdr:nvSpPr>
          <xdr:cNvPr id="52"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3"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4"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55"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66</xdr:row>
      <xdr:rowOff>83117</xdr:rowOff>
    </xdr:from>
    <xdr:to>
      <xdr:col>12</xdr:col>
      <xdr:colOff>1104900</xdr:colOff>
      <xdr:row>66</xdr:row>
      <xdr:rowOff>85724</xdr:rowOff>
    </xdr:to>
    <xdr:sp macro="" textlink="">
      <xdr:nvSpPr>
        <xdr:cNvPr id="56" name="Line 65"/>
        <xdr:cNvSpPr>
          <a:spLocks noChangeShapeType="1"/>
        </xdr:cNvSpPr>
      </xdr:nvSpPr>
      <xdr:spPr bwMode="auto">
        <a:xfrm>
          <a:off x="6592300" y="1305952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68</xdr:row>
      <xdr:rowOff>102167</xdr:rowOff>
    </xdr:from>
    <xdr:to>
      <xdr:col>12</xdr:col>
      <xdr:colOff>1104900</xdr:colOff>
      <xdr:row>68</xdr:row>
      <xdr:rowOff>104774</xdr:rowOff>
    </xdr:to>
    <xdr:sp macro="" textlink="">
      <xdr:nvSpPr>
        <xdr:cNvPr id="57" name="Line 65"/>
        <xdr:cNvSpPr>
          <a:spLocks noChangeShapeType="1"/>
        </xdr:cNvSpPr>
      </xdr:nvSpPr>
      <xdr:spPr bwMode="auto">
        <a:xfrm>
          <a:off x="6592300" y="13392343"/>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83</xdr:row>
      <xdr:rowOff>73592</xdr:rowOff>
    </xdr:from>
    <xdr:to>
      <xdr:col>12</xdr:col>
      <xdr:colOff>1104900</xdr:colOff>
      <xdr:row>83</xdr:row>
      <xdr:rowOff>76199</xdr:rowOff>
    </xdr:to>
    <xdr:sp macro="" textlink="">
      <xdr:nvSpPr>
        <xdr:cNvPr id="58" name="Line 65"/>
        <xdr:cNvSpPr>
          <a:spLocks noChangeShapeType="1"/>
        </xdr:cNvSpPr>
      </xdr:nvSpPr>
      <xdr:spPr bwMode="auto">
        <a:xfrm>
          <a:off x="6592300" y="15717004"/>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194315</xdr:colOff>
      <xdr:row>383</xdr:row>
      <xdr:rowOff>74384</xdr:rowOff>
    </xdr:from>
    <xdr:to>
      <xdr:col>12</xdr:col>
      <xdr:colOff>171450</xdr:colOff>
      <xdr:row>383</xdr:row>
      <xdr:rowOff>76199</xdr:rowOff>
    </xdr:to>
    <xdr:sp macro="" textlink="">
      <xdr:nvSpPr>
        <xdr:cNvPr id="61" name="Line 42"/>
        <xdr:cNvSpPr>
          <a:spLocks noChangeShapeType="1"/>
        </xdr:cNvSpPr>
      </xdr:nvSpPr>
      <xdr:spPr bwMode="auto">
        <a:xfrm>
          <a:off x="2088109" y="15717796"/>
          <a:ext cx="4515517"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375</xdr:row>
      <xdr:rowOff>34018</xdr:rowOff>
    </xdr:from>
    <xdr:to>
      <xdr:col>4</xdr:col>
      <xdr:colOff>120974</xdr:colOff>
      <xdr:row>384</xdr:row>
      <xdr:rowOff>136073</xdr:rowOff>
    </xdr:to>
    <xdr:sp macro="" textlink="">
      <xdr:nvSpPr>
        <xdr:cNvPr id="62" name="Line 58"/>
        <xdr:cNvSpPr>
          <a:spLocks noChangeShapeType="1"/>
        </xdr:cNvSpPr>
      </xdr:nvSpPr>
      <xdr:spPr bwMode="auto">
        <a:xfrm flipH="1">
          <a:off x="1566533" y="14422371"/>
          <a:ext cx="0" cy="1513996"/>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364</xdr:row>
      <xdr:rowOff>64068</xdr:rowOff>
    </xdr:from>
    <xdr:to>
      <xdr:col>12</xdr:col>
      <xdr:colOff>160818</xdr:colOff>
      <xdr:row>384</xdr:row>
      <xdr:rowOff>145597</xdr:rowOff>
    </xdr:to>
    <xdr:sp macro="" textlink="">
      <xdr:nvSpPr>
        <xdr:cNvPr id="63" name="Line 40"/>
        <xdr:cNvSpPr>
          <a:spLocks noChangeShapeType="1"/>
        </xdr:cNvSpPr>
      </xdr:nvSpPr>
      <xdr:spPr bwMode="auto">
        <a:xfrm>
          <a:off x="6592994" y="12726715"/>
          <a:ext cx="0" cy="32191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384</xdr:row>
      <xdr:rowOff>123825</xdr:rowOff>
    </xdr:from>
    <xdr:to>
      <xdr:col>12</xdr:col>
      <xdr:colOff>171451</xdr:colOff>
      <xdr:row>384</xdr:row>
      <xdr:rowOff>128571</xdr:rowOff>
    </xdr:to>
    <xdr:sp macro="" textlink="">
      <xdr:nvSpPr>
        <xdr:cNvPr id="64" name="Line 41"/>
        <xdr:cNvSpPr>
          <a:spLocks noChangeShapeType="1"/>
        </xdr:cNvSpPr>
      </xdr:nvSpPr>
      <xdr:spPr bwMode="auto">
        <a:xfrm flipV="1">
          <a:off x="692766" y="15924119"/>
          <a:ext cx="5910861"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361</xdr:row>
      <xdr:rowOff>25400</xdr:rowOff>
    </xdr:from>
    <xdr:to>
      <xdr:col>12</xdr:col>
      <xdr:colOff>161925</xdr:colOff>
      <xdr:row>364</xdr:row>
      <xdr:rowOff>66675</xdr:rowOff>
    </xdr:to>
    <xdr:sp macro="" textlink="">
      <xdr:nvSpPr>
        <xdr:cNvPr id="65" name="AutoShape 38"/>
        <xdr:cNvSpPr>
          <a:spLocks noChangeArrowheads="1"/>
        </xdr:cNvSpPr>
      </xdr:nvSpPr>
      <xdr:spPr bwMode="auto">
        <a:xfrm>
          <a:off x="658345" y="12217400"/>
          <a:ext cx="5935756" cy="511922"/>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364</xdr:row>
      <xdr:rowOff>83118</xdr:rowOff>
    </xdr:from>
    <xdr:to>
      <xdr:col>2</xdr:col>
      <xdr:colOff>678</xdr:colOff>
      <xdr:row>384</xdr:row>
      <xdr:rowOff>123825</xdr:rowOff>
    </xdr:to>
    <xdr:sp macro="" textlink="">
      <xdr:nvSpPr>
        <xdr:cNvPr id="66" name="Line 39"/>
        <xdr:cNvSpPr>
          <a:spLocks noChangeShapeType="1"/>
        </xdr:cNvSpPr>
      </xdr:nvSpPr>
      <xdr:spPr bwMode="auto">
        <a:xfrm flipH="1">
          <a:off x="672353" y="12745765"/>
          <a:ext cx="678" cy="31783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368</xdr:row>
      <xdr:rowOff>104491</xdr:rowOff>
    </xdr:from>
    <xdr:to>
      <xdr:col>12</xdr:col>
      <xdr:colOff>161925</xdr:colOff>
      <xdr:row>368</xdr:row>
      <xdr:rowOff>104774</xdr:rowOff>
    </xdr:to>
    <xdr:sp macro="" textlink="">
      <xdr:nvSpPr>
        <xdr:cNvPr id="67" name="Line 43"/>
        <xdr:cNvSpPr>
          <a:spLocks noChangeShapeType="1"/>
        </xdr:cNvSpPr>
      </xdr:nvSpPr>
      <xdr:spPr bwMode="auto">
        <a:xfrm flipH="1" flipV="1">
          <a:off x="2086088" y="13394667"/>
          <a:ext cx="4508013"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368</xdr:row>
      <xdr:rowOff>122464</xdr:rowOff>
    </xdr:from>
    <xdr:to>
      <xdr:col>9</xdr:col>
      <xdr:colOff>107545</xdr:colOff>
      <xdr:row>372</xdr:row>
      <xdr:rowOff>40821</xdr:rowOff>
    </xdr:to>
    <xdr:sp macro="" textlink="">
      <xdr:nvSpPr>
        <xdr:cNvPr id="68" name="Line 47"/>
        <xdr:cNvSpPr>
          <a:spLocks noChangeShapeType="1"/>
        </xdr:cNvSpPr>
      </xdr:nvSpPr>
      <xdr:spPr bwMode="auto">
        <a:xfrm>
          <a:off x="5150192" y="13412640"/>
          <a:ext cx="0" cy="54588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375</xdr:row>
      <xdr:rowOff>129267</xdr:rowOff>
    </xdr:from>
    <xdr:to>
      <xdr:col>9</xdr:col>
      <xdr:colOff>119108</xdr:colOff>
      <xdr:row>383</xdr:row>
      <xdr:rowOff>74838</xdr:rowOff>
    </xdr:to>
    <xdr:sp macro="" textlink="">
      <xdr:nvSpPr>
        <xdr:cNvPr id="69" name="Line 48"/>
        <xdr:cNvSpPr>
          <a:spLocks noChangeShapeType="1"/>
        </xdr:cNvSpPr>
      </xdr:nvSpPr>
      <xdr:spPr bwMode="auto">
        <a:xfrm>
          <a:off x="5161755" y="14517620"/>
          <a:ext cx="0" cy="120063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166161</xdr:colOff>
      <xdr:row>383</xdr:row>
      <xdr:rowOff>23762</xdr:rowOff>
    </xdr:from>
    <xdr:to>
      <xdr:col>16</xdr:col>
      <xdr:colOff>146914</xdr:colOff>
      <xdr:row>384</xdr:row>
      <xdr:rowOff>7363</xdr:rowOff>
    </xdr:to>
    <xdr:sp macro="" textlink="">
      <xdr:nvSpPr>
        <xdr:cNvPr id="70" name="Text Box 49"/>
        <xdr:cNvSpPr txBox="1">
          <a:spLocks noChangeArrowheads="1"/>
        </xdr:cNvSpPr>
      </xdr:nvSpPr>
      <xdr:spPr bwMode="auto">
        <a:xfrm>
          <a:off x="8346455" y="15667174"/>
          <a:ext cx="1190988"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368</xdr:row>
      <xdr:rowOff>3066</xdr:rowOff>
    </xdr:from>
    <xdr:to>
      <xdr:col>16</xdr:col>
      <xdr:colOff>74817</xdr:colOff>
      <xdr:row>368</xdr:row>
      <xdr:rowOff>149953</xdr:rowOff>
    </xdr:to>
    <xdr:sp macro="" textlink="">
      <xdr:nvSpPr>
        <xdr:cNvPr id="71" name="Text Box 53"/>
        <xdr:cNvSpPr txBox="1">
          <a:spLocks noChangeArrowheads="1"/>
        </xdr:cNvSpPr>
      </xdr:nvSpPr>
      <xdr:spPr bwMode="auto">
        <a:xfrm>
          <a:off x="8366866" y="13293242"/>
          <a:ext cx="109848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366</xdr:row>
      <xdr:rowOff>80211</xdr:rowOff>
    </xdr:from>
    <xdr:to>
      <xdr:col>4</xdr:col>
      <xdr:colOff>132537</xdr:colOff>
      <xdr:row>371</xdr:row>
      <xdr:rowOff>135601</xdr:rowOff>
    </xdr:to>
    <xdr:sp macro="" textlink="">
      <xdr:nvSpPr>
        <xdr:cNvPr id="72" name="Line 57"/>
        <xdr:cNvSpPr>
          <a:spLocks noChangeShapeType="1"/>
        </xdr:cNvSpPr>
      </xdr:nvSpPr>
      <xdr:spPr bwMode="auto">
        <a:xfrm>
          <a:off x="1578096" y="13056623"/>
          <a:ext cx="0" cy="839802"/>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366</xdr:row>
      <xdr:rowOff>11953</xdr:rowOff>
    </xdr:from>
    <xdr:to>
      <xdr:col>16</xdr:col>
      <xdr:colOff>240637</xdr:colOff>
      <xdr:row>366</xdr:row>
      <xdr:rowOff>158840</xdr:rowOff>
    </xdr:to>
    <xdr:sp macro="" textlink="">
      <xdr:nvSpPr>
        <xdr:cNvPr id="73" name="Text Box 59"/>
        <xdr:cNvSpPr txBox="1">
          <a:spLocks noChangeArrowheads="1"/>
        </xdr:cNvSpPr>
      </xdr:nvSpPr>
      <xdr:spPr bwMode="auto">
        <a:xfrm>
          <a:off x="8382361" y="12988365"/>
          <a:ext cx="124880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364</xdr:row>
      <xdr:rowOff>5581</xdr:rowOff>
    </xdr:from>
    <xdr:to>
      <xdr:col>16</xdr:col>
      <xdr:colOff>239965</xdr:colOff>
      <xdr:row>364</xdr:row>
      <xdr:rowOff>152468</xdr:rowOff>
    </xdr:to>
    <xdr:sp macro="" textlink="">
      <xdr:nvSpPr>
        <xdr:cNvPr id="74" name="Text Box 64"/>
        <xdr:cNvSpPr txBox="1">
          <a:spLocks noChangeArrowheads="1"/>
        </xdr:cNvSpPr>
      </xdr:nvSpPr>
      <xdr:spPr bwMode="auto">
        <a:xfrm>
          <a:off x="8370125" y="12668228"/>
          <a:ext cx="1260369"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364</xdr:row>
      <xdr:rowOff>73592</xdr:rowOff>
    </xdr:from>
    <xdr:to>
      <xdr:col>12</xdr:col>
      <xdr:colOff>1104900</xdr:colOff>
      <xdr:row>364</xdr:row>
      <xdr:rowOff>76199</xdr:rowOff>
    </xdr:to>
    <xdr:sp macro="" textlink="">
      <xdr:nvSpPr>
        <xdr:cNvPr id="75" name="Line 65"/>
        <xdr:cNvSpPr>
          <a:spLocks noChangeShapeType="1"/>
        </xdr:cNvSpPr>
      </xdr:nvSpPr>
      <xdr:spPr bwMode="auto">
        <a:xfrm>
          <a:off x="6592300" y="1273623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367</xdr:row>
      <xdr:rowOff>9988</xdr:rowOff>
    </xdr:from>
    <xdr:to>
      <xdr:col>11</xdr:col>
      <xdr:colOff>331131</xdr:colOff>
      <xdr:row>368</xdr:row>
      <xdr:rowOff>27214</xdr:rowOff>
    </xdr:to>
    <xdr:sp macro="" textlink="">
      <xdr:nvSpPr>
        <xdr:cNvPr id="76" name="Text Box 66"/>
        <xdr:cNvSpPr txBox="1">
          <a:spLocks noChangeArrowheads="1"/>
        </xdr:cNvSpPr>
      </xdr:nvSpPr>
      <xdr:spPr bwMode="auto">
        <a:xfrm>
          <a:off x="3113637" y="13143282"/>
          <a:ext cx="3201435" cy="174108"/>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366</xdr:row>
      <xdr:rowOff>85654</xdr:rowOff>
    </xdr:from>
    <xdr:to>
      <xdr:col>7</xdr:col>
      <xdr:colOff>242428</xdr:colOff>
      <xdr:row>368</xdr:row>
      <xdr:rowOff>108859</xdr:rowOff>
    </xdr:to>
    <xdr:sp macro="" textlink="">
      <xdr:nvSpPr>
        <xdr:cNvPr id="77" name="Line 67"/>
        <xdr:cNvSpPr>
          <a:spLocks noChangeShapeType="1"/>
        </xdr:cNvSpPr>
      </xdr:nvSpPr>
      <xdr:spPr bwMode="auto">
        <a:xfrm>
          <a:off x="3032693" y="13062066"/>
          <a:ext cx="0" cy="336969"/>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366</xdr:row>
      <xdr:rowOff>85651</xdr:rowOff>
    </xdr:from>
    <xdr:to>
      <xdr:col>12</xdr:col>
      <xdr:colOff>161925</xdr:colOff>
      <xdr:row>366</xdr:row>
      <xdr:rowOff>85724</xdr:rowOff>
    </xdr:to>
    <xdr:sp macro="" textlink="">
      <xdr:nvSpPr>
        <xdr:cNvPr id="78" name="Line 44"/>
        <xdr:cNvSpPr>
          <a:spLocks noChangeShapeType="1"/>
        </xdr:cNvSpPr>
      </xdr:nvSpPr>
      <xdr:spPr bwMode="auto">
        <a:xfrm flipH="1" flipV="1">
          <a:off x="1485663" y="13062063"/>
          <a:ext cx="5108438"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364</xdr:row>
      <xdr:rowOff>132883</xdr:rowOff>
    </xdr:from>
    <xdr:to>
      <xdr:col>11</xdr:col>
      <xdr:colOff>188095</xdr:colOff>
      <xdr:row>366</xdr:row>
      <xdr:rowOff>85652</xdr:rowOff>
    </xdr:to>
    <xdr:grpSp>
      <xdr:nvGrpSpPr>
        <xdr:cNvPr id="79" name="Group 78"/>
        <xdr:cNvGrpSpPr/>
      </xdr:nvGrpSpPr>
      <xdr:grpSpPr>
        <a:xfrm>
          <a:off x="4479858" y="50773853"/>
          <a:ext cx="2129208" cy="0"/>
          <a:chOff x="6368609" y="12001033"/>
          <a:chExt cx="1344236" cy="276619"/>
        </a:xfrm>
      </xdr:grpSpPr>
      <xdr:sp macro="" textlink="">
        <xdr:nvSpPr>
          <xdr:cNvPr id="80"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81"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82"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83"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366</xdr:row>
      <xdr:rowOff>83117</xdr:rowOff>
    </xdr:from>
    <xdr:to>
      <xdr:col>12</xdr:col>
      <xdr:colOff>1104900</xdr:colOff>
      <xdr:row>366</xdr:row>
      <xdr:rowOff>85724</xdr:rowOff>
    </xdr:to>
    <xdr:sp macro="" textlink="">
      <xdr:nvSpPr>
        <xdr:cNvPr id="84" name="Line 65"/>
        <xdr:cNvSpPr>
          <a:spLocks noChangeShapeType="1"/>
        </xdr:cNvSpPr>
      </xdr:nvSpPr>
      <xdr:spPr bwMode="auto">
        <a:xfrm>
          <a:off x="6592300" y="1305952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368</xdr:row>
      <xdr:rowOff>102167</xdr:rowOff>
    </xdr:from>
    <xdr:to>
      <xdr:col>12</xdr:col>
      <xdr:colOff>1104900</xdr:colOff>
      <xdr:row>368</xdr:row>
      <xdr:rowOff>104774</xdr:rowOff>
    </xdr:to>
    <xdr:sp macro="" textlink="">
      <xdr:nvSpPr>
        <xdr:cNvPr id="85" name="Line 65"/>
        <xdr:cNvSpPr>
          <a:spLocks noChangeShapeType="1"/>
        </xdr:cNvSpPr>
      </xdr:nvSpPr>
      <xdr:spPr bwMode="auto">
        <a:xfrm>
          <a:off x="6592300" y="13392343"/>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383</xdr:row>
      <xdr:rowOff>73592</xdr:rowOff>
    </xdr:from>
    <xdr:to>
      <xdr:col>12</xdr:col>
      <xdr:colOff>1104900</xdr:colOff>
      <xdr:row>383</xdr:row>
      <xdr:rowOff>76199</xdr:rowOff>
    </xdr:to>
    <xdr:sp macro="" textlink="">
      <xdr:nvSpPr>
        <xdr:cNvPr id="86" name="Line 65"/>
        <xdr:cNvSpPr>
          <a:spLocks noChangeShapeType="1"/>
        </xdr:cNvSpPr>
      </xdr:nvSpPr>
      <xdr:spPr bwMode="auto">
        <a:xfrm>
          <a:off x="6592300" y="15717004"/>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21</xdr:col>
      <xdr:colOff>76200</xdr:colOff>
      <xdr:row>321</xdr:row>
      <xdr:rowOff>33337</xdr:rowOff>
    </xdr:from>
    <xdr:to>
      <xdr:col>27</xdr:col>
      <xdr:colOff>552450</xdr:colOff>
      <xdr:row>334</xdr:row>
      <xdr:rowOff>138112</xdr:rowOff>
    </xdr:to>
    <xdr:graphicFrame macro="">
      <xdr:nvGraphicFramePr>
        <xdr:cNvPr id="87" name="Chart 8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161925</xdr:colOff>
      <xdr:row>350</xdr:row>
      <xdr:rowOff>61912</xdr:rowOff>
    </xdr:from>
    <xdr:to>
      <xdr:col>27</xdr:col>
      <xdr:colOff>466725</xdr:colOff>
      <xdr:row>365</xdr:row>
      <xdr:rowOff>109537</xdr:rowOff>
    </xdr:to>
    <xdr:graphicFrame macro="">
      <xdr:nvGraphicFramePr>
        <xdr:cNvPr id="88" name="Chart 8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194315</xdr:colOff>
      <xdr:row>383</xdr:row>
      <xdr:rowOff>74384</xdr:rowOff>
    </xdr:from>
    <xdr:to>
      <xdr:col>12</xdr:col>
      <xdr:colOff>171450</xdr:colOff>
      <xdr:row>383</xdr:row>
      <xdr:rowOff>76199</xdr:rowOff>
    </xdr:to>
    <xdr:sp macro="" textlink="">
      <xdr:nvSpPr>
        <xdr:cNvPr id="89" name="Line 42"/>
        <xdr:cNvSpPr>
          <a:spLocks noChangeShapeType="1"/>
        </xdr:cNvSpPr>
      </xdr:nvSpPr>
      <xdr:spPr bwMode="auto">
        <a:xfrm>
          <a:off x="2088109" y="15717796"/>
          <a:ext cx="4515517"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375</xdr:row>
      <xdr:rowOff>34018</xdr:rowOff>
    </xdr:from>
    <xdr:to>
      <xdr:col>4</xdr:col>
      <xdr:colOff>120974</xdr:colOff>
      <xdr:row>384</xdr:row>
      <xdr:rowOff>136073</xdr:rowOff>
    </xdr:to>
    <xdr:sp macro="" textlink="">
      <xdr:nvSpPr>
        <xdr:cNvPr id="90" name="Line 58"/>
        <xdr:cNvSpPr>
          <a:spLocks noChangeShapeType="1"/>
        </xdr:cNvSpPr>
      </xdr:nvSpPr>
      <xdr:spPr bwMode="auto">
        <a:xfrm flipH="1">
          <a:off x="1566533" y="14422371"/>
          <a:ext cx="0" cy="1513996"/>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364</xdr:row>
      <xdr:rowOff>64068</xdr:rowOff>
    </xdr:from>
    <xdr:to>
      <xdr:col>12</xdr:col>
      <xdr:colOff>160818</xdr:colOff>
      <xdr:row>384</xdr:row>
      <xdr:rowOff>145597</xdr:rowOff>
    </xdr:to>
    <xdr:sp macro="" textlink="">
      <xdr:nvSpPr>
        <xdr:cNvPr id="91" name="Line 40"/>
        <xdr:cNvSpPr>
          <a:spLocks noChangeShapeType="1"/>
        </xdr:cNvSpPr>
      </xdr:nvSpPr>
      <xdr:spPr bwMode="auto">
        <a:xfrm>
          <a:off x="6592994" y="12726715"/>
          <a:ext cx="0" cy="32191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384</xdr:row>
      <xdr:rowOff>123825</xdr:rowOff>
    </xdr:from>
    <xdr:to>
      <xdr:col>12</xdr:col>
      <xdr:colOff>171451</xdr:colOff>
      <xdr:row>384</xdr:row>
      <xdr:rowOff>128571</xdr:rowOff>
    </xdr:to>
    <xdr:sp macro="" textlink="">
      <xdr:nvSpPr>
        <xdr:cNvPr id="92" name="Line 41"/>
        <xdr:cNvSpPr>
          <a:spLocks noChangeShapeType="1"/>
        </xdr:cNvSpPr>
      </xdr:nvSpPr>
      <xdr:spPr bwMode="auto">
        <a:xfrm flipV="1">
          <a:off x="692766" y="15924119"/>
          <a:ext cx="5910861"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361</xdr:row>
      <xdr:rowOff>25400</xdr:rowOff>
    </xdr:from>
    <xdr:to>
      <xdr:col>12</xdr:col>
      <xdr:colOff>161925</xdr:colOff>
      <xdr:row>364</xdr:row>
      <xdr:rowOff>66675</xdr:rowOff>
    </xdr:to>
    <xdr:sp macro="" textlink="">
      <xdr:nvSpPr>
        <xdr:cNvPr id="93" name="AutoShape 38"/>
        <xdr:cNvSpPr>
          <a:spLocks noChangeArrowheads="1"/>
        </xdr:cNvSpPr>
      </xdr:nvSpPr>
      <xdr:spPr bwMode="auto">
        <a:xfrm>
          <a:off x="658345" y="12217400"/>
          <a:ext cx="5935756" cy="511922"/>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364</xdr:row>
      <xdr:rowOff>83118</xdr:rowOff>
    </xdr:from>
    <xdr:to>
      <xdr:col>2</xdr:col>
      <xdr:colOff>678</xdr:colOff>
      <xdr:row>384</xdr:row>
      <xdr:rowOff>123825</xdr:rowOff>
    </xdr:to>
    <xdr:sp macro="" textlink="">
      <xdr:nvSpPr>
        <xdr:cNvPr id="94" name="Line 39"/>
        <xdr:cNvSpPr>
          <a:spLocks noChangeShapeType="1"/>
        </xdr:cNvSpPr>
      </xdr:nvSpPr>
      <xdr:spPr bwMode="auto">
        <a:xfrm flipH="1">
          <a:off x="672353" y="12745765"/>
          <a:ext cx="678" cy="31783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368</xdr:row>
      <xdr:rowOff>104491</xdr:rowOff>
    </xdr:from>
    <xdr:to>
      <xdr:col>12</xdr:col>
      <xdr:colOff>161925</xdr:colOff>
      <xdr:row>368</xdr:row>
      <xdr:rowOff>104774</xdr:rowOff>
    </xdr:to>
    <xdr:sp macro="" textlink="">
      <xdr:nvSpPr>
        <xdr:cNvPr id="95" name="Line 43"/>
        <xdr:cNvSpPr>
          <a:spLocks noChangeShapeType="1"/>
        </xdr:cNvSpPr>
      </xdr:nvSpPr>
      <xdr:spPr bwMode="auto">
        <a:xfrm flipH="1" flipV="1">
          <a:off x="2086088" y="13394667"/>
          <a:ext cx="4508013"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368</xdr:row>
      <xdr:rowOff>122464</xdr:rowOff>
    </xdr:from>
    <xdr:to>
      <xdr:col>9</xdr:col>
      <xdr:colOff>107545</xdr:colOff>
      <xdr:row>372</xdr:row>
      <xdr:rowOff>40821</xdr:rowOff>
    </xdr:to>
    <xdr:sp macro="" textlink="">
      <xdr:nvSpPr>
        <xdr:cNvPr id="96" name="Line 47"/>
        <xdr:cNvSpPr>
          <a:spLocks noChangeShapeType="1"/>
        </xdr:cNvSpPr>
      </xdr:nvSpPr>
      <xdr:spPr bwMode="auto">
        <a:xfrm>
          <a:off x="5150192" y="13412640"/>
          <a:ext cx="0" cy="54588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375</xdr:row>
      <xdr:rowOff>129267</xdr:rowOff>
    </xdr:from>
    <xdr:to>
      <xdr:col>9</xdr:col>
      <xdr:colOff>119108</xdr:colOff>
      <xdr:row>383</xdr:row>
      <xdr:rowOff>74838</xdr:rowOff>
    </xdr:to>
    <xdr:sp macro="" textlink="">
      <xdr:nvSpPr>
        <xdr:cNvPr id="97" name="Line 48"/>
        <xdr:cNvSpPr>
          <a:spLocks noChangeShapeType="1"/>
        </xdr:cNvSpPr>
      </xdr:nvSpPr>
      <xdr:spPr bwMode="auto">
        <a:xfrm>
          <a:off x="5161755" y="14517620"/>
          <a:ext cx="0" cy="120063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166161</xdr:colOff>
      <xdr:row>383</xdr:row>
      <xdr:rowOff>23762</xdr:rowOff>
    </xdr:from>
    <xdr:to>
      <xdr:col>16</xdr:col>
      <xdr:colOff>146914</xdr:colOff>
      <xdr:row>384</xdr:row>
      <xdr:rowOff>7363</xdr:rowOff>
    </xdr:to>
    <xdr:sp macro="" textlink="">
      <xdr:nvSpPr>
        <xdr:cNvPr id="98" name="Text Box 49"/>
        <xdr:cNvSpPr txBox="1">
          <a:spLocks noChangeArrowheads="1"/>
        </xdr:cNvSpPr>
      </xdr:nvSpPr>
      <xdr:spPr bwMode="auto">
        <a:xfrm>
          <a:off x="8346455" y="15667174"/>
          <a:ext cx="1190988"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368</xdr:row>
      <xdr:rowOff>3066</xdr:rowOff>
    </xdr:from>
    <xdr:to>
      <xdr:col>16</xdr:col>
      <xdr:colOff>74817</xdr:colOff>
      <xdr:row>368</xdr:row>
      <xdr:rowOff>149953</xdr:rowOff>
    </xdr:to>
    <xdr:sp macro="" textlink="">
      <xdr:nvSpPr>
        <xdr:cNvPr id="99" name="Text Box 53"/>
        <xdr:cNvSpPr txBox="1">
          <a:spLocks noChangeArrowheads="1"/>
        </xdr:cNvSpPr>
      </xdr:nvSpPr>
      <xdr:spPr bwMode="auto">
        <a:xfrm>
          <a:off x="8366866" y="13293242"/>
          <a:ext cx="109848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366</xdr:row>
      <xdr:rowOff>80211</xdr:rowOff>
    </xdr:from>
    <xdr:to>
      <xdr:col>4</xdr:col>
      <xdr:colOff>132537</xdr:colOff>
      <xdr:row>371</xdr:row>
      <xdr:rowOff>135601</xdr:rowOff>
    </xdr:to>
    <xdr:sp macro="" textlink="">
      <xdr:nvSpPr>
        <xdr:cNvPr id="100" name="Line 57"/>
        <xdr:cNvSpPr>
          <a:spLocks noChangeShapeType="1"/>
        </xdr:cNvSpPr>
      </xdr:nvSpPr>
      <xdr:spPr bwMode="auto">
        <a:xfrm>
          <a:off x="1578096" y="13056623"/>
          <a:ext cx="0" cy="839802"/>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366</xdr:row>
      <xdr:rowOff>11953</xdr:rowOff>
    </xdr:from>
    <xdr:to>
      <xdr:col>16</xdr:col>
      <xdr:colOff>240637</xdr:colOff>
      <xdr:row>366</xdr:row>
      <xdr:rowOff>158840</xdr:rowOff>
    </xdr:to>
    <xdr:sp macro="" textlink="">
      <xdr:nvSpPr>
        <xdr:cNvPr id="101" name="Text Box 59"/>
        <xdr:cNvSpPr txBox="1">
          <a:spLocks noChangeArrowheads="1"/>
        </xdr:cNvSpPr>
      </xdr:nvSpPr>
      <xdr:spPr bwMode="auto">
        <a:xfrm>
          <a:off x="8382361" y="12988365"/>
          <a:ext cx="124880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364</xdr:row>
      <xdr:rowOff>5581</xdr:rowOff>
    </xdr:from>
    <xdr:to>
      <xdr:col>16</xdr:col>
      <xdr:colOff>239965</xdr:colOff>
      <xdr:row>364</xdr:row>
      <xdr:rowOff>152468</xdr:rowOff>
    </xdr:to>
    <xdr:sp macro="" textlink="">
      <xdr:nvSpPr>
        <xdr:cNvPr id="102" name="Text Box 64"/>
        <xdr:cNvSpPr txBox="1">
          <a:spLocks noChangeArrowheads="1"/>
        </xdr:cNvSpPr>
      </xdr:nvSpPr>
      <xdr:spPr bwMode="auto">
        <a:xfrm>
          <a:off x="8370125" y="12668228"/>
          <a:ext cx="1260369"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364</xdr:row>
      <xdr:rowOff>73592</xdr:rowOff>
    </xdr:from>
    <xdr:to>
      <xdr:col>12</xdr:col>
      <xdr:colOff>1104900</xdr:colOff>
      <xdr:row>364</xdr:row>
      <xdr:rowOff>76199</xdr:rowOff>
    </xdr:to>
    <xdr:sp macro="" textlink="">
      <xdr:nvSpPr>
        <xdr:cNvPr id="103" name="Line 65"/>
        <xdr:cNvSpPr>
          <a:spLocks noChangeShapeType="1"/>
        </xdr:cNvSpPr>
      </xdr:nvSpPr>
      <xdr:spPr bwMode="auto">
        <a:xfrm>
          <a:off x="6592300" y="1273623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367</xdr:row>
      <xdr:rowOff>9988</xdr:rowOff>
    </xdr:from>
    <xdr:to>
      <xdr:col>11</xdr:col>
      <xdr:colOff>331131</xdr:colOff>
      <xdr:row>368</xdr:row>
      <xdr:rowOff>27214</xdr:rowOff>
    </xdr:to>
    <xdr:sp macro="" textlink="">
      <xdr:nvSpPr>
        <xdr:cNvPr id="104" name="Text Box 66"/>
        <xdr:cNvSpPr txBox="1">
          <a:spLocks noChangeArrowheads="1"/>
        </xdr:cNvSpPr>
      </xdr:nvSpPr>
      <xdr:spPr bwMode="auto">
        <a:xfrm>
          <a:off x="3113637" y="13143282"/>
          <a:ext cx="3201435" cy="174108"/>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366</xdr:row>
      <xdr:rowOff>85654</xdr:rowOff>
    </xdr:from>
    <xdr:to>
      <xdr:col>7</xdr:col>
      <xdr:colOff>242428</xdr:colOff>
      <xdr:row>368</xdr:row>
      <xdr:rowOff>108859</xdr:rowOff>
    </xdr:to>
    <xdr:sp macro="" textlink="">
      <xdr:nvSpPr>
        <xdr:cNvPr id="105" name="Line 67"/>
        <xdr:cNvSpPr>
          <a:spLocks noChangeShapeType="1"/>
        </xdr:cNvSpPr>
      </xdr:nvSpPr>
      <xdr:spPr bwMode="auto">
        <a:xfrm>
          <a:off x="3032693" y="13062066"/>
          <a:ext cx="0" cy="336969"/>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366</xdr:row>
      <xdr:rowOff>85651</xdr:rowOff>
    </xdr:from>
    <xdr:to>
      <xdr:col>12</xdr:col>
      <xdr:colOff>161925</xdr:colOff>
      <xdr:row>366</xdr:row>
      <xdr:rowOff>85724</xdr:rowOff>
    </xdr:to>
    <xdr:sp macro="" textlink="">
      <xdr:nvSpPr>
        <xdr:cNvPr id="106" name="Line 44"/>
        <xdr:cNvSpPr>
          <a:spLocks noChangeShapeType="1"/>
        </xdr:cNvSpPr>
      </xdr:nvSpPr>
      <xdr:spPr bwMode="auto">
        <a:xfrm flipH="1" flipV="1">
          <a:off x="1485663" y="13062063"/>
          <a:ext cx="5108438"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364</xdr:row>
      <xdr:rowOff>132883</xdr:rowOff>
    </xdr:from>
    <xdr:to>
      <xdr:col>11</xdr:col>
      <xdr:colOff>188095</xdr:colOff>
      <xdr:row>366</xdr:row>
      <xdr:rowOff>85652</xdr:rowOff>
    </xdr:to>
    <xdr:grpSp>
      <xdr:nvGrpSpPr>
        <xdr:cNvPr id="107" name="Group 106"/>
        <xdr:cNvGrpSpPr/>
      </xdr:nvGrpSpPr>
      <xdr:grpSpPr>
        <a:xfrm>
          <a:off x="4479858" y="50773853"/>
          <a:ext cx="2129208" cy="0"/>
          <a:chOff x="6368609" y="12001033"/>
          <a:chExt cx="1344236" cy="276619"/>
        </a:xfrm>
      </xdr:grpSpPr>
      <xdr:sp macro="" textlink="">
        <xdr:nvSpPr>
          <xdr:cNvPr id="108"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9"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0"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111"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366</xdr:row>
      <xdr:rowOff>83117</xdr:rowOff>
    </xdr:from>
    <xdr:to>
      <xdr:col>12</xdr:col>
      <xdr:colOff>1104900</xdr:colOff>
      <xdr:row>366</xdr:row>
      <xdr:rowOff>85724</xdr:rowOff>
    </xdr:to>
    <xdr:sp macro="" textlink="">
      <xdr:nvSpPr>
        <xdr:cNvPr id="112" name="Line 65"/>
        <xdr:cNvSpPr>
          <a:spLocks noChangeShapeType="1"/>
        </xdr:cNvSpPr>
      </xdr:nvSpPr>
      <xdr:spPr bwMode="auto">
        <a:xfrm>
          <a:off x="6592300" y="1305952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368</xdr:row>
      <xdr:rowOff>102167</xdr:rowOff>
    </xdr:from>
    <xdr:to>
      <xdr:col>12</xdr:col>
      <xdr:colOff>1104900</xdr:colOff>
      <xdr:row>368</xdr:row>
      <xdr:rowOff>104774</xdr:rowOff>
    </xdr:to>
    <xdr:sp macro="" textlink="">
      <xdr:nvSpPr>
        <xdr:cNvPr id="113" name="Line 65"/>
        <xdr:cNvSpPr>
          <a:spLocks noChangeShapeType="1"/>
        </xdr:cNvSpPr>
      </xdr:nvSpPr>
      <xdr:spPr bwMode="auto">
        <a:xfrm>
          <a:off x="6592300" y="13392343"/>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383</xdr:row>
      <xdr:rowOff>73592</xdr:rowOff>
    </xdr:from>
    <xdr:to>
      <xdr:col>12</xdr:col>
      <xdr:colOff>1104900</xdr:colOff>
      <xdr:row>383</xdr:row>
      <xdr:rowOff>76199</xdr:rowOff>
    </xdr:to>
    <xdr:sp macro="" textlink="">
      <xdr:nvSpPr>
        <xdr:cNvPr id="114" name="Line 65"/>
        <xdr:cNvSpPr>
          <a:spLocks noChangeShapeType="1"/>
        </xdr:cNvSpPr>
      </xdr:nvSpPr>
      <xdr:spPr bwMode="auto">
        <a:xfrm>
          <a:off x="6592300" y="15717004"/>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21</xdr:col>
      <xdr:colOff>76200</xdr:colOff>
      <xdr:row>321</xdr:row>
      <xdr:rowOff>33337</xdr:rowOff>
    </xdr:from>
    <xdr:to>
      <xdr:col>27</xdr:col>
      <xdr:colOff>552450</xdr:colOff>
      <xdr:row>334</xdr:row>
      <xdr:rowOff>138112</xdr:rowOff>
    </xdr:to>
    <xdr:graphicFrame macro="">
      <xdr:nvGraphicFramePr>
        <xdr:cNvPr id="115" name="Chart 1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161925</xdr:colOff>
      <xdr:row>350</xdr:row>
      <xdr:rowOff>61912</xdr:rowOff>
    </xdr:from>
    <xdr:to>
      <xdr:col>27</xdr:col>
      <xdr:colOff>466725</xdr:colOff>
      <xdr:row>365</xdr:row>
      <xdr:rowOff>109537</xdr:rowOff>
    </xdr:to>
    <xdr:graphicFrame macro="">
      <xdr:nvGraphicFramePr>
        <xdr:cNvPr id="116" name="Chart 1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194315</xdr:colOff>
      <xdr:row>84</xdr:row>
      <xdr:rowOff>74384</xdr:rowOff>
    </xdr:from>
    <xdr:to>
      <xdr:col>12</xdr:col>
      <xdr:colOff>171450</xdr:colOff>
      <xdr:row>84</xdr:row>
      <xdr:rowOff>76199</xdr:rowOff>
    </xdr:to>
    <xdr:sp macro="" textlink="">
      <xdr:nvSpPr>
        <xdr:cNvPr id="117" name="Line 42"/>
        <xdr:cNvSpPr>
          <a:spLocks noChangeShapeType="1"/>
        </xdr:cNvSpPr>
      </xdr:nvSpPr>
      <xdr:spPr bwMode="auto">
        <a:xfrm>
          <a:off x="2089790" y="15733484"/>
          <a:ext cx="4520560"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75</xdr:row>
      <xdr:rowOff>34018</xdr:rowOff>
    </xdr:from>
    <xdr:to>
      <xdr:col>4</xdr:col>
      <xdr:colOff>120974</xdr:colOff>
      <xdr:row>85</xdr:row>
      <xdr:rowOff>136073</xdr:rowOff>
    </xdr:to>
    <xdr:sp macro="" textlink="">
      <xdr:nvSpPr>
        <xdr:cNvPr id="118" name="Line 58"/>
        <xdr:cNvSpPr>
          <a:spLocks noChangeShapeType="1"/>
        </xdr:cNvSpPr>
      </xdr:nvSpPr>
      <xdr:spPr bwMode="auto">
        <a:xfrm flipH="1">
          <a:off x="1568774" y="14397718"/>
          <a:ext cx="0" cy="155938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64</xdr:row>
      <xdr:rowOff>64068</xdr:rowOff>
    </xdr:from>
    <xdr:to>
      <xdr:col>12</xdr:col>
      <xdr:colOff>160818</xdr:colOff>
      <xdr:row>84</xdr:row>
      <xdr:rowOff>145597</xdr:rowOff>
    </xdr:to>
    <xdr:sp macro="" textlink="">
      <xdr:nvSpPr>
        <xdr:cNvPr id="119" name="Line 40"/>
        <xdr:cNvSpPr>
          <a:spLocks noChangeShapeType="1"/>
        </xdr:cNvSpPr>
      </xdr:nvSpPr>
      <xdr:spPr bwMode="auto">
        <a:xfrm>
          <a:off x="6599718" y="12646593"/>
          <a:ext cx="0" cy="332002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84</xdr:row>
      <xdr:rowOff>123825</xdr:rowOff>
    </xdr:from>
    <xdr:to>
      <xdr:col>12</xdr:col>
      <xdr:colOff>171451</xdr:colOff>
      <xdr:row>84</xdr:row>
      <xdr:rowOff>128571</xdr:rowOff>
    </xdr:to>
    <xdr:sp macro="" textlink="">
      <xdr:nvSpPr>
        <xdr:cNvPr id="120" name="Line 41"/>
        <xdr:cNvSpPr>
          <a:spLocks noChangeShapeType="1"/>
        </xdr:cNvSpPr>
      </xdr:nvSpPr>
      <xdr:spPr bwMode="auto">
        <a:xfrm flipV="1">
          <a:off x="687163" y="15944850"/>
          <a:ext cx="5923188"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61</xdr:row>
      <xdr:rowOff>25400</xdr:rowOff>
    </xdr:from>
    <xdr:to>
      <xdr:col>12</xdr:col>
      <xdr:colOff>161925</xdr:colOff>
      <xdr:row>64</xdr:row>
      <xdr:rowOff>66675</xdr:rowOff>
    </xdr:to>
    <xdr:sp macro="" textlink="">
      <xdr:nvSpPr>
        <xdr:cNvPr id="121" name="AutoShape 38"/>
        <xdr:cNvSpPr>
          <a:spLocks noChangeArrowheads="1"/>
        </xdr:cNvSpPr>
      </xdr:nvSpPr>
      <xdr:spPr bwMode="auto">
        <a:xfrm>
          <a:off x="657224" y="12122150"/>
          <a:ext cx="5943601" cy="527050"/>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64</xdr:row>
      <xdr:rowOff>83118</xdr:rowOff>
    </xdr:from>
    <xdr:to>
      <xdr:col>2</xdr:col>
      <xdr:colOff>678</xdr:colOff>
      <xdr:row>84</xdr:row>
      <xdr:rowOff>123825</xdr:rowOff>
    </xdr:to>
    <xdr:sp macro="" textlink="">
      <xdr:nvSpPr>
        <xdr:cNvPr id="122" name="Line 39"/>
        <xdr:cNvSpPr>
          <a:spLocks noChangeShapeType="1"/>
        </xdr:cNvSpPr>
      </xdr:nvSpPr>
      <xdr:spPr bwMode="auto">
        <a:xfrm flipH="1">
          <a:off x="666750" y="12665643"/>
          <a:ext cx="678" cy="327920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68</xdr:row>
      <xdr:rowOff>104491</xdr:rowOff>
    </xdr:from>
    <xdr:to>
      <xdr:col>12</xdr:col>
      <xdr:colOff>161925</xdr:colOff>
      <xdr:row>68</xdr:row>
      <xdr:rowOff>104774</xdr:rowOff>
    </xdr:to>
    <xdr:sp macro="" textlink="">
      <xdr:nvSpPr>
        <xdr:cNvPr id="123" name="Line 43"/>
        <xdr:cNvSpPr>
          <a:spLocks noChangeShapeType="1"/>
        </xdr:cNvSpPr>
      </xdr:nvSpPr>
      <xdr:spPr bwMode="auto">
        <a:xfrm flipH="1" flipV="1">
          <a:off x="2087769" y="13334716"/>
          <a:ext cx="4513056"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68</xdr:row>
      <xdr:rowOff>122464</xdr:rowOff>
    </xdr:from>
    <xdr:to>
      <xdr:col>9</xdr:col>
      <xdr:colOff>107545</xdr:colOff>
      <xdr:row>72</xdr:row>
      <xdr:rowOff>40821</xdr:rowOff>
    </xdr:to>
    <xdr:sp macro="" textlink="">
      <xdr:nvSpPr>
        <xdr:cNvPr id="124" name="Line 47"/>
        <xdr:cNvSpPr>
          <a:spLocks noChangeShapeType="1"/>
        </xdr:cNvSpPr>
      </xdr:nvSpPr>
      <xdr:spPr bwMode="auto">
        <a:xfrm>
          <a:off x="5155795" y="13352689"/>
          <a:ext cx="0" cy="56605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75</xdr:row>
      <xdr:rowOff>129267</xdr:rowOff>
    </xdr:from>
    <xdr:to>
      <xdr:col>9</xdr:col>
      <xdr:colOff>119108</xdr:colOff>
      <xdr:row>84</xdr:row>
      <xdr:rowOff>74838</xdr:rowOff>
    </xdr:to>
    <xdr:sp macro="" textlink="">
      <xdr:nvSpPr>
        <xdr:cNvPr id="125" name="Line 48"/>
        <xdr:cNvSpPr>
          <a:spLocks noChangeShapeType="1"/>
        </xdr:cNvSpPr>
      </xdr:nvSpPr>
      <xdr:spPr bwMode="auto">
        <a:xfrm>
          <a:off x="5167358" y="14492967"/>
          <a:ext cx="0" cy="124097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278220</xdr:colOff>
      <xdr:row>83</xdr:row>
      <xdr:rowOff>23762</xdr:rowOff>
    </xdr:from>
    <xdr:to>
      <xdr:col>16</xdr:col>
      <xdr:colOff>258973</xdr:colOff>
      <xdr:row>84</xdr:row>
      <xdr:rowOff>7363</xdr:rowOff>
    </xdr:to>
    <xdr:sp macro="" textlink="">
      <xdr:nvSpPr>
        <xdr:cNvPr id="126" name="Text Box 49"/>
        <xdr:cNvSpPr txBox="1">
          <a:spLocks noChangeArrowheads="1"/>
        </xdr:cNvSpPr>
      </xdr:nvSpPr>
      <xdr:spPr bwMode="auto">
        <a:xfrm>
          <a:off x="8682632" y="16429174"/>
          <a:ext cx="1202194"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68</xdr:row>
      <xdr:rowOff>3066</xdr:rowOff>
    </xdr:from>
    <xdr:to>
      <xdr:col>16</xdr:col>
      <xdr:colOff>74817</xdr:colOff>
      <xdr:row>68</xdr:row>
      <xdr:rowOff>149953</xdr:rowOff>
    </xdr:to>
    <xdr:sp macro="" textlink="">
      <xdr:nvSpPr>
        <xdr:cNvPr id="127" name="Text Box 53"/>
        <xdr:cNvSpPr txBox="1">
          <a:spLocks noChangeArrowheads="1"/>
        </xdr:cNvSpPr>
      </xdr:nvSpPr>
      <xdr:spPr bwMode="auto">
        <a:xfrm>
          <a:off x="8378072" y="13233291"/>
          <a:ext cx="110744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66</xdr:row>
      <xdr:rowOff>80211</xdr:rowOff>
    </xdr:from>
    <xdr:to>
      <xdr:col>4</xdr:col>
      <xdr:colOff>132537</xdr:colOff>
      <xdr:row>71</xdr:row>
      <xdr:rowOff>135601</xdr:rowOff>
    </xdr:to>
    <xdr:sp macro="" textlink="">
      <xdr:nvSpPr>
        <xdr:cNvPr id="128" name="Line 57"/>
        <xdr:cNvSpPr>
          <a:spLocks noChangeShapeType="1"/>
        </xdr:cNvSpPr>
      </xdr:nvSpPr>
      <xdr:spPr bwMode="auto">
        <a:xfrm>
          <a:off x="1580337" y="12986586"/>
          <a:ext cx="0" cy="865015"/>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66</xdr:row>
      <xdr:rowOff>11953</xdr:rowOff>
    </xdr:from>
    <xdr:to>
      <xdr:col>16</xdr:col>
      <xdr:colOff>240637</xdr:colOff>
      <xdr:row>66</xdr:row>
      <xdr:rowOff>158840</xdr:rowOff>
    </xdr:to>
    <xdr:sp macro="" textlink="">
      <xdr:nvSpPr>
        <xdr:cNvPr id="129" name="Text Box 59"/>
        <xdr:cNvSpPr txBox="1">
          <a:spLocks noChangeArrowheads="1"/>
        </xdr:cNvSpPr>
      </xdr:nvSpPr>
      <xdr:spPr bwMode="auto">
        <a:xfrm>
          <a:off x="8393567" y="12918328"/>
          <a:ext cx="125777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64</xdr:row>
      <xdr:rowOff>5581</xdr:rowOff>
    </xdr:from>
    <xdr:to>
      <xdr:col>16</xdr:col>
      <xdr:colOff>239965</xdr:colOff>
      <xdr:row>64</xdr:row>
      <xdr:rowOff>152468</xdr:rowOff>
    </xdr:to>
    <xdr:sp macro="" textlink="">
      <xdr:nvSpPr>
        <xdr:cNvPr id="130" name="Text Box 64"/>
        <xdr:cNvSpPr txBox="1">
          <a:spLocks noChangeArrowheads="1"/>
        </xdr:cNvSpPr>
      </xdr:nvSpPr>
      <xdr:spPr bwMode="auto">
        <a:xfrm>
          <a:off x="8381331" y="12588106"/>
          <a:ext cx="1269334"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64</xdr:row>
      <xdr:rowOff>73592</xdr:rowOff>
    </xdr:from>
    <xdr:to>
      <xdr:col>12</xdr:col>
      <xdr:colOff>1104900</xdr:colOff>
      <xdr:row>64</xdr:row>
      <xdr:rowOff>76199</xdr:rowOff>
    </xdr:to>
    <xdr:sp macro="" textlink="">
      <xdr:nvSpPr>
        <xdr:cNvPr id="131" name="Line 65"/>
        <xdr:cNvSpPr>
          <a:spLocks noChangeShapeType="1"/>
        </xdr:cNvSpPr>
      </xdr:nvSpPr>
      <xdr:spPr bwMode="auto">
        <a:xfrm>
          <a:off x="6599024" y="12656117"/>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67</xdr:row>
      <xdr:rowOff>9988</xdr:rowOff>
    </xdr:from>
    <xdr:to>
      <xdr:col>11</xdr:col>
      <xdr:colOff>331131</xdr:colOff>
      <xdr:row>68</xdr:row>
      <xdr:rowOff>27214</xdr:rowOff>
    </xdr:to>
    <xdr:sp macro="" textlink="">
      <xdr:nvSpPr>
        <xdr:cNvPr id="132" name="Text Box 66"/>
        <xdr:cNvSpPr txBox="1">
          <a:spLocks noChangeArrowheads="1"/>
        </xdr:cNvSpPr>
      </xdr:nvSpPr>
      <xdr:spPr bwMode="auto">
        <a:xfrm>
          <a:off x="3114197" y="13078288"/>
          <a:ext cx="3208159" cy="179151"/>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66</xdr:row>
      <xdr:rowOff>85654</xdr:rowOff>
    </xdr:from>
    <xdr:to>
      <xdr:col>7</xdr:col>
      <xdr:colOff>242428</xdr:colOff>
      <xdr:row>68</xdr:row>
      <xdr:rowOff>108859</xdr:rowOff>
    </xdr:to>
    <xdr:sp macro="" textlink="">
      <xdr:nvSpPr>
        <xdr:cNvPr id="133" name="Line 67"/>
        <xdr:cNvSpPr>
          <a:spLocks noChangeShapeType="1"/>
        </xdr:cNvSpPr>
      </xdr:nvSpPr>
      <xdr:spPr bwMode="auto">
        <a:xfrm>
          <a:off x="3033253" y="12992029"/>
          <a:ext cx="0" cy="347055"/>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66</xdr:row>
      <xdr:rowOff>85651</xdr:rowOff>
    </xdr:from>
    <xdr:to>
      <xdr:col>12</xdr:col>
      <xdr:colOff>161925</xdr:colOff>
      <xdr:row>66</xdr:row>
      <xdr:rowOff>85724</xdr:rowOff>
    </xdr:to>
    <xdr:sp macro="" textlink="">
      <xdr:nvSpPr>
        <xdr:cNvPr id="134" name="Line 44"/>
        <xdr:cNvSpPr>
          <a:spLocks noChangeShapeType="1"/>
        </xdr:cNvSpPr>
      </xdr:nvSpPr>
      <xdr:spPr bwMode="auto">
        <a:xfrm flipH="1" flipV="1">
          <a:off x="1487904" y="12992026"/>
          <a:ext cx="5112921"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64</xdr:row>
      <xdr:rowOff>132883</xdr:rowOff>
    </xdr:from>
    <xdr:to>
      <xdr:col>11</xdr:col>
      <xdr:colOff>188095</xdr:colOff>
      <xdr:row>66</xdr:row>
      <xdr:rowOff>85652</xdr:rowOff>
    </xdr:to>
    <xdr:grpSp>
      <xdr:nvGrpSpPr>
        <xdr:cNvPr id="135" name="Group 134"/>
        <xdr:cNvGrpSpPr/>
      </xdr:nvGrpSpPr>
      <xdr:grpSpPr>
        <a:xfrm>
          <a:off x="4479858" y="13355824"/>
          <a:ext cx="2129208" cy="266534"/>
          <a:chOff x="6368609" y="12001033"/>
          <a:chExt cx="1344236" cy="276619"/>
        </a:xfrm>
      </xdr:grpSpPr>
      <xdr:sp macro="" textlink="">
        <xdr:nvSpPr>
          <xdr:cNvPr id="136"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7"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8"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139"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66</xdr:row>
      <xdr:rowOff>83117</xdr:rowOff>
    </xdr:from>
    <xdr:to>
      <xdr:col>12</xdr:col>
      <xdr:colOff>1104900</xdr:colOff>
      <xdr:row>66</xdr:row>
      <xdr:rowOff>85724</xdr:rowOff>
    </xdr:to>
    <xdr:sp macro="" textlink="">
      <xdr:nvSpPr>
        <xdr:cNvPr id="140" name="Line 65"/>
        <xdr:cNvSpPr>
          <a:spLocks noChangeShapeType="1"/>
        </xdr:cNvSpPr>
      </xdr:nvSpPr>
      <xdr:spPr bwMode="auto">
        <a:xfrm>
          <a:off x="6599024" y="129894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68</xdr:row>
      <xdr:rowOff>102167</xdr:rowOff>
    </xdr:from>
    <xdr:to>
      <xdr:col>12</xdr:col>
      <xdr:colOff>1104900</xdr:colOff>
      <xdr:row>68</xdr:row>
      <xdr:rowOff>104774</xdr:rowOff>
    </xdr:to>
    <xdr:sp macro="" textlink="">
      <xdr:nvSpPr>
        <xdr:cNvPr id="141" name="Line 65"/>
        <xdr:cNvSpPr>
          <a:spLocks noChangeShapeType="1"/>
        </xdr:cNvSpPr>
      </xdr:nvSpPr>
      <xdr:spPr bwMode="auto">
        <a:xfrm>
          <a:off x="6599024" y="133323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83</xdr:row>
      <xdr:rowOff>73592</xdr:rowOff>
    </xdr:from>
    <xdr:to>
      <xdr:col>12</xdr:col>
      <xdr:colOff>1104900</xdr:colOff>
      <xdr:row>83</xdr:row>
      <xdr:rowOff>76199</xdr:rowOff>
    </xdr:to>
    <xdr:sp macro="" textlink="">
      <xdr:nvSpPr>
        <xdr:cNvPr id="142" name="Line 65"/>
        <xdr:cNvSpPr>
          <a:spLocks noChangeShapeType="1"/>
        </xdr:cNvSpPr>
      </xdr:nvSpPr>
      <xdr:spPr bwMode="auto">
        <a:xfrm>
          <a:off x="6599024" y="157326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194315</xdr:colOff>
      <xdr:row>84</xdr:row>
      <xdr:rowOff>74384</xdr:rowOff>
    </xdr:from>
    <xdr:to>
      <xdr:col>12</xdr:col>
      <xdr:colOff>171450</xdr:colOff>
      <xdr:row>84</xdr:row>
      <xdr:rowOff>76199</xdr:rowOff>
    </xdr:to>
    <xdr:sp macro="" textlink="">
      <xdr:nvSpPr>
        <xdr:cNvPr id="143" name="Line 42"/>
        <xdr:cNvSpPr>
          <a:spLocks noChangeShapeType="1"/>
        </xdr:cNvSpPr>
      </xdr:nvSpPr>
      <xdr:spPr bwMode="auto">
        <a:xfrm>
          <a:off x="2089790" y="15733484"/>
          <a:ext cx="4520560"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75</xdr:row>
      <xdr:rowOff>34018</xdr:rowOff>
    </xdr:from>
    <xdr:to>
      <xdr:col>4</xdr:col>
      <xdr:colOff>120974</xdr:colOff>
      <xdr:row>85</xdr:row>
      <xdr:rowOff>136073</xdr:rowOff>
    </xdr:to>
    <xdr:sp macro="" textlink="">
      <xdr:nvSpPr>
        <xdr:cNvPr id="144" name="Line 58"/>
        <xdr:cNvSpPr>
          <a:spLocks noChangeShapeType="1"/>
        </xdr:cNvSpPr>
      </xdr:nvSpPr>
      <xdr:spPr bwMode="auto">
        <a:xfrm flipH="1">
          <a:off x="1568774" y="14397718"/>
          <a:ext cx="0" cy="155938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64</xdr:row>
      <xdr:rowOff>64068</xdr:rowOff>
    </xdr:from>
    <xdr:to>
      <xdr:col>12</xdr:col>
      <xdr:colOff>160818</xdr:colOff>
      <xdr:row>84</xdr:row>
      <xdr:rowOff>145597</xdr:rowOff>
    </xdr:to>
    <xdr:sp macro="" textlink="">
      <xdr:nvSpPr>
        <xdr:cNvPr id="145" name="Line 40"/>
        <xdr:cNvSpPr>
          <a:spLocks noChangeShapeType="1"/>
        </xdr:cNvSpPr>
      </xdr:nvSpPr>
      <xdr:spPr bwMode="auto">
        <a:xfrm>
          <a:off x="6599718" y="12646593"/>
          <a:ext cx="0" cy="332002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84</xdr:row>
      <xdr:rowOff>123825</xdr:rowOff>
    </xdr:from>
    <xdr:to>
      <xdr:col>12</xdr:col>
      <xdr:colOff>171451</xdr:colOff>
      <xdr:row>84</xdr:row>
      <xdr:rowOff>128571</xdr:rowOff>
    </xdr:to>
    <xdr:sp macro="" textlink="">
      <xdr:nvSpPr>
        <xdr:cNvPr id="146" name="Line 41"/>
        <xdr:cNvSpPr>
          <a:spLocks noChangeShapeType="1"/>
        </xdr:cNvSpPr>
      </xdr:nvSpPr>
      <xdr:spPr bwMode="auto">
        <a:xfrm flipV="1">
          <a:off x="687163" y="15944850"/>
          <a:ext cx="5923188"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61</xdr:row>
      <xdr:rowOff>25400</xdr:rowOff>
    </xdr:from>
    <xdr:to>
      <xdr:col>12</xdr:col>
      <xdr:colOff>161925</xdr:colOff>
      <xdr:row>64</xdr:row>
      <xdr:rowOff>66675</xdr:rowOff>
    </xdr:to>
    <xdr:sp macro="" textlink="">
      <xdr:nvSpPr>
        <xdr:cNvPr id="147" name="AutoShape 38"/>
        <xdr:cNvSpPr>
          <a:spLocks noChangeArrowheads="1"/>
        </xdr:cNvSpPr>
      </xdr:nvSpPr>
      <xdr:spPr bwMode="auto">
        <a:xfrm>
          <a:off x="657224" y="12122150"/>
          <a:ext cx="5943601" cy="527050"/>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64</xdr:row>
      <xdr:rowOff>83118</xdr:rowOff>
    </xdr:from>
    <xdr:to>
      <xdr:col>2</xdr:col>
      <xdr:colOff>678</xdr:colOff>
      <xdr:row>84</xdr:row>
      <xdr:rowOff>123825</xdr:rowOff>
    </xdr:to>
    <xdr:sp macro="" textlink="">
      <xdr:nvSpPr>
        <xdr:cNvPr id="148" name="Line 39"/>
        <xdr:cNvSpPr>
          <a:spLocks noChangeShapeType="1"/>
        </xdr:cNvSpPr>
      </xdr:nvSpPr>
      <xdr:spPr bwMode="auto">
        <a:xfrm flipH="1">
          <a:off x="666750" y="12665643"/>
          <a:ext cx="678" cy="327920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68</xdr:row>
      <xdr:rowOff>104491</xdr:rowOff>
    </xdr:from>
    <xdr:to>
      <xdr:col>12</xdr:col>
      <xdr:colOff>161925</xdr:colOff>
      <xdr:row>68</xdr:row>
      <xdr:rowOff>104774</xdr:rowOff>
    </xdr:to>
    <xdr:sp macro="" textlink="">
      <xdr:nvSpPr>
        <xdr:cNvPr id="149" name="Line 43"/>
        <xdr:cNvSpPr>
          <a:spLocks noChangeShapeType="1"/>
        </xdr:cNvSpPr>
      </xdr:nvSpPr>
      <xdr:spPr bwMode="auto">
        <a:xfrm flipH="1" flipV="1">
          <a:off x="2087769" y="13334716"/>
          <a:ext cx="4513056"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68</xdr:row>
      <xdr:rowOff>122464</xdr:rowOff>
    </xdr:from>
    <xdr:to>
      <xdr:col>9</xdr:col>
      <xdr:colOff>107545</xdr:colOff>
      <xdr:row>72</xdr:row>
      <xdr:rowOff>40821</xdr:rowOff>
    </xdr:to>
    <xdr:sp macro="" textlink="">
      <xdr:nvSpPr>
        <xdr:cNvPr id="150" name="Line 47"/>
        <xdr:cNvSpPr>
          <a:spLocks noChangeShapeType="1"/>
        </xdr:cNvSpPr>
      </xdr:nvSpPr>
      <xdr:spPr bwMode="auto">
        <a:xfrm>
          <a:off x="5155795" y="13352689"/>
          <a:ext cx="0" cy="56605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75</xdr:row>
      <xdr:rowOff>129267</xdr:rowOff>
    </xdr:from>
    <xdr:to>
      <xdr:col>9</xdr:col>
      <xdr:colOff>119108</xdr:colOff>
      <xdr:row>84</xdr:row>
      <xdr:rowOff>74838</xdr:rowOff>
    </xdr:to>
    <xdr:sp macro="" textlink="">
      <xdr:nvSpPr>
        <xdr:cNvPr id="151" name="Line 48"/>
        <xdr:cNvSpPr>
          <a:spLocks noChangeShapeType="1"/>
        </xdr:cNvSpPr>
      </xdr:nvSpPr>
      <xdr:spPr bwMode="auto">
        <a:xfrm>
          <a:off x="5167358" y="14492967"/>
          <a:ext cx="0" cy="124097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278220</xdr:colOff>
      <xdr:row>83</xdr:row>
      <xdr:rowOff>23762</xdr:rowOff>
    </xdr:from>
    <xdr:to>
      <xdr:col>16</xdr:col>
      <xdr:colOff>258973</xdr:colOff>
      <xdr:row>84</xdr:row>
      <xdr:rowOff>7363</xdr:rowOff>
    </xdr:to>
    <xdr:sp macro="" textlink="">
      <xdr:nvSpPr>
        <xdr:cNvPr id="152" name="Text Box 49"/>
        <xdr:cNvSpPr txBox="1">
          <a:spLocks noChangeArrowheads="1"/>
        </xdr:cNvSpPr>
      </xdr:nvSpPr>
      <xdr:spPr bwMode="auto">
        <a:xfrm>
          <a:off x="8682632" y="16429174"/>
          <a:ext cx="1202194"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68</xdr:row>
      <xdr:rowOff>3066</xdr:rowOff>
    </xdr:from>
    <xdr:to>
      <xdr:col>16</xdr:col>
      <xdr:colOff>74817</xdr:colOff>
      <xdr:row>68</xdr:row>
      <xdr:rowOff>149953</xdr:rowOff>
    </xdr:to>
    <xdr:sp macro="" textlink="">
      <xdr:nvSpPr>
        <xdr:cNvPr id="153" name="Text Box 53"/>
        <xdr:cNvSpPr txBox="1">
          <a:spLocks noChangeArrowheads="1"/>
        </xdr:cNvSpPr>
      </xdr:nvSpPr>
      <xdr:spPr bwMode="auto">
        <a:xfrm>
          <a:off x="8378072" y="13233291"/>
          <a:ext cx="110744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66</xdr:row>
      <xdr:rowOff>80211</xdr:rowOff>
    </xdr:from>
    <xdr:to>
      <xdr:col>4</xdr:col>
      <xdr:colOff>132537</xdr:colOff>
      <xdr:row>71</xdr:row>
      <xdr:rowOff>135601</xdr:rowOff>
    </xdr:to>
    <xdr:sp macro="" textlink="">
      <xdr:nvSpPr>
        <xdr:cNvPr id="154" name="Line 57"/>
        <xdr:cNvSpPr>
          <a:spLocks noChangeShapeType="1"/>
        </xdr:cNvSpPr>
      </xdr:nvSpPr>
      <xdr:spPr bwMode="auto">
        <a:xfrm>
          <a:off x="1580337" y="12986586"/>
          <a:ext cx="0" cy="865015"/>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66</xdr:row>
      <xdr:rowOff>11953</xdr:rowOff>
    </xdr:from>
    <xdr:to>
      <xdr:col>16</xdr:col>
      <xdr:colOff>240637</xdr:colOff>
      <xdr:row>66</xdr:row>
      <xdr:rowOff>158840</xdr:rowOff>
    </xdr:to>
    <xdr:sp macro="" textlink="">
      <xdr:nvSpPr>
        <xdr:cNvPr id="155" name="Text Box 59"/>
        <xdr:cNvSpPr txBox="1">
          <a:spLocks noChangeArrowheads="1"/>
        </xdr:cNvSpPr>
      </xdr:nvSpPr>
      <xdr:spPr bwMode="auto">
        <a:xfrm>
          <a:off x="8393567" y="12918328"/>
          <a:ext cx="125777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64</xdr:row>
      <xdr:rowOff>5581</xdr:rowOff>
    </xdr:from>
    <xdr:to>
      <xdr:col>16</xdr:col>
      <xdr:colOff>239965</xdr:colOff>
      <xdr:row>64</xdr:row>
      <xdr:rowOff>152468</xdr:rowOff>
    </xdr:to>
    <xdr:sp macro="" textlink="">
      <xdr:nvSpPr>
        <xdr:cNvPr id="156" name="Text Box 64"/>
        <xdr:cNvSpPr txBox="1">
          <a:spLocks noChangeArrowheads="1"/>
        </xdr:cNvSpPr>
      </xdr:nvSpPr>
      <xdr:spPr bwMode="auto">
        <a:xfrm>
          <a:off x="8381331" y="12588106"/>
          <a:ext cx="1269334"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64</xdr:row>
      <xdr:rowOff>73592</xdr:rowOff>
    </xdr:from>
    <xdr:to>
      <xdr:col>12</xdr:col>
      <xdr:colOff>1104900</xdr:colOff>
      <xdr:row>64</xdr:row>
      <xdr:rowOff>76199</xdr:rowOff>
    </xdr:to>
    <xdr:sp macro="" textlink="">
      <xdr:nvSpPr>
        <xdr:cNvPr id="157" name="Line 65"/>
        <xdr:cNvSpPr>
          <a:spLocks noChangeShapeType="1"/>
        </xdr:cNvSpPr>
      </xdr:nvSpPr>
      <xdr:spPr bwMode="auto">
        <a:xfrm>
          <a:off x="6599024" y="12656117"/>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67</xdr:row>
      <xdr:rowOff>9988</xdr:rowOff>
    </xdr:from>
    <xdr:to>
      <xdr:col>11</xdr:col>
      <xdr:colOff>331131</xdr:colOff>
      <xdr:row>68</xdr:row>
      <xdr:rowOff>27214</xdr:rowOff>
    </xdr:to>
    <xdr:sp macro="" textlink="">
      <xdr:nvSpPr>
        <xdr:cNvPr id="158" name="Text Box 66"/>
        <xdr:cNvSpPr txBox="1">
          <a:spLocks noChangeArrowheads="1"/>
        </xdr:cNvSpPr>
      </xdr:nvSpPr>
      <xdr:spPr bwMode="auto">
        <a:xfrm>
          <a:off x="3114197" y="13078288"/>
          <a:ext cx="3208159" cy="179151"/>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66</xdr:row>
      <xdr:rowOff>85654</xdr:rowOff>
    </xdr:from>
    <xdr:to>
      <xdr:col>7</xdr:col>
      <xdr:colOff>242428</xdr:colOff>
      <xdr:row>68</xdr:row>
      <xdr:rowOff>108859</xdr:rowOff>
    </xdr:to>
    <xdr:sp macro="" textlink="">
      <xdr:nvSpPr>
        <xdr:cNvPr id="159" name="Line 67"/>
        <xdr:cNvSpPr>
          <a:spLocks noChangeShapeType="1"/>
        </xdr:cNvSpPr>
      </xdr:nvSpPr>
      <xdr:spPr bwMode="auto">
        <a:xfrm>
          <a:off x="3033253" y="12992029"/>
          <a:ext cx="0" cy="347055"/>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66</xdr:row>
      <xdr:rowOff>85651</xdr:rowOff>
    </xdr:from>
    <xdr:to>
      <xdr:col>12</xdr:col>
      <xdr:colOff>161925</xdr:colOff>
      <xdr:row>66</xdr:row>
      <xdr:rowOff>85724</xdr:rowOff>
    </xdr:to>
    <xdr:sp macro="" textlink="">
      <xdr:nvSpPr>
        <xdr:cNvPr id="160" name="Line 44"/>
        <xdr:cNvSpPr>
          <a:spLocks noChangeShapeType="1"/>
        </xdr:cNvSpPr>
      </xdr:nvSpPr>
      <xdr:spPr bwMode="auto">
        <a:xfrm flipH="1" flipV="1">
          <a:off x="1487904" y="12992026"/>
          <a:ext cx="5112921"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64</xdr:row>
      <xdr:rowOff>132883</xdr:rowOff>
    </xdr:from>
    <xdr:to>
      <xdr:col>11</xdr:col>
      <xdr:colOff>188095</xdr:colOff>
      <xdr:row>66</xdr:row>
      <xdr:rowOff>85652</xdr:rowOff>
    </xdr:to>
    <xdr:grpSp>
      <xdr:nvGrpSpPr>
        <xdr:cNvPr id="161" name="Group 160"/>
        <xdr:cNvGrpSpPr/>
      </xdr:nvGrpSpPr>
      <xdr:grpSpPr>
        <a:xfrm>
          <a:off x="4479858" y="13355824"/>
          <a:ext cx="2129208" cy="266534"/>
          <a:chOff x="6368609" y="12001033"/>
          <a:chExt cx="1344236" cy="276619"/>
        </a:xfrm>
      </xdr:grpSpPr>
      <xdr:sp macro="" textlink="">
        <xdr:nvSpPr>
          <xdr:cNvPr id="162"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3"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4"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165"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66</xdr:row>
      <xdr:rowOff>83117</xdr:rowOff>
    </xdr:from>
    <xdr:to>
      <xdr:col>12</xdr:col>
      <xdr:colOff>1104900</xdr:colOff>
      <xdr:row>66</xdr:row>
      <xdr:rowOff>85724</xdr:rowOff>
    </xdr:to>
    <xdr:sp macro="" textlink="">
      <xdr:nvSpPr>
        <xdr:cNvPr id="166" name="Line 65"/>
        <xdr:cNvSpPr>
          <a:spLocks noChangeShapeType="1"/>
        </xdr:cNvSpPr>
      </xdr:nvSpPr>
      <xdr:spPr bwMode="auto">
        <a:xfrm>
          <a:off x="6599024" y="129894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68</xdr:row>
      <xdr:rowOff>102167</xdr:rowOff>
    </xdr:from>
    <xdr:to>
      <xdr:col>12</xdr:col>
      <xdr:colOff>1104900</xdr:colOff>
      <xdr:row>68</xdr:row>
      <xdr:rowOff>104774</xdr:rowOff>
    </xdr:to>
    <xdr:sp macro="" textlink="">
      <xdr:nvSpPr>
        <xdr:cNvPr id="167" name="Line 65"/>
        <xdr:cNvSpPr>
          <a:spLocks noChangeShapeType="1"/>
        </xdr:cNvSpPr>
      </xdr:nvSpPr>
      <xdr:spPr bwMode="auto">
        <a:xfrm>
          <a:off x="6599024" y="133323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83</xdr:row>
      <xdr:rowOff>73592</xdr:rowOff>
    </xdr:from>
    <xdr:to>
      <xdr:col>12</xdr:col>
      <xdr:colOff>1104900</xdr:colOff>
      <xdr:row>83</xdr:row>
      <xdr:rowOff>76199</xdr:rowOff>
    </xdr:to>
    <xdr:sp macro="" textlink="">
      <xdr:nvSpPr>
        <xdr:cNvPr id="168" name="Line 65"/>
        <xdr:cNvSpPr>
          <a:spLocks noChangeShapeType="1"/>
        </xdr:cNvSpPr>
      </xdr:nvSpPr>
      <xdr:spPr bwMode="auto">
        <a:xfrm>
          <a:off x="6599024" y="157326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194315</xdr:colOff>
      <xdr:row>84</xdr:row>
      <xdr:rowOff>74384</xdr:rowOff>
    </xdr:from>
    <xdr:to>
      <xdr:col>12</xdr:col>
      <xdr:colOff>171450</xdr:colOff>
      <xdr:row>84</xdr:row>
      <xdr:rowOff>76199</xdr:rowOff>
    </xdr:to>
    <xdr:sp macro="" textlink="">
      <xdr:nvSpPr>
        <xdr:cNvPr id="169" name="Line 42"/>
        <xdr:cNvSpPr>
          <a:spLocks noChangeShapeType="1"/>
        </xdr:cNvSpPr>
      </xdr:nvSpPr>
      <xdr:spPr bwMode="auto">
        <a:xfrm>
          <a:off x="2089790" y="15733484"/>
          <a:ext cx="4520560"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75</xdr:row>
      <xdr:rowOff>34018</xdr:rowOff>
    </xdr:from>
    <xdr:to>
      <xdr:col>4</xdr:col>
      <xdr:colOff>120974</xdr:colOff>
      <xdr:row>85</xdr:row>
      <xdr:rowOff>136073</xdr:rowOff>
    </xdr:to>
    <xdr:sp macro="" textlink="">
      <xdr:nvSpPr>
        <xdr:cNvPr id="170" name="Line 58"/>
        <xdr:cNvSpPr>
          <a:spLocks noChangeShapeType="1"/>
        </xdr:cNvSpPr>
      </xdr:nvSpPr>
      <xdr:spPr bwMode="auto">
        <a:xfrm flipH="1">
          <a:off x="1568774" y="14397718"/>
          <a:ext cx="0" cy="155938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64</xdr:row>
      <xdr:rowOff>64068</xdr:rowOff>
    </xdr:from>
    <xdr:to>
      <xdr:col>12</xdr:col>
      <xdr:colOff>160818</xdr:colOff>
      <xdr:row>84</xdr:row>
      <xdr:rowOff>145597</xdr:rowOff>
    </xdr:to>
    <xdr:sp macro="" textlink="">
      <xdr:nvSpPr>
        <xdr:cNvPr id="171" name="Line 40"/>
        <xdr:cNvSpPr>
          <a:spLocks noChangeShapeType="1"/>
        </xdr:cNvSpPr>
      </xdr:nvSpPr>
      <xdr:spPr bwMode="auto">
        <a:xfrm>
          <a:off x="6599718" y="12646593"/>
          <a:ext cx="0" cy="332002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84</xdr:row>
      <xdr:rowOff>123825</xdr:rowOff>
    </xdr:from>
    <xdr:to>
      <xdr:col>12</xdr:col>
      <xdr:colOff>171451</xdr:colOff>
      <xdr:row>84</xdr:row>
      <xdr:rowOff>128571</xdr:rowOff>
    </xdr:to>
    <xdr:sp macro="" textlink="">
      <xdr:nvSpPr>
        <xdr:cNvPr id="172" name="Line 41"/>
        <xdr:cNvSpPr>
          <a:spLocks noChangeShapeType="1"/>
        </xdr:cNvSpPr>
      </xdr:nvSpPr>
      <xdr:spPr bwMode="auto">
        <a:xfrm flipV="1">
          <a:off x="687163" y="15944850"/>
          <a:ext cx="5923188"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61</xdr:row>
      <xdr:rowOff>25400</xdr:rowOff>
    </xdr:from>
    <xdr:to>
      <xdr:col>12</xdr:col>
      <xdr:colOff>161925</xdr:colOff>
      <xdr:row>64</xdr:row>
      <xdr:rowOff>66675</xdr:rowOff>
    </xdr:to>
    <xdr:sp macro="" textlink="">
      <xdr:nvSpPr>
        <xdr:cNvPr id="173" name="AutoShape 38"/>
        <xdr:cNvSpPr>
          <a:spLocks noChangeArrowheads="1"/>
        </xdr:cNvSpPr>
      </xdr:nvSpPr>
      <xdr:spPr bwMode="auto">
        <a:xfrm>
          <a:off x="657224" y="12122150"/>
          <a:ext cx="5943601" cy="527050"/>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64</xdr:row>
      <xdr:rowOff>83118</xdr:rowOff>
    </xdr:from>
    <xdr:to>
      <xdr:col>2</xdr:col>
      <xdr:colOff>678</xdr:colOff>
      <xdr:row>84</xdr:row>
      <xdr:rowOff>123825</xdr:rowOff>
    </xdr:to>
    <xdr:sp macro="" textlink="">
      <xdr:nvSpPr>
        <xdr:cNvPr id="174" name="Line 39"/>
        <xdr:cNvSpPr>
          <a:spLocks noChangeShapeType="1"/>
        </xdr:cNvSpPr>
      </xdr:nvSpPr>
      <xdr:spPr bwMode="auto">
        <a:xfrm flipH="1">
          <a:off x="666750" y="12665643"/>
          <a:ext cx="678" cy="327920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68</xdr:row>
      <xdr:rowOff>104491</xdr:rowOff>
    </xdr:from>
    <xdr:to>
      <xdr:col>12</xdr:col>
      <xdr:colOff>161925</xdr:colOff>
      <xdr:row>68</xdr:row>
      <xdr:rowOff>104774</xdr:rowOff>
    </xdr:to>
    <xdr:sp macro="" textlink="">
      <xdr:nvSpPr>
        <xdr:cNvPr id="175" name="Line 43"/>
        <xdr:cNvSpPr>
          <a:spLocks noChangeShapeType="1"/>
        </xdr:cNvSpPr>
      </xdr:nvSpPr>
      <xdr:spPr bwMode="auto">
        <a:xfrm flipH="1" flipV="1">
          <a:off x="2087769" y="13334716"/>
          <a:ext cx="4513056"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68</xdr:row>
      <xdr:rowOff>122464</xdr:rowOff>
    </xdr:from>
    <xdr:to>
      <xdr:col>9</xdr:col>
      <xdr:colOff>107545</xdr:colOff>
      <xdr:row>72</xdr:row>
      <xdr:rowOff>40821</xdr:rowOff>
    </xdr:to>
    <xdr:sp macro="" textlink="">
      <xdr:nvSpPr>
        <xdr:cNvPr id="176" name="Line 47"/>
        <xdr:cNvSpPr>
          <a:spLocks noChangeShapeType="1"/>
        </xdr:cNvSpPr>
      </xdr:nvSpPr>
      <xdr:spPr bwMode="auto">
        <a:xfrm>
          <a:off x="5155795" y="13352689"/>
          <a:ext cx="0" cy="56605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75</xdr:row>
      <xdr:rowOff>129267</xdr:rowOff>
    </xdr:from>
    <xdr:to>
      <xdr:col>9</xdr:col>
      <xdr:colOff>119108</xdr:colOff>
      <xdr:row>84</xdr:row>
      <xdr:rowOff>74838</xdr:rowOff>
    </xdr:to>
    <xdr:sp macro="" textlink="">
      <xdr:nvSpPr>
        <xdr:cNvPr id="177" name="Line 48"/>
        <xdr:cNvSpPr>
          <a:spLocks noChangeShapeType="1"/>
        </xdr:cNvSpPr>
      </xdr:nvSpPr>
      <xdr:spPr bwMode="auto">
        <a:xfrm>
          <a:off x="5167358" y="14492967"/>
          <a:ext cx="0" cy="124097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278220</xdr:colOff>
      <xdr:row>83</xdr:row>
      <xdr:rowOff>23762</xdr:rowOff>
    </xdr:from>
    <xdr:to>
      <xdr:col>16</xdr:col>
      <xdr:colOff>258973</xdr:colOff>
      <xdr:row>84</xdr:row>
      <xdr:rowOff>7363</xdr:rowOff>
    </xdr:to>
    <xdr:sp macro="" textlink="">
      <xdr:nvSpPr>
        <xdr:cNvPr id="178" name="Text Box 49"/>
        <xdr:cNvSpPr txBox="1">
          <a:spLocks noChangeArrowheads="1"/>
        </xdr:cNvSpPr>
      </xdr:nvSpPr>
      <xdr:spPr bwMode="auto">
        <a:xfrm>
          <a:off x="8682632" y="16429174"/>
          <a:ext cx="1202194"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68</xdr:row>
      <xdr:rowOff>3066</xdr:rowOff>
    </xdr:from>
    <xdr:to>
      <xdr:col>16</xdr:col>
      <xdr:colOff>74817</xdr:colOff>
      <xdr:row>68</xdr:row>
      <xdr:rowOff>149953</xdr:rowOff>
    </xdr:to>
    <xdr:sp macro="" textlink="">
      <xdr:nvSpPr>
        <xdr:cNvPr id="179" name="Text Box 53"/>
        <xdr:cNvSpPr txBox="1">
          <a:spLocks noChangeArrowheads="1"/>
        </xdr:cNvSpPr>
      </xdr:nvSpPr>
      <xdr:spPr bwMode="auto">
        <a:xfrm>
          <a:off x="8378072" y="13233291"/>
          <a:ext cx="110744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66</xdr:row>
      <xdr:rowOff>80211</xdr:rowOff>
    </xdr:from>
    <xdr:to>
      <xdr:col>4</xdr:col>
      <xdr:colOff>132537</xdr:colOff>
      <xdr:row>71</xdr:row>
      <xdr:rowOff>135601</xdr:rowOff>
    </xdr:to>
    <xdr:sp macro="" textlink="">
      <xdr:nvSpPr>
        <xdr:cNvPr id="180" name="Line 57"/>
        <xdr:cNvSpPr>
          <a:spLocks noChangeShapeType="1"/>
        </xdr:cNvSpPr>
      </xdr:nvSpPr>
      <xdr:spPr bwMode="auto">
        <a:xfrm>
          <a:off x="1580337" y="12986586"/>
          <a:ext cx="0" cy="865015"/>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66</xdr:row>
      <xdr:rowOff>11953</xdr:rowOff>
    </xdr:from>
    <xdr:to>
      <xdr:col>16</xdr:col>
      <xdr:colOff>240637</xdr:colOff>
      <xdr:row>66</xdr:row>
      <xdr:rowOff>158840</xdr:rowOff>
    </xdr:to>
    <xdr:sp macro="" textlink="">
      <xdr:nvSpPr>
        <xdr:cNvPr id="181" name="Text Box 59"/>
        <xdr:cNvSpPr txBox="1">
          <a:spLocks noChangeArrowheads="1"/>
        </xdr:cNvSpPr>
      </xdr:nvSpPr>
      <xdr:spPr bwMode="auto">
        <a:xfrm>
          <a:off x="8393567" y="12918328"/>
          <a:ext cx="125777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64</xdr:row>
      <xdr:rowOff>5581</xdr:rowOff>
    </xdr:from>
    <xdr:to>
      <xdr:col>16</xdr:col>
      <xdr:colOff>239965</xdr:colOff>
      <xdr:row>64</xdr:row>
      <xdr:rowOff>152468</xdr:rowOff>
    </xdr:to>
    <xdr:sp macro="" textlink="">
      <xdr:nvSpPr>
        <xdr:cNvPr id="182" name="Text Box 64"/>
        <xdr:cNvSpPr txBox="1">
          <a:spLocks noChangeArrowheads="1"/>
        </xdr:cNvSpPr>
      </xdr:nvSpPr>
      <xdr:spPr bwMode="auto">
        <a:xfrm>
          <a:off x="8381331" y="12588106"/>
          <a:ext cx="1269334"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64</xdr:row>
      <xdr:rowOff>73592</xdr:rowOff>
    </xdr:from>
    <xdr:to>
      <xdr:col>12</xdr:col>
      <xdr:colOff>1104900</xdr:colOff>
      <xdr:row>64</xdr:row>
      <xdr:rowOff>76199</xdr:rowOff>
    </xdr:to>
    <xdr:sp macro="" textlink="">
      <xdr:nvSpPr>
        <xdr:cNvPr id="183" name="Line 65"/>
        <xdr:cNvSpPr>
          <a:spLocks noChangeShapeType="1"/>
        </xdr:cNvSpPr>
      </xdr:nvSpPr>
      <xdr:spPr bwMode="auto">
        <a:xfrm>
          <a:off x="6599024" y="12656117"/>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67</xdr:row>
      <xdr:rowOff>9988</xdr:rowOff>
    </xdr:from>
    <xdr:to>
      <xdr:col>11</xdr:col>
      <xdr:colOff>331131</xdr:colOff>
      <xdr:row>68</xdr:row>
      <xdr:rowOff>27214</xdr:rowOff>
    </xdr:to>
    <xdr:sp macro="" textlink="">
      <xdr:nvSpPr>
        <xdr:cNvPr id="184" name="Text Box 66"/>
        <xdr:cNvSpPr txBox="1">
          <a:spLocks noChangeArrowheads="1"/>
        </xdr:cNvSpPr>
      </xdr:nvSpPr>
      <xdr:spPr bwMode="auto">
        <a:xfrm>
          <a:off x="3114197" y="13078288"/>
          <a:ext cx="3208159" cy="179151"/>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66</xdr:row>
      <xdr:rowOff>85654</xdr:rowOff>
    </xdr:from>
    <xdr:to>
      <xdr:col>7</xdr:col>
      <xdr:colOff>242428</xdr:colOff>
      <xdr:row>68</xdr:row>
      <xdr:rowOff>108859</xdr:rowOff>
    </xdr:to>
    <xdr:sp macro="" textlink="">
      <xdr:nvSpPr>
        <xdr:cNvPr id="185" name="Line 67"/>
        <xdr:cNvSpPr>
          <a:spLocks noChangeShapeType="1"/>
        </xdr:cNvSpPr>
      </xdr:nvSpPr>
      <xdr:spPr bwMode="auto">
        <a:xfrm>
          <a:off x="3033253" y="12992029"/>
          <a:ext cx="0" cy="347055"/>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66</xdr:row>
      <xdr:rowOff>85651</xdr:rowOff>
    </xdr:from>
    <xdr:to>
      <xdr:col>12</xdr:col>
      <xdr:colOff>161925</xdr:colOff>
      <xdr:row>66</xdr:row>
      <xdr:rowOff>85724</xdr:rowOff>
    </xdr:to>
    <xdr:sp macro="" textlink="">
      <xdr:nvSpPr>
        <xdr:cNvPr id="186" name="Line 44"/>
        <xdr:cNvSpPr>
          <a:spLocks noChangeShapeType="1"/>
        </xdr:cNvSpPr>
      </xdr:nvSpPr>
      <xdr:spPr bwMode="auto">
        <a:xfrm flipH="1" flipV="1">
          <a:off x="1487904" y="12992026"/>
          <a:ext cx="5112921"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64</xdr:row>
      <xdr:rowOff>132883</xdr:rowOff>
    </xdr:from>
    <xdr:to>
      <xdr:col>11</xdr:col>
      <xdr:colOff>188095</xdr:colOff>
      <xdr:row>66</xdr:row>
      <xdr:rowOff>85652</xdr:rowOff>
    </xdr:to>
    <xdr:grpSp>
      <xdr:nvGrpSpPr>
        <xdr:cNvPr id="187" name="Group 186"/>
        <xdr:cNvGrpSpPr/>
      </xdr:nvGrpSpPr>
      <xdr:grpSpPr>
        <a:xfrm>
          <a:off x="4479858" y="13355824"/>
          <a:ext cx="2129208" cy="266534"/>
          <a:chOff x="6368609" y="12001033"/>
          <a:chExt cx="1344236" cy="276619"/>
        </a:xfrm>
      </xdr:grpSpPr>
      <xdr:sp macro="" textlink="">
        <xdr:nvSpPr>
          <xdr:cNvPr id="188"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9"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90"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191"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66</xdr:row>
      <xdr:rowOff>83117</xdr:rowOff>
    </xdr:from>
    <xdr:to>
      <xdr:col>12</xdr:col>
      <xdr:colOff>1104900</xdr:colOff>
      <xdr:row>66</xdr:row>
      <xdr:rowOff>85724</xdr:rowOff>
    </xdr:to>
    <xdr:sp macro="" textlink="">
      <xdr:nvSpPr>
        <xdr:cNvPr id="192" name="Line 65"/>
        <xdr:cNvSpPr>
          <a:spLocks noChangeShapeType="1"/>
        </xdr:cNvSpPr>
      </xdr:nvSpPr>
      <xdr:spPr bwMode="auto">
        <a:xfrm>
          <a:off x="6599024" y="129894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68</xdr:row>
      <xdr:rowOff>102167</xdr:rowOff>
    </xdr:from>
    <xdr:to>
      <xdr:col>12</xdr:col>
      <xdr:colOff>1104900</xdr:colOff>
      <xdr:row>68</xdr:row>
      <xdr:rowOff>104774</xdr:rowOff>
    </xdr:to>
    <xdr:sp macro="" textlink="">
      <xdr:nvSpPr>
        <xdr:cNvPr id="193" name="Line 65"/>
        <xdr:cNvSpPr>
          <a:spLocks noChangeShapeType="1"/>
        </xdr:cNvSpPr>
      </xdr:nvSpPr>
      <xdr:spPr bwMode="auto">
        <a:xfrm>
          <a:off x="6599024" y="133323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83</xdr:row>
      <xdr:rowOff>73592</xdr:rowOff>
    </xdr:from>
    <xdr:to>
      <xdr:col>12</xdr:col>
      <xdr:colOff>1104900</xdr:colOff>
      <xdr:row>83</xdr:row>
      <xdr:rowOff>76199</xdr:rowOff>
    </xdr:to>
    <xdr:sp macro="" textlink="">
      <xdr:nvSpPr>
        <xdr:cNvPr id="194" name="Line 65"/>
        <xdr:cNvSpPr>
          <a:spLocks noChangeShapeType="1"/>
        </xdr:cNvSpPr>
      </xdr:nvSpPr>
      <xdr:spPr bwMode="auto">
        <a:xfrm>
          <a:off x="6599024" y="157326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194315</xdr:colOff>
      <xdr:row>84</xdr:row>
      <xdr:rowOff>74384</xdr:rowOff>
    </xdr:from>
    <xdr:to>
      <xdr:col>12</xdr:col>
      <xdr:colOff>171450</xdr:colOff>
      <xdr:row>84</xdr:row>
      <xdr:rowOff>76199</xdr:rowOff>
    </xdr:to>
    <xdr:sp macro="" textlink="">
      <xdr:nvSpPr>
        <xdr:cNvPr id="195" name="Line 42"/>
        <xdr:cNvSpPr>
          <a:spLocks noChangeShapeType="1"/>
        </xdr:cNvSpPr>
      </xdr:nvSpPr>
      <xdr:spPr bwMode="auto">
        <a:xfrm>
          <a:off x="2089790" y="15733484"/>
          <a:ext cx="4520560"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75</xdr:row>
      <xdr:rowOff>34018</xdr:rowOff>
    </xdr:from>
    <xdr:to>
      <xdr:col>4</xdr:col>
      <xdr:colOff>120974</xdr:colOff>
      <xdr:row>85</xdr:row>
      <xdr:rowOff>136073</xdr:rowOff>
    </xdr:to>
    <xdr:sp macro="" textlink="">
      <xdr:nvSpPr>
        <xdr:cNvPr id="196" name="Line 58"/>
        <xdr:cNvSpPr>
          <a:spLocks noChangeShapeType="1"/>
        </xdr:cNvSpPr>
      </xdr:nvSpPr>
      <xdr:spPr bwMode="auto">
        <a:xfrm flipH="1">
          <a:off x="1568774" y="14397718"/>
          <a:ext cx="0" cy="155938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64</xdr:row>
      <xdr:rowOff>64068</xdr:rowOff>
    </xdr:from>
    <xdr:to>
      <xdr:col>12</xdr:col>
      <xdr:colOff>160818</xdr:colOff>
      <xdr:row>84</xdr:row>
      <xdr:rowOff>145597</xdr:rowOff>
    </xdr:to>
    <xdr:sp macro="" textlink="">
      <xdr:nvSpPr>
        <xdr:cNvPr id="197" name="Line 40"/>
        <xdr:cNvSpPr>
          <a:spLocks noChangeShapeType="1"/>
        </xdr:cNvSpPr>
      </xdr:nvSpPr>
      <xdr:spPr bwMode="auto">
        <a:xfrm>
          <a:off x="6599718" y="12646593"/>
          <a:ext cx="0" cy="332002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84</xdr:row>
      <xdr:rowOff>123825</xdr:rowOff>
    </xdr:from>
    <xdr:to>
      <xdr:col>12</xdr:col>
      <xdr:colOff>171451</xdr:colOff>
      <xdr:row>84</xdr:row>
      <xdr:rowOff>128571</xdr:rowOff>
    </xdr:to>
    <xdr:sp macro="" textlink="">
      <xdr:nvSpPr>
        <xdr:cNvPr id="198" name="Line 41"/>
        <xdr:cNvSpPr>
          <a:spLocks noChangeShapeType="1"/>
        </xdr:cNvSpPr>
      </xdr:nvSpPr>
      <xdr:spPr bwMode="auto">
        <a:xfrm flipV="1">
          <a:off x="687163" y="15944850"/>
          <a:ext cx="5923188"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61</xdr:row>
      <xdr:rowOff>25400</xdr:rowOff>
    </xdr:from>
    <xdr:to>
      <xdr:col>12</xdr:col>
      <xdr:colOff>161925</xdr:colOff>
      <xdr:row>64</xdr:row>
      <xdr:rowOff>66675</xdr:rowOff>
    </xdr:to>
    <xdr:sp macro="" textlink="">
      <xdr:nvSpPr>
        <xdr:cNvPr id="199" name="AutoShape 38"/>
        <xdr:cNvSpPr>
          <a:spLocks noChangeArrowheads="1"/>
        </xdr:cNvSpPr>
      </xdr:nvSpPr>
      <xdr:spPr bwMode="auto">
        <a:xfrm>
          <a:off x="657224" y="12122150"/>
          <a:ext cx="5943601" cy="527050"/>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64</xdr:row>
      <xdr:rowOff>83118</xdr:rowOff>
    </xdr:from>
    <xdr:to>
      <xdr:col>2</xdr:col>
      <xdr:colOff>678</xdr:colOff>
      <xdr:row>84</xdr:row>
      <xdr:rowOff>123825</xdr:rowOff>
    </xdr:to>
    <xdr:sp macro="" textlink="">
      <xdr:nvSpPr>
        <xdr:cNvPr id="200" name="Line 39"/>
        <xdr:cNvSpPr>
          <a:spLocks noChangeShapeType="1"/>
        </xdr:cNvSpPr>
      </xdr:nvSpPr>
      <xdr:spPr bwMode="auto">
        <a:xfrm flipH="1">
          <a:off x="666750" y="12665643"/>
          <a:ext cx="678" cy="327920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68</xdr:row>
      <xdr:rowOff>104491</xdr:rowOff>
    </xdr:from>
    <xdr:to>
      <xdr:col>12</xdr:col>
      <xdr:colOff>161925</xdr:colOff>
      <xdr:row>68</xdr:row>
      <xdr:rowOff>104774</xdr:rowOff>
    </xdr:to>
    <xdr:sp macro="" textlink="">
      <xdr:nvSpPr>
        <xdr:cNvPr id="201" name="Line 43"/>
        <xdr:cNvSpPr>
          <a:spLocks noChangeShapeType="1"/>
        </xdr:cNvSpPr>
      </xdr:nvSpPr>
      <xdr:spPr bwMode="auto">
        <a:xfrm flipH="1" flipV="1">
          <a:off x="2087769" y="13334716"/>
          <a:ext cx="4513056"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68</xdr:row>
      <xdr:rowOff>122464</xdr:rowOff>
    </xdr:from>
    <xdr:to>
      <xdr:col>9</xdr:col>
      <xdr:colOff>107545</xdr:colOff>
      <xdr:row>72</xdr:row>
      <xdr:rowOff>40821</xdr:rowOff>
    </xdr:to>
    <xdr:sp macro="" textlink="">
      <xdr:nvSpPr>
        <xdr:cNvPr id="202" name="Line 47"/>
        <xdr:cNvSpPr>
          <a:spLocks noChangeShapeType="1"/>
        </xdr:cNvSpPr>
      </xdr:nvSpPr>
      <xdr:spPr bwMode="auto">
        <a:xfrm>
          <a:off x="5155795" y="13352689"/>
          <a:ext cx="0" cy="56605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75</xdr:row>
      <xdr:rowOff>129267</xdr:rowOff>
    </xdr:from>
    <xdr:to>
      <xdr:col>9</xdr:col>
      <xdr:colOff>119108</xdr:colOff>
      <xdr:row>84</xdr:row>
      <xdr:rowOff>74838</xdr:rowOff>
    </xdr:to>
    <xdr:sp macro="" textlink="">
      <xdr:nvSpPr>
        <xdr:cNvPr id="203" name="Line 48"/>
        <xdr:cNvSpPr>
          <a:spLocks noChangeShapeType="1"/>
        </xdr:cNvSpPr>
      </xdr:nvSpPr>
      <xdr:spPr bwMode="auto">
        <a:xfrm>
          <a:off x="5167358" y="14492967"/>
          <a:ext cx="0" cy="124097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278220</xdr:colOff>
      <xdr:row>83</xdr:row>
      <xdr:rowOff>23762</xdr:rowOff>
    </xdr:from>
    <xdr:to>
      <xdr:col>16</xdr:col>
      <xdr:colOff>258973</xdr:colOff>
      <xdr:row>84</xdr:row>
      <xdr:rowOff>7363</xdr:rowOff>
    </xdr:to>
    <xdr:sp macro="" textlink="">
      <xdr:nvSpPr>
        <xdr:cNvPr id="204" name="Text Box 49"/>
        <xdr:cNvSpPr txBox="1">
          <a:spLocks noChangeArrowheads="1"/>
        </xdr:cNvSpPr>
      </xdr:nvSpPr>
      <xdr:spPr bwMode="auto">
        <a:xfrm>
          <a:off x="8682632" y="16429174"/>
          <a:ext cx="1202194"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68</xdr:row>
      <xdr:rowOff>3066</xdr:rowOff>
    </xdr:from>
    <xdr:to>
      <xdr:col>16</xdr:col>
      <xdr:colOff>74817</xdr:colOff>
      <xdr:row>68</xdr:row>
      <xdr:rowOff>149953</xdr:rowOff>
    </xdr:to>
    <xdr:sp macro="" textlink="">
      <xdr:nvSpPr>
        <xdr:cNvPr id="205" name="Text Box 53"/>
        <xdr:cNvSpPr txBox="1">
          <a:spLocks noChangeArrowheads="1"/>
        </xdr:cNvSpPr>
      </xdr:nvSpPr>
      <xdr:spPr bwMode="auto">
        <a:xfrm>
          <a:off x="8378072" y="13233291"/>
          <a:ext cx="110744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66</xdr:row>
      <xdr:rowOff>80211</xdr:rowOff>
    </xdr:from>
    <xdr:to>
      <xdr:col>4</xdr:col>
      <xdr:colOff>132537</xdr:colOff>
      <xdr:row>71</xdr:row>
      <xdr:rowOff>135601</xdr:rowOff>
    </xdr:to>
    <xdr:sp macro="" textlink="">
      <xdr:nvSpPr>
        <xdr:cNvPr id="206" name="Line 57"/>
        <xdr:cNvSpPr>
          <a:spLocks noChangeShapeType="1"/>
        </xdr:cNvSpPr>
      </xdr:nvSpPr>
      <xdr:spPr bwMode="auto">
        <a:xfrm>
          <a:off x="1580337" y="12986586"/>
          <a:ext cx="0" cy="865015"/>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66</xdr:row>
      <xdr:rowOff>11953</xdr:rowOff>
    </xdr:from>
    <xdr:to>
      <xdr:col>16</xdr:col>
      <xdr:colOff>240637</xdr:colOff>
      <xdr:row>66</xdr:row>
      <xdr:rowOff>158840</xdr:rowOff>
    </xdr:to>
    <xdr:sp macro="" textlink="">
      <xdr:nvSpPr>
        <xdr:cNvPr id="207" name="Text Box 59"/>
        <xdr:cNvSpPr txBox="1">
          <a:spLocks noChangeArrowheads="1"/>
        </xdr:cNvSpPr>
      </xdr:nvSpPr>
      <xdr:spPr bwMode="auto">
        <a:xfrm>
          <a:off x="8393567" y="12918328"/>
          <a:ext cx="125777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64</xdr:row>
      <xdr:rowOff>5581</xdr:rowOff>
    </xdr:from>
    <xdr:to>
      <xdr:col>16</xdr:col>
      <xdr:colOff>239965</xdr:colOff>
      <xdr:row>64</xdr:row>
      <xdr:rowOff>152468</xdr:rowOff>
    </xdr:to>
    <xdr:sp macro="" textlink="">
      <xdr:nvSpPr>
        <xdr:cNvPr id="208" name="Text Box 64"/>
        <xdr:cNvSpPr txBox="1">
          <a:spLocks noChangeArrowheads="1"/>
        </xdr:cNvSpPr>
      </xdr:nvSpPr>
      <xdr:spPr bwMode="auto">
        <a:xfrm>
          <a:off x="8381331" y="12588106"/>
          <a:ext cx="1269334"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64</xdr:row>
      <xdr:rowOff>73592</xdr:rowOff>
    </xdr:from>
    <xdr:to>
      <xdr:col>12</xdr:col>
      <xdr:colOff>1104900</xdr:colOff>
      <xdr:row>64</xdr:row>
      <xdr:rowOff>76199</xdr:rowOff>
    </xdr:to>
    <xdr:sp macro="" textlink="">
      <xdr:nvSpPr>
        <xdr:cNvPr id="209" name="Line 65"/>
        <xdr:cNvSpPr>
          <a:spLocks noChangeShapeType="1"/>
        </xdr:cNvSpPr>
      </xdr:nvSpPr>
      <xdr:spPr bwMode="auto">
        <a:xfrm>
          <a:off x="6599024" y="12656117"/>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67</xdr:row>
      <xdr:rowOff>9988</xdr:rowOff>
    </xdr:from>
    <xdr:to>
      <xdr:col>11</xdr:col>
      <xdr:colOff>331131</xdr:colOff>
      <xdr:row>68</xdr:row>
      <xdr:rowOff>27214</xdr:rowOff>
    </xdr:to>
    <xdr:sp macro="" textlink="">
      <xdr:nvSpPr>
        <xdr:cNvPr id="210" name="Text Box 66"/>
        <xdr:cNvSpPr txBox="1">
          <a:spLocks noChangeArrowheads="1"/>
        </xdr:cNvSpPr>
      </xdr:nvSpPr>
      <xdr:spPr bwMode="auto">
        <a:xfrm>
          <a:off x="3114197" y="13078288"/>
          <a:ext cx="3208159" cy="179151"/>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66</xdr:row>
      <xdr:rowOff>85654</xdr:rowOff>
    </xdr:from>
    <xdr:to>
      <xdr:col>7</xdr:col>
      <xdr:colOff>242428</xdr:colOff>
      <xdr:row>68</xdr:row>
      <xdr:rowOff>108859</xdr:rowOff>
    </xdr:to>
    <xdr:sp macro="" textlink="">
      <xdr:nvSpPr>
        <xdr:cNvPr id="211" name="Line 67"/>
        <xdr:cNvSpPr>
          <a:spLocks noChangeShapeType="1"/>
        </xdr:cNvSpPr>
      </xdr:nvSpPr>
      <xdr:spPr bwMode="auto">
        <a:xfrm>
          <a:off x="3033253" y="12992029"/>
          <a:ext cx="0" cy="347055"/>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66</xdr:row>
      <xdr:rowOff>85651</xdr:rowOff>
    </xdr:from>
    <xdr:to>
      <xdr:col>12</xdr:col>
      <xdr:colOff>161925</xdr:colOff>
      <xdr:row>66</xdr:row>
      <xdr:rowOff>85724</xdr:rowOff>
    </xdr:to>
    <xdr:sp macro="" textlink="">
      <xdr:nvSpPr>
        <xdr:cNvPr id="212" name="Line 44"/>
        <xdr:cNvSpPr>
          <a:spLocks noChangeShapeType="1"/>
        </xdr:cNvSpPr>
      </xdr:nvSpPr>
      <xdr:spPr bwMode="auto">
        <a:xfrm flipH="1" flipV="1">
          <a:off x="1487904" y="12992026"/>
          <a:ext cx="5112921"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64</xdr:row>
      <xdr:rowOff>132883</xdr:rowOff>
    </xdr:from>
    <xdr:to>
      <xdr:col>11</xdr:col>
      <xdr:colOff>188095</xdr:colOff>
      <xdr:row>66</xdr:row>
      <xdr:rowOff>85652</xdr:rowOff>
    </xdr:to>
    <xdr:grpSp>
      <xdr:nvGrpSpPr>
        <xdr:cNvPr id="213" name="Group 212"/>
        <xdr:cNvGrpSpPr/>
      </xdr:nvGrpSpPr>
      <xdr:grpSpPr>
        <a:xfrm>
          <a:off x="4479858" y="13355824"/>
          <a:ext cx="2129208" cy="266534"/>
          <a:chOff x="6368609" y="12001033"/>
          <a:chExt cx="1344236" cy="276619"/>
        </a:xfrm>
      </xdr:grpSpPr>
      <xdr:sp macro="" textlink="">
        <xdr:nvSpPr>
          <xdr:cNvPr id="214"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5"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6"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217"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66</xdr:row>
      <xdr:rowOff>83117</xdr:rowOff>
    </xdr:from>
    <xdr:to>
      <xdr:col>12</xdr:col>
      <xdr:colOff>1104900</xdr:colOff>
      <xdr:row>66</xdr:row>
      <xdr:rowOff>85724</xdr:rowOff>
    </xdr:to>
    <xdr:sp macro="" textlink="">
      <xdr:nvSpPr>
        <xdr:cNvPr id="218" name="Line 65"/>
        <xdr:cNvSpPr>
          <a:spLocks noChangeShapeType="1"/>
        </xdr:cNvSpPr>
      </xdr:nvSpPr>
      <xdr:spPr bwMode="auto">
        <a:xfrm>
          <a:off x="6599024" y="129894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68</xdr:row>
      <xdr:rowOff>102167</xdr:rowOff>
    </xdr:from>
    <xdr:to>
      <xdr:col>12</xdr:col>
      <xdr:colOff>1104900</xdr:colOff>
      <xdr:row>68</xdr:row>
      <xdr:rowOff>104774</xdr:rowOff>
    </xdr:to>
    <xdr:sp macro="" textlink="">
      <xdr:nvSpPr>
        <xdr:cNvPr id="219" name="Line 65"/>
        <xdr:cNvSpPr>
          <a:spLocks noChangeShapeType="1"/>
        </xdr:cNvSpPr>
      </xdr:nvSpPr>
      <xdr:spPr bwMode="auto">
        <a:xfrm>
          <a:off x="6599024" y="133323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83</xdr:row>
      <xdr:rowOff>73592</xdr:rowOff>
    </xdr:from>
    <xdr:to>
      <xdr:col>12</xdr:col>
      <xdr:colOff>1104900</xdr:colOff>
      <xdr:row>83</xdr:row>
      <xdr:rowOff>76199</xdr:rowOff>
    </xdr:to>
    <xdr:sp macro="" textlink="">
      <xdr:nvSpPr>
        <xdr:cNvPr id="220" name="Line 65"/>
        <xdr:cNvSpPr>
          <a:spLocks noChangeShapeType="1"/>
        </xdr:cNvSpPr>
      </xdr:nvSpPr>
      <xdr:spPr bwMode="auto">
        <a:xfrm>
          <a:off x="6599024" y="157326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194315</xdr:colOff>
      <xdr:row>84</xdr:row>
      <xdr:rowOff>74384</xdr:rowOff>
    </xdr:from>
    <xdr:to>
      <xdr:col>12</xdr:col>
      <xdr:colOff>171450</xdr:colOff>
      <xdr:row>84</xdr:row>
      <xdr:rowOff>76199</xdr:rowOff>
    </xdr:to>
    <xdr:sp macro="" textlink="">
      <xdr:nvSpPr>
        <xdr:cNvPr id="221" name="Line 42"/>
        <xdr:cNvSpPr>
          <a:spLocks noChangeShapeType="1"/>
        </xdr:cNvSpPr>
      </xdr:nvSpPr>
      <xdr:spPr bwMode="auto">
        <a:xfrm>
          <a:off x="2089790" y="15733484"/>
          <a:ext cx="4520560"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75</xdr:row>
      <xdr:rowOff>34018</xdr:rowOff>
    </xdr:from>
    <xdr:to>
      <xdr:col>4</xdr:col>
      <xdr:colOff>120974</xdr:colOff>
      <xdr:row>85</xdr:row>
      <xdr:rowOff>136073</xdr:rowOff>
    </xdr:to>
    <xdr:sp macro="" textlink="">
      <xdr:nvSpPr>
        <xdr:cNvPr id="222" name="Line 58"/>
        <xdr:cNvSpPr>
          <a:spLocks noChangeShapeType="1"/>
        </xdr:cNvSpPr>
      </xdr:nvSpPr>
      <xdr:spPr bwMode="auto">
        <a:xfrm flipH="1">
          <a:off x="1568774" y="14397718"/>
          <a:ext cx="0" cy="155938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64</xdr:row>
      <xdr:rowOff>64068</xdr:rowOff>
    </xdr:from>
    <xdr:to>
      <xdr:col>12</xdr:col>
      <xdr:colOff>160818</xdr:colOff>
      <xdr:row>84</xdr:row>
      <xdr:rowOff>145597</xdr:rowOff>
    </xdr:to>
    <xdr:sp macro="" textlink="">
      <xdr:nvSpPr>
        <xdr:cNvPr id="223" name="Line 40"/>
        <xdr:cNvSpPr>
          <a:spLocks noChangeShapeType="1"/>
        </xdr:cNvSpPr>
      </xdr:nvSpPr>
      <xdr:spPr bwMode="auto">
        <a:xfrm>
          <a:off x="6599718" y="12646593"/>
          <a:ext cx="0" cy="332002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84</xdr:row>
      <xdr:rowOff>123825</xdr:rowOff>
    </xdr:from>
    <xdr:to>
      <xdr:col>12</xdr:col>
      <xdr:colOff>171451</xdr:colOff>
      <xdr:row>84</xdr:row>
      <xdr:rowOff>128571</xdr:rowOff>
    </xdr:to>
    <xdr:sp macro="" textlink="">
      <xdr:nvSpPr>
        <xdr:cNvPr id="224" name="Line 41"/>
        <xdr:cNvSpPr>
          <a:spLocks noChangeShapeType="1"/>
        </xdr:cNvSpPr>
      </xdr:nvSpPr>
      <xdr:spPr bwMode="auto">
        <a:xfrm flipV="1">
          <a:off x="687163" y="15944850"/>
          <a:ext cx="5923188"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61</xdr:row>
      <xdr:rowOff>25400</xdr:rowOff>
    </xdr:from>
    <xdr:to>
      <xdr:col>12</xdr:col>
      <xdr:colOff>161925</xdr:colOff>
      <xdr:row>64</xdr:row>
      <xdr:rowOff>66675</xdr:rowOff>
    </xdr:to>
    <xdr:sp macro="" textlink="">
      <xdr:nvSpPr>
        <xdr:cNvPr id="225" name="AutoShape 38"/>
        <xdr:cNvSpPr>
          <a:spLocks noChangeArrowheads="1"/>
        </xdr:cNvSpPr>
      </xdr:nvSpPr>
      <xdr:spPr bwMode="auto">
        <a:xfrm>
          <a:off x="657224" y="12122150"/>
          <a:ext cx="5943601" cy="527050"/>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64</xdr:row>
      <xdr:rowOff>83118</xdr:rowOff>
    </xdr:from>
    <xdr:to>
      <xdr:col>2</xdr:col>
      <xdr:colOff>678</xdr:colOff>
      <xdr:row>84</xdr:row>
      <xdr:rowOff>123825</xdr:rowOff>
    </xdr:to>
    <xdr:sp macro="" textlink="">
      <xdr:nvSpPr>
        <xdr:cNvPr id="226" name="Line 39"/>
        <xdr:cNvSpPr>
          <a:spLocks noChangeShapeType="1"/>
        </xdr:cNvSpPr>
      </xdr:nvSpPr>
      <xdr:spPr bwMode="auto">
        <a:xfrm flipH="1">
          <a:off x="666750" y="12665643"/>
          <a:ext cx="678" cy="327920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68</xdr:row>
      <xdr:rowOff>104491</xdr:rowOff>
    </xdr:from>
    <xdr:to>
      <xdr:col>12</xdr:col>
      <xdr:colOff>161925</xdr:colOff>
      <xdr:row>68</xdr:row>
      <xdr:rowOff>104774</xdr:rowOff>
    </xdr:to>
    <xdr:sp macro="" textlink="">
      <xdr:nvSpPr>
        <xdr:cNvPr id="227" name="Line 43"/>
        <xdr:cNvSpPr>
          <a:spLocks noChangeShapeType="1"/>
        </xdr:cNvSpPr>
      </xdr:nvSpPr>
      <xdr:spPr bwMode="auto">
        <a:xfrm flipH="1" flipV="1">
          <a:off x="2087769" y="13334716"/>
          <a:ext cx="4513056"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68</xdr:row>
      <xdr:rowOff>122464</xdr:rowOff>
    </xdr:from>
    <xdr:to>
      <xdr:col>9</xdr:col>
      <xdr:colOff>107545</xdr:colOff>
      <xdr:row>72</xdr:row>
      <xdr:rowOff>40821</xdr:rowOff>
    </xdr:to>
    <xdr:sp macro="" textlink="">
      <xdr:nvSpPr>
        <xdr:cNvPr id="228" name="Line 47"/>
        <xdr:cNvSpPr>
          <a:spLocks noChangeShapeType="1"/>
        </xdr:cNvSpPr>
      </xdr:nvSpPr>
      <xdr:spPr bwMode="auto">
        <a:xfrm>
          <a:off x="5155795" y="13352689"/>
          <a:ext cx="0" cy="56605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75</xdr:row>
      <xdr:rowOff>129267</xdr:rowOff>
    </xdr:from>
    <xdr:to>
      <xdr:col>9</xdr:col>
      <xdr:colOff>119108</xdr:colOff>
      <xdr:row>84</xdr:row>
      <xdr:rowOff>74838</xdr:rowOff>
    </xdr:to>
    <xdr:sp macro="" textlink="">
      <xdr:nvSpPr>
        <xdr:cNvPr id="229" name="Line 48"/>
        <xdr:cNvSpPr>
          <a:spLocks noChangeShapeType="1"/>
        </xdr:cNvSpPr>
      </xdr:nvSpPr>
      <xdr:spPr bwMode="auto">
        <a:xfrm>
          <a:off x="5167358" y="14492967"/>
          <a:ext cx="0" cy="124097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278220</xdr:colOff>
      <xdr:row>83</xdr:row>
      <xdr:rowOff>23762</xdr:rowOff>
    </xdr:from>
    <xdr:to>
      <xdr:col>16</xdr:col>
      <xdr:colOff>258973</xdr:colOff>
      <xdr:row>84</xdr:row>
      <xdr:rowOff>7363</xdr:rowOff>
    </xdr:to>
    <xdr:sp macro="" textlink="">
      <xdr:nvSpPr>
        <xdr:cNvPr id="230" name="Text Box 49"/>
        <xdr:cNvSpPr txBox="1">
          <a:spLocks noChangeArrowheads="1"/>
        </xdr:cNvSpPr>
      </xdr:nvSpPr>
      <xdr:spPr bwMode="auto">
        <a:xfrm>
          <a:off x="8682632" y="16429174"/>
          <a:ext cx="1202194"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68</xdr:row>
      <xdr:rowOff>3066</xdr:rowOff>
    </xdr:from>
    <xdr:to>
      <xdr:col>16</xdr:col>
      <xdr:colOff>74817</xdr:colOff>
      <xdr:row>68</xdr:row>
      <xdr:rowOff>149953</xdr:rowOff>
    </xdr:to>
    <xdr:sp macro="" textlink="">
      <xdr:nvSpPr>
        <xdr:cNvPr id="231" name="Text Box 53"/>
        <xdr:cNvSpPr txBox="1">
          <a:spLocks noChangeArrowheads="1"/>
        </xdr:cNvSpPr>
      </xdr:nvSpPr>
      <xdr:spPr bwMode="auto">
        <a:xfrm>
          <a:off x="8378072" y="13233291"/>
          <a:ext cx="110744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66</xdr:row>
      <xdr:rowOff>80211</xdr:rowOff>
    </xdr:from>
    <xdr:to>
      <xdr:col>4</xdr:col>
      <xdr:colOff>132537</xdr:colOff>
      <xdr:row>71</xdr:row>
      <xdr:rowOff>135601</xdr:rowOff>
    </xdr:to>
    <xdr:sp macro="" textlink="">
      <xdr:nvSpPr>
        <xdr:cNvPr id="232" name="Line 57"/>
        <xdr:cNvSpPr>
          <a:spLocks noChangeShapeType="1"/>
        </xdr:cNvSpPr>
      </xdr:nvSpPr>
      <xdr:spPr bwMode="auto">
        <a:xfrm>
          <a:off x="1580337" y="12986586"/>
          <a:ext cx="0" cy="865015"/>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66</xdr:row>
      <xdr:rowOff>11953</xdr:rowOff>
    </xdr:from>
    <xdr:to>
      <xdr:col>16</xdr:col>
      <xdr:colOff>240637</xdr:colOff>
      <xdr:row>66</xdr:row>
      <xdr:rowOff>158840</xdr:rowOff>
    </xdr:to>
    <xdr:sp macro="" textlink="">
      <xdr:nvSpPr>
        <xdr:cNvPr id="233" name="Text Box 59"/>
        <xdr:cNvSpPr txBox="1">
          <a:spLocks noChangeArrowheads="1"/>
        </xdr:cNvSpPr>
      </xdr:nvSpPr>
      <xdr:spPr bwMode="auto">
        <a:xfrm>
          <a:off x="8393567" y="12918328"/>
          <a:ext cx="125777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64</xdr:row>
      <xdr:rowOff>5581</xdr:rowOff>
    </xdr:from>
    <xdr:to>
      <xdr:col>16</xdr:col>
      <xdr:colOff>239965</xdr:colOff>
      <xdr:row>64</xdr:row>
      <xdr:rowOff>152468</xdr:rowOff>
    </xdr:to>
    <xdr:sp macro="" textlink="">
      <xdr:nvSpPr>
        <xdr:cNvPr id="234" name="Text Box 64"/>
        <xdr:cNvSpPr txBox="1">
          <a:spLocks noChangeArrowheads="1"/>
        </xdr:cNvSpPr>
      </xdr:nvSpPr>
      <xdr:spPr bwMode="auto">
        <a:xfrm>
          <a:off x="8381331" y="12588106"/>
          <a:ext cx="1269334"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64</xdr:row>
      <xdr:rowOff>73592</xdr:rowOff>
    </xdr:from>
    <xdr:to>
      <xdr:col>12</xdr:col>
      <xdr:colOff>1104900</xdr:colOff>
      <xdr:row>64</xdr:row>
      <xdr:rowOff>76199</xdr:rowOff>
    </xdr:to>
    <xdr:sp macro="" textlink="">
      <xdr:nvSpPr>
        <xdr:cNvPr id="235" name="Line 65"/>
        <xdr:cNvSpPr>
          <a:spLocks noChangeShapeType="1"/>
        </xdr:cNvSpPr>
      </xdr:nvSpPr>
      <xdr:spPr bwMode="auto">
        <a:xfrm>
          <a:off x="6599024" y="12656117"/>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67</xdr:row>
      <xdr:rowOff>9988</xdr:rowOff>
    </xdr:from>
    <xdr:to>
      <xdr:col>11</xdr:col>
      <xdr:colOff>331131</xdr:colOff>
      <xdr:row>68</xdr:row>
      <xdr:rowOff>27214</xdr:rowOff>
    </xdr:to>
    <xdr:sp macro="" textlink="">
      <xdr:nvSpPr>
        <xdr:cNvPr id="236" name="Text Box 66"/>
        <xdr:cNvSpPr txBox="1">
          <a:spLocks noChangeArrowheads="1"/>
        </xdr:cNvSpPr>
      </xdr:nvSpPr>
      <xdr:spPr bwMode="auto">
        <a:xfrm>
          <a:off x="3114197" y="13078288"/>
          <a:ext cx="3208159" cy="179151"/>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66</xdr:row>
      <xdr:rowOff>85654</xdr:rowOff>
    </xdr:from>
    <xdr:to>
      <xdr:col>7</xdr:col>
      <xdr:colOff>242428</xdr:colOff>
      <xdr:row>68</xdr:row>
      <xdr:rowOff>108859</xdr:rowOff>
    </xdr:to>
    <xdr:sp macro="" textlink="">
      <xdr:nvSpPr>
        <xdr:cNvPr id="237" name="Line 67"/>
        <xdr:cNvSpPr>
          <a:spLocks noChangeShapeType="1"/>
        </xdr:cNvSpPr>
      </xdr:nvSpPr>
      <xdr:spPr bwMode="auto">
        <a:xfrm>
          <a:off x="3033253" y="12992029"/>
          <a:ext cx="0" cy="347055"/>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66</xdr:row>
      <xdr:rowOff>85651</xdr:rowOff>
    </xdr:from>
    <xdr:to>
      <xdr:col>12</xdr:col>
      <xdr:colOff>161925</xdr:colOff>
      <xdr:row>66</xdr:row>
      <xdr:rowOff>85724</xdr:rowOff>
    </xdr:to>
    <xdr:sp macro="" textlink="">
      <xdr:nvSpPr>
        <xdr:cNvPr id="238" name="Line 44"/>
        <xdr:cNvSpPr>
          <a:spLocks noChangeShapeType="1"/>
        </xdr:cNvSpPr>
      </xdr:nvSpPr>
      <xdr:spPr bwMode="auto">
        <a:xfrm flipH="1" flipV="1">
          <a:off x="1487904" y="12992026"/>
          <a:ext cx="5112921"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64</xdr:row>
      <xdr:rowOff>132883</xdr:rowOff>
    </xdr:from>
    <xdr:to>
      <xdr:col>11</xdr:col>
      <xdr:colOff>188095</xdr:colOff>
      <xdr:row>66</xdr:row>
      <xdr:rowOff>85652</xdr:rowOff>
    </xdr:to>
    <xdr:grpSp>
      <xdr:nvGrpSpPr>
        <xdr:cNvPr id="239" name="Group 238"/>
        <xdr:cNvGrpSpPr/>
      </xdr:nvGrpSpPr>
      <xdr:grpSpPr>
        <a:xfrm>
          <a:off x="4479858" y="13355824"/>
          <a:ext cx="2129208" cy="266534"/>
          <a:chOff x="6368609" y="12001033"/>
          <a:chExt cx="1344236" cy="276619"/>
        </a:xfrm>
      </xdr:grpSpPr>
      <xdr:sp macro="" textlink="">
        <xdr:nvSpPr>
          <xdr:cNvPr id="240"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1"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2"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243"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66</xdr:row>
      <xdr:rowOff>83117</xdr:rowOff>
    </xdr:from>
    <xdr:to>
      <xdr:col>12</xdr:col>
      <xdr:colOff>1104900</xdr:colOff>
      <xdr:row>66</xdr:row>
      <xdr:rowOff>85724</xdr:rowOff>
    </xdr:to>
    <xdr:sp macro="" textlink="">
      <xdr:nvSpPr>
        <xdr:cNvPr id="244" name="Line 65"/>
        <xdr:cNvSpPr>
          <a:spLocks noChangeShapeType="1"/>
        </xdr:cNvSpPr>
      </xdr:nvSpPr>
      <xdr:spPr bwMode="auto">
        <a:xfrm>
          <a:off x="6599024" y="129894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68</xdr:row>
      <xdr:rowOff>102167</xdr:rowOff>
    </xdr:from>
    <xdr:to>
      <xdr:col>12</xdr:col>
      <xdr:colOff>1104900</xdr:colOff>
      <xdr:row>68</xdr:row>
      <xdr:rowOff>104774</xdr:rowOff>
    </xdr:to>
    <xdr:sp macro="" textlink="">
      <xdr:nvSpPr>
        <xdr:cNvPr id="245" name="Line 65"/>
        <xdr:cNvSpPr>
          <a:spLocks noChangeShapeType="1"/>
        </xdr:cNvSpPr>
      </xdr:nvSpPr>
      <xdr:spPr bwMode="auto">
        <a:xfrm>
          <a:off x="6599024" y="133323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83</xdr:row>
      <xdr:rowOff>73592</xdr:rowOff>
    </xdr:from>
    <xdr:to>
      <xdr:col>12</xdr:col>
      <xdr:colOff>1104900</xdr:colOff>
      <xdr:row>83</xdr:row>
      <xdr:rowOff>76199</xdr:rowOff>
    </xdr:to>
    <xdr:sp macro="" textlink="">
      <xdr:nvSpPr>
        <xdr:cNvPr id="246" name="Line 65"/>
        <xdr:cNvSpPr>
          <a:spLocks noChangeShapeType="1"/>
        </xdr:cNvSpPr>
      </xdr:nvSpPr>
      <xdr:spPr bwMode="auto">
        <a:xfrm>
          <a:off x="6599024" y="157326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194315</xdr:colOff>
      <xdr:row>84</xdr:row>
      <xdr:rowOff>74384</xdr:rowOff>
    </xdr:from>
    <xdr:to>
      <xdr:col>12</xdr:col>
      <xdr:colOff>171450</xdr:colOff>
      <xdr:row>84</xdr:row>
      <xdr:rowOff>76199</xdr:rowOff>
    </xdr:to>
    <xdr:sp macro="" textlink="">
      <xdr:nvSpPr>
        <xdr:cNvPr id="247" name="Line 42"/>
        <xdr:cNvSpPr>
          <a:spLocks noChangeShapeType="1"/>
        </xdr:cNvSpPr>
      </xdr:nvSpPr>
      <xdr:spPr bwMode="auto">
        <a:xfrm>
          <a:off x="2089790" y="15733484"/>
          <a:ext cx="4520560"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75</xdr:row>
      <xdr:rowOff>34018</xdr:rowOff>
    </xdr:from>
    <xdr:to>
      <xdr:col>4</xdr:col>
      <xdr:colOff>120974</xdr:colOff>
      <xdr:row>85</xdr:row>
      <xdr:rowOff>136073</xdr:rowOff>
    </xdr:to>
    <xdr:sp macro="" textlink="">
      <xdr:nvSpPr>
        <xdr:cNvPr id="248" name="Line 58"/>
        <xdr:cNvSpPr>
          <a:spLocks noChangeShapeType="1"/>
        </xdr:cNvSpPr>
      </xdr:nvSpPr>
      <xdr:spPr bwMode="auto">
        <a:xfrm flipH="1">
          <a:off x="1568774" y="14397718"/>
          <a:ext cx="0" cy="155938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64</xdr:row>
      <xdr:rowOff>64068</xdr:rowOff>
    </xdr:from>
    <xdr:to>
      <xdr:col>12</xdr:col>
      <xdr:colOff>160818</xdr:colOff>
      <xdr:row>84</xdr:row>
      <xdr:rowOff>145597</xdr:rowOff>
    </xdr:to>
    <xdr:sp macro="" textlink="">
      <xdr:nvSpPr>
        <xdr:cNvPr id="249" name="Line 40"/>
        <xdr:cNvSpPr>
          <a:spLocks noChangeShapeType="1"/>
        </xdr:cNvSpPr>
      </xdr:nvSpPr>
      <xdr:spPr bwMode="auto">
        <a:xfrm>
          <a:off x="6599718" y="12646593"/>
          <a:ext cx="0" cy="332002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84</xdr:row>
      <xdr:rowOff>123825</xdr:rowOff>
    </xdr:from>
    <xdr:to>
      <xdr:col>12</xdr:col>
      <xdr:colOff>171451</xdr:colOff>
      <xdr:row>84</xdr:row>
      <xdr:rowOff>128571</xdr:rowOff>
    </xdr:to>
    <xdr:sp macro="" textlink="">
      <xdr:nvSpPr>
        <xdr:cNvPr id="250" name="Line 41"/>
        <xdr:cNvSpPr>
          <a:spLocks noChangeShapeType="1"/>
        </xdr:cNvSpPr>
      </xdr:nvSpPr>
      <xdr:spPr bwMode="auto">
        <a:xfrm flipV="1">
          <a:off x="687163" y="15944850"/>
          <a:ext cx="5923188"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61</xdr:row>
      <xdr:rowOff>25400</xdr:rowOff>
    </xdr:from>
    <xdr:to>
      <xdr:col>12</xdr:col>
      <xdr:colOff>161925</xdr:colOff>
      <xdr:row>64</xdr:row>
      <xdr:rowOff>66675</xdr:rowOff>
    </xdr:to>
    <xdr:sp macro="" textlink="">
      <xdr:nvSpPr>
        <xdr:cNvPr id="251" name="AutoShape 38"/>
        <xdr:cNvSpPr>
          <a:spLocks noChangeArrowheads="1"/>
        </xdr:cNvSpPr>
      </xdr:nvSpPr>
      <xdr:spPr bwMode="auto">
        <a:xfrm>
          <a:off x="657224" y="12122150"/>
          <a:ext cx="5943601" cy="527050"/>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64</xdr:row>
      <xdr:rowOff>83118</xdr:rowOff>
    </xdr:from>
    <xdr:to>
      <xdr:col>2</xdr:col>
      <xdr:colOff>678</xdr:colOff>
      <xdr:row>84</xdr:row>
      <xdr:rowOff>123825</xdr:rowOff>
    </xdr:to>
    <xdr:sp macro="" textlink="">
      <xdr:nvSpPr>
        <xdr:cNvPr id="252" name="Line 39"/>
        <xdr:cNvSpPr>
          <a:spLocks noChangeShapeType="1"/>
        </xdr:cNvSpPr>
      </xdr:nvSpPr>
      <xdr:spPr bwMode="auto">
        <a:xfrm flipH="1">
          <a:off x="666750" y="12665643"/>
          <a:ext cx="678" cy="327920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68</xdr:row>
      <xdr:rowOff>104491</xdr:rowOff>
    </xdr:from>
    <xdr:to>
      <xdr:col>12</xdr:col>
      <xdr:colOff>161925</xdr:colOff>
      <xdr:row>68</xdr:row>
      <xdr:rowOff>104774</xdr:rowOff>
    </xdr:to>
    <xdr:sp macro="" textlink="">
      <xdr:nvSpPr>
        <xdr:cNvPr id="253" name="Line 43"/>
        <xdr:cNvSpPr>
          <a:spLocks noChangeShapeType="1"/>
        </xdr:cNvSpPr>
      </xdr:nvSpPr>
      <xdr:spPr bwMode="auto">
        <a:xfrm flipH="1" flipV="1">
          <a:off x="2087769" y="13334716"/>
          <a:ext cx="4513056"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68</xdr:row>
      <xdr:rowOff>122464</xdr:rowOff>
    </xdr:from>
    <xdr:to>
      <xdr:col>9</xdr:col>
      <xdr:colOff>107545</xdr:colOff>
      <xdr:row>72</xdr:row>
      <xdr:rowOff>40821</xdr:rowOff>
    </xdr:to>
    <xdr:sp macro="" textlink="">
      <xdr:nvSpPr>
        <xdr:cNvPr id="254" name="Line 47"/>
        <xdr:cNvSpPr>
          <a:spLocks noChangeShapeType="1"/>
        </xdr:cNvSpPr>
      </xdr:nvSpPr>
      <xdr:spPr bwMode="auto">
        <a:xfrm>
          <a:off x="5155795" y="13352689"/>
          <a:ext cx="0" cy="56605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75</xdr:row>
      <xdr:rowOff>129267</xdr:rowOff>
    </xdr:from>
    <xdr:to>
      <xdr:col>9</xdr:col>
      <xdr:colOff>119108</xdr:colOff>
      <xdr:row>84</xdr:row>
      <xdr:rowOff>74838</xdr:rowOff>
    </xdr:to>
    <xdr:sp macro="" textlink="">
      <xdr:nvSpPr>
        <xdr:cNvPr id="255" name="Line 48"/>
        <xdr:cNvSpPr>
          <a:spLocks noChangeShapeType="1"/>
        </xdr:cNvSpPr>
      </xdr:nvSpPr>
      <xdr:spPr bwMode="auto">
        <a:xfrm>
          <a:off x="5167358" y="14492967"/>
          <a:ext cx="0" cy="124097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278220</xdr:colOff>
      <xdr:row>83</xdr:row>
      <xdr:rowOff>23762</xdr:rowOff>
    </xdr:from>
    <xdr:to>
      <xdr:col>16</xdr:col>
      <xdr:colOff>258973</xdr:colOff>
      <xdr:row>84</xdr:row>
      <xdr:rowOff>7363</xdr:rowOff>
    </xdr:to>
    <xdr:sp macro="" textlink="">
      <xdr:nvSpPr>
        <xdr:cNvPr id="256" name="Text Box 49"/>
        <xdr:cNvSpPr txBox="1">
          <a:spLocks noChangeArrowheads="1"/>
        </xdr:cNvSpPr>
      </xdr:nvSpPr>
      <xdr:spPr bwMode="auto">
        <a:xfrm>
          <a:off x="8682632" y="16429174"/>
          <a:ext cx="1202194"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68</xdr:row>
      <xdr:rowOff>3066</xdr:rowOff>
    </xdr:from>
    <xdr:to>
      <xdr:col>16</xdr:col>
      <xdr:colOff>74817</xdr:colOff>
      <xdr:row>68</xdr:row>
      <xdr:rowOff>149953</xdr:rowOff>
    </xdr:to>
    <xdr:sp macro="" textlink="">
      <xdr:nvSpPr>
        <xdr:cNvPr id="257" name="Text Box 53"/>
        <xdr:cNvSpPr txBox="1">
          <a:spLocks noChangeArrowheads="1"/>
        </xdr:cNvSpPr>
      </xdr:nvSpPr>
      <xdr:spPr bwMode="auto">
        <a:xfrm>
          <a:off x="8378072" y="13233291"/>
          <a:ext cx="110744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66</xdr:row>
      <xdr:rowOff>80211</xdr:rowOff>
    </xdr:from>
    <xdr:to>
      <xdr:col>4</xdr:col>
      <xdr:colOff>132537</xdr:colOff>
      <xdr:row>71</xdr:row>
      <xdr:rowOff>135601</xdr:rowOff>
    </xdr:to>
    <xdr:sp macro="" textlink="">
      <xdr:nvSpPr>
        <xdr:cNvPr id="258" name="Line 57"/>
        <xdr:cNvSpPr>
          <a:spLocks noChangeShapeType="1"/>
        </xdr:cNvSpPr>
      </xdr:nvSpPr>
      <xdr:spPr bwMode="auto">
        <a:xfrm>
          <a:off x="1580337" y="12986586"/>
          <a:ext cx="0" cy="865015"/>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66</xdr:row>
      <xdr:rowOff>11953</xdr:rowOff>
    </xdr:from>
    <xdr:to>
      <xdr:col>16</xdr:col>
      <xdr:colOff>240637</xdr:colOff>
      <xdr:row>66</xdr:row>
      <xdr:rowOff>158840</xdr:rowOff>
    </xdr:to>
    <xdr:sp macro="" textlink="">
      <xdr:nvSpPr>
        <xdr:cNvPr id="259" name="Text Box 59"/>
        <xdr:cNvSpPr txBox="1">
          <a:spLocks noChangeArrowheads="1"/>
        </xdr:cNvSpPr>
      </xdr:nvSpPr>
      <xdr:spPr bwMode="auto">
        <a:xfrm>
          <a:off x="8393567" y="12918328"/>
          <a:ext cx="125777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64</xdr:row>
      <xdr:rowOff>5581</xdr:rowOff>
    </xdr:from>
    <xdr:to>
      <xdr:col>16</xdr:col>
      <xdr:colOff>239965</xdr:colOff>
      <xdr:row>64</xdr:row>
      <xdr:rowOff>152468</xdr:rowOff>
    </xdr:to>
    <xdr:sp macro="" textlink="">
      <xdr:nvSpPr>
        <xdr:cNvPr id="260" name="Text Box 64"/>
        <xdr:cNvSpPr txBox="1">
          <a:spLocks noChangeArrowheads="1"/>
        </xdr:cNvSpPr>
      </xdr:nvSpPr>
      <xdr:spPr bwMode="auto">
        <a:xfrm>
          <a:off x="8381331" y="12588106"/>
          <a:ext cx="1269334"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64</xdr:row>
      <xdr:rowOff>73592</xdr:rowOff>
    </xdr:from>
    <xdr:to>
      <xdr:col>12</xdr:col>
      <xdr:colOff>1104900</xdr:colOff>
      <xdr:row>64</xdr:row>
      <xdr:rowOff>76199</xdr:rowOff>
    </xdr:to>
    <xdr:sp macro="" textlink="">
      <xdr:nvSpPr>
        <xdr:cNvPr id="261" name="Line 65"/>
        <xdr:cNvSpPr>
          <a:spLocks noChangeShapeType="1"/>
        </xdr:cNvSpPr>
      </xdr:nvSpPr>
      <xdr:spPr bwMode="auto">
        <a:xfrm>
          <a:off x="6592300" y="1330773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67</xdr:row>
      <xdr:rowOff>9988</xdr:rowOff>
    </xdr:from>
    <xdr:to>
      <xdr:col>11</xdr:col>
      <xdr:colOff>331131</xdr:colOff>
      <xdr:row>68</xdr:row>
      <xdr:rowOff>27214</xdr:rowOff>
    </xdr:to>
    <xdr:sp macro="" textlink="">
      <xdr:nvSpPr>
        <xdr:cNvPr id="262" name="Text Box 66"/>
        <xdr:cNvSpPr txBox="1">
          <a:spLocks noChangeArrowheads="1"/>
        </xdr:cNvSpPr>
      </xdr:nvSpPr>
      <xdr:spPr bwMode="auto">
        <a:xfrm>
          <a:off x="3114197" y="13078288"/>
          <a:ext cx="3208159" cy="179151"/>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66</xdr:row>
      <xdr:rowOff>85654</xdr:rowOff>
    </xdr:from>
    <xdr:to>
      <xdr:col>7</xdr:col>
      <xdr:colOff>242428</xdr:colOff>
      <xdr:row>68</xdr:row>
      <xdr:rowOff>108859</xdr:rowOff>
    </xdr:to>
    <xdr:sp macro="" textlink="">
      <xdr:nvSpPr>
        <xdr:cNvPr id="263" name="Line 67"/>
        <xdr:cNvSpPr>
          <a:spLocks noChangeShapeType="1"/>
        </xdr:cNvSpPr>
      </xdr:nvSpPr>
      <xdr:spPr bwMode="auto">
        <a:xfrm>
          <a:off x="3033253" y="12992029"/>
          <a:ext cx="0" cy="347055"/>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66</xdr:row>
      <xdr:rowOff>85651</xdr:rowOff>
    </xdr:from>
    <xdr:to>
      <xdr:col>12</xdr:col>
      <xdr:colOff>161925</xdr:colOff>
      <xdr:row>66</xdr:row>
      <xdr:rowOff>85724</xdr:rowOff>
    </xdr:to>
    <xdr:sp macro="" textlink="">
      <xdr:nvSpPr>
        <xdr:cNvPr id="264" name="Line 44"/>
        <xdr:cNvSpPr>
          <a:spLocks noChangeShapeType="1"/>
        </xdr:cNvSpPr>
      </xdr:nvSpPr>
      <xdr:spPr bwMode="auto">
        <a:xfrm flipH="1" flipV="1">
          <a:off x="1487904" y="12992026"/>
          <a:ext cx="5112921"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64</xdr:row>
      <xdr:rowOff>132883</xdr:rowOff>
    </xdr:from>
    <xdr:to>
      <xdr:col>11</xdr:col>
      <xdr:colOff>188095</xdr:colOff>
      <xdr:row>66</xdr:row>
      <xdr:rowOff>85652</xdr:rowOff>
    </xdr:to>
    <xdr:grpSp>
      <xdr:nvGrpSpPr>
        <xdr:cNvPr id="265" name="Group 264"/>
        <xdr:cNvGrpSpPr/>
      </xdr:nvGrpSpPr>
      <xdr:grpSpPr>
        <a:xfrm>
          <a:off x="4479858" y="13355824"/>
          <a:ext cx="2129208" cy="266534"/>
          <a:chOff x="6368609" y="12001033"/>
          <a:chExt cx="1344236" cy="276619"/>
        </a:xfrm>
      </xdr:grpSpPr>
      <xdr:sp macro="" textlink="">
        <xdr:nvSpPr>
          <xdr:cNvPr id="266"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7"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8"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269"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66</xdr:row>
      <xdr:rowOff>83117</xdr:rowOff>
    </xdr:from>
    <xdr:to>
      <xdr:col>12</xdr:col>
      <xdr:colOff>1104900</xdr:colOff>
      <xdr:row>66</xdr:row>
      <xdr:rowOff>85724</xdr:rowOff>
    </xdr:to>
    <xdr:sp macro="" textlink="">
      <xdr:nvSpPr>
        <xdr:cNvPr id="270" name="Line 65"/>
        <xdr:cNvSpPr>
          <a:spLocks noChangeShapeType="1"/>
        </xdr:cNvSpPr>
      </xdr:nvSpPr>
      <xdr:spPr bwMode="auto">
        <a:xfrm>
          <a:off x="6599024" y="129894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68</xdr:row>
      <xdr:rowOff>102167</xdr:rowOff>
    </xdr:from>
    <xdr:to>
      <xdr:col>12</xdr:col>
      <xdr:colOff>1104900</xdr:colOff>
      <xdr:row>68</xdr:row>
      <xdr:rowOff>104774</xdr:rowOff>
    </xdr:to>
    <xdr:sp macro="" textlink="">
      <xdr:nvSpPr>
        <xdr:cNvPr id="271" name="Line 65"/>
        <xdr:cNvSpPr>
          <a:spLocks noChangeShapeType="1"/>
        </xdr:cNvSpPr>
      </xdr:nvSpPr>
      <xdr:spPr bwMode="auto">
        <a:xfrm>
          <a:off x="6599024" y="133323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83</xdr:row>
      <xdr:rowOff>73592</xdr:rowOff>
    </xdr:from>
    <xdr:to>
      <xdr:col>12</xdr:col>
      <xdr:colOff>1104900</xdr:colOff>
      <xdr:row>83</xdr:row>
      <xdr:rowOff>76199</xdr:rowOff>
    </xdr:to>
    <xdr:sp macro="" textlink="">
      <xdr:nvSpPr>
        <xdr:cNvPr id="272" name="Line 65"/>
        <xdr:cNvSpPr>
          <a:spLocks noChangeShapeType="1"/>
        </xdr:cNvSpPr>
      </xdr:nvSpPr>
      <xdr:spPr bwMode="auto">
        <a:xfrm>
          <a:off x="6599024" y="15732692"/>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194315</xdr:colOff>
      <xdr:row>383</xdr:row>
      <xdr:rowOff>74384</xdr:rowOff>
    </xdr:from>
    <xdr:to>
      <xdr:col>12</xdr:col>
      <xdr:colOff>171450</xdr:colOff>
      <xdr:row>383</xdr:row>
      <xdr:rowOff>76199</xdr:rowOff>
    </xdr:to>
    <xdr:sp macro="" textlink="">
      <xdr:nvSpPr>
        <xdr:cNvPr id="273" name="Line 42"/>
        <xdr:cNvSpPr>
          <a:spLocks noChangeShapeType="1"/>
        </xdr:cNvSpPr>
      </xdr:nvSpPr>
      <xdr:spPr bwMode="auto">
        <a:xfrm>
          <a:off x="2088109" y="15717796"/>
          <a:ext cx="4515517"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375</xdr:row>
      <xdr:rowOff>34018</xdr:rowOff>
    </xdr:from>
    <xdr:to>
      <xdr:col>4</xdr:col>
      <xdr:colOff>120974</xdr:colOff>
      <xdr:row>384</xdr:row>
      <xdr:rowOff>136073</xdr:rowOff>
    </xdr:to>
    <xdr:sp macro="" textlink="">
      <xdr:nvSpPr>
        <xdr:cNvPr id="274" name="Line 58"/>
        <xdr:cNvSpPr>
          <a:spLocks noChangeShapeType="1"/>
        </xdr:cNvSpPr>
      </xdr:nvSpPr>
      <xdr:spPr bwMode="auto">
        <a:xfrm flipH="1">
          <a:off x="1566533" y="14422371"/>
          <a:ext cx="0" cy="1513996"/>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364</xdr:row>
      <xdr:rowOff>64068</xdr:rowOff>
    </xdr:from>
    <xdr:to>
      <xdr:col>12</xdr:col>
      <xdr:colOff>160818</xdr:colOff>
      <xdr:row>384</xdr:row>
      <xdr:rowOff>145597</xdr:rowOff>
    </xdr:to>
    <xdr:sp macro="" textlink="">
      <xdr:nvSpPr>
        <xdr:cNvPr id="275" name="Line 40"/>
        <xdr:cNvSpPr>
          <a:spLocks noChangeShapeType="1"/>
        </xdr:cNvSpPr>
      </xdr:nvSpPr>
      <xdr:spPr bwMode="auto">
        <a:xfrm>
          <a:off x="6592994" y="12726715"/>
          <a:ext cx="0" cy="32191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384</xdr:row>
      <xdr:rowOff>123825</xdr:rowOff>
    </xdr:from>
    <xdr:to>
      <xdr:col>12</xdr:col>
      <xdr:colOff>171451</xdr:colOff>
      <xdr:row>384</xdr:row>
      <xdr:rowOff>128571</xdr:rowOff>
    </xdr:to>
    <xdr:sp macro="" textlink="">
      <xdr:nvSpPr>
        <xdr:cNvPr id="276" name="Line 41"/>
        <xdr:cNvSpPr>
          <a:spLocks noChangeShapeType="1"/>
        </xdr:cNvSpPr>
      </xdr:nvSpPr>
      <xdr:spPr bwMode="auto">
        <a:xfrm flipV="1">
          <a:off x="692766" y="15924119"/>
          <a:ext cx="5910861"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361</xdr:row>
      <xdr:rowOff>25400</xdr:rowOff>
    </xdr:from>
    <xdr:to>
      <xdr:col>12</xdr:col>
      <xdr:colOff>161925</xdr:colOff>
      <xdr:row>364</xdr:row>
      <xdr:rowOff>66675</xdr:rowOff>
    </xdr:to>
    <xdr:sp macro="" textlink="">
      <xdr:nvSpPr>
        <xdr:cNvPr id="277" name="AutoShape 38"/>
        <xdr:cNvSpPr>
          <a:spLocks noChangeArrowheads="1"/>
        </xdr:cNvSpPr>
      </xdr:nvSpPr>
      <xdr:spPr bwMode="auto">
        <a:xfrm>
          <a:off x="658345" y="12217400"/>
          <a:ext cx="5935756" cy="511922"/>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364</xdr:row>
      <xdr:rowOff>83118</xdr:rowOff>
    </xdr:from>
    <xdr:to>
      <xdr:col>2</xdr:col>
      <xdr:colOff>678</xdr:colOff>
      <xdr:row>384</xdr:row>
      <xdr:rowOff>123825</xdr:rowOff>
    </xdr:to>
    <xdr:sp macro="" textlink="">
      <xdr:nvSpPr>
        <xdr:cNvPr id="278" name="Line 39"/>
        <xdr:cNvSpPr>
          <a:spLocks noChangeShapeType="1"/>
        </xdr:cNvSpPr>
      </xdr:nvSpPr>
      <xdr:spPr bwMode="auto">
        <a:xfrm flipH="1">
          <a:off x="672353" y="12745765"/>
          <a:ext cx="678" cy="31783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368</xdr:row>
      <xdr:rowOff>104491</xdr:rowOff>
    </xdr:from>
    <xdr:to>
      <xdr:col>12</xdr:col>
      <xdr:colOff>161925</xdr:colOff>
      <xdr:row>368</xdr:row>
      <xdr:rowOff>104774</xdr:rowOff>
    </xdr:to>
    <xdr:sp macro="" textlink="">
      <xdr:nvSpPr>
        <xdr:cNvPr id="279" name="Line 43"/>
        <xdr:cNvSpPr>
          <a:spLocks noChangeShapeType="1"/>
        </xdr:cNvSpPr>
      </xdr:nvSpPr>
      <xdr:spPr bwMode="auto">
        <a:xfrm flipH="1" flipV="1">
          <a:off x="2086088" y="13394667"/>
          <a:ext cx="4508013"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368</xdr:row>
      <xdr:rowOff>122464</xdr:rowOff>
    </xdr:from>
    <xdr:to>
      <xdr:col>9</xdr:col>
      <xdr:colOff>107545</xdr:colOff>
      <xdr:row>372</xdr:row>
      <xdr:rowOff>40821</xdr:rowOff>
    </xdr:to>
    <xdr:sp macro="" textlink="">
      <xdr:nvSpPr>
        <xdr:cNvPr id="280" name="Line 47"/>
        <xdr:cNvSpPr>
          <a:spLocks noChangeShapeType="1"/>
        </xdr:cNvSpPr>
      </xdr:nvSpPr>
      <xdr:spPr bwMode="auto">
        <a:xfrm>
          <a:off x="5150192" y="13412640"/>
          <a:ext cx="0" cy="54588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375</xdr:row>
      <xdr:rowOff>129267</xdr:rowOff>
    </xdr:from>
    <xdr:to>
      <xdr:col>9</xdr:col>
      <xdr:colOff>119108</xdr:colOff>
      <xdr:row>383</xdr:row>
      <xdr:rowOff>74838</xdr:rowOff>
    </xdr:to>
    <xdr:sp macro="" textlink="">
      <xdr:nvSpPr>
        <xdr:cNvPr id="281" name="Line 48"/>
        <xdr:cNvSpPr>
          <a:spLocks noChangeShapeType="1"/>
        </xdr:cNvSpPr>
      </xdr:nvSpPr>
      <xdr:spPr bwMode="auto">
        <a:xfrm>
          <a:off x="5161755" y="14517620"/>
          <a:ext cx="0" cy="120063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166161</xdr:colOff>
      <xdr:row>383</xdr:row>
      <xdr:rowOff>23762</xdr:rowOff>
    </xdr:from>
    <xdr:to>
      <xdr:col>16</xdr:col>
      <xdr:colOff>146914</xdr:colOff>
      <xdr:row>384</xdr:row>
      <xdr:rowOff>7363</xdr:rowOff>
    </xdr:to>
    <xdr:sp macro="" textlink="">
      <xdr:nvSpPr>
        <xdr:cNvPr id="282" name="Text Box 49"/>
        <xdr:cNvSpPr txBox="1">
          <a:spLocks noChangeArrowheads="1"/>
        </xdr:cNvSpPr>
      </xdr:nvSpPr>
      <xdr:spPr bwMode="auto">
        <a:xfrm>
          <a:off x="8346455" y="15667174"/>
          <a:ext cx="1190988"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368</xdr:row>
      <xdr:rowOff>3066</xdr:rowOff>
    </xdr:from>
    <xdr:to>
      <xdr:col>16</xdr:col>
      <xdr:colOff>74817</xdr:colOff>
      <xdr:row>368</xdr:row>
      <xdr:rowOff>149953</xdr:rowOff>
    </xdr:to>
    <xdr:sp macro="" textlink="">
      <xdr:nvSpPr>
        <xdr:cNvPr id="283" name="Text Box 53"/>
        <xdr:cNvSpPr txBox="1">
          <a:spLocks noChangeArrowheads="1"/>
        </xdr:cNvSpPr>
      </xdr:nvSpPr>
      <xdr:spPr bwMode="auto">
        <a:xfrm>
          <a:off x="8366866" y="13293242"/>
          <a:ext cx="109848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366</xdr:row>
      <xdr:rowOff>80211</xdr:rowOff>
    </xdr:from>
    <xdr:to>
      <xdr:col>4</xdr:col>
      <xdr:colOff>132537</xdr:colOff>
      <xdr:row>371</xdr:row>
      <xdr:rowOff>135601</xdr:rowOff>
    </xdr:to>
    <xdr:sp macro="" textlink="">
      <xdr:nvSpPr>
        <xdr:cNvPr id="284" name="Line 57"/>
        <xdr:cNvSpPr>
          <a:spLocks noChangeShapeType="1"/>
        </xdr:cNvSpPr>
      </xdr:nvSpPr>
      <xdr:spPr bwMode="auto">
        <a:xfrm>
          <a:off x="1578096" y="13056623"/>
          <a:ext cx="0" cy="839802"/>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366</xdr:row>
      <xdr:rowOff>11953</xdr:rowOff>
    </xdr:from>
    <xdr:to>
      <xdr:col>16</xdr:col>
      <xdr:colOff>240637</xdr:colOff>
      <xdr:row>366</xdr:row>
      <xdr:rowOff>158840</xdr:rowOff>
    </xdr:to>
    <xdr:sp macro="" textlink="">
      <xdr:nvSpPr>
        <xdr:cNvPr id="285" name="Text Box 59"/>
        <xdr:cNvSpPr txBox="1">
          <a:spLocks noChangeArrowheads="1"/>
        </xdr:cNvSpPr>
      </xdr:nvSpPr>
      <xdr:spPr bwMode="auto">
        <a:xfrm>
          <a:off x="8382361" y="12988365"/>
          <a:ext cx="124880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364</xdr:row>
      <xdr:rowOff>5581</xdr:rowOff>
    </xdr:from>
    <xdr:to>
      <xdr:col>16</xdr:col>
      <xdr:colOff>239965</xdr:colOff>
      <xdr:row>364</xdr:row>
      <xdr:rowOff>152468</xdr:rowOff>
    </xdr:to>
    <xdr:sp macro="" textlink="">
      <xdr:nvSpPr>
        <xdr:cNvPr id="286" name="Text Box 64"/>
        <xdr:cNvSpPr txBox="1">
          <a:spLocks noChangeArrowheads="1"/>
        </xdr:cNvSpPr>
      </xdr:nvSpPr>
      <xdr:spPr bwMode="auto">
        <a:xfrm>
          <a:off x="8370125" y="12668228"/>
          <a:ext cx="1260369"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364</xdr:row>
      <xdr:rowOff>73592</xdr:rowOff>
    </xdr:from>
    <xdr:to>
      <xdr:col>12</xdr:col>
      <xdr:colOff>1104900</xdr:colOff>
      <xdr:row>364</xdr:row>
      <xdr:rowOff>76199</xdr:rowOff>
    </xdr:to>
    <xdr:sp macro="" textlink="">
      <xdr:nvSpPr>
        <xdr:cNvPr id="287" name="Line 65"/>
        <xdr:cNvSpPr>
          <a:spLocks noChangeShapeType="1"/>
        </xdr:cNvSpPr>
      </xdr:nvSpPr>
      <xdr:spPr bwMode="auto">
        <a:xfrm>
          <a:off x="6592300" y="1273623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367</xdr:row>
      <xdr:rowOff>9988</xdr:rowOff>
    </xdr:from>
    <xdr:to>
      <xdr:col>11</xdr:col>
      <xdr:colOff>331131</xdr:colOff>
      <xdr:row>368</xdr:row>
      <xdr:rowOff>27214</xdr:rowOff>
    </xdr:to>
    <xdr:sp macro="" textlink="">
      <xdr:nvSpPr>
        <xdr:cNvPr id="288" name="Text Box 66"/>
        <xdr:cNvSpPr txBox="1">
          <a:spLocks noChangeArrowheads="1"/>
        </xdr:cNvSpPr>
      </xdr:nvSpPr>
      <xdr:spPr bwMode="auto">
        <a:xfrm>
          <a:off x="3113637" y="13143282"/>
          <a:ext cx="3201435" cy="174108"/>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366</xdr:row>
      <xdr:rowOff>85654</xdr:rowOff>
    </xdr:from>
    <xdr:to>
      <xdr:col>7</xdr:col>
      <xdr:colOff>242428</xdr:colOff>
      <xdr:row>368</xdr:row>
      <xdr:rowOff>108859</xdr:rowOff>
    </xdr:to>
    <xdr:sp macro="" textlink="">
      <xdr:nvSpPr>
        <xdr:cNvPr id="289" name="Line 67"/>
        <xdr:cNvSpPr>
          <a:spLocks noChangeShapeType="1"/>
        </xdr:cNvSpPr>
      </xdr:nvSpPr>
      <xdr:spPr bwMode="auto">
        <a:xfrm>
          <a:off x="3032693" y="13062066"/>
          <a:ext cx="0" cy="336969"/>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366</xdr:row>
      <xdr:rowOff>85651</xdr:rowOff>
    </xdr:from>
    <xdr:to>
      <xdr:col>12</xdr:col>
      <xdr:colOff>161925</xdr:colOff>
      <xdr:row>366</xdr:row>
      <xdr:rowOff>85724</xdr:rowOff>
    </xdr:to>
    <xdr:sp macro="" textlink="">
      <xdr:nvSpPr>
        <xdr:cNvPr id="290" name="Line 44"/>
        <xdr:cNvSpPr>
          <a:spLocks noChangeShapeType="1"/>
        </xdr:cNvSpPr>
      </xdr:nvSpPr>
      <xdr:spPr bwMode="auto">
        <a:xfrm flipH="1" flipV="1">
          <a:off x="1485663" y="13062063"/>
          <a:ext cx="5108438"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364</xdr:row>
      <xdr:rowOff>132883</xdr:rowOff>
    </xdr:from>
    <xdr:to>
      <xdr:col>11</xdr:col>
      <xdr:colOff>188095</xdr:colOff>
      <xdr:row>366</xdr:row>
      <xdr:rowOff>85652</xdr:rowOff>
    </xdr:to>
    <xdr:grpSp>
      <xdr:nvGrpSpPr>
        <xdr:cNvPr id="291" name="Group 290"/>
        <xdr:cNvGrpSpPr/>
      </xdr:nvGrpSpPr>
      <xdr:grpSpPr>
        <a:xfrm>
          <a:off x="4479858" y="50773853"/>
          <a:ext cx="2129208" cy="0"/>
          <a:chOff x="6368609" y="12001033"/>
          <a:chExt cx="1344236" cy="276619"/>
        </a:xfrm>
      </xdr:grpSpPr>
      <xdr:sp macro="" textlink="">
        <xdr:nvSpPr>
          <xdr:cNvPr id="292"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93"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94"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295"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366</xdr:row>
      <xdr:rowOff>83117</xdr:rowOff>
    </xdr:from>
    <xdr:to>
      <xdr:col>12</xdr:col>
      <xdr:colOff>1104900</xdr:colOff>
      <xdr:row>366</xdr:row>
      <xdr:rowOff>85724</xdr:rowOff>
    </xdr:to>
    <xdr:sp macro="" textlink="">
      <xdr:nvSpPr>
        <xdr:cNvPr id="296" name="Line 65"/>
        <xdr:cNvSpPr>
          <a:spLocks noChangeShapeType="1"/>
        </xdr:cNvSpPr>
      </xdr:nvSpPr>
      <xdr:spPr bwMode="auto">
        <a:xfrm>
          <a:off x="6592300" y="1305952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368</xdr:row>
      <xdr:rowOff>102167</xdr:rowOff>
    </xdr:from>
    <xdr:to>
      <xdr:col>12</xdr:col>
      <xdr:colOff>1104900</xdr:colOff>
      <xdr:row>368</xdr:row>
      <xdr:rowOff>104774</xdr:rowOff>
    </xdr:to>
    <xdr:sp macro="" textlink="">
      <xdr:nvSpPr>
        <xdr:cNvPr id="297" name="Line 65"/>
        <xdr:cNvSpPr>
          <a:spLocks noChangeShapeType="1"/>
        </xdr:cNvSpPr>
      </xdr:nvSpPr>
      <xdr:spPr bwMode="auto">
        <a:xfrm>
          <a:off x="6592300" y="13392343"/>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383</xdr:row>
      <xdr:rowOff>73592</xdr:rowOff>
    </xdr:from>
    <xdr:to>
      <xdr:col>12</xdr:col>
      <xdr:colOff>1104900</xdr:colOff>
      <xdr:row>383</xdr:row>
      <xdr:rowOff>76199</xdr:rowOff>
    </xdr:to>
    <xdr:sp macro="" textlink="">
      <xdr:nvSpPr>
        <xdr:cNvPr id="298" name="Line 65"/>
        <xdr:cNvSpPr>
          <a:spLocks noChangeShapeType="1"/>
        </xdr:cNvSpPr>
      </xdr:nvSpPr>
      <xdr:spPr bwMode="auto">
        <a:xfrm>
          <a:off x="6592300" y="15717004"/>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21</xdr:col>
      <xdr:colOff>76200</xdr:colOff>
      <xdr:row>321</xdr:row>
      <xdr:rowOff>33337</xdr:rowOff>
    </xdr:from>
    <xdr:to>
      <xdr:col>27</xdr:col>
      <xdr:colOff>552450</xdr:colOff>
      <xdr:row>334</xdr:row>
      <xdr:rowOff>138112</xdr:rowOff>
    </xdr:to>
    <xdr:graphicFrame macro="">
      <xdr:nvGraphicFramePr>
        <xdr:cNvPr id="299" name="Chart 29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161925</xdr:colOff>
      <xdr:row>350</xdr:row>
      <xdr:rowOff>61912</xdr:rowOff>
    </xdr:from>
    <xdr:to>
      <xdr:col>27</xdr:col>
      <xdr:colOff>466725</xdr:colOff>
      <xdr:row>365</xdr:row>
      <xdr:rowOff>109537</xdr:rowOff>
    </xdr:to>
    <xdr:graphicFrame macro="">
      <xdr:nvGraphicFramePr>
        <xdr:cNvPr id="300" name="Chart 2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194315</xdr:colOff>
      <xdr:row>383</xdr:row>
      <xdr:rowOff>74384</xdr:rowOff>
    </xdr:from>
    <xdr:to>
      <xdr:col>12</xdr:col>
      <xdr:colOff>171450</xdr:colOff>
      <xdr:row>383</xdr:row>
      <xdr:rowOff>76199</xdr:rowOff>
    </xdr:to>
    <xdr:sp macro="" textlink="">
      <xdr:nvSpPr>
        <xdr:cNvPr id="301" name="Line 42"/>
        <xdr:cNvSpPr>
          <a:spLocks noChangeShapeType="1"/>
        </xdr:cNvSpPr>
      </xdr:nvSpPr>
      <xdr:spPr bwMode="auto">
        <a:xfrm>
          <a:off x="2088109" y="15717796"/>
          <a:ext cx="4515517"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375</xdr:row>
      <xdr:rowOff>34018</xdr:rowOff>
    </xdr:from>
    <xdr:to>
      <xdr:col>4</xdr:col>
      <xdr:colOff>120974</xdr:colOff>
      <xdr:row>384</xdr:row>
      <xdr:rowOff>136073</xdr:rowOff>
    </xdr:to>
    <xdr:sp macro="" textlink="">
      <xdr:nvSpPr>
        <xdr:cNvPr id="302" name="Line 58"/>
        <xdr:cNvSpPr>
          <a:spLocks noChangeShapeType="1"/>
        </xdr:cNvSpPr>
      </xdr:nvSpPr>
      <xdr:spPr bwMode="auto">
        <a:xfrm flipH="1">
          <a:off x="1566533" y="14422371"/>
          <a:ext cx="0" cy="1513996"/>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364</xdr:row>
      <xdr:rowOff>64068</xdr:rowOff>
    </xdr:from>
    <xdr:to>
      <xdr:col>12</xdr:col>
      <xdr:colOff>160818</xdr:colOff>
      <xdr:row>384</xdr:row>
      <xdr:rowOff>145597</xdr:rowOff>
    </xdr:to>
    <xdr:sp macro="" textlink="">
      <xdr:nvSpPr>
        <xdr:cNvPr id="303" name="Line 40"/>
        <xdr:cNvSpPr>
          <a:spLocks noChangeShapeType="1"/>
        </xdr:cNvSpPr>
      </xdr:nvSpPr>
      <xdr:spPr bwMode="auto">
        <a:xfrm>
          <a:off x="6592994" y="12726715"/>
          <a:ext cx="0" cy="32191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384</xdr:row>
      <xdr:rowOff>123825</xdr:rowOff>
    </xdr:from>
    <xdr:to>
      <xdr:col>12</xdr:col>
      <xdr:colOff>171451</xdr:colOff>
      <xdr:row>384</xdr:row>
      <xdr:rowOff>128571</xdr:rowOff>
    </xdr:to>
    <xdr:sp macro="" textlink="">
      <xdr:nvSpPr>
        <xdr:cNvPr id="304" name="Line 41"/>
        <xdr:cNvSpPr>
          <a:spLocks noChangeShapeType="1"/>
        </xdr:cNvSpPr>
      </xdr:nvSpPr>
      <xdr:spPr bwMode="auto">
        <a:xfrm flipV="1">
          <a:off x="692766" y="15924119"/>
          <a:ext cx="5910861"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361</xdr:row>
      <xdr:rowOff>25400</xdr:rowOff>
    </xdr:from>
    <xdr:to>
      <xdr:col>12</xdr:col>
      <xdr:colOff>161925</xdr:colOff>
      <xdr:row>364</xdr:row>
      <xdr:rowOff>66675</xdr:rowOff>
    </xdr:to>
    <xdr:sp macro="" textlink="">
      <xdr:nvSpPr>
        <xdr:cNvPr id="305" name="AutoShape 38"/>
        <xdr:cNvSpPr>
          <a:spLocks noChangeArrowheads="1"/>
        </xdr:cNvSpPr>
      </xdr:nvSpPr>
      <xdr:spPr bwMode="auto">
        <a:xfrm>
          <a:off x="658345" y="12217400"/>
          <a:ext cx="5935756" cy="511922"/>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364</xdr:row>
      <xdr:rowOff>83118</xdr:rowOff>
    </xdr:from>
    <xdr:to>
      <xdr:col>2</xdr:col>
      <xdr:colOff>678</xdr:colOff>
      <xdr:row>384</xdr:row>
      <xdr:rowOff>123825</xdr:rowOff>
    </xdr:to>
    <xdr:sp macro="" textlink="">
      <xdr:nvSpPr>
        <xdr:cNvPr id="306" name="Line 39"/>
        <xdr:cNvSpPr>
          <a:spLocks noChangeShapeType="1"/>
        </xdr:cNvSpPr>
      </xdr:nvSpPr>
      <xdr:spPr bwMode="auto">
        <a:xfrm flipH="1">
          <a:off x="672353" y="12745765"/>
          <a:ext cx="678" cy="31783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368</xdr:row>
      <xdr:rowOff>104491</xdr:rowOff>
    </xdr:from>
    <xdr:to>
      <xdr:col>12</xdr:col>
      <xdr:colOff>161925</xdr:colOff>
      <xdr:row>368</xdr:row>
      <xdr:rowOff>104774</xdr:rowOff>
    </xdr:to>
    <xdr:sp macro="" textlink="">
      <xdr:nvSpPr>
        <xdr:cNvPr id="307" name="Line 43"/>
        <xdr:cNvSpPr>
          <a:spLocks noChangeShapeType="1"/>
        </xdr:cNvSpPr>
      </xdr:nvSpPr>
      <xdr:spPr bwMode="auto">
        <a:xfrm flipH="1" flipV="1">
          <a:off x="2086088" y="13394667"/>
          <a:ext cx="4508013"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368</xdr:row>
      <xdr:rowOff>122464</xdr:rowOff>
    </xdr:from>
    <xdr:to>
      <xdr:col>9</xdr:col>
      <xdr:colOff>107545</xdr:colOff>
      <xdr:row>372</xdr:row>
      <xdr:rowOff>40821</xdr:rowOff>
    </xdr:to>
    <xdr:sp macro="" textlink="">
      <xdr:nvSpPr>
        <xdr:cNvPr id="308" name="Line 47"/>
        <xdr:cNvSpPr>
          <a:spLocks noChangeShapeType="1"/>
        </xdr:cNvSpPr>
      </xdr:nvSpPr>
      <xdr:spPr bwMode="auto">
        <a:xfrm>
          <a:off x="5150192" y="13412640"/>
          <a:ext cx="0" cy="54588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375</xdr:row>
      <xdr:rowOff>129267</xdr:rowOff>
    </xdr:from>
    <xdr:to>
      <xdr:col>9</xdr:col>
      <xdr:colOff>119108</xdr:colOff>
      <xdr:row>383</xdr:row>
      <xdr:rowOff>74838</xdr:rowOff>
    </xdr:to>
    <xdr:sp macro="" textlink="">
      <xdr:nvSpPr>
        <xdr:cNvPr id="309" name="Line 48"/>
        <xdr:cNvSpPr>
          <a:spLocks noChangeShapeType="1"/>
        </xdr:cNvSpPr>
      </xdr:nvSpPr>
      <xdr:spPr bwMode="auto">
        <a:xfrm>
          <a:off x="5161755" y="14517620"/>
          <a:ext cx="0" cy="120063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166161</xdr:colOff>
      <xdr:row>383</xdr:row>
      <xdr:rowOff>23762</xdr:rowOff>
    </xdr:from>
    <xdr:to>
      <xdr:col>16</xdr:col>
      <xdr:colOff>146914</xdr:colOff>
      <xdr:row>384</xdr:row>
      <xdr:rowOff>7363</xdr:rowOff>
    </xdr:to>
    <xdr:sp macro="" textlink="">
      <xdr:nvSpPr>
        <xdr:cNvPr id="310" name="Text Box 49"/>
        <xdr:cNvSpPr txBox="1">
          <a:spLocks noChangeArrowheads="1"/>
        </xdr:cNvSpPr>
      </xdr:nvSpPr>
      <xdr:spPr bwMode="auto">
        <a:xfrm>
          <a:off x="8346455" y="15667174"/>
          <a:ext cx="1190988"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368</xdr:row>
      <xdr:rowOff>3066</xdr:rowOff>
    </xdr:from>
    <xdr:to>
      <xdr:col>16</xdr:col>
      <xdr:colOff>74817</xdr:colOff>
      <xdr:row>368</xdr:row>
      <xdr:rowOff>149953</xdr:rowOff>
    </xdr:to>
    <xdr:sp macro="" textlink="">
      <xdr:nvSpPr>
        <xdr:cNvPr id="311" name="Text Box 53"/>
        <xdr:cNvSpPr txBox="1">
          <a:spLocks noChangeArrowheads="1"/>
        </xdr:cNvSpPr>
      </xdr:nvSpPr>
      <xdr:spPr bwMode="auto">
        <a:xfrm>
          <a:off x="8366866" y="13293242"/>
          <a:ext cx="109848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366</xdr:row>
      <xdr:rowOff>80211</xdr:rowOff>
    </xdr:from>
    <xdr:to>
      <xdr:col>4</xdr:col>
      <xdr:colOff>132537</xdr:colOff>
      <xdr:row>371</xdr:row>
      <xdr:rowOff>135601</xdr:rowOff>
    </xdr:to>
    <xdr:sp macro="" textlink="">
      <xdr:nvSpPr>
        <xdr:cNvPr id="312" name="Line 57"/>
        <xdr:cNvSpPr>
          <a:spLocks noChangeShapeType="1"/>
        </xdr:cNvSpPr>
      </xdr:nvSpPr>
      <xdr:spPr bwMode="auto">
        <a:xfrm>
          <a:off x="1578096" y="13056623"/>
          <a:ext cx="0" cy="839802"/>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366</xdr:row>
      <xdr:rowOff>11953</xdr:rowOff>
    </xdr:from>
    <xdr:to>
      <xdr:col>16</xdr:col>
      <xdr:colOff>240637</xdr:colOff>
      <xdr:row>366</xdr:row>
      <xdr:rowOff>158840</xdr:rowOff>
    </xdr:to>
    <xdr:sp macro="" textlink="">
      <xdr:nvSpPr>
        <xdr:cNvPr id="313" name="Text Box 59"/>
        <xdr:cNvSpPr txBox="1">
          <a:spLocks noChangeArrowheads="1"/>
        </xdr:cNvSpPr>
      </xdr:nvSpPr>
      <xdr:spPr bwMode="auto">
        <a:xfrm>
          <a:off x="8382361" y="12988365"/>
          <a:ext cx="124880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364</xdr:row>
      <xdr:rowOff>5581</xdr:rowOff>
    </xdr:from>
    <xdr:to>
      <xdr:col>16</xdr:col>
      <xdr:colOff>239965</xdr:colOff>
      <xdr:row>364</xdr:row>
      <xdr:rowOff>152468</xdr:rowOff>
    </xdr:to>
    <xdr:sp macro="" textlink="">
      <xdr:nvSpPr>
        <xdr:cNvPr id="314" name="Text Box 64"/>
        <xdr:cNvSpPr txBox="1">
          <a:spLocks noChangeArrowheads="1"/>
        </xdr:cNvSpPr>
      </xdr:nvSpPr>
      <xdr:spPr bwMode="auto">
        <a:xfrm>
          <a:off x="8370125" y="12668228"/>
          <a:ext cx="1260369"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364</xdr:row>
      <xdr:rowOff>73592</xdr:rowOff>
    </xdr:from>
    <xdr:to>
      <xdr:col>12</xdr:col>
      <xdr:colOff>1104900</xdr:colOff>
      <xdr:row>364</xdr:row>
      <xdr:rowOff>76199</xdr:rowOff>
    </xdr:to>
    <xdr:sp macro="" textlink="">
      <xdr:nvSpPr>
        <xdr:cNvPr id="315" name="Line 65"/>
        <xdr:cNvSpPr>
          <a:spLocks noChangeShapeType="1"/>
        </xdr:cNvSpPr>
      </xdr:nvSpPr>
      <xdr:spPr bwMode="auto">
        <a:xfrm>
          <a:off x="6592300" y="1273623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367</xdr:row>
      <xdr:rowOff>9988</xdr:rowOff>
    </xdr:from>
    <xdr:to>
      <xdr:col>11</xdr:col>
      <xdr:colOff>331131</xdr:colOff>
      <xdr:row>368</xdr:row>
      <xdr:rowOff>27214</xdr:rowOff>
    </xdr:to>
    <xdr:sp macro="" textlink="">
      <xdr:nvSpPr>
        <xdr:cNvPr id="316" name="Text Box 66"/>
        <xdr:cNvSpPr txBox="1">
          <a:spLocks noChangeArrowheads="1"/>
        </xdr:cNvSpPr>
      </xdr:nvSpPr>
      <xdr:spPr bwMode="auto">
        <a:xfrm>
          <a:off x="3113637" y="13143282"/>
          <a:ext cx="3201435" cy="174108"/>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366</xdr:row>
      <xdr:rowOff>85654</xdr:rowOff>
    </xdr:from>
    <xdr:to>
      <xdr:col>7</xdr:col>
      <xdr:colOff>242428</xdr:colOff>
      <xdr:row>368</xdr:row>
      <xdr:rowOff>108859</xdr:rowOff>
    </xdr:to>
    <xdr:sp macro="" textlink="">
      <xdr:nvSpPr>
        <xdr:cNvPr id="317" name="Line 67"/>
        <xdr:cNvSpPr>
          <a:spLocks noChangeShapeType="1"/>
        </xdr:cNvSpPr>
      </xdr:nvSpPr>
      <xdr:spPr bwMode="auto">
        <a:xfrm>
          <a:off x="3032693" y="13062066"/>
          <a:ext cx="0" cy="336969"/>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366</xdr:row>
      <xdr:rowOff>85651</xdr:rowOff>
    </xdr:from>
    <xdr:to>
      <xdr:col>12</xdr:col>
      <xdr:colOff>161925</xdr:colOff>
      <xdr:row>366</xdr:row>
      <xdr:rowOff>85724</xdr:rowOff>
    </xdr:to>
    <xdr:sp macro="" textlink="">
      <xdr:nvSpPr>
        <xdr:cNvPr id="318" name="Line 44"/>
        <xdr:cNvSpPr>
          <a:spLocks noChangeShapeType="1"/>
        </xdr:cNvSpPr>
      </xdr:nvSpPr>
      <xdr:spPr bwMode="auto">
        <a:xfrm flipH="1" flipV="1">
          <a:off x="1485663" y="13062063"/>
          <a:ext cx="5108438"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364</xdr:row>
      <xdr:rowOff>132883</xdr:rowOff>
    </xdr:from>
    <xdr:to>
      <xdr:col>11</xdr:col>
      <xdr:colOff>188095</xdr:colOff>
      <xdr:row>366</xdr:row>
      <xdr:rowOff>85652</xdr:rowOff>
    </xdr:to>
    <xdr:grpSp>
      <xdr:nvGrpSpPr>
        <xdr:cNvPr id="319" name="Group 318"/>
        <xdr:cNvGrpSpPr/>
      </xdr:nvGrpSpPr>
      <xdr:grpSpPr>
        <a:xfrm>
          <a:off x="4479858" y="50773853"/>
          <a:ext cx="2129208" cy="0"/>
          <a:chOff x="6368609" y="12001033"/>
          <a:chExt cx="1344236" cy="276619"/>
        </a:xfrm>
      </xdr:grpSpPr>
      <xdr:sp macro="" textlink="">
        <xdr:nvSpPr>
          <xdr:cNvPr id="320"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1"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2"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323"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366</xdr:row>
      <xdr:rowOff>83117</xdr:rowOff>
    </xdr:from>
    <xdr:to>
      <xdr:col>12</xdr:col>
      <xdr:colOff>1104900</xdr:colOff>
      <xdr:row>366</xdr:row>
      <xdr:rowOff>85724</xdr:rowOff>
    </xdr:to>
    <xdr:sp macro="" textlink="">
      <xdr:nvSpPr>
        <xdr:cNvPr id="324" name="Line 65"/>
        <xdr:cNvSpPr>
          <a:spLocks noChangeShapeType="1"/>
        </xdr:cNvSpPr>
      </xdr:nvSpPr>
      <xdr:spPr bwMode="auto">
        <a:xfrm>
          <a:off x="6592300" y="1305952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368</xdr:row>
      <xdr:rowOff>102167</xdr:rowOff>
    </xdr:from>
    <xdr:to>
      <xdr:col>12</xdr:col>
      <xdr:colOff>1104900</xdr:colOff>
      <xdr:row>368</xdr:row>
      <xdr:rowOff>104774</xdr:rowOff>
    </xdr:to>
    <xdr:sp macro="" textlink="">
      <xdr:nvSpPr>
        <xdr:cNvPr id="325" name="Line 65"/>
        <xdr:cNvSpPr>
          <a:spLocks noChangeShapeType="1"/>
        </xdr:cNvSpPr>
      </xdr:nvSpPr>
      <xdr:spPr bwMode="auto">
        <a:xfrm>
          <a:off x="6592300" y="13392343"/>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383</xdr:row>
      <xdr:rowOff>73592</xdr:rowOff>
    </xdr:from>
    <xdr:to>
      <xdr:col>12</xdr:col>
      <xdr:colOff>1104900</xdr:colOff>
      <xdr:row>383</xdr:row>
      <xdr:rowOff>76199</xdr:rowOff>
    </xdr:to>
    <xdr:sp macro="" textlink="">
      <xdr:nvSpPr>
        <xdr:cNvPr id="326" name="Line 65"/>
        <xdr:cNvSpPr>
          <a:spLocks noChangeShapeType="1"/>
        </xdr:cNvSpPr>
      </xdr:nvSpPr>
      <xdr:spPr bwMode="auto">
        <a:xfrm>
          <a:off x="6592300" y="15717004"/>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21</xdr:col>
      <xdr:colOff>76200</xdr:colOff>
      <xdr:row>321</xdr:row>
      <xdr:rowOff>33337</xdr:rowOff>
    </xdr:from>
    <xdr:to>
      <xdr:col>27</xdr:col>
      <xdr:colOff>552450</xdr:colOff>
      <xdr:row>334</xdr:row>
      <xdr:rowOff>138112</xdr:rowOff>
    </xdr:to>
    <xdr:graphicFrame macro="">
      <xdr:nvGraphicFramePr>
        <xdr:cNvPr id="327" name="Chart 3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161925</xdr:colOff>
      <xdr:row>350</xdr:row>
      <xdr:rowOff>61912</xdr:rowOff>
    </xdr:from>
    <xdr:to>
      <xdr:col>27</xdr:col>
      <xdr:colOff>466725</xdr:colOff>
      <xdr:row>365</xdr:row>
      <xdr:rowOff>109537</xdr:rowOff>
    </xdr:to>
    <xdr:graphicFrame macro="">
      <xdr:nvGraphicFramePr>
        <xdr:cNvPr id="328" name="Chart 3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194315</xdr:colOff>
      <xdr:row>383</xdr:row>
      <xdr:rowOff>74384</xdr:rowOff>
    </xdr:from>
    <xdr:to>
      <xdr:col>12</xdr:col>
      <xdr:colOff>171450</xdr:colOff>
      <xdr:row>383</xdr:row>
      <xdr:rowOff>76199</xdr:rowOff>
    </xdr:to>
    <xdr:sp macro="" textlink="">
      <xdr:nvSpPr>
        <xdr:cNvPr id="329" name="Line 42"/>
        <xdr:cNvSpPr>
          <a:spLocks noChangeShapeType="1"/>
        </xdr:cNvSpPr>
      </xdr:nvSpPr>
      <xdr:spPr bwMode="auto">
        <a:xfrm>
          <a:off x="2088109" y="15717796"/>
          <a:ext cx="4515517"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375</xdr:row>
      <xdr:rowOff>34018</xdr:rowOff>
    </xdr:from>
    <xdr:to>
      <xdr:col>4</xdr:col>
      <xdr:colOff>120974</xdr:colOff>
      <xdr:row>384</xdr:row>
      <xdr:rowOff>136073</xdr:rowOff>
    </xdr:to>
    <xdr:sp macro="" textlink="">
      <xdr:nvSpPr>
        <xdr:cNvPr id="330" name="Line 58"/>
        <xdr:cNvSpPr>
          <a:spLocks noChangeShapeType="1"/>
        </xdr:cNvSpPr>
      </xdr:nvSpPr>
      <xdr:spPr bwMode="auto">
        <a:xfrm flipH="1">
          <a:off x="1566533" y="14422371"/>
          <a:ext cx="0" cy="1513996"/>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364</xdr:row>
      <xdr:rowOff>64068</xdr:rowOff>
    </xdr:from>
    <xdr:to>
      <xdr:col>12</xdr:col>
      <xdr:colOff>160818</xdr:colOff>
      <xdr:row>384</xdr:row>
      <xdr:rowOff>145597</xdr:rowOff>
    </xdr:to>
    <xdr:sp macro="" textlink="">
      <xdr:nvSpPr>
        <xdr:cNvPr id="331" name="Line 40"/>
        <xdr:cNvSpPr>
          <a:spLocks noChangeShapeType="1"/>
        </xdr:cNvSpPr>
      </xdr:nvSpPr>
      <xdr:spPr bwMode="auto">
        <a:xfrm>
          <a:off x="6592994" y="12726715"/>
          <a:ext cx="0" cy="32191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384</xdr:row>
      <xdr:rowOff>123825</xdr:rowOff>
    </xdr:from>
    <xdr:to>
      <xdr:col>12</xdr:col>
      <xdr:colOff>171451</xdr:colOff>
      <xdr:row>384</xdr:row>
      <xdr:rowOff>128571</xdr:rowOff>
    </xdr:to>
    <xdr:sp macro="" textlink="">
      <xdr:nvSpPr>
        <xdr:cNvPr id="332" name="Line 41"/>
        <xdr:cNvSpPr>
          <a:spLocks noChangeShapeType="1"/>
        </xdr:cNvSpPr>
      </xdr:nvSpPr>
      <xdr:spPr bwMode="auto">
        <a:xfrm flipV="1">
          <a:off x="692766" y="15924119"/>
          <a:ext cx="5910861"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361</xdr:row>
      <xdr:rowOff>25400</xdr:rowOff>
    </xdr:from>
    <xdr:to>
      <xdr:col>12</xdr:col>
      <xdr:colOff>161925</xdr:colOff>
      <xdr:row>364</xdr:row>
      <xdr:rowOff>66675</xdr:rowOff>
    </xdr:to>
    <xdr:sp macro="" textlink="">
      <xdr:nvSpPr>
        <xdr:cNvPr id="333" name="AutoShape 38"/>
        <xdr:cNvSpPr>
          <a:spLocks noChangeArrowheads="1"/>
        </xdr:cNvSpPr>
      </xdr:nvSpPr>
      <xdr:spPr bwMode="auto">
        <a:xfrm>
          <a:off x="658345" y="12217400"/>
          <a:ext cx="5935756" cy="511922"/>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364</xdr:row>
      <xdr:rowOff>83118</xdr:rowOff>
    </xdr:from>
    <xdr:to>
      <xdr:col>2</xdr:col>
      <xdr:colOff>678</xdr:colOff>
      <xdr:row>384</xdr:row>
      <xdr:rowOff>123825</xdr:rowOff>
    </xdr:to>
    <xdr:sp macro="" textlink="">
      <xdr:nvSpPr>
        <xdr:cNvPr id="334" name="Line 39"/>
        <xdr:cNvSpPr>
          <a:spLocks noChangeShapeType="1"/>
        </xdr:cNvSpPr>
      </xdr:nvSpPr>
      <xdr:spPr bwMode="auto">
        <a:xfrm flipH="1">
          <a:off x="672353" y="12745765"/>
          <a:ext cx="678" cy="31783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368</xdr:row>
      <xdr:rowOff>104491</xdr:rowOff>
    </xdr:from>
    <xdr:to>
      <xdr:col>12</xdr:col>
      <xdr:colOff>161925</xdr:colOff>
      <xdr:row>368</xdr:row>
      <xdr:rowOff>104774</xdr:rowOff>
    </xdr:to>
    <xdr:sp macro="" textlink="">
      <xdr:nvSpPr>
        <xdr:cNvPr id="335" name="Line 43"/>
        <xdr:cNvSpPr>
          <a:spLocks noChangeShapeType="1"/>
        </xdr:cNvSpPr>
      </xdr:nvSpPr>
      <xdr:spPr bwMode="auto">
        <a:xfrm flipH="1" flipV="1">
          <a:off x="2086088" y="13394667"/>
          <a:ext cx="4508013"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368</xdr:row>
      <xdr:rowOff>122464</xdr:rowOff>
    </xdr:from>
    <xdr:to>
      <xdr:col>9</xdr:col>
      <xdr:colOff>107545</xdr:colOff>
      <xdr:row>372</xdr:row>
      <xdr:rowOff>40821</xdr:rowOff>
    </xdr:to>
    <xdr:sp macro="" textlink="">
      <xdr:nvSpPr>
        <xdr:cNvPr id="336" name="Line 47"/>
        <xdr:cNvSpPr>
          <a:spLocks noChangeShapeType="1"/>
        </xdr:cNvSpPr>
      </xdr:nvSpPr>
      <xdr:spPr bwMode="auto">
        <a:xfrm>
          <a:off x="5150192" y="13412640"/>
          <a:ext cx="0" cy="54588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375</xdr:row>
      <xdr:rowOff>129267</xdr:rowOff>
    </xdr:from>
    <xdr:to>
      <xdr:col>9</xdr:col>
      <xdr:colOff>119108</xdr:colOff>
      <xdr:row>383</xdr:row>
      <xdr:rowOff>74838</xdr:rowOff>
    </xdr:to>
    <xdr:sp macro="" textlink="">
      <xdr:nvSpPr>
        <xdr:cNvPr id="337" name="Line 48"/>
        <xdr:cNvSpPr>
          <a:spLocks noChangeShapeType="1"/>
        </xdr:cNvSpPr>
      </xdr:nvSpPr>
      <xdr:spPr bwMode="auto">
        <a:xfrm>
          <a:off x="5161755" y="14517620"/>
          <a:ext cx="0" cy="120063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166161</xdr:colOff>
      <xdr:row>383</xdr:row>
      <xdr:rowOff>23762</xdr:rowOff>
    </xdr:from>
    <xdr:to>
      <xdr:col>16</xdr:col>
      <xdr:colOff>146914</xdr:colOff>
      <xdr:row>384</xdr:row>
      <xdr:rowOff>7363</xdr:rowOff>
    </xdr:to>
    <xdr:sp macro="" textlink="">
      <xdr:nvSpPr>
        <xdr:cNvPr id="338" name="Text Box 49"/>
        <xdr:cNvSpPr txBox="1">
          <a:spLocks noChangeArrowheads="1"/>
        </xdr:cNvSpPr>
      </xdr:nvSpPr>
      <xdr:spPr bwMode="auto">
        <a:xfrm>
          <a:off x="8346455" y="15667174"/>
          <a:ext cx="1190988"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368</xdr:row>
      <xdr:rowOff>3066</xdr:rowOff>
    </xdr:from>
    <xdr:to>
      <xdr:col>16</xdr:col>
      <xdr:colOff>74817</xdr:colOff>
      <xdr:row>368</xdr:row>
      <xdr:rowOff>149953</xdr:rowOff>
    </xdr:to>
    <xdr:sp macro="" textlink="">
      <xdr:nvSpPr>
        <xdr:cNvPr id="339" name="Text Box 53"/>
        <xdr:cNvSpPr txBox="1">
          <a:spLocks noChangeArrowheads="1"/>
        </xdr:cNvSpPr>
      </xdr:nvSpPr>
      <xdr:spPr bwMode="auto">
        <a:xfrm>
          <a:off x="8366866" y="13293242"/>
          <a:ext cx="109848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366</xdr:row>
      <xdr:rowOff>80211</xdr:rowOff>
    </xdr:from>
    <xdr:to>
      <xdr:col>4</xdr:col>
      <xdr:colOff>132537</xdr:colOff>
      <xdr:row>371</xdr:row>
      <xdr:rowOff>135601</xdr:rowOff>
    </xdr:to>
    <xdr:sp macro="" textlink="">
      <xdr:nvSpPr>
        <xdr:cNvPr id="340" name="Line 57"/>
        <xdr:cNvSpPr>
          <a:spLocks noChangeShapeType="1"/>
        </xdr:cNvSpPr>
      </xdr:nvSpPr>
      <xdr:spPr bwMode="auto">
        <a:xfrm>
          <a:off x="1578096" y="13056623"/>
          <a:ext cx="0" cy="839802"/>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366</xdr:row>
      <xdr:rowOff>11953</xdr:rowOff>
    </xdr:from>
    <xdr:to>
      <xdr:col>16</xdr:col>
      <xdr:colOff>240637</xdr:colOff>
      <xdr:row>366</xdr:row>
      <xdr:rowOff>158840</xdr:rowOff>
    </xdr:to>
    <xdr:sp macro="" textlink="">
      <xdr:nvSpPr>
        <xdr:cNvPr id="341" name="Text Box 59"/>
        <xdr:cNvSpPr txBox="1">
          <a:spLocks noChangeArrowheads="1"/>
        </xdr:cNvSpPr>
      </xdr:nvSpPr>
      <xdr:spPr bwMode="auto">
        <a:xfrm>
          <a:off x="8382361" y="12988365"/>
          <a:ext cx="124880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364</xdr:row>
      <xdr:rowOff>5581</xdr:rowOff>
    </xdr:from>
    <xdr:to>
      <xdr:col>16</xdr:col>
      <xdr:colOff>239965</xdr:colOff>
      <xdr:row>364</xdr:row>
      <xdr:rowOff>152468</xdr:rowOff>
    </xdr:to>
    <xdr:sp macro="" textlink="">
      <xdr:nvSpPr>
        <xdr:cNvPr id="342" name="Text Box 64"/>
        <xdr:cNvSpPr txBox="1">
          <a:spLocks noChangeArrowheads="1"/>
        </xdr:cNvSpPr>
      </xdr:nvSpPr>
      <xdr:spPr bwMode="auto">
        <a:xfrm>
          <a:off x="8370125" y="12668228"/>
          <a:ext cx="1260369"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364</xdr:row>
      <xdr:rowOff>73592</xdr:rowOff>
    </xdr:from>
    <xdr:to>
      <xdr:col>12</xdr:col>
      <xdr:colOff>1104900</xdr:colOff>
      <xdr:row>364</xdr:row>
      <xdr:rowOff>76199</xdr:rowOff>
    </xdr:to>
    <xdr:sp macro="" textlink="">
      <xdr:nvSpPr>
        <xdr:cNvPr id="343" name="Line 65"/>
        <xdr:cNvSpPr>
          <a:spLocks noChangeShapeType="1"/>
        </xdr:cNvSpPr>
      </xdr:nvSpPr>
      <xdr:spPr bwMode="auto">
        <a:xfrm>
          <a:off x="6592300" y="1273623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367</xdr:row>
      <xdr:rowOff>9988</xdr:rowOff>
    </xdr:from>
    <xdr:to>
      <xdr:col>11</xdr:col>
      <xdr:colOff>331131</xdr:colOff>
      <xdr:row>368</xdr:row>
      <xdr:rowOff>27214</xdr:rowOff>
    </xdr:to>
    <xdr:sp macro="" textlink="">
      <xdr:nvSpPr>
        <xdr:cNvPr id="344" name="Text Box 66"/>
        <xdr:cNvSpPr txBox="1">
          <a:spLocks noChangeArrowheads="1"/>
        </xdr:cNvSpPr>
      </xdr:nvSpPr>
      <xdr:spPr bwMode="auto">
        <a:xfrm>
          <a:off x="3113637" y="13143282"/>
          <a:ext cx="3201435" cy="174108"/>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366</xdr:row>
      <xdr:rowOff>85654</xdr:rowOff>
    </xdr:from>
    <xdr:to>
      <xdr:col>7</xdr:col>
      <xdr:colOff>242428</xdr:colOff>
      <xdr:row>368</xdr:row>
      <xdr:rowOff>108859</xdr:rowOff>
    </xdr:to>
    <xdr:sp macro="" textlink="">
      <xdr:nvSpPr>
        <xdr:cNvPr id="345" name="Line 67"/>
        <xdr:cNvSpPr>
          <a:spLocks noChangeShapeType="1"/>
        </xdr:cNvSpPr>
      </xdr:nvSpPr>
      <xdr:spPr bwMode="auto">
        <a:xfrm>
          <a:off x="3032693" y="13062066"/>
          <a:ext cx="0" cy="336969"/>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366</xdr:row>
      <xdr:rowOff>85651</xdr:rowOff>
    </xdr:from>
    <xdr:to>
      <xdr:col>12</xdr:col>
      <xdr:colOff>161925</xdr:colOff>
      <xdr:row>366</xdr:row>
      <xdr:rowOff>85724</xdr:rowOff>
    </xdr:to>
    <xdr:sp macro="" textlink="">
      <xdr:nvSpPr>
        <xdr:cNvPr id="346" name="Line 44"/>
        <xdr:cNvSpPr>
          <a:spLocks noChangeShapeType="1"/>
        </xdr:cNvSpPr>
      </xdr:nvSpPr>
      <xdr:spPr bwMode="auto">
        <a:xfrm flipH="1" flipV="1">
          <a:off x="1485663" y="13062063"/>
          <a:ext cx="5108438"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364</xdr:row>
      <xdr:rowOff>132883</xdr:rowOff>
    </xdr:from>
    <xdr:to>
      <xdr:col>11</xdr:col>
      <xdr:colOff>188095</xdr:colOff>
      <xdr:row>366</xdr:row>
      <xdr:rowOff>85652</xdr:rowOff>
    </xdr:to>
    <xdr:grpSp>
      <xdr:nvGrpSpPr>
        <xdr:cNvPr id="347" name="Group 346"/>
        <xdr:cNvGrpSpPr/>
      </xdr:nvGrpSpPr>
      <xdr:grpSpPr>
        <a:xfrm>
          <a:off x="4479858" y="50773853"/>
          <a:ext cx="2129208" cy="0"/>
          <a:chOff x="6368609" y="12001033"/>
          <a:chExt cx="1344236" cy="276619"/>
        </a:xfrm>
      </xdr:grpSpPr>
      <xdr:sp macro="" textlink="">
        <xdr:nvSpPr>
          <xdr:cNvPr id="348"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49"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50"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351"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366</xdr:row>
      <xdr:rowOff>83117</xdr:rowOff>
    </xdr:from>
    <xdr:to>
      <xdr:col>12</xdr:col>
      <xdr:colOff>1104900</xdr:colOff>
      <xdr:row>366</xdr:row>
      <xdr:rowOff>85724</xdr:rowOff>
    </xdr:to>
    <xdr:sp macro="" textlink="">
      <xdr:nvSpPr>
        <xdr:cNvPr id="352" name="Line 65"/>
        <xdr:cNvSpPr>
          <a:spLocks noChangeShapeType="1"/>
        </xdr:cNvSpPr>
      </xdr:nvSpPr>
      <xdr:spPr bwMode="auto">
        <a:xfrm>
          <a:off x="6592300" y="1305952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368</xdr:row>
      <xdr:rowOff>102167</xdr:rowOff>
    </xdr:from>
    <xdr:to>
      <xdr:col>12</xdr:col>
      <xdr:colOff>1104900</xdr:colOff>
      <xdr:row>368</xdr:row>
      <xdr:rowOff>104774</xdr:rowOff>
    </xdr:to>
    <xdr:sp macro="" textlink="">
      <xdr:nvSpPr>
        <xdr:cNvPr id="353" name="Line 65"/>
        <xdr:cNvSpPr>
          <a:spLocks noChangeShapeType="1"/>
        </xdr:cNvSpPr>
      </xdr:nvSpPr>
      <xdr:spPr bwMode="auto">
        <a:xfrm>
          <a:off x="6592300" y="13392343"/>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383</xdr:row>
      <xdr:rowOff>73592</xdr:rowOff>
    </xdr:from>
    <xdr:to>
      <xdr:col>12</xdr:col>
      <xdr:colOff>1104900</xdr:colOff>
      <xdr:row>383</xdr:row>
      <xdr:rowOff>76199</xdr:rowOff>
    </xdr:to>
    <xdr:sp macro="" textlink="">
      <xdr:nvSpPr>
        <xdr:cNvPr id="354" name="Line 65"/>
        <xdr:cNvSpPr>
          <a:spLocks noChangeShapeType="1"/>
        </xdr:cNvSpPr>
      </xdr:nvSpPr>
      <xdr:spPr bwMode="auto">
        <a:xfrm>
          <a:off x="6592300" y="15717004"/>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194315</xdr:colOff>
      <xdr:row>383</xdr:row>
      <xdr:rowOff>74384</xdr:rowOff>
    </xdr:from>
    <xdr:to>
      <xdr:col>12</xdr:col>
      <xdr:colOff>171450</xdr:colOff>
      <xdr:row>383</xdr:row>
      <xdr:rowOff>76199</xdr:rowOff>
    </xdr:to>
    <xdr:sp macro="" textlink="">
      <xdr:nvSpPr>
        <xdr:cNvPr id="355" name="Line 42"/>
        <xdr:cNvSpPr>
          <a:spLocks noChangeShapeType="1"/>
        </xdr:cNvSpPr>
      </xdr:nvSpPr>
      <xdr:spPr bwMode="auto">
        <a:xfrm>
          <a:off x="2088109" y="15717796"/>
          <a:ext cx="4515517"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375</xdr:row>
      <xdr:rowOff>34018</xdr:rowOff>
    </xdr:from>
    <xdr:to>
      <xdr:col>4</xdr:col>
      <xdr:colOff>120974</xdr:colOff>
      <xdr:row>384</xdr:row>
      <xdr:rowOff>136073</xdr:rowOff>
    </xdr:to>
    <xdr:sp macro="" textlink="">
      <xdr:nvSpPr>
        <xdr:cNvPr id="356" name="Line 58"/>
        <xdr:cNvSpPr>
          <a:spLocks noChangeShapeType="1"/>
        </xdr:cNvSpPr>
      </xdr:nvSpPr>
      <xdr:spPr bwMode="auto">
        <a:xfrm flipH="1">
          <a:off x="1566533" y="14422371"/>
          <a:ext cx="0" cy="1513996"/>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364</xdr:row>
      <xdr:rowOff>64068</xdr:rowOff>
    </xdr:from>
    <xdr:to>
      <xdr:col>12</xdr:col>
      <xdr:colOff>160818</xdr:colOff>
      <xdr:row>384</xdr:row>
      <xdr:rowOff>145597</xdr:rowOff>
    </xdr:to>
    <xdr:sp macro="" textlink="">
      <xdr:nvSpPr>
        <xdr:cNvPr id="357" name="Line 40"/>
        <xdr:cNvSpPr>
          <a:spLocks noChangeShapeType="1"/>
        </xdr:cNvSpPr>
      </xdr:nvSpPr>
      <xdr:spPr bwMode="auto">
        <a:xfrm>
          <a:off x="6592994" y="12726715"/>
          <a:ext cx="0" cy="32191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384</xdr:row>
      <xdr:rowOff>123825</xdr:rowOff>
    </xdr:from>
    <xdr:to>
      <xdr:col>12</xdr:col>
      <xdr:colOff>171451</xdr:colOff>
      <xdr:row>384</xdr:row>
      <xdr:rowOff>128571</xdr:rowOff>
    </xdr:to>
    <xdr:sp macro="" textlink="">
      <xdr:nvSpPr>
        <xdr:cNvPr id="358" name="Line 41"/>
        <xdr:cNvSpPr>
          <a:spLocks noChangeShapeType="1"/>
        </xdr:cNvSpPr>
      </xdr:nvSpPr>
      <xdr:spPr bwMode="auto">
        <a:xfrm flipV="1">
          <a:off x="692766" y="15924119"/>
          <a:ext cx="5910861"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361</xdr:row>
      <xdr:rowOff>25400</xdr:rowOff>
    </xdr:from>
    <xdr:to>
      <xdr:col>12</xdr:col>
      <xdr:colOff>161925</xdr:colOff>
      <xdr:row>364</xdr:row>
      <xdr:rowOff>66675</xdr:rowOff>
    </xdr:to>
    <xdr:sp macro="" textlink="">
      <xdr:nvSpPr>
        <xdr:cNvPr id="359" name="AutoShape 38"/>
        <xdr:cNvSpPr>
          <a:spLocks noChangeArrowheads="1"/>
        </xdr:cNvSpPr>
      </xdr:nvSpPr>
      <xdr:spPr bwMode="auto">
        <a:xfrm>
          <a:off x="658345" y="12217400"/>
          <a:ext cx="5935756" cy="511922"/>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364</xdr:row>
      <xdr:rowOff>83118</xdr:rowOff>
    </xdr:from>
    <xdr:to>
      <xdr:col>2</xdr:col>
      <xdr:colOff>678</xdr:colOff>
      <xdr:row>384</xdr:row>
      <xdr:rowOff>123825</xdr:rowOff>
    </xdr:to>
    <xdr:sp macro="" textlink="">
      <xdr:nvSpPr>
        <xdr:cNvPr id="360" name="Line 39"/>
        <xdr:cNvSpPr>
          <a:spLocks noChangeShapeType="1"/>
        </xdr:cNvSpPr>
      </xdr:nvSpPr>
      <xdr:spPr bwMode="auto">
        <a:xfrm flipH="1">
          <a:off x="672353" y="12745765"/>
          <a:ext cx="678" cy="31783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368</xdr:row>
      <xdr:rowOff>104491</xdr:rowOff>
    </xdr:from>
    <xdr:to>
      <xdr:col>12</xdr:col>
      <xdr:colOff>161925</xdr:colOff>
      <xdr:row>368</xdr:row>
      <xdr:rowOff>104774</xdr:rowOff>
    </xdr:to>
    <xdr:sp macro="" textlink="">
      <xdr:nvSpPr>
        <xdr:cNvPr id="361" name="Line 43"/>
        <xdr:cNvSpPr>
          <a:spLocks noChangeShapeType="1"/>
        </xdr:cNvSpPr>
      </xdr:nvSpPr>
      <xdr:spPr bwMode="auto">
        <a:xfrm flipH="1" flipV="1">
          <a:off x="2086088" y="13394667"/>
          <a:ext cx="4508013"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368</xdr:row>
      <xdr:rowOff>122464</xdr:rowOff>
    </xdr:from>
    <xdr:to>
      <xdr:col>9</xdr:col>
      <xdr:colOff>107545</xdr:colOff>
      <xdr:row>372</xdr:row>
      <xdr:rowOff>40821</xdr:rowOff>
    </xdr:to>
    <xdr:sp macro="" textlink="">
      <xdr:nvSpPr>
        <xdr:cNvPr id="362" name="Line 47"/>
        <xdr:cNvSpPr>
          <a:spLocks noChangeShapeType="1"/>
        </xdr:cNvSpPr>
      </xdr:nvSpPr>
      <xdr:spPr bwMode="auto">
        <a:xfrm>
          <a:off x="5150192" y="13412640"/>
          <a:ext cx="0" cy="54588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375</xdr:row>
      <xdr:rowOff>129267</xdr:rowOff>
    </xdr:from>
    <xdr:to>
      <xdr:col>9</xdr:col>
      <xdr:colOff>119108</xdr:colOff>
      <xdr:row>383</xdr:row>
      <xdr:rowOff>74838</xdr:rowOff>
    </xdr:to>
    <xdr:sp macro="" textlink="">
      <xdr:nvSpPr>
        <xdr:cNvPr id="363" name="Line 48"/>
        <xdr:cNvSpPr>
          <a:spLocks noChangeShapeType="1"/>
        </xdr:cNvSpPr>
      </xdr:nvSpPr>
      <xdr:spPr bwMode="auto">
        <a:xfrm>
          <a:off x="5161755" y="14517620"/>
          <a:ext cx="0" cy="120063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166161</xdr:colOff>
      <xdr:row>383</xdr:row>
      <xdr:rowOff>23762</xdr:rowOff>
    </xdr:from>
    <xdr:to>
      <xdr:col>16</xdr:col>
      <xdr:colOff>146914</xdr:colOff>
      <xdr:row>384</xdr:row>
      <xdr:rowOff>7363</xdr:rowOff>
    </xdr:to>
    <xdr:sp macro="" textlink="">
      <xdr:nvSpPr>
        <xdr:cNvPr id="364" name="Text Box 49"/>
        <xdr:cNvSpPr txBox="1">
          <a:spLocks noChangeArrowheads="1"/>
        </xdr:cNvSpPr>
      </xdr:nvSpPr>
      <xdr:spPr bwMode="auto">
        <a:xfrm>
          <a:off x="8346455" y="15667174"/>
          <a:ext cx="1190988"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368</xdr:row>
      <xdr:rowOff>3066</xdr:rowOff>
    </xdr:from>
    <xdr:to>
      <xdr:col>16</xdr:col>
      <xdr:colOff>74817</xdr:colOff>
      <xdr:row>368</xdr:row>
      <xdr:rowOff>149953</xdr:rowOff>
    </xdr:to>
    <xdr:sp macro="" textlink="">
      <xdr:nvSpPr>
        <xdr:cNvPr id="365" name="Text Box 53"/>
        <xdr:cNvSpPr txBox="1">
          <a:spLocks noChangeArrowheads="1"/>
        </xdr:cNvSpPr>
      </xdr:nvSpPr>
      <xdr:spPr bwMode="auto">
        <a:xfrm>
          <a:off x="8366866" y="13293242"/>
          <a:ext cx="109848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366</xdr:row>
      <xdr:rowOff>80211</xdr:rowOff>
    </xdr:from>
    <xdr:to>
      <xdr:col>4</xdr:col>
      <xdr:colOff>132537</xdr:colOff>
      <xdr:row>371</xdr:row>
      <xdr:rowOff>135601</xdr:rowOff>
    </xdr:to>
    <xdr:sp macro="" textlink="">
      <xdr:nvSpPr>
        <xdr:cNvPr id="366" name="Line 57"/>
        <xdr:cNvSpPr>
          <a:spLocks noChangeShapeType="1"/>
        </xdr:cNvSpPr>
      </xdr:nvSpPr>
      <xdr:spPr bwMode="auto">
        <a:xfrm>
          <a:off x="1578096" y="13056623"/>
          <a:ext cx="0" cy="839802"/>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366</xdr:row>
      <xdr:rowOff>11953</xdr:rowOff>
    </xdr:from>
    <xdr:to>
      <xdr:col>16</xdr:col>
      <xdr:colOff>240637</xdr:colOff>
      <xdr:row>366</xdr:row>
      <xdr:rowOff>158840</xdr:rowOff>
    </xdr:to>
    <xdr:sp macro="" textlink="">
      <xdr:nvSpPr>
        <xdr:cNvPr id="367" name="Text Box 59"/>
        <xdr:cNvSpPr txBox="1">
          <a:spLocks noChangeArrowheads="1"/>
        </xdr:cNvSpPr>
      </xdr:nvSpPr>
      <xdr:spPr bwMode="auto">
        <a:xfrm>
          <a:off x="8382361" y="12988365"/>
          <a:ext cx="124880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364</xdr:row>
      <xdr:rowOff>5581</xdr:rowOff>
    </xdr:from>
    <xdr:to>
      <xdr:col>16</xdr:col>
      <xdr:colOff>239965</xdr:colOff>
      <xdr:row>364</xdr:row>
      <xdr:rowOff>152468</xdr:rowOff>
    </xdr:to>
    <xdr:sp macro="" textlink="">
      <xdr:nvSpPr>
        <xdr:cNvPr id="368" name="Text Box 64"/>
        <xdr:cNvSpPr txBox="1">
          <a:spLocks noChangeArrowheads="1"/>
        </xdr:cNvSpPr>
      </xdr:nvSpPr>
      <xdr:spPr bwMode="auto">
        <a:xfrm>
          <a:off x="8370125" y="12668228"/>
          <a:ext cx="1260369"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364</xdr:row>
      <xdr:rowOff>73592</xdr:rowOff>
    </xdr:from>
    <xdr:to>
      <xdr:col>12</xdr:col>
      <xdr:colOff>1104900</xdr:colOff>
      <xdr:row>364</xdr:row>
      <xdr:rowOff>76199</xdr:rowOff>
    </xdr:to>
    <xdr:sp macro="" textlink="">
      <xdr:nvSpPr>
        <xdr:cNvPr id="369" name="Line 65"/>
        <xdr:cNvSpPr>
          <a:spLocks noChangeShapeType="1"/>
        </xdr:cNvSpPr>
      </xdr:nvSpPr>
      <xdr:spPr bwMode="auto">
        <a:xfrm>
          <a:off x="6592300" y="1273623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367</xdr:row>
      <xdr:rowOff>9988</xdr:rowOff>
    </xdr:from>
    <xdr:to>
      <xdr:col>11</xdr:col>
      <xdr:colOff>331131</xdr:colOff>
      <xdr:row>368</xdr:row>
      <xdr:rowOff>27214</xdr:rowOff>
    </xdr:to>
    <xdr:sp macro="" textlink="">
      <xdr:nvSpPr>
        <xdr:cNvPr id="370" name="Text Box 66"/>
        <xdr:cNvSpPr txBox="1">
          <a:spLocks noChangeArrowheads="1"/>
        </xdr:cNvSpPr>
      </xdr:nvSpPr>
      <xdr:spPr bwMode="auto">
        <a:xfrm>
          <a:off x="3113637" y="13143282"/>
          <a:ext cx="3201435" cy="174108"/>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366</xdr:row>
      <xdr:rowOff>85654</xdr:rowOff>
    </xdr:from>
    <xdr:to>
      <xdr:col>7</xdr:col>
      <xdr:colOff>242428</xdr:colOff>
      <xdr:row>368</xdr:row>
      <xdr:rowOff>108859</xdr:rowOff>
    </xdr:to>
    <xdr:sp macro="" textlink="">
      <xdr:nvSpPr>
        <xdr:cNvPr id="371" name="Line 67"/>
        <xdr:cNvSpPr>
          <a:spLocks noChangeShapeType="1"/>
        </xdr:cNvSpPr>
      </xdr:nvSpPr>
      <xdr:spPr bwMode="auto">
        <a:xfrm>
          <a:off x="3032693" y="13062066"/>
          <a:ext cx="0" cy="336969"/>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366</xdr:row>
      <xdr:rowOff>85651</xdr:rowOff>
    </xdr:from>
    <xdr:to>
      <xdr:col>12</xdr:col>
      <xdr:colOff>161925</xdr:colOff>
      <xdr:row>366</xdr:row>
      <xdr:rowOff>85724</xdr:rowOff>
    </xdr:to>
    <xdr:sp macro="" textlink="">
      <xdr:nvSpPr>
        <xdr:cNvPr id="372" name="Line 44"/>
        <xdr:cNvSpPr>
          <a:spLocks noChangeShapeType="1"/>
        </xdr:cNvSpPr>
      </xdr:nvSpPr>
      <xdr:spPr bwMode="auto">
        <a:xfrm flipH="1" flipV="1">
          <a:off x="1485663" y="13062063"/>
          <a:ext cx="5108438"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364</xdr:row>
      <xdr:rowOff>132883</xdr:rowOff>
    </xdr:from>
    <xdr:to>
      <xdr:col>11</xdr:col>
      <xdr:colOff>188095</xdr:colOff>
      <xdr:row>366</xdr:row>
      <xdr:rowOff>85652</xdr:rowOff>
    </xdr:to>
    <xdr:grpSp>
      <xdr:nvGrpSpPr>
        <xdr:cNvPr id="373" name="Group 372"/>
        <xdr:cNvGrpSpPr/>
      </xdr:nvGrpSpPr>
      <xdr:grpSpPr>
        <a:xfrm>
          <a:off x="4479858" y="50773853"/>
          <a:ext cx="2129208" cy="0"/>
          <a:chOff x="6368609" y="12001033"/>
          <a:chExt cx="1344236" cy="276619"/>
        </a:xfrm>
      </xdr:grpSpPr>
      <xdr:sp macro="" textlink="">
        <xdr:nvSpPr>
          <xdr:cNvPr id="374"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5"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6"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377"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366</xdr:row>
      <xdr:rowOff>83117</xdr:rowOff>
    </xdr:from>
    <xdr:to>
      <xdr:col>12</xdr:col>
      <xdr:colOff>1104900</xdr:colOff>
      <xdr:row>366</xdr:row>
      <xdr:rowOff>85724</xdr:rowOff>
    </xdr:to>
    <xdr:sp macro="" textlink="">
      <xdr:nvSpPr>
        <xdr:cNvPr id="378" name="Line 65"/>
        <xdr:cNvSpPr>
          <a:spLocks noChangeShapeType="1"/>
        </xdr:cNvSpPr>
      </xdr:nvSpPr>
      <xdr:spPr bwMode="auto">
        <a:xfrm>
          <a:off x="6592300" y="1305952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368</xdr:row>
      <xdr:rowOff>102167</xdr:rowOff>
    </xdr:from>
    <xdr:to>
      <xdr:col>12</xdr:col>
      <xdr:colOff>1104900</xdr:colOff>
      <xdr:row>368</xdr:row>
      <xdr:rowOff>104774</xdr:rowOff>
    </xdr:to>
    <xdr:sp macro="" textlink="">
      <xdr:nvSpPr>
        <xdr:cNvPr id="379" name="Line 65"/>
        <xdr:cNvSpPr>
          <a:spLocks noChangeShapeType="1"/>
        </xdr:cNvSpPr>
      </xdr:nvSpPr>
      <xdr:spPr bwMode="auto">
        <a:xfrm>
          <a:off x="6592300" y="13392343"/>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383</xdr:row>
      <xdr:rowOff>73592</xdr:rowOff>
    </xdr:from>
    <xdr:to>
      <xdr:col>12</xdr:col>
      <xdr:colOff>1104900</xdr:colOff>
      <xdr:row>383</xdr:row>
      <xdr:rowOff>76199</xdr:rowOff>
    </xdr:to>
    <xdr:sp macro="" textlink="">
      <xdr:nvSpPr>
        <xdr:cNvPr id="380" name="Line 65"/>
        <xdr:cNvSpPr>
          <a:spLocks noChangeShapeType="1"/>
        </xdr:cNvSpPr>
      </xdr:nvSpPr>
      <xdr:spPr bwMode="auto">
        <a:xfrm>
          <a:off x="6592300" y="15717004"/>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194315</xdr:colOff>
      <xdr:row>383</xdr:row>
      <xdr:rowOff>74384</xdr:rowOff>
    </xdr:from>
    <xdr:to>
      <xdr:col>12</xdr:col>
      <xdr:colOff>171450</xdr:colOff>
      <xdr:row>383</xdr:row>
      <xdr:rowOff>76199</xdr:rowOff>
    </xdr:to>
    <xdr:sp macro="" textlink="">
      <xdr:nvSpPr>
        <xdr:cNvPr id="381" name="Line 42"/>
        <xdr:cNvSpPr>
          <a:spLocks noChangeShapeType="1"/>
        </xdr:cNvSpPr>
      </xdr:nvSpPr>
      <xdr:spPr bwMode="auto">
        <a:xfrm>
          <a:off x="2088109" y="15717796"/>
          <a:ext cx="4515517"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375</xdr:row>
      <xdr:rowOff>34018</xdr:rowOff>
    </xdr:from>
    <xdr:to>
      <xdr:col>4</xdr:col>
      <xdr:colOff>120974</xdr:colOff>
      <xdr:row>384</xdr:row>
      <xdr:rowOff>136073</xdr:rowOff>
    </xdr:to>
    <xdr:sp macro="" textlink="">
      <xdr:nvSpPr>
        <xdr:cNvPr id="382" name="Line 58"/>
        <xdr:cNvSpPr>
          <a:spLocks noChangeShapeType="1"/>
        </xdr:cNvSpPr>
      </xdr:nvSpPr>
      <xdr:spPr bwMode="auto">
        <a:xfrm flipH="1">
          <a:off x="1566533" y="14422371"/>
          <a:ext cx="0" cy="1513996"/>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364</xdr:row>
      <xdr:rowOff>64068</xdr:rowOff>
    </xdr:from>
    <xdr:to>
      <xdr:col>12</xdr:col>
      <xdr:colOff>160818</xdr:colOff>
      <xdr:row>384</xdr:row>
      <xdr:rowOff>145597</xdr:rowOff>
    </xdr:to>
    <xdr:sp macro="" textlink="">
      <xdr:nvSpPr>
        <xdr:cNvPr id="383" name="Line 40"/>
        <xdr:cNvSpPr>
          <a:spLocks noChangeShapeType="1"/>
        </xdr:cNvSpPr>
      </xdr:nvSpPr>
      <xdr:spPr bwMode="auto">
        <a:xfrm>
          <a:off x="6592994" y="12726715"/>
          <a:ext cx="0" cy="32191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384</xdr:row>
      <xdr:rowOff>123825</xdr:rowOff>
    </xdr:from>
    <xdr:to>
      <xdr:col>12</xdr:col>
      <xdr:colOff>171451</xdr:colOff>
      <xdr:row>384</xdr:row>
      <xdr:rowOff>128571</xdr:rowOff>
    </xdr:to>
    <xdr:sp macro="" textlink="">
      <xdr:nvSpPr>
        <xdr:cNvPr id="384" name="Line 41"/>
        <xdr:cNvSpPr>
          <a:spLocks noChangeShapeType="1"/>
        </xdr:cNvSpPr>
      </xdr:nvSpPr>
      <xdr:spPr bwMode="auto">
        <a:xfrm flipV="1">
          <a:off x="692766" y="15924119"/>
          <a:ext cx="5910861"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361</xdr:row>
      <xdr:rowOff>25400</xdr:rowOff>
    </xdr:from>
    <xdr:to>
      <xdr:col>12</xdr:col>
      <xdr:colOff>161925</xdr:colOff>
      <xdr:row>364</xdr:row>
      <xdr:rowOff>66675</xdr:rowOff>
    </xdr:to>
    <xdr:sp macro="" textlink="">
      <xdr:nvSpPr>
        <xdr:cNvPr id="385" name="AutoShape 38"/>
        <xdr:cNvSpPr>
          <a:spLocks noChangeArrowheads="1"/>
        </xdr:cNvSpPr>
      </xdr:nvSpPr>
      <xdr:spPr bwMode="auto">
        <a:xfrm>
          <a:off x="658345" y="12217400"/>
          <a:ext cx="5935756" cy="511922"/>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364</xdr:row>
      <xdr:rowOff>83118</xdr:rowOff>
    </xdr:from>
    <xdr:to>
      <xdr:col>2</xdr:col>
      <xdr:colOff>678</xdr:colOff>
      <xdr:row>384</xdr:row>
      <xdr:rowOff>123825</xdr:rowOff>
    </xdr:to>
    <xdr:sp macro="" textlink="">
      <xdr:nvSpPr>
        <xdr:cNvPr id="386" name="Line 39"/>
        <xdr:cNvSpPr>
          <a:spLocks noChangeShapeType="1"/>
        </xdr:cNvSpPr>
      </xdr:nvSpPr>
      <xdr:spPr bwMode="auto">
        <a:xfrm flipH="1">
          <a:off x="672353" y="12745765"/>
          <a:ext cx="678" cy="31783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368</xdr:row>
      <xdr:rowOff>104491</xdr:rowOff>
    </xdr:from>
    <xdr:to>
      <xdr:col>12</xdr:col>
      <xdr:colOff>161925</xdr:colOff>
      <xdr:row>368</xdr:row>
      <xdr:rowOff>104774</xdr:rowOff>
    </xdr:to>
    <xdr:sp macro="" textlink="">
      <xdr:nvSpPr>
        <xdr:cNvPr id="387" name="Line 43"/>
        <xdr:cNvSpPr>
          <a:spLocks noChangeShapeType="1"/>
        </xdr:cNvSpPr>
      </xdr:nvSpPr>
      <xdr:spPr bwMode="auto">
        <a:xfrm flipH="1" flipV="1">
          <a:off x="2086088" y="13394667"/>
          <a:ext cx="4508013"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368</xdr:row>
      <xdr:rowOff>122464</xdr:rowOff>
    </xdr:from>
    <xdr:to>
      <xdr:col>9</xdr:col>
      <xdr:colOff>107545</xdr:colOff>
      <xdr:row>372</xdr:row>
      <xdr:rowOff>40821</xdr:rowOff>
    </xdr:to>
    <xdr:sp macro="" textlink="">
      <xdr:nvSpPr>
        <xdr:cNvPr id="388" name="Line 47"/>
        <xdr:cNvSpPr>
          <a:spLocks noChangeShapeType="1"/>
        </xdr:cNvSpPr>
      </xdr:nvSpPr>
      <xdr:spPr bwMode="auto">
        <a:xfrm>
          <a:off x="5150192" y="13412640"/>
          <a:ext cx="0" cy="54588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375</xdr:row>
      <xdr:rowOff>129267</xdr:rowOff>
    </xdr:from>
    <xdr:to>
      <xdr:col>9</xdr:col>
      <xdr:colOff>119108</xdr:colOff>
      <xdr:row>383</xdr:row>
      <xdr:rowOff>74838</xdr:rowOff>
    </xdr:to>
    <xdr:sp macro="" textlink="">
      <xdr:nvSpPr>
        <xdr:cNvPr id="389" name="Line 48"/>
        <xdr:cNvSpPr>
          <a:spLocks noChangeShapeType="1"/>
        </xdr:cNvSpPr>
      </xdr:nvSpPr>
      <xdr:spPr bwMode="auto">
        <a:xfrm>
          <a:off x="5161755" y="14517620"/>
          <a:ext cx="0" cy="120063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166161</xdr:colOff>
      <xdr:row>383</xdr:row>
      <xdr:rowOff>23762</xdr:rowOff>
    </xdr:from>
    <xdr:to>
      <xdr:col>16</xdr:col>
      <xdr:colOff>146914</xdr:colOff>
      <xdr:row>384</xdr:row>
      <xdr:rowOff>7363</xdr:rowOff>
    </xdr:to>
    <xdr:sp macro="" textlink="">
      <xdr:nvSpPr>
        <xdr:cNvPr id="390" name="Text Box 49"/>
        <xdr:cNvSpPr txBox="1">
          <a:spLocks noChangeArrowheads="1"/>
        </xdr:cNvSpPr>
      </xdr:nvSpPr>
      <xdr:spPr bwMode="auto">
        <a:xfrm>
          <a:off x="8346455" y="15667174"/>
          <a:ext cx="1190988"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368</xdr:row>
      <xdr:rowOff>3066</xdr:rowOff>
    </xdr:from>
    <xdr:to>
      <xdr:col>16</xdr:col>
      <xdr:colOff>74817</xdr:colOff>
      <xdr:row>368</xdr:row>
      <xdr:rowOff>149953</xdr:rowOff>
    </xdr:to>
    <xdr:sp macro="" textlink="">
      <xdr:nvSpPr>
        <xdr:cNvPr id="391" name="Text Box 53"/>
        <xdr:cNvSpPr txBox="1">
          <a:spLocks noChangeArrowheads="1"/>
        </xdr:cNvSpPr>
      </xdr:nvSpPr>
      <xdr:spPr bwMode="auto">
        <a:xfrm>
          <a:off x="8366866" y="13293242"/>
          <a:ext cx="109848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366</xdr:row>
      <xdr:rowOff>80211</xdr:rowOff>
    </xdr:from>
    <xdr:to>
      <xdr:col>4</xdr:col>
      <xdr:colOff>132537</xdr:colOff>
      <xdr:row>371</xdr:row>
      <xdr:rowOff>135601</xdr:rowOff>
    </xdr:to>
    <xdr:sp macro="" textlink="">
      <xdr:nvSpPr>
        <xdr:cNvPr id="392" name="Line 57"/>
        <xdr:cNvSpPr>
          <a:spLocks noChangeShapeType="1"/>
        </xdr:cNvSpPr>
      </xdr:nvSpPr>
      <xdr:spPr bwMode="auto">
        <a:xfrm>
          <a:off x="1578096" y="13056623"/>
          <a:ext cx="0" cy="839802"/>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366</xdr:row>
      <xdr:rowOff>11953</xdr:rowOff>
    </xdr:from>
    <xdr:to>
      <xdr:col>16</xdr:col>
      <xdr:colOff>240637</xdr:colOff>
      <xdr:row>366</xdr:row>
      <xdr:rowOff>158840</xdr:rowOff>
    </xdr:to>
    <xdr:sp macro="" textlink="">
      <xdr:nvSpPr>
        <xdr:cNvPr id="393" name="Text Box 59"/>
        <xdr:cNvSpPr txBox="1">
          <a:spLocks noChangeArrowheads="1"/>
        </xdr:cNvSpPr>
      </xdr:nvSpPr>
      <xdr:spPr bwMode="auto">
        <a:xfrm>
          <a:off x="8382361" y="12988365"/>
          <a:ext cx="124880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364</xdr:row>
      <xdr:rowOff>5581</xdr:rowOff>
    </xdr:from>
    <xdr:to>
      <xdr:col>16</xdr:col>
      <xdr:colOff>239965</xdr:colOff>
      <xdr:row>364</xdr:row>
      <xdr:rowOff>152468</xdr:rowOff>
    </xdr:to>
    <xdr:sp macro="" textlink="">
      <xdr:nvSpPr>
        <xdr:cNvPr id="394" name="Text Box 64"/>
        <xdr:cNvSpPr txBox="1">
          <a:spLocks noChangeArrowheads="1"/>
        </xdr:cNvSpPr>
      </xdr:nvSpPr>
      <xdr:spPr bwMode="auto">
        <a:xfrm>
          <a:off x="8370125" y="12668228"/>
          <a:ext cx="1260369"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364</xdr:row>
      <xdr:rowOff>73592</xdr:rowOff>
    </xdr:from>
    <xdr:to>
      <xdr:col>12</xdr:col>
      <xdr:colOff>1104900</xdr:colOff>
      <xdr:row>364</xdr:row>
      <xdr:rowOff>76199</xdr:rowOff>
    </xdr:to>
    <xdr:sp macro="" textlink="">
      <xdr:nvSpPr>
        <xdr:cNvPr id="395" name="Line 65"/>
        <xdr:cNvSpPr>
          <a:spLocks noChangeShapeType="1"/>
        </xdr:cNvSpPr>
      </xdr:nvSpPr>
      <xdr:spPr bwMode="auto">
        <a:xfrm>
          <a:off x="6592300" y="1273623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367</xdr:row>
      <xdr:rowOff>9988</xdr:rowOff>
    </xdr:from>
    <xdr:to>
      <xdr:col>11</xdr:col>
      <xdr:colOff>331131</xdr:colOff>
      <xdr:row>368</xdr:row>
      <xdr:rowOff>27214</xdr:rowOff>
    </xdr:to>
    <xdr:sp macro="" textlink="">
      <xdr:nvSpPr>
        <xdr:cNvPr id="396" name="Text Box 66"/>
        <xdr:cNvSpPr txBox="1">
          <a:spLocks noChangeArrowheads="1"/>
        </xdr:cNvSpPr>
      </xdr:nvSpPr>
      <xdr:spPr bwMode="auto">
        <a:xfrm>
          <a:off x="3113637" y="13143282"/>
          <a:ext cx="3201435" cy="174108"/>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366</xdr:row>
      <xdr:rowOff>85654</xdr:rowOff>
    </xdr:from>
    <xdr:to>
      <xdr:col>7</xdr:col>
      <xdr:colOff>242428</xdr:colOff>
      <xdr:row>368</xdr:row>
      <xdr:rowOff>108859</xdr:rowOff>
    </xdr:to>
    <xdr:sp macro="" textlink="">
      <xdr:nvSpPr>
        <xdr:cNvPr id="397" name="Line 67"/>
        <xdr:cNvSpPr>
          <a:spLocks noChangeShapeType="1"/>
        </xdr:cNvSpPr>
      </xdr:nvSpPr>
      <xdr:spPr bwMode="auto">
        <a:xfrm>
          <a:off x="3032693" y="13062066"/>
          <a:ext cx="0" cy="336969"/>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366</xdr:row>
      <xdr:rowOff>85651</xdr:rowOff>
    </xdr:from>
    <xdr:to>
      <xdr:col>12</xdr:col>
      <xdr:colOff>161925</xdr:colOff>
      <xdr:row>366</xdr:row>
      <xdr:rowOff>85724</xdr:rowOff>
    </xdr:to>
    <xdr:sp macro="" textlink="">
      <xdr:nvSpPr>
        <xdr:cNvPr id="398" name="Line 44"/>
        <xdr:cNvSpPr>
          <a:spLocks noChangeShapeType="1"/>
        </xdr:cNvSpPr>
      </xdr:nvSpPr>
      <xdr:spPr bwMode="auto">
        <a:xfrm flipH="1" flipV="1">
          <a:off x="1485663" y="13062063"/>
          <a:ext cx="5108438"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364</xdr:row>
      <xdr:rowOff>132883</xdr:rowOff>
    </xdr:from>
    <xdr:to>
      <xdr:col>11</xdr:col>
      <xdr:colOff>188095</xdr:colOff>
      <xdr:row>366</xdr:row>
      <xdr:rowOff>85652</xdr:rowOff>
    </xdr:to>
    <xdr:grpSp>
      <xdr:nvGrpSpPr>
        <xdr:cNvPr id="399" name="Group 398"/>
        <xdr:cNvGrpSpPr/>
      </xdr:nvGrpSpPr>
      <xdr:grpSpPr>
        <a:xfrm>
          <a:off x="4479858" y="50773853"/>
          <a:ext cx="2129208" cy="0"/>
          <a:chOff x="6368609" y="12001033"/>
          <a:chExt cx="1344236" cy="276619"/>
        </a:xfrm>
      </xdr:grpSpPr>
      <xdr:sp macro="" textlink="">
        <xdr:nvSpPr>
          <xdr:cNvPr id="400"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1"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2"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403"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366</xdr:row>
      <xdr:rowOff>83117</xdr:rowOff>
    </xdr:from>
    <xdr:to>
      <xdr:col>12</xdr:col>
      <xdr:colOff>1104900</xdr:colOff>
      <xdr:row>366</xdr:row>
      <xdr:rowOff>85724</xdr:rowOff>
    </xdr:to>
    <xdr:sp macro="" textlink="">
      <xdr:nvSpPr>
        <xdr:cNvPr id="404" name="Line 65"/>
        <xdr:cNvSpPr>
          <a:spLocks noChangeShapeType="1"/>
        </xdr:cNvSpPr>
      </xdr:nvSpPr>
      <xdr:spPr bwMode="auto">
        <a:xfrm>
          <a:off x="6592300" y="1305952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368</xdr:row>
      <xdr:rowOff>102167</xdr:rowOff>
    </xdr:from>
    <xdr:to>
      <xdr:col>12</xdr:col>
      <xdr:colOff>1104900</xdr:colOff>
      <xdr:row>368</xdr:row>
      <xdr:rowOff>104774</xdr:rowOff>
    </xdr:to>
    <xdr:sp macro="" textlink="">
      <xdr:nvSpPr>
        <xdr:cNvPr id="405" name="Line 65"/>
        <xdr:cNvSpPr>
          <a:spLocks noChangeShapeType="1"/>
        </xdr:cNvSpPr>
      </xdr:nvSpPr>
      <xdr:spPr bwMode="auto">
        <a:xfrm>
          <a:off x="6592300" y="13392343"/>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383</xdr:row>
      <xdr:rowOff>73592</xdr:rowOff>
    </xdr:from>
    <xdr:to>
      <xdr:col>12</xdr:col>
      <xdr:colOff>1104900</xdr:colOff>
      <xdr:row>383</xdr:row>
      <xdr:rowOff>76199</xdr:rowOff>
    </xdr:to>
    <xdr:sp macro="" textlink="">
      <xdr:nvSpPr>
        <xdr:cNvPr id="406" name="Line 65"/>
        <xdr:cNvSpPr>
          <a:spLocks noChangeShapeType="1"/>
        </xdr:cNvSpPr>
      </xdr:nvSpPr>
      <xdr:spPr bwMode="auto">
        <a:xfrm>
          <a:off x="6592300" y="15717004"/>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194315</xdr:colOff>
      <xdr:row>383</xdr:row>
      <xdr:rowOff>74384</xdr:rowOff>
    </xdr:from>
    <xdr:to>
      <xdr:col>12</xdr:col>
      <xdr:colOff>171450</xdr:colOff>
      <xdr:row>383</xdr:row>
      <xdr:rowOff>76199</xdr:rowOff>
    </xdr:to>
    <xdr:sp macro="" textlink="">
      <xdr:nvSpPr>
        <xdr:cNvPr id="407" name="Line 42"/>
        <xdr:cNvSpPr>
          <a:spLocks noChangeShapeType="1"/>
        </xdr:cNvSpPr>
      </xdr:nvSpPr>
      <xdr:spPr bwMode="auto">
        <a:xfrm>
          <a:off x="2088109" y="15717796"/>
          <a:ext cx="4515517"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375</xdr:row>
      <xdr:rowOff>34018</xdr:rowOff>
    </xdr:from>
    <xdr:to>
      <xdr:col>4</xdr:col>
      <xdr:colOff>120974</xdr:colOff>
      <xdr:row>384</xdr:row>
      <xdr:rowOff>136073</xdr:rowOff>
    </xdr:to>
    <xdr:sp macro="" textlink="">
      <xdr:nvSpPr>
        <xdr:cNvPr id="408" name="Line 58"/>
        <xdr:cNvSpPr>
          <a:spLocks noChangeShapeType="1"/>
        </xdr:cNvSpPr>
      </xdr:nvSpPr>
      <xdr:spPr bwMode="auto">
        <a:xfrm flipH="1">
          <a:off x="1566533" y="14422371"/>
          <a:ext cx="0" cy="1513996"/>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364</xdr:row>
      <xdr:rowOff>64068</xdr:rowOff>
    </xdr:from>
    <xdr:to>
      <xdr:col>12</xdr:col>
      <xdr:colOff>160818</xdr:colOff>
      <xdr:row>384</xdr:row>
      <xdr:rowOff>145597</xdr:rowOff>
    </xdr:to>
    <xdr:sp macro="" textlink="">
      <xdr:nvSpPr>
        <xdr:cNvPr id="409" name="Line 40"/>
        <xdr:cNvSpPr>
          <a:spLocks noChangeShapeType="1"/>
        </xdr:cNvSpPr>
      </xdr:nvSpPr>
      <xdr:spPr bwMode="auto">
        <a:xfrm>
          <a:off x="6592994" y="12726715"/>
          <a:ext cx="0" cy="32191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384</xdr:row>
      <xdr:rowOff>123825</xdr:rowOff>
    </xdr:from>
    <xdr:to>
      <xdr:col>12</xdr:col>
      <xdr:colOff>171451</xdr:colOff>
      <xdr:row>384</xdr:row>
      <xdr:rowOff>128571</xdr:rowOff>
    </xdr:to>
    <xdr:sp macro="" textlink="">
      <xdr:nvSpPr>
        <xdr:cNvPr id="410" name="Line 41"/>
        <xdr:cNvSpPr>
          <a:spLocks noChangeShapeType="1"/>
        </xdr:cNvSpPr>
      </xdr:nvSpPr>
      <xdr:spPr bwMode="auto">
        <a:xfrm flipV="1">
          <a:off x="692766" y="15924119"/>
          <a:ext cx="5910861"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361</xdr:row>
      <xdr:rowOff>25400</xdr:rowOff>
    </xdr:from>
    <xdr:to>
      <xdr:col>12</xdr:col>
      <xdr:colOff>161925</xdr:colOff>
      <xdr:row>364</xdr:row>
      <xdr:rowOff>66675</xdr:rowOff>
    </xdr:to>
    <xdr:sp macro="" textlink="">
      <xdr:nvSpPr>
        <xdr:cNvPr id="411" name="AutoShape 38"/>
        <xdr:cNvSpPr>
          <a:spLocks noChangeArrowheads="1"/>
        </xdr:cNvSpPr>
      </xdr:nvSpPr>
      <xdr:spPr bwMode="auto">
        <a:xfrm>
          <a:off x="658345" y="12217400"/>
          <a:ext cx="5935756" cy="511922"/>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364</xdr:row>
      <xdr:rowOff>83118</xdr:rowOff>
    </xdr:from>
    <xdr:to>
      <xdr:col>2</xdr:col>
      <xdr:colOff>678</xdr:colOff>
      <xdr:row>384</xdr:row>
      <xdr:rowOff>123825</xdr:rowOff>
    </xdr:to>
    <xdr:sp macro="" textlink="">
      <xdr:nvSpPr>
        <xdr:cNvPr id="412" name="Line 39"/>
        <xdr:cNvSpPr>
          <a:spLocks noChangeShapeType="1"/>
        </xdr:cNvSpPr>
      </xdr:nvSpPr>
      <xdr:spPr bwMode="auto">
        <a:xfrm flipH="1">
          <a:off x="672353" y="12745765"/>
          <a:ext cx="678" cy="31783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368</xdr:row>
      <xdr:rowOff>104491</xdr:rowOff>
    </xdr:from>
    <xdr:to>
      <xdr:col>12</xdr:col>
      <xdr:colOff>161925</xdr:colOff>
      <xdr:row>368</xdr:row>
      <xdr:rowOff>104774</xdr:rowOff>
    </xdr:to>
    <xdr:sp macro="" textlink="">
      <xdr:nvSpPr>
        <xdr:cNvPr id="413" name="Line 43"/>
        <xdr:cNvSpPr>
          <a:spLocks noChangeShapeType="1"/>
        </xdr:cNvSpPr>
      </xdr:nvSpPr>
      <xdr:spPr bwMode="auto">
        <a:xfrm flipH="1" flipV="1">
          <a:off x="2086088" y="13394667"/>
          <a:ext cx="4508013"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368</xdr:row>
      <xdr:rowOff>122464</xdr:rowOff>
    </xdr:from>
    <xdr:to>
      <xdr:col>9</xdr:col>
      <xdr:colOff>107545</xdr:colOff>
      <xdr:row>372</xdr:row>
      <xdr:rowOff>40821</xdr:rowOff>
    </xdr:to>
    <xdr:sp macro="" textlink="">
      <xdr:nvSpPr>
        <xdr:cNvPr id="414" name="Line 47"/>
        <xdr:cNvSpPr>
          <a:spLocks noChangeShapeType="1"/>
        </xdr:cNvSpPr>
      </xdr:nvSpPr>
      <xdr:spPr bwMode="auto">
        <a:xfrm>
          <a:off x="5150192" y="13412640"/>
          <a:ext cx="0" cy="54588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375</xdr:row>
      <xdr:rowOff>129267</xdr:rowOff>
    </xdr:from>
    <xdr:to>
      <xdr:col>9</xdr:col>
      <xdr:colOff>119108</xdr:colOff>
      <xdr:row>383</xdr:row>
      <xdr:rowOff>74838</xdr:rowOff>
    </xdr:to>
    <xdr:sp macro="" textlink="">
      <xdr:nvSpPr>
        <xdr:cNvPr id="415" name="Line 48"/>
        <xdr:cNvSpPr>
          <a:spLocks noChangeShapeType="1"/>
        </xdr:cNvSpPr>
      </xdr:nvSpPr>
      <xdr:spPr bwMode="auto">
        <a:xfrm>
          <a:off x="5161755" y="14517620"/>
          <a:ext cx="0" cy="120063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166161</xdr:colOff>
      <xdr:row>383</xdr:row>
      <xdr:rowOff>23762</xdr:rowOff>
    </xdr:from>
    <xdr:to>
      <xdr:col>16</xdr:col>
      <xdr:colOff>146914</xdr:colOff>
      <xdr:row>384</xdr:row>
      <xdr:rowOff>7363</xdr:rowOff>
    </xdr:to>
    <xdr:sp macro="" textlink="">
      <xdr:nvSpPr>
        <xdr:cNvPr id="416" name="Text Box 49"/>
        <xdr:cNvSpPr txBox="1">
          <a:spLocks noChangeArrowheads="1"/>
        </xdr:cNvSpPr>
      </xdr:nvSpPr>
      <xdr:spPr bwMode="auto">
        <a:xfrm>
          <a:off x="8346455" y="15667174"/>
          <a:ext cx="1190988"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368</xdr:row>
      <xdr:rowOff>3066</xdr:rowOff>
    </xdr:from>
    <xdr:to>
      <xdr:col>16</xdr:col>
      <xdr:colOff>74817</xdr:colOff>
      <xdr:row>368</xdr:row>
      <xdr:rowOff>149953</xdr:rowOff>
    </xdr:to>
    <xdr:sp macro="" textlink="">
      <xdr:nvSpPr>
        <xdr:cNvPr id="417" name="Text Box 53"/>
        <xdr:cNvSpPr txBox="1">
          <a:spLocks noChangeArrowheads="1"/>
        </xdr:cNvSpPr>
      </xdr:nvSpPr>
      <xdr:spPr bwMode="auto">
        <a:xfrm>
          <a:off x="8366866" y="13293242"/>
          <a:ext cx="109848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366</xdr:row>
      <xdr:rowOff>80211</xdr:rowOff>
    </xdr:from>
    <xdr:to>
      <xdr:col>4</xdr:col>
      <xdr:colOff>132537</xdr:colOff>
      <xdr:row>371</xdr:row>
      <xdr:rowOff>135601</xdr:rowOff>
    </xdr:to>
    <xdr:sp macro="" textlink="">
      <xdr:nvSpPr>
        <xdr:cNvPr id="418" name="Line 57"/>
        <xdr:cNvSpPr>
          <a:spLocks noChangeShapeType="1"/>
        </xdr:cNvSpPr>
      </xdr:nvSpPr>
      <xdr:spPr bwMode="auto">
        <a:xfrm>
          <a:off x="1578096" y="13056623"/>
          <a:ext cx="0" cy="839802"/>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366</xdr:row>
      <xdr:rowOff>11953</xdr:rowOff>
    </xdr:from>
    <xdr:to>
      <xdr:col>16</xdr:col>
      <xdr:colOff>240637</xdr:colOff>
      <xdr:row>366</xdr:row>
      <xdr:rowOff>158840</xdr:rowOff>
    </xdr:to>
    <xdr:sp macro="" textlink="">
      <xdr:nvSpPr>
        <xdr:cNvPr id="419" name="Text Box 59"/>
        <xdr:cNvSpPr txBox="1">
          <a:spLocks noChangeArrowheads="1"/>
        </xdr:cNvSpPr>
      </xdr:nvSpPr>
      <xdr:spPr bwMode="auto">
        <a:xfrm>
          <a:off x="8382361" y="12988365"/>
          <a:ext cx="124880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364</xdr:row>
      <xdr:rowOff>5581</xdr:rowOff>
    </xdr:from>
    <xdr:to>
      <xdr:col>16</xdr:col>
      <xdr:colOff>239965</xdr:colOff>
      <xdr:row>364</xdr:row>
      <xdr:rowOff>152468</xdr:rowOff>
    </xdr:to>
    <xdr:sp macro="" textlink="">
      <xdr:nvSpPr>
        <xdr:cNvPr id="420" name="Text Box 64"/>
        <xdr:cNvSpPr txBox="1">
          <a:spLocks noChangeArrowheads="1"/>
        </xdr:cNvSpPr>
      </xdr:nvSpPr>
      <xdr:spPr bwMode="auto">
        <a:xfrm>
          <a:off x="8370125" y="12668228"/>
          <a:ext cx="1260369"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364</xdr:row>
      <xdr:rowOff>73592</xdr:rowOff>
    </xdr:from>
    <xdr:to>
      <xdr:col>12</xdr:col>
      <xdr:colOff>1104900</xdr:colOff>
      <xdr:row>364</xdr:row>
      <xdr:rowOff>76199</xdr:rowOff>
    </xdr:to>
    <xdr:sp macro="" textlink="">
      <xdr:nvSpPr>
        <xdr:cNvPr id="421" name="Line 65"/>
        <xdr:cNvSpPr>
          <a:spLocks noChangeShapeType="1"/>
        </xdr:cNvSpPr>
      </xdr:nvSpPr>
      <xdr:spPr bwMode="auto">
        <a:xfrm>
          <a:off x="6592300" y="1273623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367</xdr:row>
      <xdr:rowOff>9988</xdr:rowOff>
    </xdr:from>
    <xdr:to>
      <xdr:col>11</xdr:col>
      <xdr:colOff>331131</xdr:colOff>
      <xdr:row>368</xdr:row>
      <xdr:rowOff>27214</xdr:rowOff>
    </xdr:to>
    <xdr:sp macro="" textlink="">
      <xdr:nvSpPr>
        <xdr:cNvPr id="422" name="Text Box 66"/>
        <xdr:cNvSpPr txBox="1">
          <a:spLocks noChangeArrowheads="1"/>
        </xdr:cNvSpPr>
      </xdr:nvSpPr>
      <xdr:spPr bwMode="auto">
        <a:xfrm>
          <a:off x="3113637" y="13143282"/>
          <a:ext cx="3201435" cy="174108"/>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366</xdr:row>
      <xdr:rowOff>85654</xdr:rowOff>
    </xdr:from>
    <xdr:to>
      <xdr:col>7</xdr:col>
      <xdr:colOff>242428</xdr:colOff>
      <xdr:row>368</xdr:row>
      <xdr:rowOff>108859</xdr:rowOff>
    </xdr:to>
    <xdr:sp macro="" textlink="">
      <xdr:nvSpPr>
        <xdr:cNvPr id="423" name="Line 67"/>
        <xdr:cNvSpPr>
          <a:spLocks noChangeShapeType="1"/>
        </xdr:cNvSpPr>
      </xdr:nvSpPr>
      <xdr:spPr bwMode="auto">
        <a:xfrm>
          <a:off x="3032693" y="13062066"/>
          <a:ext cx="0" cy="336969"/>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366</xdr:row>
      <xdr:rowOff>85651</xdr:rowOff>
    </xdr:from>
    <xdr:to>
      <xdr:col>12</xdr:col>
      <xdr:colOff>161925</xdr:colOff>
      <xdr:row>366</xdr:row>
      <xdr:rowOff>85724</xdr:rowOff>
    </xdr:to>
    <xdr:sp macro="" textlink="">
      <xdr:nvSpPr>
        <xdr:cNvPr id="424" name="Line 44"/>
        <xdr:cNvSpPr>
          <a:spLocks noChangeShapeType="1"/>
        </xdr:cNvSpPr>
      </xdr:nvSpPr>
      <xdr:spPr bwMode="auto">
        <a:xfrm flipH="1" flipV="1">
          <a:off x="1485663" y="13062063"/>
          <a:ext cx="5108438"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364</xdr:row>
      <xdr:rowOff>132883</xdr:rowOff>
    </xdr:from>
    <xdr:to>
      <xdr:col>11</xdr:col>
      <xdr:colOff>188095</xdr:colOff>
      <xdr:row>366</xdr:row>
      <xdr:rowOff>85652</xdr:rowOff>
    </xdr:to>
    <xdr:grpSp>
      <xdr:nvGrpSpPr>
        <xdr:cNvPr id="425" name="Group 424"/>
        <xdr:cNvGrpSpPr/>
      </xdr:nvGrpSpPr>
      <xdr:grpSpPr>
        <a:xfrm>
          <a:off x="4479858" y="50773853"/>
          <a:ext cx="2129208" cy="0"/>
          <a:chOff x="6368609" y="12001033"/>
          <a:chExt cx="1344236" cy="276619"/>
        </a:xfrm>
      </xdr:grpSpPr>
      <xdr:sp macro="" textlink="">
        <xdr:nvSpPr>
          <xdr:cNvPr id="426"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27"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28"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429"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366</xdr:row>
      <xdr:rowOff>83117</xdr:rowOff>
    </xdr:from>
    <xdr:to>
      <xdr:col>12</xdr:col>
      <xdr:colOff>1104900</xdr:colOff>
      <xdr:row>366</xdr:row>
      <xdr:rowOff>85724</xdr:rowOff>
    </xdr:to>
    <xdr:sp macro="" textlink="">
      <xdr:nvSpPr>
        <xdr:cNvPr id="430" name="Line 65"/>
        <xdr:cNvSpPr>
          <a:spLocks noChangeShapeType="1"/>
        </xdr:cNvSpPr>
      </xdr:nvSpPr>
      <xdr:spPr bwMode="auto">
        <a:xfrm>
          <a:off x="6592300" y="1305952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368</xdr:row>
      <xdr:rowOff>102167</xdr:rowOff>
    </xdr:from>
    <xdr:to>
      <xdr:col>12</xdr:col>
      <xdr:colOff>1104900</xdr:colOff>
      <xdr:row>368</xdr:row>
      <xdr:rowOff>104774</xdr:rowOff>
    </xdr:to>
    <xdr:sp macro="" textlink="">
      <xdr:nvSpPr>
        <xdr:cNvPr id="431" name="Line 65"/>
        <xdr:cNvSpPr>
          <a:spLocks noChangeShapeType="1"/>
        </xdr:cNvSpPr>
      </xdr:nvSpPr>
      <xdr:spPr bwMode="auto">
        <a:xfrm>
          <a:off x="6592300" y="13392343"/>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383</xdr:row>
      <xdr:rowOff>73592</xdr:rowOff>
    </xdr:from>
    <xdr:to>
      <xdr:col>12</xdr:col>
      <xdr:colOff>1104900</xdr:colOff>
      <xdr:row>383</xdr:row>
      <xdr:rowOff>76199</xdr:rowOff>
    </xdr:to>
    <xdr:sp macro="" textlink="">
      <xdr:nvSpPr>
        <xdr:cNvPr id="432" name="Line 65"/>
        <xdr:cNvSpPr>
          <a:spLocks noChangeShapeType="1"/>
        </xdr:cNvSpPr>
      </xdr:nvSpPr>
      <xdr:spPr bwMode="auto">
        <a:xfrm>
          <a:off x="6592300" y="15717004"/>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194315</xdr:colOff>
      <xdr:row>383</xdr:row>
      <xdr:rowOff>74384</xdr:rowOff>
    </xdr:from>
    <xdr:to>
      <xdr:col>12</xdr:col>
      <xdr:colOff>171450</xdr:colOff>
      <xdr:row>383</xdr:row>
      <xdr:rowOff>76199</xdr:rowOff>
    </xdr:to>
    <xdr:sp macro="" textlink="">
      <xdr:nvSpPr>
        <xdr:cNvPr id="433" name="Line 42"/>
        <xdr:cNvSpPr>
          <a:spLocks noChangeShapeType="1"/>
        </xdr:cNvSpPr>
      </xdr:nvSpPr>
      <xdr:spPr bwMode="auto">
        <a:xfrm>
          <a:off x="2088109" y="15717796"/>
          <a:ext cx="4515517"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375</xdr:row>
      <xdr:rowOff>34018</xdr:rowOff>
    </xdr:from>
    <xdr:to>
      <xdr:col>4</xdr:col>
      <xdr:colOff>120974</xdr:colOff>
      <xdr:row>384</xdr:row>
      <xdr:rowOff>136073</xdr:rowOff>
    </xdr:to>
    <xdr:sp macro="" textlink="">
      <xdr:nvSpPr>
        <xdr:cNvPr id="434" name="Line 58"/>
        <xdr:cNvSpPr>
          <a:spLocks noChangeShapeType="1"/>
        </xdr:cNvSpPr>
      </xdr:nvSpPr>
      <xdr:spPr bwMode="auto">
        <a:xfrm flipH="1">
          <a:off x="1566533" y="14422371"/>
          <a:ext cx="0" cy="1513996"/>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364</xdr:row>
      <xdr:rowOff>64068</xdr:rowOff>
    </xdr:from>
    <xdr:to>
      <xdr:col>12</xdr:col>
      <xdr:colOff>160818</xdr:colOff>
      <xdr:row>384</xdr:row>
      <xdr:rowOff>145597</xdr:rowOff>
    </xdr:to>
    <xdr:sp macro="" textlink="">
      <xdr:nvSpPr>
        <xdr:cNvPr id="435" name="Line 40"/>
        <xdr:cNvSpPr>
          <a:spLocks noChangeShapeType="1"/>
        </xdr:cNvSpPr>
      </xdr:nvSpPr>
      <xdr:spPr bwMode="auto">
        <a:xfrm>
          <a:off x="6592994" y="12726715"/>
          <a:ext cx="0" cy="32191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384</xdr:row>
      <xdr:rowOff>123825</xdr:rowOff>
    </xdr:from>
    <xdr:to>
      <xdr:col>12</xdr:col>
      <xdr:colOff>171451</xdr:colOff>
      <xdr:row>384</xdr:row>
      <xdr:rowOff>128571</xdr:rowOff>
    </xdr:to>
    <xdr:sp macro="" textlink="">
      <xdr:nvSpPr>
        <xdr:cNvPr id="436" name="Line 41"/>
        <xdr:cNvSpPr>
          <a:spLocks noChangeShapeType="1"/>
        </xdr:cNvSpPr>
      </xdr:nvSpPr>
      <xdr:spPr bwMode="auto">
        <a:xfrm flipV="1">
          <a:off x="692766" y="15924119"/>
          <a:ext cx="5910861"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361</xdr:row>
      <xdr:rowOff>25400</xdr:rowOff>
    </xdr:from>
    <xdr:to>
      <xdr:col>12</xdr:col>
      <xdr:colOff>161925</xdr:colOff>
      <xdr:row>364</xdr:row>
      <xdr:rowOff>66675</xdr:rowOff>
    </xdr:to>
    <xdr:sp macro="" textlink="">
      <xdr:nvSpPr>
        <xdr:cNvPr id="437" name="AutoShape 38"/>
        <xdr:cNvSpPr>
          <a:spLocks noChangeArrowheads="1"/>
        </xdr:cNvSpPr>
      </xdr:nvSpPr>
      <xdr:spPr bwMode="auto">
        <a:xfrm>
          <a:off x="658345" y="12217400"/>
          <a:ext cx="5935756" cy="511922"/>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364</xdr:row>
      <xdr:rowOff>83118</xdr:rowOff>
    </xdr:from>
    <xdr:to>
      <xdr:col>2</xdr:col>
      <xdr:colOff>678</xdr:colOff>
      <xdr:row>384</xdr:row>
      <xdr:rowOff>123825</xdr:rowOff>
    </xdr:to>
    <xdr:sp macro="" textlink="">
      <xdr:nvSpPr>
        <xdr:cNvPr id="438" name="Line 39"/>
        <xdr:cNvSpPr>
          <a:spLocks noChangeShapeType="1"/>
        </xdr:cNvSpPr>
      </xdr:nvSpPr>
      <xdr:spPr bwMode="auto">
        <a:xfrm flipH="1">
          <a:off x="672353" y="12745765"/>
          <a:ext cx="678" cy="31783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368</xdr:row>
      <xdr:rowOff>104491</xdr:rowOff>
    </xdr:from>
    <xdr:to>
      <xdr:col>12</xdr:col>
      <xdr:colOff>161925</xdr:colOff>
      <xdr:row>368</xdr:row>
      <xdr:rowOff>104774</xdr:rowOff>
    </xdr:to>
    <xdr:sp macro="" textlink="">
      <xdr:nvSpPr>
        <xdr:cNvPr id="439" name="Line 43"/>
        <xdr:cNvSpPr>
          <a:spLocks noChangeShapeType="1"/>
        </xdr:cNvSpPr>
      </xdr:nvSpPr>
      <xdr:spPr bwMode="auto">
        <a:xfrm flipH="1" flipV="1">
          <a:off x="2086088" y="13394667"/>
          <a:ext cx="4508013"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368</xdr:row>
      <xdr:rowOff>122464</xdr:rowOff>
    </xdr:from>
    <xdr:to>
      <xdr:col>9</xdr:col>
      <xdr:colOff>107545</xdr:colOff>
      <xdr:row>372</xdr:row>
      <xdr:rowOff>40821</xdr:rowOff>
    </xdr:to>
    <xdr:sp macro="" textlink="">
      <xdr:nvSpPr>
        <xdr:cNvPr id="440" name="Line 47"/>
        <xdr:cNvSpPr>
          <a:spLocks noChangeShapeType="1"/>
        </xdr:cNvSpPr>
      </xdr:nvSpPr>
      <xdr:spPr bwMode="auto">
        <a:xfrm>
          <a:off x="5150192" y="13412640"/>
          <a:ext cx="0" cy="54588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375</xdr:row>
      <xdr:rowOff>129267</xdr:rowOff>
    </xdr:from>
    <xdr:to>
      <xdr:col>9</xdr:col>
      <xdr:colOff>119108</xdr:colOff>
      <xdr:row>383</xdr:row>
      <xdr:rowOff>74838</xdr:rowOff>
    </xdr:to>
    <xdr:sp macro="" textlink="">
      <xdr:nvSpPr>
        <xdr:cNvPr id="441" name="Line 48"/>
        <xdr:cNvSpPr>
          <a:spLocks noChangeShapeType="1"/>
        </xdr:cNvSpPr>
      </xdr:nvSpPr>
      <xdr:spPr bwMode="auto">
        <a:xfrm>
          <a:off x="5161755" y="14517620"/>
          <a:ext cx="0" cy="120063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166161</xdr:colOff>
      <xdr:row>383</xdr:row>
      <xdr:rowOff>23762</xdr:rowOff>
    </xdr:from>
    <xdr:to>
      <xdr:col>16</xdr:col>
      <xdr:colOff>146914</xdr:colOff>
      <xdr:row>384</xdr:row>
      <xdr:rowOff>7363</xdr:rowOff>
    </xdr:to>
    <xdr:sp macro="" textlink="">
      <xdr:nvSpPr>
        <xdr:cNvPr id="442" name="Text Box 49"/>
        <xdr:cNvSpPr txBox="1">
          <a:spLocks noChangeArrowheads="1"/>
        </xdr:cNvSpPr>
      </xdr:nvSpPr>
      <xdr:spPr bwMode="auto">
        <a:xfrm>
          <a:off x="8346455" y="15667174"/>
          <a:ext cx="1190988"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368</xdr:row>
      <xdr:rowOff>3066</xdr:rowOff>
    </xdr:from>
    <xdr:to>
      <xdr:col>16</xdr:col>
      <xdr:colOff>74817</xdr:colOff>
      <xdr:row>368</xdr:row>
      <xdr:rowOff>149953</xdr:rowOff>
    </xdr:to>
    <xdr:sp macro="" textlink="">
      <xdr:nvSpPr>
        <xdr:cNvPr id="443" name="Text Box 53"/>
        <xdr:cNvSpPr txBox="1">
          <a:spLocks noChangeArrowheads="1"/>
        </xdr:cNvSpPr>
      </xdr:nvSpPr>
      <xdr:spPr bwMode="auto">
        <a:xfrm>
          <a:off x="8366866" y="13293242"/>
          <a:ext cx="109848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366</xdr:row>
      <xdr:rowOff>80211</xdr:rowOff>
    </xdr:from>
    <xdr:to>
      <xdr:col>4</xdr:col>
      <xdr:colOff>132537</xdr:colOff>
      <xdr:row>371</xdr:row>
      <xdr:rowOff>135601</xdr:rowOff>
    </xdr:to>
    <xdr:sp macro="" textlink="">
      <xdr:nvSpPr>
        <xdr:cNvPr id="444" name="Line 57"/>
        <xdr:cNvSpPr>
          <a:spLocks noChangeShapeType="1"/>
        </xdr:cNvSpPr>
      </xdr:nvSpPr>
      <xdr:spPr bwMode="auto">
        <a:xfrm>
          <a:off x="1578096" y="13056623"/>
          <a:ext cx="0" cy="839802"/>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366</xdr:row>
      <xdr:rowOff>11953</xdr:rowOff>
    </xdr:from>
    <xdr:to>
      <xdr:col>16</xdr:col>
      <xdr:colOff>240637</xdr:colOff>
      <xdr:row>366</xdr:row>
      <xdr:rowOff>158840</xdr:rowOff>
    </xdr:to>
    <xdr:sp macro="" textlink="">
      <xdr:nvSpPr>
        <xdr:cNvPr id="445" name="Text Box 59"/>
        <xdr:cNvSpPr txBox="1">
          <a:spLocks noChangeArrowheads="1"/>
        </xdr:cNvSpPr>
      </xdr:nvSpPr>
      <xdr:spPr bwMode="auto">
        <a:xfrm>
          <a:off x="8382361" y="12988365"/>
          <a:ext cx="124880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364</xdr:row>
      <xdr:rowOff>5581</xdr:rowOff>
    </xdr:from>
    <xdr:to>
      <xdr:col>16</xdr:col>
      <xdr:colOff>239965</xdr:colOff>
      <xdr:row>364</xdr:row>
      <xdr:rowOff>152468</xdr:rowOff>
    </xdr:to>
    <xdr:sp macro="" textlink="">
      <xdr:nvSpPr>
        <xdr:cNvPr id="446" name="Text Box 64"/>
        <xdr:cNvSpPr txBox="1">
          <a:spLocks noChangeArrowheads="1"/>
        </xdr:cNvSpPr>
      </xdr:nvSpPr>
      <xdr:spPr bwMode="auto">
        <a:xfrm>
          <a:off x="8370125" y="12668228"/>
          <a:ext cx="1260369"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364</xdr:row>
      <xdr:rowOff>73592</xdr:rowOff>
    </xdr:from>
    <xdr:to>
      <xdr:col>12</xdr:col>
      <xdr:colOff>1104900</xdr:colOff>
      <xdr:row>364</xdr:row>
      <xdr:rowOff>76199</xdr:rowOff>
    </xdr:to>
    <xdr:sp macro="" textlink="">
      <xdr:nvSpPr>
        <xdr:cNvPr id="447" name="Line 65"/>
        <xdr:cNvSpPr>
          <a:spLocks noChangeShapeType="1"/>
        </xdr:cNvSpPr>
      </xdr:nvSpPr>
      <xdr:spPr bwMode="auto">
        <a:xfrm>
          <a:off x="6592300" y="1273623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367</xdr:row>
      <xdr:rowOff>9988</xdr:rowOff>
    </xdr:from>
    <xdr:to>
      <xdr:col>11</xdr:col>
      <xdr:colOff>331131</xdr:colOff>
      <xdr:row>368</xdr:row>
      <xdr:rowOff>27214</xdr:rowOff>
    </xdr:to>
    <xdr:sp macro="" textlink="">
      <xdr:nvSpPr>
        <xdr:cNvPr id="448" name="Text Box 66"/>
        <xdr:cNvSpPr txBox="1">
          <a:spLocks noChangeArrowheads="1"/>
        </xdr:cNvSpPr>
      </xdr:nvSpPr>
      <xdr:spPr bwMode="auto">
        <a:xfrm>
          <a:off x="3113637" y="13143282"/>
          <a:ext cx="3201435" cy="174108"/>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366</xdr:row>
      <xdr:rowOff>85654</xdr:rowOff>
    </xdr:from>
    <xdr:to>
      <xdr:col>7</xdr:col>
      <xdr:colOff>242428</xdr:colOff>
      <xdr:row>368</xdr:row>
      <xdr:rowOff>108859</xdr:rowOff>
    </xdr:to>
    <xdr:sp macro="" textlink="">
      <xdr:nvSpPr>
        <xdr:cNvPr id="449" name="Line 67"/>
        <xdr:cNvSpPr>
          <a:spLocks noChangeShapeType="1"/>
        </xdr:cNvSpPr>
      </xdr:nvSpPr>
      <xdr:spPr bwMode="auto">
        <a:xfrm>
          <a:off x="3032693" y="13062066"/>
          <a:ext cx="0" cy="336969"/>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366</xdr:row>
      <xdr:rowOff>85651</xdr:rowOff>
    </xdr:from>
    <xdr:to>
      <xdr:col>12</xdr:col>
      <xdr:colOff>161925</xdr:colOff>
      <xdr:row>366</xdr:row>
      <xdr:rowOff>85724</xdr:rowOff>
    </xdr:to>
    <xdr:sp macro="" textlink="">
      <xdr:nvSpPr>
        <xdr:cNvPr id="450" name="Line 44"/>
        <xdr:cNvSpPr>
          <a:spLocks noChangeShapeType="1"/>
        </xdr:cNvSpPr>
      </xdr:nvSpPr>
      <xdr:spPr bwMode="auto">
        <a:xfrm flipH="1" flipV="1">
          <a:off x="1485663" y="13062063"/>
          <a:ext cx="5108438"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364</xdr:row>
      <xdr:rowOff>132883</xdr:rowOff>
    </xdr:from>
    <xdr:to>
      <xdr:col>11</xdr:col>
      <xdr:colOff>188095</xdr:colOff>
      <xdr:row>366</xdr:row>
      <xdr:rowOff>85652</xdr:rowOff>
    </xdr:to>
    <xdr:grpSp>
      <xdr:nvGrpSpPr>
        <xdr:cNvPr id="451" name="Group 450"/>
        <xdr:cNvGrpSpPr/>
      </xdr:nvGrpSpPr>
      <xdr:grpSpPr>
        <a:xfrm>
          <a:off x="4479858" y="50773853"/>
          <a:ext cx="2129208" cy="0"/>
          <a:chOff x="6368609" y="12001033"/>
          <a:chExt cx="1344236" cy="276619"/>
        </a:xfrm>
      </xdr:grpSpPr>
      <xdr:sp macro="" textlink="">
        <xdr:nvSpPr>
          <xdr:cNvPr id="452"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53"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54"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455"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366</xdr:row>
      <xdr:rowOff>83117</xdr:rowOff>
    </xdr:from>
    <xdr:to>
      <xdr:col>12</xdr:col>
      <xdr:colOff>1104900</xdr:colOff>
      <xdr:row>366</xdr:row>
      <xdr:rowOff>85724</xdr:rowOff>
    </xdr:to>
    <xdr:sp macro="" textlink="">
      <xdr:nvSpPr>
        <xdr:cNvPr id="456" name="Line 65"/>
        <xdr:cNvSpPr>
          <a:spLocks noChangeShapeType="1"/>
        </xdr:cNvSpPr>
      </xdr:nvSpPr>
      <xdr:spPr bwMode="auto">
        <a:xfrm>
          <a:off x="6592300" y="1305952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368</xdr:row>
      <xdr:rowOff>102167</xdr:rowOff>
    </xdr:from>
    <xdr:to>
      <xdr:col>12</xdr:col>
      <xdr:colOff>1104900</xdr:colOff>
      <xdr:row>368</xdr:row>
      <xdr:rowOff>104774</xdr:rowOff>
    </xdr:to>
    <xdr:sp macro="" textlink="">
      <xdr:nvSpPr>
        <xdr:cNvPr id="457" name="Line 65"/>
        <xdr:cNvSpPr>
          <a:spLocks noChangeShapeType="1"/>
        </xdr:cNvSpPr>
      </xdr:nvSpPr>
      <xdr:spPr bwMode="auto">
        <a:xfrm>
          <a:off x="6592300" y="13392343"/>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383</xdr:row>
      <xdr:rowOff>73592</xdr:rowOff>
    </xdr:from>
    <xdr:to>
      <xdr:col>12</xdr:col>
      <xdr:colOff>1104900</xdr:colOff>
      <xdr:row>383</xdr:row>
      <xdr:rowOff>76199</xdr:rowOff>
    </xdr:to>
    <xdr:sp macro="" textlink="">
      <xdr:nvSpPr>
        <xdr:cNvPr id="458" name="Line 65"/>
        <xdr:cNvSpPr>
          <a:spLocks noChangeShapeType="1"/>
        </xdr:cNvSpPr>
      </xdr:nvSpPr>
      <xdr:spPr bwMode="auto">
        <a:xfrm>
          <a:off x="6592300" y="15717004"/>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5</xdr:col>
      <xdr:colOff>194315</xdr:colOff>
      <xdr:row>383</xdr:row>
      <xdr:rowOff>74384</xdr:rowOff>
    </xdr:from>
    <xdr:to>
      <xdr:col>12</xdr:col>
      <xdr:colOff>171450</xdr:colOff>
      <xdr:row>383</xdr:row>
      <xdr:rowOff>76199</xdr:rowOff>
    </xdr:to>
    <xdr:sp macro="" textlink="">
      <xdr:nvSpPr>
        <xdr:cNvPr id="459" name="Line 42"/>
        <xdr:cNvSpPr>
          <a:spLocks noChangeShapeType="1"/>
        </xdr:cNvSpPr>
      </xdr:nvSpPr>
      <xdr:spPr bwMode="auto">
        <a:xfrm>
          <a:off x="2088109" y="15717796"/>
          <a:ext cx="4515517" cy="181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120974</xdr:colOff>
      <xdr:row>375</xdr:row>
      <xdr:rowOff>34018</xdr:rowOff>
    </xdr:from>
    <xdr:to>
      <xdr:col>4</xdr:col>
      <xdr:colOff>120974</xdr:colOff>
      <xdr:row>384</xdr:row>
      <xdr:rowOff>136073</xdr:rowOff>
    </xdr:to>
    <xdr:sp macro="" textlink="">
      <xdr:nvSpPr>
        <xdr:cNvPr id="460" name="Line 58"/>
        <xdr:cNvSpPr>
          <a:spLocks noChangeShapeType="1"/>
        </xdr:cNvSpPr>
      </xdr:nvSpPr>
      <xdr:spPr bwMode="auto">
        <a:xfrm flipH="1">
          <a:off x="1566533" y="14422371"/>
          <a:ext cx="0" cy="1513996"/>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160818</xdr:colOff>
      <xdr:row>364</xdr:row>
      <xdr:rowOff>64068</xdr:rowOff>
    </xdr:from>
    <xdr:to>
      <xdr:col>12</xdr:col>
      <xdr:colOff>160818</xdr:colOff>
      <xdr:row>384</xdr:row>
      <xdr:rowOff>145597</xdr:rowOff>
    </xdr:to>
    <xdr:sp macro="" textlink="">
      <xdr:nvSpPr>
        <xdr:cNvPr id="461" name="Line 40"/>
        <xdr:cNvSpPr>
          <a:spLocks noChangeShapeType="1"/>
        </xdr:cNvSpPr>
      </xdr:nvSpPr>
      <xdr:spPr bwMode="auto">
        <a:xfrm>
          <a:off x="6592994" y="12726715"/>
          <a:ext cx="0" cy="32191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20413</xdr:colOff>
      <xdr:row>384</xdr:row>
      <xdr:rowOff>123825</xdr:rowOff>
    </xdr:from>
    <xdr:to>
      <xdr:col>12</xdr:col>
      <xdr:colOff>171451</xdr:colOff>
      <xdr:row>384</xdr:row>
      <xdr:rowOff>128571</xdr:rowOff>
    </xdr:to>
    <xdr:sp macro="" textlink="">
      <xdr:nvSpPr>
        <xdr:cNvPr id="462" name="Line 41"/>
        <xdr:cNvSpPr>
          <a:spLocks noChangeShapeType="1"/>
        </xdr:cNvSpPr>
      </xdr:nvSpPr>
      <xdr:spPr bwMode="auto">
        <a:xfrm flipV="1">
          <a:off x="692766" y="15924119"/>
          <a:ext cx="5910861" cy="47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333374</xdr:colOff>
      <xdr:row>361</xdr:row>
      <xdr:rowOff>25400</xdr:rowOff>
    </xdr:from>
    <xdr:to>
      <xdr:col>12</xdr:col>
      <xdr:colOff>161925</xdr:colOff>
      <xdr:row>364</xdr:row>
      <xdr:rowOff>66675</xdr:rowOff>
    </xdr:to>
    <xdr:sp macro="" textlink="">
      <xdr:nvSpPr>
        <xdr:cNvPr id="463" name="AutoShape 38"/>
        <xdr:cNvSpPr>
          <a:spLocks noChangeArrowheads="1"/>
        </xdr:cNvSpPr>
      </xdr:nvSpPr>
      <xdr:spPr bwMode="auto">
        <a:xfrm>
          <a:off x="658345" y="12217400"/>
          <a:ext cx="5935756" cy="511922"/>
        </a:xfrm>
        <a:prstGeom prst="triangle">
          <a:avLst>
            <a:gd name="adj" fmla="val 50000"/>
          </a:avLst>
        </a:prstGeom>
        <a:solidFill>
          <a:srgbClr val="FFFFFF"/>
        </a:solidFill>
        <a:ln w="9525">
          <a:solidFill>
            <a:srgbClr val="000000"/>
          </a:solidFill>
          <a:miter lim="800000"/>
          <a:headEnd/>
          <a:tailEnd/>
        </a:ln>
      </xdr:spPr>
    </xdr:sp>
    <xdr:clientData/>
  </xdr:twoCellAnchor>
  <xdr:twoCellAnchor>
    <xdr:from>
      <xdr:col>2</xdr:col>
      <xdr:colOff>0</xdr:colOff>
      <xdr:row>364</xdr:row>
      <xdr:rowOff>83118</xdr:rowOff>
    </xdr:from>
    <xdr:to>
      <xdr:col>2</xdr:col>
      <xdr:colOff>678</xdr:colOff>
      <xdr:row>384</xdr:row>
      <xdr:rowOff>123825</xdr:rowOff>
    </xdr:to>
    <xdr:sp macro="" textlink="">
      <xdr:nvSpPr>
        <xdr:cNvPr id="464" name="Line 39"/>
        <xdr:cNvSpPr>
          <a:spLocks noChangeShapeType="1"/>
        </xdr:cNvSpPr>
      </xdr:nvSpPr>
      <xdr:spPr bwMode="auto">
        <a:xfrm flipH="1">
          <a:off x="672353" y="12745765"/>
          <a:ext cx="678" cy="31783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192294</xdr:colOff>
      <xdr:row>368</xdr:row>
      <xdr:rowOff>104491</xdr:rowOff>
    </xdr:from>
    <xdr:to>
      <xdr:col>12</xdr:col>
      <xdr:colOff>161925</xdr:colOff>
      <xdr:row>368</xdr:row>
      <xdr:rowOff>104774</xdr:rowOff>
    </xdr:to>
    <xdr:sp macro="" textlink="">
      <xdr:nvSpPr>
        <xdr:cNvPr id="465" name="Line 43"/>
        <xdr:cNvSpPr>
          <a:spLocks noChangeShapeType="1"/>
        </xdr:cNvSpPr>
      </xdr:nvSpPr>
      <xdr:spPr bwMode="auto">
        <a:xfrm flipH="1" flipV="1">
          <a:off x="2086088" y="13394667"/>
          <a:ext cx="4508013" cy="28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107545</xdr:colOff>
      <xdr:row>368</xdr:row>
      <xdr:rowOff>122464</xdr:rowOff>
    </xdr:from>
    <xdr:to>
      <xdr:col>9</xdr:col>
      <xdr:colOff>107545</xdr:colOff>
      <xdr:row>372</xdr:row>
      <xdr:rowOff>40821</xdr:rowOff>
    </xdr:to>
    <xdr:sp macro="" textlink="">
      <xdr:nvSpPr>
        <xdr:cNvPr id="466" name="Line 47"/>
        <xdr:cNvSpPr>
          <a:spLocks noChangeShapeType="1"/>
        </xdr:cNvSpPr>
      </xdr:nvSpPr>
      <xdr:spPr bwMode="auto">
        <a:xfrm>
          <a:off x="5150192" y="13412640"/>
          <a:ext cx="0" cy="54588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9</xdr:col>
      <xdr:colOff>119108</xdr:colOff>
      <xdr:row>375</xdr:row>
      <xdr:rowOff>129267</xdr:rowOff>
    </xdr:from>
    <xdr:to>
      <xdr:col>9</xdr:col>
      <xdr:colOff>119108</xdr:colOff>
      <xdr:row>383</xdr:row>
      <xdr:rowOff>74838</xdr:rowOff>
    </xdr:to>
    <xdr:sp macro="" textlink="">
      <xdr:nvSpPr>
        <xdr:cNvPr id="467" name="Line 48"/>
        <xdr:cNvSpPr>
          <a:spLocks noChangeShapeType="1"/>
        </xdr:cNvSpPr>
      </xdr:nvSpPr>
      <xdr:spPr bwMode="auto">
        <a:xfrm>
          <a:off x="5161755" y="14517620"/>
          <a:ext cx="0" cy="120063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166161</xdr:colOff>
      <xdr:row>383</xdr:row>
      <xdr:rowOff>23762</xdr:rowOff>
    </xdr:from>
    <xdr:to>
      <xdr:col>16</xdr:col>
      <xdr:colOff>146914</xdr:colOff>
      <xdr:row>384</xdr:row>
      <xdr:rowOff>7363</xdr:rowOff>
    </xdr:to>
    <xdr:sp macro="" textlink="">
      <xdr:nvSpPr>
        <xdr:cNvPr id="468" name="Text Box 49"/>
        <xdr:cNvSpPr txBox="1">
          <a:spLocks noChangeArrowheads="1"/>
        </xdr:cNvSpPr>
      </xdr:nvSpPr>
      <xdr:spPr bwMode="auto">
        <a:xfrm>
          <a:off x="8346455" y="15667174"/>
          <a:ext cx="1190988" cy="140483"/>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Minimum fill level</a:t>
          </a:r>
        </a:p>
      </xdr:txBody>
    </xdr:sp>
    <xdr:clientData/>
  </xdr:twoCellAnchor>
  <xdr:twoCellAnchor>
    <xdr:from>
      <xdr:col>14</xdr:col>
      <xdr:colOff>186572</xdr:colOff>
      <xdr:row>368</xdr:row>
      <xdr:rowOff>3066</xdr:rowOff>
    </xdr:from>
    <xdr:to>
      <xdr:col>16</xdr:col>
      <xdr:colOff>74817</xdr:colOff>
      <xdr:row>368</xdr:row>
      <xdr:rowOff>149953</xdr:rowOff>
    </xdr:to>
    <xdr:sp macro="" textlink="">
      <xdr:nvSpPr>
        <xdr:cNvPr id="469" name="Text Box 53"/>
        <xdr:cNvSpPr txBox="1">
          <a:spLocks noChangeArrowheads="1"/>
        </xdr:cNvSpPr>
      </xdr:nvSpPr>
      <xdr:spPr bwMode="auto">
        <a:xfrm>
          <a:off x="8366866" y="13293242"/>
          <a:ext cx="1098480"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Normal fill level</a:t>
          </a:r>
        </a:p>
      </xdr:txBody>
    </xdr:sp>
    <xdr:clientData/>
  </xdr:twoCellAnchor>
  <xdr:twoCellAnchor>
    <xdr:from>
      <xdr:col>4</xdr:col>
      <xdr:colOff>132537</xdr:colOff>
      <xdr:row>366</xdr:row>
      <xdr:rowOff>80211</xdr:rowOff>
    </xdr:from>
    <xdr:to>
      <xdr:col>4</xdr:col>
      <xdr:colOff>132537</xdr:colOff>
      <xdr:row>371</xdr:row>
      <xdr:rowOff>135601</xdr:rowOff>
    </xdr:to>
    <xdr:sp macro="" textlink="">
      <xdr:nvSpPr>
        <xdr:cNvPr id="470" name="Line 57"/>
        <xdr:cNvSpPr>
          <a:spLocks noChangeShapeType="1"/>
        </xdr:cNvSpPr>
      </xdr:nvSpPr>
      <xdr:spPr bwMode="auto">
        <a:xfrm>
          <a:off x="1578096" y="13056623"/>
          <a:ext cx="0" cy="839802"/>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14</xdr:col>
      <xdr:colOff>202067</xdr:colOff>
      <xdr:row>366</xdr:row>
      <xdr:rowOff>11953</xdr:rowOff>
    </xdr:from>
    <xdr:to>
      <xdr:col>16</xdr:col>
      <xdr:colOff>240637</xdr:colOff>
      <xdr:row>366</xdr:row>
      <xdr:rowOff>158840</xdr:rowOff>
    </xdr:to>
    <xdr:sp macro="" textlink="">
      <xdr:nvSpPr>
        <xdr:cNvPr id="471" name="Text Box 59"/>
        <xdr:cNvSpPr txBox="1">
          <a:spLocks noChangeArrowheads="1"/>
        </xdr:cNvSpPr>
      </xdr:nvSpPr>
      <xdr:spPr bwMode="auto">
        <a:xfrm>
          <a:off x="8382361" y="12988365"/>
          <a:ext cx="1248805"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Design liquid level</a:t>
          </a:r>
        </a:p>
      </xdr:txBody>
    </xdr:sp>
    <xdr:clientData/>
  </xdr:twoCellAnchor>
  <xdr:twoCellAnchor>
    <xdr:from>
      <xdr:col>14</xdr:col>
      <xdr:colOff>189831</xdr:colOff>
      <xdr:row>364</xdr:row>
      <xdr:rowOff>5581</xdr:rowOff>
    </xdr:from>
    <xdr:to>
      <xdr:col>16</xdr:col>
      <xdr:colOff>239965</xdr:colOff>
      <xdr:row>364</xdr:row>
      <xdr:rowOff>152468</xdr:rowOff>
    </xdr:to>
    <xdr:sp macro="" textlink="">
      <xdr:nvSpPr>
        <xdr:cNvPr id="472" name="Text Box 64"/>
        <xdr:cNvSpPr txBox="1">
          <a:spLocks noChangeArrowheads="1"/>
        </xdr:cNvSpPr>
      </xdr:nvSpPr>
      <xdr:spPr bwMode="auto">
        <a:xfrm>
          <a:off x="8370125" y="12668228"/>
          <a:ext cx="1260369" cy="14688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Top of shell height</a:t>
          </a:r>
        </a:p>
      </xdr:txBody>
    </xdr:sp>
    <xdr:clientData/>
  </xdr:twoCellAnchor>
  <xdr:twoCellAnchor>
    <xdr:from>
      <xdr:col>12</xdr:col>
      <xdr:colOff>160124</xdr:colOff>
      <xdr:row>364</xdr:row>
      <xdr:rowOff>73592</xdr:rowOff>
    </xdr:from>
    <xdr:to>
      <xdr:col>12</xdr:col>
      <xdr:colOff>1104900</xdr:colOff>
      <xdr:row>364</xdr:row>
      <xdr:rowOff>76199</xdr:rowOff>
    </xdr:to>
    <xdr:sp macro="" textlink="">
      <xdr:nvSpPr>
        <xdr:cNvPr id="473" name="Line 65"/>
        <xdr:cNvSpPr>
          <a:spLocks noChangeShapeType="1"/>
        </xdr:cNvSpPr>
      </xdr:nvSpPr>
      <xdr:spPr bwMode="auto">
        <a:xfrm>
          <a:off x="6592300" y="1273623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7</xdr:col>
      <xdr:colOff>323372</xdr:colOff>
      <xdr:row>367</xdr:row>
      <xdr:rowOff>9988</xdr:rowOff>
    </xdr:from>
    <xdr:to>
      <xdr:col>11</xdr:col>
      <xdr:colOff>331131</xdr:colOff>
      <xdr:row>368</xdr:row>
      <xdr:rowOff>27214</xdr:rowOff>
    </xdr:to>
    <xdr:sp macro="" textlink="">
      <xdr:nvSpPr>
        <xdr:cNvPr id="474" name="Text Box 66"/>
        <xdr:cNvSpPr txBox="1">
          <a:spLocks noChangeArrowheads="1"/>
        </xdr:cNvSpPr>
      </xdr:nvSpPr>
      <xdr:spPr bwMode="auto">
        <a:xfrm>
          <a:off x="3113637" y="13143282"/>
          <a:ext cx="3201435" cy="174108"/>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protection level requirement</a:t>
          </a:r>
        </a:p>
      </xdr:txBody>
    </xdr:sp>
    <xdr:clientData/>
  </xdr:twoCellAnchor>
  <xdr:twoCellAnchor>
    <xdr:from>
      <xdr:col>7</xdr:col>
      <xdr:colOff>242428</xdr:colOff>
      <xdr:row>366</xdr:row>
      <xdr:rowOff>85654</xdr:rowOff>
    </xdr:from>
    <xdr:to>
      <xdr:col>7</xdr:col>
      <xdr:colOff>242428</xdr:colOff>
      <xdr:row>368</xdr:row>
      <xdr:rowOff>108859</xdr:rowOff>
    </xdr:to>
    <xdr:sp macro="" textlink="">
      <xdr:nvSpPr>
        <xdr:cNvPr id="475" name="Line 67"/>
        <xdr:cNvSpPr>
          <a:spLocks noChangeShapeType="1"/>
        </xdr:cNvSpPr>
      </xdr:nvSpPr>
      <xdr:spPr bwMode="auto">
        <a:xfrm>
          <a:off x="3032693" y="13062066"/>
          <a:ext cx="0" cy="336969"/>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40104</xdr:colOff>
      <xdr:row>366</xdr:row>
      <xdr:rowOff>85651</xdr:rowOff>
    </xdr:from>
    <xdr:to>
      <xdr:col>12</xdr:col>
      <xdr:colOff>161925</xdr:colOff>
      <xdr:row>366</xdr:row>
      <xdr:rowOff>85724</xdr:rowOff>
    </xdr:to>
    <xdr:sp macro="" textlink="">
      <xdr:nvSpPr>
        <xdr:cNvPr id="476" name="Line 44"/>
        <xdr:cNvSpPr>
          <a:spLocks noChangeShapeType="1"/>
        </xdr:cNvSpPr>
      </xdr:nvSpPr>
      <xdr:spPr bwMode="auto">
        <a:xfrm flipH="1" flipV="1">
          <a:off x="1485663" y="13062063"/>
          <a:ext cx="5108438" cy="73"/>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1548959</xdr:colOff>
      <xdr:row>364</xdr:row>
      <xdr:rowOff>132883</xdr:rowOff>
    </xdr:from>
    <xdr:to>
      <xdr:col>11</xdr:col>
      <xdr:colOff>188095</xdr:colOff>
      <xdr:row>366</xdr:row>
      <xdr:rowOff>85652</xdr:rowOff>
    </xdr:to>
    <xdr:grpSp>
      <xdr:nvGrpSpPr>
        <xdr:cNvPr id="477" name="Group 476"/>
        <xdr:cNvGrpSpPr/>
      </xdr:nvGrpSpPr>
      <xdr:grpSpPr>
        <a:xfrm>
          <a:off x="4479858" y="50773853"/>
          <a:ext cx="2129208" cy="0"/>
          <a:chOff x="6368609" y="12001033"/>
          <a:chExt cx="1344236" cy="276619"/>
        </a:xfrm>
      </xdr:grpSpPr>
      <xdr:sp macro="" textlink="">
        <xdr:nvSpPr>
          <xdr:cNvPr id="478" name="Line 61"/>
          <xdr:cNvSpPr>
            <a:spLocks noChangeShapeType="1"/>
          </xdr:cNvSpPr>
        </xdr:nvSpPr>
        <xdr:spPr bwMode="auto">
          <a:xfrm flipV="1">
            <a:off x="6368609" y="12161503"/>
            <a:ext cx="0" cy="11614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9" name="Line 62"/>
          <xdr:cNvSpPr>
            <a:spLocks noChangeShapeType="1"/>
          </xdr:cNvSpPr>
        </xdr:nvSpPr>
        <xdr:spPr bwMode="auto">
          <a:xfrm>
            <a:off x="7711307" y="12161270"/>
            <a:ext cx="0" cy="1063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0" name="Text Box 63"/>
          <xdr:cNvSpPr txBox="1">
            <a:spLocks noChangeArrowheads="1"/>
          </xdr:cNvSpPr>
        </xdr:nvSpPr>
        <xdr:spPr bwMode="auto">
          <a:xfrm>
            <a:off x="6459756" y="12001033"/>
            <a:ext cx="1253089" cy="145526"/>
          </a:xfrm>
          <a:prstGeom prst="rect">
            <a:avLst/>
          </a:prstGeom>
          <a:noFill/>
          <a:ln w="9525">
            <a:noFill/>
            <a:miter lim="800000"/>
            <a:headEnd/>
            <a:tailEnd/>
          </a:ln>
        </xdr:spPr>
        <xdr:txBody>
          <a:bodyPr wrap="none" lIns="18288" tIns="22860" rIns="0" bIns="0" anchor="t" upright="1">
            <a:noAutofit/>
          </a:bodyPr>
          <a:lstStyle/>
          <a:p>
            <a:pPr algn="l" rtl="0">
              <a:defRPr sz="1000"/>
            </a:pPr>
            <a:r>
              <a:rPr lang="en-US" sz="800" b="0" i="0" strike="noStrike">
                <a:solidFill>
                  <a:srgbClr val="000000"/>
                </a:solidFill>
                <a:latin typeface="Arial"/>
                <a:cs typeface="Arial"/>
              </a:rPr>
              <a:t>Overfill slot</a:t>
            </a:r>
          </a:p>
        </xdr:txBody>
      </xdr:sp>
      <xdr:sp macro="" textlink="">
        <xdr:nvSpPr>
          <xdr:cNvPr id="481" name="Line 68"/>
          <xdr:cNvSpPr>
            <a:spLocks noChangeShapeType="1"/>
          </xdr:cNvSpPr>
        </xdr:nvSpPr>
        <xdr:spPr bwMode="auto">
          <a:xfrm flipV="1">
            <a:off x="6368609" y="12161503"/>
            <a:ext cx="13442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xdr:col>
      <xdr:colOff>160124</xdr:colOff>
      <xdr:row>366</xdr:row>
      <xdr:rowOff>83117</xdr:rowOff>
    </xdr:from>
    <xdr:to>
      <xdr:col>12</xdr:col>
      <xdr:colOff>1104900</xdr:colOff>
      <xdr:row>366</xdr:row>
      <xdr:rowOff>85724</xdr:rowOff>
    </xdr:to>
    <xdr:sp macro="" textlink="">
      <xdr:nvSpPr>
        <xdr:cNvPr id="482" name="Line 65"/>
        <xdr:cNvSpPr>
          <a:spLocks noChangeShapeType="1"/>
        </xdr:cNvSpPr>
      </xdr:nvSpPr>
      <xdr:spPr bwMode="auto">
        <a:xfrm>
          <a:off x="6592300" y="13059529"/>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368</xdr:row>
      <xdr:rowOff>102167</xdr:rowOff>
    </xdr:from>
    <xdr:to>
      <xdr:col>12</xdr:col>
      <xdr:colOff>1104900</xdr:colOff>
      <xdr:row>368</xdr:row>
      <xdr:rowOff>104774</xdr:rowOff>
    </xdr:to>
    <xdr:sp macro="" textlink="">
      <xdr:nvSpPr>
        <xdr:cNvPr id="483" name="Line 65"/>
        <xdr:cNvSpPr>
          <a:spLocks noChangeShapeType="1"/>
        </xdr:cNvSpPr>
      </xdr:nvSpPr>
      <xdr:spPr bwMode="auto">
        <a:xfrm>
          <a:off x="6592300" y="13392343"/>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12</xdr:col>
      <xdr:colOff>160124</xdr:colOff>
      <xdr:row>383</xdr:row>
      <xdr:rowOff>73592</xdr:rowOff>
    </xdr:from>
    <xdr:to>
      <xdr:col>12</xdr:col>
      <xdr:colOff>1104900</xdr:colOff>
      <xdr:row>383</xdr:row>
      <xdr:rowOff>76199</xdr:rowOff>
    </xdr:to>
    <xdr:sp macro="" textlink="">
      <xdr:nvSpPr>
        <xdr:cNvPr id="484" name="Line 65"/>
        <xdr:cNvSpPr>
          <a:spLocks noChangeShapeType="1"/>
        </xdr:cNvSpPr>
      </xdr:nvSpPr>
      <xdr:spPr bwMode="auto">
        <a:xfrm>
          <a:off x="6592300" y="15717004"/>
          <a:ext cx="944776" cy="2607"/>
        </a:xfrm>
        <a:prstGeom prst="line">
          <a:avLst/>
        </a:prstGeom>
        <a:noFill/>
        <a:ln w="9525">
          <a:solidFill>
            <a:srgbClr val="000000"/>
          </a:solidFill>
          <a:round/>
          <a:headEnd type="triangle" w="med" len="me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oneCellAnchor>
    <xdr:from>
      <xdr:col>27</xdr:col>
      <xdr:colOff>167924</xdr:colOff>
      <xdr:row>58</xdr:row>
      <xdr:rowOff>184150</xdr:rowOff>
    </xdr:from>
    <xdr:ext cx="3994501" cy="1568450"/>
    <mc:AlternateContent xmlns:mc="http://schemas.openxmlformats.org/markup-compatibility/2006" xmlns:a14="http://schemas.microsoft.com/office/drawing/2010/main">
      <mc:Choice Requires="a14">
        <xdr:sp macro="" textlink="">
          <xdr:nvSpPr>
            <xdr:cNvPr id="2" name="TextBox 1"/>
            <xdr:cNvSpPr txBox="1"/>
          </xdr:nvSpPr>
          <xdr:spPr>
            <a:xfrm>
              <a:off x="15512699" y="11042650"/>
              <a:ext cx="3994501" cy="156845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a:rPr>
                          <m:t>𝐶</m:t>
                        </m:r>
                      </m:e>
                      <m:sub>
                        <m:r>
                          <a:rPr lang="en-US" sz="1100" b="0" i="1">
                            <a:latin typeface="Cambria Math"/>
                          </a:rPr>
                          <m:t>𝑑</m:t>
                        </m:r>
                      </m:sub>
                    </m:sSub>
                    <m:r>
                      <a:rPr lang="en-US" sz="1100" i="1">
                        <a:latin typeface="Cambria Math"/>
                      </a:rPr>
                      <m:t>=</m:t>
                    </m:r>
                    <m:r>
                      <a:rPr lang="en-US" sz="1100" b="0" i="1">
                        <a:latin typeface="Cambria Math"/>
                      </a:rPr>
                      <m:t>0.5961</m:t>
                    </m:r>
                    <m:r>
                      <a:rPr lang="en-US" sz="1100" i="1">
                        <a:latin typeface="Cambria Math"/>
                      </a:rPr>
                      <m:t>+</m:t>
                    </m:r>
                    <m:r>
                      <a:rPr lang="en-US" sz="1100" b="0" i="1">
                        <a:latin typeface="Cambria Math"/>
                      </a:rPr>
                      <m:t>0.0261</m:t>
                    </m:r>
                    <m:sSup>
                      <m:sSupPr>
                        <m:ctrlPr>
                          <a:rPr lang="en-US" sz="1100" b="0" i="1">
                            <a:latin typeface="Cambria Math" panose="02040503050406030204" pitchFamily="18" charset="0"/>
                          </a:rPr>
                        </m:ctrlPr>
                      </m:sSupPr>
                      <m:e>
                        <m:r>
                          <a:rPr lang="en-US" sz="1100" b="0" i="1">
                            <a:latin typeface="Cambria Math"/>
                            <a:ea typeface="Cambria Math"/>
                          </a:rPr>
                          <m:t>𝛽</m:t>
                        </m:r>
                      </m:e>
                      <m:sup>
                        <m:r>
                          <a:rPr lang="en-US" sz="1100" b="0" i="1">
                            <a:latin typeface="Cambria Math"/>
                          </a:rPr>
                          <m:t>2</m:t>
                        </m:r>
                      </m:sup>
                    </m:sSup>
                    <m:r>
                      <a:rPr lang="en-US" sz="1100" b="0" i="1">
                        <a:latin typeface="Cambria Math"/>
                      </a:rPr>
                      <m:t>−</m:t>
                    </m:r>
                    <m:r>
                      <a:rPr lang="en-US" sz="1100" b="0" i="1">
                        <a:solidFill>
                          <a:schemeClr val="tx1"/>
                        </a:solidFill>
                        <a:effectLst/>
                        <a:latin typeface="Cambria Math"/>
                        <a:ea typeface="+mn-ea"/>
                        <a:cs typeface="+mn-cs"/>
                      </a:rPr>
                      <m:t>0.216</m:t>
                    </m:r>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a:ea typeface="+mn-ea"/>
                            <a:cs typeface="+mn-cs"/>
                          </a:rPr>
                          <m:t>𝛽</m:t>
                        </m:r>
                      </m:e>
                      <m:sup>
                        <m:r>
                          <a:rPr lang="en-US" sz="1100" b="0" i="1">
                            <a:solidFill>
                              <a:schemeClr val="tx1"/>
                            </a:solidFill>
                            <a:effectLst/>
                            <a:latin typeface="Cambria Math"/>
                            <a:ea typeface="+mn-ea"/>
                            <a:cs typeface="+mn-cs"/>
                          </a:rPr>
                          <m:t>8</m:t>
                        </m:r>
                      </m:sup>
                    </m:sSup>
                    <m:r>
                      <a:rPr lang="en-US" sz="1100" b="0" i="1">
                        <a:solidFill>
                          <a:schemeClr val="tx1"/>
                        </a:solidFill>
                        <a:effectLst/>
                        <a:latin typeface="Cambria Math"/>
                        <a:ea typeface="+mn-ea"/>
                        <a:cs typeface="+mn-cs"/>
                      </a:rPr>
                      <m:t>+0.000521</m:t>
                    </m:r>
                    <m:sSup>
                      <m:sSupPr>
                        <m:ctrlPr>
                          <a:rPr lang="en-US" sz="1100" b="0" i="1">
                            <a:solidFill>
                              <a:schemeClr val="tx1"/>
                            </a:solidFill>
                            <a:effectLst/>
                            <a:latin typeface="Cambria Math" panose="02040503050406030204" pitchFamily="18" charset="0"/>
                            <a:ea typeface="+mn-ea"/>
                            <a:cs typeface="+mn-cs"/>
                          </a:rPr>
                        </m:ctrlPr>
                      </m:sSupPr>
                      <m:e>
                        <m:d>
                          <m:dPr>
                            <m:ctrlPr>
                              <a:rPr lang="en-US" sz="1100" b="0" i="1">
                                <a:solidFill>
                                  <a:schemeClr val="tx1"/>
                                </a:solidFill>
                                <a:effectLst/>
                                <a:latin typeface="Cambria Math" panose="02040503050406030204" pitchFamily="18" charset="0"/>
                                <a:ea typeface="+mn-ea"/>
                                <a:cs typeface="+mn-cs"/>
                              </a:rPr>
                            </m:ctrlPr>
                          </m:dPr>
                          <m:e>
                            <m:f>
                              <m:fPr>
                                <m:ctrlPr>
                                  <a:rPr lang="en-US" sz="1100" b="0" i="1">
                                    <a:solidFill>
                                      <a:schemeClr val="tx1"/>
                                    </a:solidFill>
                                    <a:effectLst/>
                                    <a:latin typeface="Cambria Math" panose="02040503050406030204" pitchFamily="18" charset="0"/>
                                    <a:ea typeface="+mn-ea"/>
                                    <a:cs typeface="+mn-cs"/>
                                  </a:rPr>
                                </m:ctrlPr>
                              </m:fPr>
                              <m:num>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a:ea typeface="+mn-ea"/>
                                        <a:cs typeface="+mn-cs"/>
                                      </a:rPr>
                                      <m:t>10</m:t>
                                    </m:r>
                                  </m:e>
                                  <m:sup>
                                    <m:r>
                                      <a:rPr lang="en-US" sz="1100" b="0" i="1">
                                        <a:solidFill>
                                          <a:schemeClr val="tx1"/>
                                        </a:solidFill>
                                        <a:effectLst/>
                                        <a:latin typeface="Cambria Math"/>
                                        <a:ea typeface="+mn-ea"/>
                                        <a:cs typeface="+mn-cs"/>
                                      </a:rPr>
                                      <m:t>6</m:t>
                                    </m:r>
                                  </m:sup>
                                </m:sSup>
                                <m:r>
                                  <a:rPr lang="en-US" sz="1100" b="0" i="1">
                                    <a:solidFill>
                                      <a:schemeClr val="tx1"/>
                                    </a:solidFill>
                                    <a:effectLst/>
                                    <a:latin typeface="Cambria Math"/>
                                    <a:ea typeface="+mn-ea"/>
                                    <a:cs typeface="+mn-cs"/>
                                  </a:rPr>
                                  <m:t>𝛽</m:t>
                                </m:r>
                              </m:num>
                              <m:den>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𝑅</m:t>
                                    </m:r>
                                  </m:e>
                                  <m:sub>
                                    <m:r>
                                      <a:rPr lang="en-US" sz="1100" b="0" i="1">
                                        <a:solidFill>
                                          <a:schemeClr val="tx1"/>
                                        </a:solidFill>
                                        <a:effectLst/>
                                        <a:latin typeface="Cambria Math"/>
                                        <a:ea typeface="+mn-ea"/>
                                        <a:cs typeface="+mn-cs"/>
                                      </a:rPr>
                                      <m:t>𝐷</m:t>
                                    </m:r>
                                  </m:sub>
                                </m:sSub>
                              </m:den>
                            </m:f>
                          </m:e>
                        </m:d>
                      </m:e>
                      <m:sup>
                        <m:r>
                          <a:rPr lang="en-US" sz="1100" b="0" i="1">
                            <a:solidFill>
                              <a:schemeClr val="tx1"/>
                            </a:solidFill>
                            <a:effectLst/>
                            <a:latin typeface="Cambria Math"/>
                            <a:ea typeface="+mn-ea"/>
                            <a:cs typeface="+mn-cs"/>
                          </a:rPr>
                          <m:t>0.7</m:t>
                        </m:r>
                      </m:sup>
                    </m:sSup>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0.0188+0.0063</m:t>
                        </m:r>
                        <m:r>
                          <a:rPr lang="en-US" sz="1100" b="0" i="1">
                            <a:solidFill>
                              <a:schemeClr val="tx1"/>
                            </a:solidFill>
                            <a:effectLst/>
                            <a:latin typeface="Cambria Math"/>
                            <a:ea typeface="+mn-ea"/>
                            <a:cs typeface="+mn-cs"/>
                          </a:rPr>
                          <m:t>𝐴</m:t>
                        </m:r>
                      </m:e>
                    </m:d>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a:ea typeface="Cambria Math"/>
                            <a:cs typeface="+mn-cs"/>
                          </a:rPr>
                          <m:t>𝛽</m:t>
                        </m:r>
                      </m:e>
                      <m:sup>
                        <m:r>
                          <a:rPr lang="en-US" sz="1100" b="0" i="1">
                            <a:solidFill>
                              <a:schemeClr val="tx1"/>
                            </a:solidFill>
                            <a:effectLst/>
                            <a:latin typeface="Cambria Math"/>
                            <a:ea typeface="+mn-ea"/>
                            <a:cs typeface="+mn-cs"/>
                          </a:rPr>
                          <m:t>3.5</m:t>
                        </m:r>
                      </m:sup>
                    </m:sSup>
                    <m:sSup>
                      <m:sSupPr>
                        <m:ctrlPr>
                          <a:rPr lang="en-US" sz="1100" b="0" i="1">
                            <a:solidFill>
                              <a:schemeClr val="tx1"/>
                            </a:solidFill>
                            <a:effectLst/>
                            <a:latin typeface="Cambria Math" panose="02040503050406030204" pitchFamily="18" charset="0"/>
                            <a:ea typeface="+mn-ea"/>
                            <a:cs typeface="+mn-cs"/>
                          </a:rPr>
                        </m:ctrlPr>
                      </m:sSupPr>
                      <m:e>
                        <m:d>
                          <m:dPr>
                            <m:ctrlPr>
                              <a:rPr lang="en-US" sz="1100" b="0" i="1">
                                <a:solidFill>
                                  <a:schemeClr val="tx1"/>
                                </a:solidFill>
                                <a:effectLst/>
                                <a:latin typeface="Cambria Math" panose="02040503050406030204" pitchFamily="18" charset="0"/>
                                <a:ea typeface="+mn-ea"/>
                                <a:cs typeface="+mn-cs"/>
                              </a:rPr>
                            </m:ctrlPr>
                          </m:dPr>
                          <m:e>
                            <m:f>
                              <m:fPr>
                                <m:ctrlPr>
                                  <a:rPr lang="en-US" sz="1100" b="0" i="1">
                                    <a:solidFill>
                                      <a:schemeClr val="tx1"/>
                                    </a:solidFill>
                                    <a:effectLst/>
                                    <a:latin typeface="Cambria Math" panose="02040503050406030204" pitchFamily="18" charset="0"/>
                                    <a:ea typeface="+mn-ea"/>
                                    <a:cs typeface="+mn-cs"/>
                                  </a:rPr>
                                </m:ctrlPr>
                              </m:fPr>
                              <m:num>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a:ea typeface="+mn-ea"/>
                                        <a:cs typeface="+mn-cs"/>
                                      </a:rPr>
                                      <m:t>10</m:t>
                                    </m:r>
                                  </m:e>
                                  <m:sup>
                                    <m:r>
                                      <a:rPr lang="en-US" sz="1100" b="0" i="1">
                                        <a:solidFill>
                                          <a:schemeClr val="tx1"/>
                                        </a:solidFill>
                                        <a:effectLst/>
                                        <a:latin typeface="Cambria Math"/>
                                        <a:ea typeface="+mn-ea"/>
                                        <a:cs typeface="+mn-cs"/>
                                      </a:rPr>
                                      <m:t>6</m:t>
                                    </m:r>
                                  </m:sup>
                                </m:sSup>
                              </m:num>
                              <m:den>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𝑅</m:t>
                                    </m:r>
                                  </m:e>
                                  <m:sub>
                                    <m:r>
                                      <a:rPr lang="en-US" sz="1100" b="0" i="1">
                                        <a:solidFill>
                                          <a:schemeClr val="tx1"/>
                                        </a:solidFill>
                                        <a:effectLst/>
                                        <a:latin typeface="Cambria Math"/>
                                        <a:ea typeface="+mn-ea"/>
                                        <a:cs typeface="+mn-cs"/>
                                      </a:rPr>
                                      <m:t>𝐷</m:t>
                                    </m:r>
                                  </m:sub>
                                </m:sSub>
                              </m:den>
                            </m:f>
                          </m:e>
                        </m:d>
                      </m:e>
                      <m:sup>
                        <m:r>
                          <a:rPr lang="en-US" sz="1100" b="0" i="1">
                            <a:solidFill>
                              <a:schemeClr val="tx1"/>
                            </a:solidFill>
                            <a:effectLst/>
                            <a:latin typeface="Cambria Math"/>
                            <a:ea typeface="+mn-ea"/>
                            <a:cs typeface="+mn-cs"/>
                          </a:rPr>
                          <m:t>0.3</m:t>
                        </m:r>
                      </m:sup>
                    </m:sSup>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0.043+0.080</m:t>
                        </m:r>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a:ea typeface="+mn-ea"/>
                                <a:cs typeface="+mn-cs"/>
                              </a:rPr>
                              <m:t>𝑒</m:t>
                            </m:r>
                          </m:e>
                          <m:sup>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−10</m:t>
                                </m:r>
                                <m:r>
                                  <a:rPr lang="en-US" sz="1100" b="0" i="1">
                                    <a:solidFill>
                                      <a:schemeClr val="tx1"/>
                                    </a:solidFill>
                                    <a:effectLst/>
                                    <a:latin typeface="Cambria Math"/>
                                    <a:ea typeface="+mn-ea"/>
                                    <a:cs typeface="+mn-cs"/>
                                  </a:rPr>
                                  <m:t>𝐿</m:t>
                                </m:r>
                              </m:e>
                              <m:sub>
                                <m:r>
                                  <a:rPr lang="en-US" sz="1100" b="0" i="1">
                                    <a:solidFill>
                                      <a:schemeClr val="tx1"/>
                                    </a:solidFill>
                                    <a:effectLst/>
                                    <a:latin typeface="Cambria Math"/>
                                    <a:ea typeface="+mn-ea"/>
                                    <a:cs typeface="+mn-cs"/>
                                  </a:rPr>
                                  <m:t>1</m:t>
                                </m:r>
                              </m:sub>
                            </m:sSub>
                          </m:sup>
                        </m:sSup>
                        <m:r>
                          <a:rPr lang="en-US" sz="1100" b="0" i="1">
                            <a:solidFill>
                              <a:schemeClr val="tx1"/>
                            </a:solidFill>
                            <a:effectLst/>
                            <a:latin typeface="Cambria Math"/>
                            <a:ea typeface="+mn-ea"/>
                            <a:cs typeface="+mn-cs"/>
                          </a:rPr>
                          <m:t>−0.123</m:t>
                        </m:r>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a:ea typeface="+mn-ea"/>
                                <a:cs typeface="+mn-cs"/>
                              </a:rPr>
                              <m:t>𝑒</m:t>
                            </m:r>
                          </m:e>
                          <m:sup>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−7</m:t>
                                </m:r>
                                <m:r>
                                  <a:rPr lang="en-US" sz="1100" b="0" i="1">
                                    <a:solidFill>
                                      <a:schemeClr val="tx1"/>
                                    </a:solidFill>
                                    <a:effectLst/>
                                    <a:latin typeface="Cambria Math"/>
                                    <a:ea typeface="+mn-ea"/>
                                    <a:cs typeface="+mn-cs"/>
                                  </a:rPr>
                                  <m:t>𝐿</m:t>
                                </m:r>
                              </m:e>
                              <m:sub>
                                <m:r>
                                  <a:rPr lang="en-US" sz="1100" b="0" i="1">
                                    <a:solidFill>
                                      <a:schemeClr val="tx1"/>
                                    </a:solidFill>
                                    <a:effectLst/>
                                    <a:latin typeface="Cambria Math"/>
                                    <a:ea typeface="+mn-ea"/>
                                    <a:cs typeface="+mn-cs"/>
                                  </a:rPr>
                                  <m:t>1</m:t>
                                </m:r>
                              </m:sub>
                            </m:sSub>
                          </m:sup>
                        </m:sSup>
                      </m:e>
                    </m:d>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1−0.11</m:t>
                        </m:r>
                        <m:r>
                          <a:rPr lang="en-US" sz="1100" b="0" i="1">
                            <a:solidFill>
                              <a:schemeClr val="tx1"/>
                            </a:solidFill>
                            <a:effectLst/>
                            <a:latin typeface="Cambria Math"/>
                            <a:ea typeface="+mn-ea"/>
                            <a:cs typeface="+mn-cs"/>
                          </a:rPr>
                          <m:t>𝐴</m:t>
                        </m:r>
                      </m:e>
                    </m:d>
                    <m:f>
                      <m:fPr>
                        <m:ctrlPr>
                          <a:rPr lang="en-US" sz="1100" b="0" i="1">
                            <a:solidFill>
                              <a:schemeClr val="tx1"/>
                            </a:solidFill>
                            <a:effectLst/>
                            <a:latin typeface="Cambria Math" panose="02040503050406030204" pitchFamily="18" charset="0"/>
                            <a:ea typeface="+mn-ea"/>
                            <a:cs typeface="+mn-cs"/>
                          </a:rPr>
                        </m:ctrlPr>
                      </m:fPr>
                      <m:num>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a:ea typeface="Cambria Math"/>
                                <a:cs typeface="+mn-cs"/>
                              </a:rPr>
                              <m:t>𝛽</m:t>
                            </m:r>
                          </m:e>
                          <m:sup>
                            <m:r>
                              <a:rPr lang="en-US" sz="1100" b="0" i="1">
                                <a:solidFill>
                                  <a:schemeClr val="tx1"/>
                                </a:solidFill>
                                <a:effectLst/>
                                <a:latin typeface="Cambria Math"/>
                                <a:ea typeface="+mn-ea"/>
                                <a:cs typeface="+mn-cs"/>
                              </a:rPr>
                              <m:t>4</m:t>
                            </m:r>
                          </m:sup>
                        </m:sSup>
                      </m:num>
                      <m:den>
                        <m:r>
                          <a:rPr lang="en-US" sz="1100" b="0" i="1">
                            <a:solidFill>
                              <a:schemeClr val="tx1"/>
                            </a:solidFill>
                            <a:effectLst/>
                            <a:latin typeface="Cambria Math"/>
                            <a:ea typeface="+mn-ea"/>
                            <a:cs typeface="+mn-cs"/>
                          </a:rPr>
                          <m:t>1−</m:t>
                        </m:r>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a:ea typeface="Cambria Math"/>
                                <a:cs typeface="+mn-cs"/>
                              </a:rPr>
                              <m:t>𝛽</m:t>
                            </m:r>
                          </m:e>
                          <m:sup>
                            <m:r>
                              <a:rPr lang="en-US" sz="1100" b="0" i="1">
                                <a:solidFill>
                                  <a:schemeClr val="tx1"/>
                                </a:solidFill>
                                <a:effectLst/>
                                <a:latin typeface="Cambria Math"/>
                                <a:ea typeface="+mn-ea"/>
                                <a:cs typeface="+mn-cs"/>
                              </a:rPr>
                              <m:t>4</m:t>
                            </m:r>
                          </m:sup>
                        </m:sSup>
                      </m:den>
                    </m:f>
                    <m:r>
                      <a:rPr lang="en-US" sz="1100" b="0" i="1">
                        <a:solidFill>
                          <a:schemeClr val="tx1"/>
                        </a:solidFill>
                        <a:effectLst/>
                        <a:latin typeface="Cambria Math"/>
                        <a:ea typeface="+mn-ea"/>
                        <a:cs typeface="+mn-cs"/>
                      </a:rPr>
                      <m:t>−0.031</m:t>
                    </m:r>
                    <m:d>
                      <m:dPr>
                        <m:ctrlPr>
                          <a:rPr lang="en-US" sz="1100" b="0" i="1">
                            <a:solidFill>
                              <a:schemeClr val="tx1"/>
                            </a:solidFill>
                            <a:effectLst/>
                            <a:latin typeface="Cambria Math" panose="02040503050406030204" pitchFamily="18" charset="0"/>
                            <a:ea typeface="+mn-ea"/>
                            <a:cs typeface="+mn-cs"/>
                          </a:rPr>
                        </m:ctrlPr>
                      </m:dPr>
                      <m:e>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e>
                          <m:sub>
                            <m:r>
                              <a:rPr lang="en-US" sz="1100" b="0" i="1">
                                <a:solidFill>
                                  <a:schemeClr val="tx1"/>
                                </a:solidFill>
                                <a:effectLst/>
                                <a:latin typeface="Cambria Math"/>
                                <a:ea typeface="+mn-ea"/>
                                <a:cs typeface="+mn-cs"/>
                              </a:rPr>
                              <m:t>2</m:t>
                            </m:r>
                          </m:sub>
                        </m:sSub>
                        <m:r>
                          <a:rPr lang="en-US" sz="1100" b="0" i="1">
                            <a:solidFill>
                              <a:schemeClr val="tx1"/>
                            </a:solidFill>
                            <a:effectLst/>
                            <a:latin typeface="Cambria Math"/>
                            <a:ea typeface="+mn-ea"/>
                            <a:cs typeface="+mn-cs"/>
                          </a:rPr>
                          <m:t>−0.8</m:t>
                        </m:r>
                        <m:sSup>
                          <m:sSupPr>
                            <m:ctrlPr>
                              <a:rPr lang="en-US" sz="1100" b="0" i="1">
                                <a:solidFill>
                                  <a:schemeClr val="tx1"/>
                                </a:solidFill>
                                <a:effectLst/>
                                <a:latin typeface="Cambria Math" panose="02040503050406030204" pitchFamily="18" charset="0"/>
                                <a:ea typeface="+mn-ea"/>
                                <a:cs typeface="+mn-cs"/>
                              </a:rPr>
                            </m:ctrlPr>
                          </m:sSupPr>
                          <m:e>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e>
                              <m:sub>
                                <m:r>
                                  <a:rPr lang="en-US" sz="1100" b="0" i="1">
                                    <a:solidFill>
                                      <a:schemeClr val="tx1"/>
                                    </a:solidFill>
                                    <a:effectLst/>
                                    <a:latin typeface="Cambria Math"/>
                                    <a:ea typeface="+mn-ea"/>
                                    <a:cs typeface="+mn-cs"/>
                                  </a:rPr>
                                  <m:t>2</m:t>
                                </m:r>
                              </m:sub>
                            </m:sSub>
                          </m:e>
                          <m:sup>
                            <m:r>
                              <a:rPr lang="en-US" sz="1100" b="0" i="1">
                                <a:solidFill>
                                  <a:schemeClr val="tx1"/>
                                </a:solidFill>
                                <a:effectLst/>
                                <a:latin typeface="Cambria Math"/>
                                <a:ea typeface="+mn-ea"/>
                                <a:cs typeface="+mn-cs"/>
                              </a:rPr>
                              <m:t>1.1</m:t>
                            </m:r>
                          </m:sup>
                        </m:sSup>
                      </m:e>
                    </m:d>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a:ea typeface="Cambria Math"/>
                            <a:cs typeface="+mn-cs"/>
                          </a:rPr>
                          <m:t>𝛽</m:t>
                        </m:r>
                      </m:e>
                      <m:sup>
                        <m:r>
                          <a:rPr lang="en-US" sz="1100" b="0" i="1">
                            <a:solidFill>
                              <a:schemeClr val="tx1"/>
                            </a:solidFill>
                            <a:effectLst/>
                            <a:latin typeface="Cambria Math"/>
                            <a:ea typeface="+mn-ea"/>
                            <a:cs typeface="+mn-cs"/>
                          </a:rPr>
                          <m:t>1.3</m:t>
                        </m:r>
                      </m:sup>
                    </m:sSup>
                  </m:oMath>
                </m:oMathPara>
              </a14:m>
              <a:endParaRPr lang="en-US" sz="1100" b="0">
                <a:solidFill>
                  <a:schemeClr val="tx1"/>
                </a:solidFill>
                <a:effectLst/>
                <a:ea typeface="+mn-ea"/>
                <a:cs typeface="+mn-cs"/>
              </a:endParaRPr>
            </a:p>
          </xdr:txBody>
        </xdr:sp>
      </mc:Choice>
      <mc:Fallback xmlns="">
        <xdr:sp macro="" textlink="">
          <xdr:nvSpPr>
            <xdr:cNvPr id="2" name="TextBox 1"/>
            <xdr:cNvSpPr txBox="1"/>
          </xdr:nvSpPr>
          <xdr:spPr>
            <a:xfrm>
              <a:off x="15512699" y="11042650"/>
              <a:ext cx="3994501" cy="156845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𝐶_𝑑</a:t>
              </a:r>
              <a:r>
                <a:rPr lang="en-US" sz="1100" i="0">
                  <a:latin typeface="Cambria Math"/>
                </a:rPr>
                <a:t>=</a:t>
              </a:r>
              <a:r>
                <a:rPr lang="en-US" sz="1100" b="0" i="0">
                  <a:latin typeface="Cambria Math"/>
                </a:rPr>
                <a:t>0.5961</a:t>
              </a:r>
              <a:r>
                <a:rPr lang="en-US" sz="1100" i="0">
                  <a:latin typeface="Cambria Math"/>
                </a:rPr>
                <a:t>+</a:t>
              </a:r>
              <a:r>
                <a:rPr lang="en-US" sz="1100" b="0" i="0">
                  <a:latin typeface="Cambria Math"/>
                </a:rPr>
                <a:t>0.0261</a:t>
              </a:r>
              <a:r>
                <a:rPr lang="en-US" sz="1100" b="0" i="0">
                  <a:latin typeface="Cambria Math"/>
                  <a:ea typeface="Cambria Math"/>
                </a:rPr>
                <a:t>𝛽^</a:t>
              </a:r>
              <a:r>
                <a:rPr lang="en-US" sz="1100" b="0" i="0">
                  <a:latin typeface="Cambria Math"/>
                </a:rPr>
                <a:t>2−</a:t>
              </a:r>
              <a:r>
                <a:rPr lang="en-US" sz="1100" b="0" i="0">
                  <a:solidFill>
                    <a:schemeClr val="tx1"/>
                  </a:solidFill>
                  <a:effectLst/>
                  <a:latin typeface="Cambria Math"/>
                  <a:ea typeface="+mn-ea"/>
                  <a:cs typeface="+mn-cs"/>
                </a:rPr>
                <a:t>0.216𝛽^8+0.000521((〖10〗^6 𝛽)/𝑅_𝐷 )^0.7+(0.0188+0.0063𝐴) </a:t>
              </a:r>
              <a:r>
                <a:rPr lang="en-US" sz="1100" b="0" i="0">
                  <a:solidFill>
                    <a:schemeClr val="tx1"/>
                  </a:solidFill>
                  <a:effectLst/>
                  <a:latin typeface="Cambria Math"/>
                  <a:ea typeface="Cambria Math"/>
                  <a:cs typeface="+mn-cs"/>
                </a:rPr>
                <a:t>𝛽</a:t>
              </a:r>
              <a:r>
                <a:rPr lang="en-US" sz="1100" b="0" i="0">
                  <a:solidFill>
                    <a:schemeClr val="tx1"/>
                  </a:solidFill>
                  <a:effectLst/>
                  <a:latin typeface="Cambria Math"/>
                  <a:ea typeface="+mn-ea"/>
                  <a:cs typeface="+mn-cs"/>
                </a:rPr>
                <a:t>^3.5 (〖10〗^6/𝑅_𝐷 )^0.3+(0.043+0.080𝑒^(〖−10𝐿〗_1 )−0.123𝑒^(〖−7𝐿〗_1 ) )(1−0.11𝐴)  </a:t>
              </a:r>
              <a:r>
                <a:rPr lang="en-US" sz="1100" b="0" i="0">
                  <a:solidFill>
                    <a:schemeClr val="tx1"/>
                  </a:solidFill>
                  <a:effectLst/>
                  <a:latin typeface="Cambria Math"/>
                  <a:ea typeface="Cambria Math"/>
                  <a:cs typeface="+mn-cs"/>
                </a:rPr>
                <a:t>𝛽</a:t>
              </a:r>
              <a:r>
                <a:rPr lang="en-US" sz="1100" b="0" i="0">
                  <a:solidFill>
                    <a:schemeClr val="tx1"/>
                  </a:solidFill>
                  <a:effectLst/>
                  <a:latin typeface="Cambria Math"/>
                  <a:ea typeface="+mn-ea"/>
                  <a:cs typeface="+mn-cs"/>
                </a:rPr>
                <a:t>^4/(1−</a:t>
              </a:r>
              <a:r>
                <a:rPr lang="en-US" sz="1100" b="0" i="0">
                  <a:solidFill>
                    <a:schemeClr val="tx1"/>
                  </a:solidFill>
                  <a:effectLst/>
                  <a:latin typeface="Cambria Math"/>
                  <a:ea typeface="Cambria Math"/>
                  <a:cs typeface="+mn-cs"/>
                </a:rPr>
                <a:t>𝛽</a:t>
              </a:r>
              <a:r>
                <a:rPr lang="en-US" sz="1100" b="0" i="0">
                  <a:solidFill>
                    <a:schemeClr val="tx1"/>
                  </a:solidFill>
                  <a:effectLst/>
                  <a:latin typeface="Cambria Math"/>
                  <a:ea typeface="+mn-ea"/>
                  <a:cs typeface="+mn-cs"/>
                </a:rPr>
                <a:t>^4 )−0.031(〖𝑀′〗_2−0.8〖〖𝑀′〗_2〗^1.1 ) </a:t>
              </a:r>
              <a:r>
                <a:rPr lang="en-US" sz="1100" b="0" i="0">
                  <a:solidFill>
                    <a:schemeClr val="tx1"/>
                  </a:solidFill>
                  <a:effectLst/>
                  <a:latin typeface="Cambria Math"/>
                  <a:ea typeface="Cambria Math"/>
                  <a:cs typeface="+mn-cs"/>
                </a:rPr>
                <a:t>𝛽</a:t>
              </a:r>
              <a:r>
                <a:rPr lang="en-US" sz="1100" b="0" i="0">
                  <a:solidFill>
                    <a:schemeClr val="tx1"/>
                  </a:solidFill>
                  <a:effectLst/>
                  <a:latin typeface="Cambria Math"/>
                  <a:ea typeface="+mn-ea"/>
                  <a:cs typeface="+mn-cs"/>
                </a:rPr>
                <a:t>^1.3</a:t>
              </a:r>
              <a:endParaRPr lang="en-US" sz="1100" b="0">
                <a:solidFill>
                  <a:schemeClr val="tx1"/>
                </a:solidFill>
                <a:effectLst/>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2</xdr:col>
      <xdr:colOff>4761</xdr:colOff>
      <xdr:row>59</xdr:row>
      <xdr:rowOff>123825</xdr:rowOff>
    </xdr:from>
    <xdr:ext cx="2024063" cy="538609"/>
    <mc:AlternateContent xmlns:mc="http://schemas.openxmlformats.org/markup-compatibility/2006" xmlns:a14="http://schemas.microsoft.com/office/drawing/2010/main">
      <mc:Choice Requires="a14">
        <xdr:sp macro="" textlink="">
          <xdr:nvSpPr>
            <xdr:cNvPr id="7" name="TextBox 6"/>
            <xdr:cNvSpPr txBox="1"/>
          </xdr:nvSpPr>
          <xdr:spPr>
            <a:xfrm>
              <a:off x="671511" y="9915525"/>
              <a:ext cx="2024063" cy="5386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borderBox>
                      <m:borderBoxPr>
                        <m:ctrlPr>
                          <a:rPr lang="en-US" sz="1100" i="1">
                            <a:latin typeface="Cambria Math" panose="02040503050406030204" pitchFamily="18" charset="0"/>
                          </a:rPr>
                        </m:ctrlPr>
                      </m:borderBoxPr>
                      <m:e>
                        <m:r>
                          <a:rPr lang="en-US" sz="1100" b="0" i="1">
                            <a:latin typeface="Cambria Math"/>
                          </a:rPr>
                          <m:t>𝑅</m:t>
                        </m:r>
                        <m:r>
                          <a:rPr lang="en-US" sz="1100" b="0" i="1" baseline="-25000">
                            <a:latin typeface="Cambria Math"/>
                          </a:rPr>
                          <m:t>𝑖𝑛𝑝</m:t>
                        </m:r>
                        <m:r>
                          <a:rPr lang="en-US" sz="1100" b="0" i="1">
                            <a:latin typeface="Cambria Math"/>
                          </a:rPr>
                          <m:t>=</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𝐴</m:t>
                                </m:r>
                                <m:r>
                                  <a:rPr lang="en-US" sz="1100" b="0" i="1" baseline="-25000">
                                    <a:latin typeface="Cambria Math"/>
                                  </a:rPr>
                                  <m:t>𝑖𝑛𝑝</m:t>
                                </m:r>
                              </m:num>
                              <m:den>
                                <m:r>
                                  <a:rPr lang="en-US" sz="1100" b="0" i="1">
                                    <a:latin typeface="Cambria Math"/>
                                  </a:rPr>
                                  <m:t>𝐴</m:t>
                                </m:r>
                                <m:r>
                                  <a:rPr lang="en-US" sz="1100" b="0" i="1" baseline="-25000">
                                    <a:latin typeface="Cambria Math"/>
                                  </a:rPr>
                                  <m:t>𝑡𝑡𝑠</m:t>
                                </m:r>
                              </m:den>
                            </m:f>
                          </m:e>
                        </m:d>
                        <m:r>
                          <a:rPr lang="en-US" sz="1100" b="0" i="1">
                            <a:latin typeface="Cambria Math"/>
                          </a:rPr>
                          <m:t>𝑅</m:t>
                        </m:r>
                        <m:r>
                          <a:rPr lang="en-US" sz="1100" b="0" i="1" baseline="-25000">
                            <a:latin typeface="Cambria Math"/>
                          </a:rPr>
                          <m:t>𝑖𝑛</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1−</m:t>
                            </m:r>
                            <m:f>
                              <m:fPr>
                                <m:ctrlPr>
                                  <a:rPr lang="en-US" sz="1100" b="0" i="1">
                                    <a:latin typeface="Cambria Math" panose="02040503050406030204" pitchFamily="18" charset="0"/>
                                  </a:rPr>
                                </m:ctrlPr>
                              </m:fPr>
                              <m:num>
                                <m:r>
                                  <a:rPr lang="en-US" sz="1100" b="0" i="1">
                                    <a:latin typeface="Cambria Math"/>
                                  </a:rPr>
                                  <m:t>𝐴</m:t>
                                </m:r>
                                <m:r>
                                  <a:rPr lang="en-US" sz="1100" b="0" i="1" baseline="-25000">
                                    <a:latin typeface="Cambria Math"/>
                                  </a:rPr>
                                  <m:t>𝑖𝑛𝑝</m:t>
                                </m:r>
                              </m:num>
                              <m:den>
                                <m:r>
                                  <a:rPr lang="en-US" sz="1100" b="0" i="1">
                                    <a:latin typeface="Cambria Math"/>
                                  </a:rPr>
                                  <m:t>𝐴</m:t>
                                </m:r>
                                <m:r>
                                  <a:rPr lang="en-US" sz="1100" b="0" i="1" baseline="-25000">
                                    <a:latin typeface="Cambria Math"/>
                                  </a:rPr>
                                  <m:t>𝑡𝑡𝑠</m:t>
                                </m:r>
                              </m:den>
                            </m:f>
                          </m:e>
                        </m:d>
                      </m:e>
                    </m:borderBox>
                  </m:oMath>
                </m:oMathPara>
              </a14:m>
              <a:endParaRPr lang="en-US" sz="1100"/>
            </a:p>
          </xdr:txBody>
        </xdr:sp>
      </mc:Choice>
      <mc:Fallback xmlns="">
        <xdr:sp macro="" textlink="">
          <xdr:nvSpPr>
            <xdr:cNvPr id="7" name="TextBox 6"/>
            <xdr:cNvSpPr txBox="1"/>
          </xdr:nvSpPr>
          <xdr:spPr>
            <a:xfrm>
              <a:off x="671511" y="9915525"/>
              <a:ext cx="2024063" cy="5386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i="0">
                  <a:latin typeface="Cambria Math"/>
                </a:rPr>
                <a:t>▭(</a:t>
              </a:r>
              <a:r>
                <a:rPr lang="en-US" sz="1100" b="0" i="0">
                  <a:latin typeface="Cambria Math"/>
                </a:rPr>
                <a:t>𝑅</a:t>
              </a:r>
              <a:r>
                <a:rPr lang="en-US" sz="1100" b="0" i="0" baseline="-25000">
                  <a:latin typeface="Cambria Math"/>
                </a:rPr>
                <a:t>𝑖𝑛𝑝</a:t>
              </a:r>
              <a:r>
                <a:rPr lang="en-US" sz="1100" b="0" i="0">
                  <a:latin typeface="Cambria Math"/>
                </a:rPr>
                <a:t>=(𝐴</a:t>
              </a:r>
              <a:r>
                <a:rPr lang="en-US" sz="1100" b="0" i="0" baseline="-25000">
                  <a:latin typeface="Cambria Math"/>
                </a:rPr>
                <a:t>𝑖𝑛𝑝/</a:t>
              </a:r>
              <a:r>
                <a:rPr lang="en-US" sz="1100" b="0" i="0">
                  <a:latin typeface="Cambria Math"/>
                </a:rPr>
                <a:t>𝐴</a:t>
              </a:r>
              <a:r>
                <a:rPr lang="en-US" sz="1100" b="0" i="0" baseline="-25000">
                  <a:latin typeface="Cambria Math"/>
                </a:rPr>
                <a:t>𝑡𝑡𝑠)</a:t>
              </a:r>
              <a:r>
                <a:rPr lang="en-US" sz="1100" b="0" i="0">
                  <a:latin typeface="Cambria Math"/>
                </a:rPr>
                <a:t>𝑅</a:t>
              </a:r>
              <a:r>
                <a:rPr lang="en-US" sz="1100" b="0" i="0" baseline="-25000">
                  <a:latin typeface="Cambria Math"/>
                </a:rPr>
                <a:t>𝑖𝑛</a:t>
              </a:r>
              <a:r>
                <a:rPr lang="en-US" sz="1100" b="0" i="0">
                  <a:latin typeface="Cambria Math"/>
                </a:rPr>
                <a:t>+(1−𝐴</a:t>
              </a:r>
              <a:r>
                <a:rPr lang="en-US" sz="1100" b="0" i="0" baseline="-25000">
                  <a:latin typeface="Cambria Math"/>
                </a:rPr>
                <a:t>𝑖𝑛𝑝/</a:t>
              </a:r>
              <a:r>
                <a:rPr lang="en-US" sz="1100" b="0" i="0">
                  <a:latin typeface="Cambria Math"/>
                </a:rPr>
                <a:t>𝐴</a:t>
              </a:r>
              <a:r>
                <a:rPr lang="en-US" sz="1100" b="0" i="0" baseline="-25000">
                  <a:latin typeface="Cambria Math"/>
                </a:rPr>
                <a:t>𝑡𝑡𝑠) )</a:t>
              </a:r>
              <a:endParaRPr lang="en-US" sz="1100"/>
            </a:p>
          </xdr:txBody>
        </xdr:sp>
      </mc:Fallback>
    </mc:AlternateContent>
    <xdr:clientData/>
  </xdr:oneCellAnchor>
  <xdr:oneCellAnchor>
    <xdr:from>
      <xdr:col>2</xdr:col>
      <xdr:colOff>4761</xdr:colOff>
      <xdr:row>47</xdr:row>
      <xdr:rowOff>95250</xdr:rowOff>
    </xdr:from>
    <xdr:ext cx="992561" cy="666750"/>
    <mc:AlternateContent xmlns:mc="http://schemas.openxmlformats.org/markup-compatibility/2006" xmlns:a14="http://schemas.microsoft.com/office/drawing/2010/main">
      <mc:Choice Requires="a14">
        <xdr:sp macro="" textlink="">
          <xdr:nvSpPr>
            <xdr:cNvPr id="8" name="TextBox 7"/>
            <xdr:cNvSpPr txBox="1"/>
          </xdr:nvSpPr>
          <xdr:spPr>
            <a:xfrm>
              <a:off x="677114" y="7771279"/>
              <a:ext cx="992561" cy="666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noAutofit/>
            </a:bodyPr>
            <a:lstStyle/>
            <a:p>
              <a:pPr/>
              <a14:m>
                <m:oMathPara xmlns:m="http://schemas.openxmlformats.org/officeDocument/2006/math">
                  <m:oMathParaPr>
                    <m:jc m:val="centerGroup"/>
                  </m:oMathParaPr>
                  <m:oMath xmlns:m="http://schemas.openxmlformats.org/officeDocument/2006/math">
                    <m:borderBox>
                      <m:borderBoxPr>
                        <m:ctrlPr>
                          <a:rPr lang="en-US" sz="1100" i="1">
                            <a:latin typeface="Cambria Math" panose="02040503050406030204" pitchFamily="18" charset="0"/>
                          </a:rPr>
                        </m:ctrlPr>
                      </m:borderBoxPr>
                      <m:e>
                        <m:r>
                          <a:rPr lang="en-US" sz="1100" b="0" i="1">
                            <a:solidFill>
                              <a:schemeClr val="tx1"/>
                            </a:solidFill>
                            <a:effectLst/>
                            <a:latin typeface="Cambria Math"/>
                            <a:ea typeface="+mn-ea"/>
                            <a:cs typeface="+mn-cs"/>
                          </a:rPr>
                          <m:t>𝑅</m:t>
                        </m:r>
                        <m:r>
                          <a:rPr lang="en-US" sz="1100" b="0" i="1" baseline="-25000">
                            <a:solidFill>
                              <a:schemeClr val="tx1"/>
                            </a:solidFill>
                            <a:effectLst/>
                            <a:latin typeface="Cambria Math"/>
                            <a:ea typeface="+mn-ea"/>
                            <a:cs typeface="+mn-cs"/>
                          </a:rPr>
                          <m:t>𝑖𝑛</m:t>
                        </m:r>
                        <m:r>
                          <m:rPr>
                            <m:nor/>
                          </m:rPr>
                          <a:rPr lang="en-US" sz="1100" baseline="-25000">
                            <a:solidFill>
                              <a:schemeClr val="tx1"/>
                            </a:solidFill>
                            <a:effectLst/>
                            <a:latin typeface="+mn-lt"/>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1</m:t>
                            </m:r>
                          </m:num>
                          <m:den>
                            <m:r>
                              <a:rPr lang="en-US" sz="1100" b="0" i="1">
                                <a:solidFill>
                                  <a:schemeClr val="tx1"/>
                                </a:solidFill>
                                <a:effectLst/>
                                <a:latin typeface="Cambria Math"/>
                                <a:ea typeface="+mn-ea"/>
                                <a:cs typeface="+mn-cs"/>
                              </a:rPr>
                              <m:t>1+</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h𝐼</m:t>
                                </m:r>
                                <m:r>
                                  <a:rPr lang="en-US" sz="1100" b="0" i="1" baseline="-25000">
                                    <a:solidFill>
                                      <a:schemeClr val="tx1"/>
                                    </a:solidFill>
                                    <a:effectLst/>
                                    <a:latin typeface="Cambria Math"/>
                                    <a:ea typeface="+mn-ea"/>
                                    <a:cs typeface="+mn-cs"/>
                                  </a:rPr>
                                  <m:t>𝑖𝑛</m:t>
                                </m:r>
                              </m:num>
                              <m:den>
                                <m:r>
                                  <a:rPr lang="en-US" sz="1100" b="0" i="1">
                                    <a:solidFill>
                                      <a:schemeClr val="tx1"/>
                                    </a:solidFill>
                                    <a:effectLst/>
                                    <a:latin typeface="Cambria Math"/>
                                    <a:ea typeface="+mn-ea"/>
                                    <a:cs typeface="+mn-cs"/>
                                  </a:rPr>
                                  <m:t>𝜆</m:t>
                                </m:r>
                                <m:r>
                                  <a:rPr lang="en-US" sz="1100" b="0" i="1" baseline="-25000">
                                    <a:solidFill>
                                      <a:schemeClr val="tx1"/>
                                    </a:solidFill>
                                    <a:effectLst/>
                                    <a:latin typeface="Cambria Math"/>
                                    <a:ea typeface="+mn-ea"/>
                                    <a:cs typeface="+mn-cs"/>
                                  </a:rPr>
                                  <m:t>𝑖𝑛</m:t>
                                </m:r>
                              </m:den>
                            </m:f>
                          </m:den>
                        </m:f>
                        <m:r>
                          <m:rPr>
                            <m:nor/>
                          </m:rPr>
                          <a:rPr lang="en-US">
                            <a:effectLst/>
                          </a:rPr>
                          <m:t> </m:t>
                        </m:r>
                      </m:e>
                    </m:borderBox>
                  </m:oMath>
                </m:oMathPara>
              </a14:m>
              <a:endParaRPr lang="en-US" sz="1100"/>
            </a:p>
          </xdr:txBody>
        </xdr:sp>
      </mc:Choice>
      <mc:Fallback xmlns="">
        <xdr:sp macro="" textlink="">
          <xdr:nvSpPr>
            <xdr:cNvPr id="8" name="TextBox 7"/>
            <xdr:cNvSpPr txBox="1"/>
          </xdr:nvSpPr>
          <xdr:spPr>
            <a:xfrm>
              <a:off x="677114" y="7771279"/>
              <a:ext cx="992561" cy="666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noAutofit/>
            </a:bodyPr>
            <a:lstStyle/>
            <a:p>
              <a:pPr/>
              <a:r>
                <a:rPr lang="en-US" sz="1100" i="0">
                  <a:latin typeface="Cambria Math"/>
                </a:rPr>
                <a:t>▭(</a:t>
              </a:r>
              <a:r>
                <a:rPr lang="en-US" sz="1100" b="0" i="0">
                  <a:solidFill>
                    <a:schemeClr val="tx1"/>
                  </a:solidFill>
                  <a:effectLst/>
                  <a:latin typeface="Cambria Math"/>
                  <a:ea typeface="+mn-ea"/>
                  <a:cs typeface="+mn-cs"/>
                </a:rPr>
                <a:t>𝑅</a:t>
              </a:r>
              <a:r>
                <a:rPr lang="en-US" sz="1100" b="0" i="0" baseline="-25000">
                  <a:solidFill>
                    <a:schemeClr val="tx1"/>
                  </a:solidFill>
                  <a:effectLst/>
                  <a:latin typeface="Cambria Math"/>
                  <a:ea typeface="+mn-ea"/>
                  <a:cs typeface="+mn-cs"/>
                </a:rPr>
                <a:t>𝑖𝑛</a:t>
              </a:r>
              <a:r>
                <a:rPr lang="en-US" sz="1100" b="0" i="0" baseline="-25000">
                  <a:solidFill>
                    <a:schemeClr val="tx1"/>
                  </a:solidFill>
                  <a:effectLst/>
                  <a:latin typeface="+mn-lt"/>
                  <a:ea typeface="+mn-ea"/>
                  <a:cs typeface="+mn-cs"/>
                </a:rPr>
                <a:t>"</a:t>
              </a:r>
              <a:r>
                <a:rPr lang="en-US" sz="1100" i="0" baseline="-25000">
                  <a:solidFill>
                    <a:schemeClr val="tx1"/>
                  </a:solidFill>
                  <a:effectLst/>
                  <a:latin typeface="+mn-lt"/>
                  <a:ea typeface="+mn-ea"/>
                  <a:cs typeface="+mn-cs"/>
                </a:rPr>
                <a:t>=</a:t>
              </a:r>
              <a:r>
                <a:rPr lang="en-US" sz="1100" b="0" i="0" baseline="-25000">
                  <a:solidFill>
                    <a:schemeClr val="tx1"/>
                  </a:solidFill>
                  <a:effectLst/>
                  <a:latin typeface="Cambria Math"/>
                  <a:ea typeface="+mn-ea"/>
                  <a:cs typeface="+mn-cs"/>
                </a:rPr>
                <a:t>"  </a:t>
              </a:r>
              <a:r>
                <a:rPr lang="en-US" sz="1100" b="0" i="0">
                  <a:solidFill>
                    <a:schemeClr val="tx1"/>
                  </a:solidFill>
                  <a:effectLst/>
                  <a:latin typeface="Cambria Math"/>
                  <a:ea typeface="+mn-ea"/>
                  <a:cs typeface="+mn-cs"/>
                </a:rPr>
                <a:t>1/(1+ℎ𝐼</a:t>
              </a:r>
              <a:r>
                <a:rPr lang="en-US" sz="1100" b="0" i="0" baseline="-25000">
                  <a:solidFill>
                    <a:schemeClr val="tx1"/>
                  </a:solidFill>
                  <a:effectLst/>
                  <a:latin typeface="Cambria Math"/>
                  <a:ea typeface="+mn-ea"/>
                  <a:cs typeface="+mn-cs"/>
                </a:rPr>
                <a:t>𝑖𝑛/</a:t>
              </a:r>
              <a:r>
                <a:rPr lang="en-US" sz="1100" b="0" i="0">
                  <a:solidFill>
                    <a:schemeClr val="tx1"/>
                  </a:solidFill>
                  <a:effectLst/>
                  <a:latin typeface="Cambria Math"/>
                  <a:ea typeface="+mn-ea"/>
                  <a:cs typeface="+mn-cs"/>
                </a:rPr>
                <a:t>𝜆</a:t>
              </a:r>
              <a:r>
                <a:rPr lang="en-US" sz="1100" b="0" i="0" baseline="-25000">
                  <a:solidFill>
                    <a:schemeClr val="tx1"/>
                  </a:solidFill>
                  <a:effectLst/>
                  <a:latin typeface="Cambria Math"/>
                  <a:ea typeface="+mn-ea"/>
                  <a:cs typeface="+mn-cs"/>
                </a:rPr>
                <a:t>𝑖𝑛) "</a:t>
              </a:r>
              <a:r>
                <a:rPr lang="en-US" i="0">
                  <a:effectLst/>
                </a:rPr>
                <a:t> </a:t>
              </a:r>
              <a:r>
                <a:rPr lang="en-US" i="0">
                  <a:effectLst/>
                  <a:latin typeface="Cambria Math"/>
                </a:rPr>
                <a:t>" </a:t>
              </a:r>
              <a:r>
                <a:rPr lang="en-US" sz="1100" i="0">
                  <a:effectLst/>
                  <a:latin typeface="Cambria Math"/>
                </a:rPr>
                <a:t>)</a:t>
              </a:r>
              <a:endParaRPr lang="en-US" sz="1100"/>
            </a:p>
          </xdr:txBody>
        </xdr:sp>
      </mc:Fallback>
    </mc:AlternateContent>
    <xdr:clientData/>
  </xdr:oneCellAnchor>
  <xdr:oneCellAnchor>
    <xdr:from>
      <xdr:col>11</xdr:col>
      <xdr:colOff>4761</xdr:colOff>
      <xdr:row>59</xdr:row>
      <xdr:rowOff>123825</xdr:rowOff>
    </xdr:from>
    <xdr:ext cx="2024063" cy="538609"/>
    <mc:AlternateContent xmlns:mc="http://schemas.openxmlformats.org/markup-compatibility/2006" xmlns:a14="http://schemas.microsoft.com/office/drawing/2010/main">
      <mc:Choice Requires="a14">
        <xdr:sp macro="" textlink="">
          <xdr:nvSpPr>
            <xdr:cNvPr id="6" name="TextBox 5"/>
            <xdr:cNvSpPr txBox="1"/>
          </xdr:nvSpPr>
          <xdr:spPr>
            <a:xfrm>
              <a:off x="680170" y="9614189"/>
              <a:ext cx="2024063" cy="5386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borderBox>
                      <m:borderBoxPr>
                        <m:ctrlPr>
                          <a:rPr lang="en-US" sz="1100" i="1">
                            <a:latin typeface="Cambria Math" panose="02040503050406030204" pitchFamily="18" charset="0"/>
                          </a:rPr>
                        </m:ctrlPr>
                      </m:borderBoxPr>
                      <m:e>
                        <m:r>
                          <a:rPr lang="en-US" sz="1100" b="0" i="1">
                            <a:latin typeface="Cambria Math"/>
                          </a:rPr>
                          <m:t>𝑅</m:t>
                        </m:r>
                        <m:r>
                          <a:rPr lang="en-US" sz="1100" b="0" i="1" baseline="-25000">
                            <a:latin typeface="Cambria Math"/>
                          </a:rPr>
                          <m:t>𝑖𝑛𝑝</m:t>
                        </m:r>
                        <m:r>
                          <a:rPr lang="en-US" sz="1100" b="0" i="1">
                            <a:latin typeface="Cambria Math"/>
                          </a:rPr>
                          <m:t>=</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𝐴</m:t>
                                </m:r>
                                <m:r>
                                  <a:rPr lang="en-US" sz="1100" b="0" i="1" baseline="-25000">
                                    <a:latin typeface="Cambria Math"/>
                                  </a:rPr>
                                  <m:t>𝑖𝑛𝑝</m:t>
                                </m:r>
                              </m:num>
                              <m:den>
                                <m:r>
                                  <a:rPr lang="en-US" sz="1100" b="0" i="1">
                                    <a:latin typeface="Cambria Math"/>
                                  </a:rPr>
                                  <m:t>𝐴</m:t>
                                </m:r>
                                <m:r>
                                  <a:rPr lang="en-US" sz="1100" b="0" i="1" baseline="-25000">
                                    <a:latin typeface="Cambria Math"/>
                                  </a:rPr>
                                  <m:t>𝑡𝑡𝑠</m:t>
                                </m:r>
                              </m:den>
                            </m:f>
                          </m:e>
                        </m:d>
                        <m:r>
                          <a:rPr lang="en-US" sz="1100" b="0" i="1">
                            <a:latin typeface="Cambria Math"/>
                          </a:rPr>
                          <m:t>𝑅</m:t>
                        </m:r>
                        <m:r>
                          <a:rPr lang="en-US" sz="1100" b="0" i="1" baseline="-25000">
                            <a:latin typeface="Cambria Math"/>
                          </a:rPr>
                          <m:t>𝑖𝑛</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1−</m:t>
                            </m:r>
                            <m:f>
                              <m:fPr>
                                <m:ctrlPr>
                                  <a:rPr lang="en-US" sz="1100" b="0" i="1">
                                    <a:latin typeface="Cambria Math" panose="02040503050406030204" pitchFamily="18" charset="0"/>
                                  </a:rPr>
                                </m:ctrlPr>
                              </m:fPr>
                              <m:num>
                                <m:r>
                                  <a:rPr lang="en-US" sz="1100" b="0" i="1">
                                    <a:latin typeface="Cambria Math"/>
                                  </a:rPr>
                                  <m:t>𝐴</m:t>
                                </m:r>
                                <m:r>
                                  <a:rPr lang="en-US" sz="1100" b="0" i="1" baseline="-25000">
                                    <a:latin typeface="Cambria Math"/>
                                  </a:rPr>
                                  <m:t>𝑖𝑛𝑝</m:t>
                                </m:r>
                              </m:num>
                              <m:den>
                                <m:r>
                                  <a:rPr lang="en-US" sz="1100" b="0" i="1">
                                    <a:latin typeface="Cambria Math"/>
                                  </a:rPr>
                                  <m:t>𝐴</m:t>
                                </m:r>
                                <m:r>
                                  <a:rPr lang="en-US" sz="1100" b="0" i="1" baseline="-25000">
                                    <a:latin typeface="Cambria Math"/>
                                  </a:rPr>
                                  <m:t>𝑡𝑡𝑠</m:t>
                                </m:r>
                              </m:den>
                            </m:f>
                          </m:e>
                        </m:d>
                      </m:e>
                    </m:borderBox>
                  </m:oMath>
                </m:oMathPara>
              </a14:m>
              <a:endParaRPr lang="en-US" sz="1100"/>
            </a:p>
          </xdr:txBody>
        </xdr:sp>
      </mc:Choice>
      <mc:Fallback xmlns="">
        <xdr:sp macro="" textlink="">
          <xdr:nvSpPr>
            <xdr:cNvPr id="6" name="TextBox 5"/>
            <xdr:cNvSpPr txBox="1"/>
          </xdr:nvSpPr>
          <xdr:spPr>
            <a:xfrm>
              <a:off x="680170" y="9614189"/>
              <a:ext cx="2024063" cy="5386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US" sz="1100" i="0">
                  <a:latin typeface="Cambria Math"/>
                </a:rPr>
                <a:t>▭(</a:t>
              </a:r>
              <a:r>
                <a:rPr lang="en-US" sz="1100" b="0" i="0">
                  <a:latin typeface="Cambria Math"/>
                </a:rPr>
                <a:t>𝑅</a:t>
              </a:r>
              <a:r>
                <a:rPr lang="en-US" sz="1100" b="0" i="0" baseline="-25000">
                  <a:latin typeface="Cambria Math"/>
                </a:rPr>
                <a:t>𝑖𝑛𝑝</a:t>
              </a:r>
              <a:r>
                <a:rPr lang="en-US" sz="1100" b="0" i="0">
                  <a:latin typeface="Cambria Math"/>
                </a:rPr>
                <a:t>=(𝐴</a:t>
              </a:r>
              <a:r>
                <a:rPr lang="en-US" sz="1100" b="0" i="0" baseline="-25000">
                  <a:latin typeface="Cambria Math"/>
                </a:rPr>
                <a:t>𝑖𝑛𝑝/</a:t>
              </a:r>
              <a:r>
                <a:rPr lang="en-US" sz="1100" b="0" i="0">
                  <a:latin typeface="Cambria Math"/>
                </a:rPr>
                <a:t>𝐴</a:t>
              </a:r>
              <a:r>
                <a:rPr lang="en-US" sz="1100" b="0" i="0" baseline="-25000">
                  <a:latin typeface="Cambria Math"/>
                </a:rPr>
                <a:t>𝑡𝑡𝑠)</a:t>
              </a:r>
              <a:r>
                <a:rPr lang="en-US" sz="1100" b="0" i="0">
                  <a:latin typeface="Cambria Math"/>
                </a:rPr>
                <a:t>𝑅</a:t>
              </a:r>
              <a:r>
                <a:rPr lang="en-US" sz="1100" b="0" i="0" baseline="-25000">
                  <a:latin typeface="Cambria Math"/>
                </a:rPr>
                <a:t>𝑖𝑛</a:t>
              </a:r>
              <a:r>
                <a:rPr lang="en-US" sz="1100" b="0" i="0">
                  <a:latin typeface="Cambria Math"/>
                </a:rPr>
                <a:t>+(1−𝐴</a:t>
              </a:r>
              <a:r>
                <a:rPr lang="en-US" sz="1100" b="0" i="0" baseline="-25000">
                  <a:latin typeface="Cambria Math"/>
                </a:rPr>
                <a:t>𝑖𝑛𝑝/</a:t>
              </a:r>
              <a:r>
                <a:rPr lang="en-US" sz="1100" b="0" i="0">
                  <a:latin typeface="Cambria Math"/>
                </a:rPr>
                <a:t>𝐴</a:t>
              </a:r>
              <a:r>
                <a:rPr lang="en-US" sz="1100" b="0" i="0" baseline="-25000">
                  <a:latin typeface="Cambria Math"/>
                </a:rPr>
                <a:t>𝑡𝑡𝑠) )</a:t>
              </a:r>
              <a:endParaRPr lang="en-US" sz="1100"/>
            </a:p>
          </xdr:txBody>
        </xdr:sp>
      </mc:Fallback>
    </mc:AlternateContent>
    <xdr:clientData/>
  </xdr:oneCellAnchor>
  <xdr:oneCellAnchor>
    <xdr:from>
      <xdr:col>11</xdr:col>
      <xdr:colOff>4761</xdr:colOff>
      <xdr:row>47</xdr:row>
      <xdr:rowOff>95250</xdr:rowOff>
    </xdr:from>
    <xdr:ext cx="1048591" cy="666750"/>
    <mc:AlternateContent xmlns:mc="http://schemas.openxmlformats.org/markup-compatibility/2006" xmlns:a14="http://schemas.microsoft.com/office/drawing/2010/main">
      <mc:Choice Requires="a14">
        <xdr:sp macro="" textlink="">
          <xdr:nvSpPr>
            <xdr:cNvPr id="9" name="TextBox 8"/>
            <xdr:cNvSpPr txBox="1"/>
          </xdr:nvSpPr>
          <xdr:spPr>
            <a:xfrm>
              <a:off x="5977496" y="7771279"/>
              <a:ext cx="1048591" cy="666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noAutofit/>
            </a:bodyPr>
            <a:lstStyle/>
            <a:p>
              <a:pPr/>
              <a14:m>
                <m:oMathPara xmlns:m="http://schemas.openxmlformats.org/officeDocument/2006/math">
                  <m:oMathParaPr>
                    <m:jc m:val="centerGroup"/>
                  </m:oMathParaPr>
                  <m:oMath xmlns:m="http://schemas.openxmlformats.org/officeDocument/2006/math">
                    <m:borderBox>
                      <m:borderBoxPr>
                        <m:ctrlPr>
                          <a:rPr lang="en-US" sz="1100" i="1">
                            <a:latin typeface="Cambria Math" panose="02040503050406030204" pitchFamily="18" charset="0"/>
                          </a:rPr>
                        </m:ctrlPr>
                      </m:borderBoxPr>
                      <m:e>
                        <m:r>
                          <a:rPr lang="en-US" sz="1100" b="0" i="1">
                            <a:solidFill>
                              <a:schemeClr val="tx1"/>
                            </a:solidFill>
                            <a:effectLst/>
                            <a:latin typeface="Cambria Math"/>
                            <a:ea typeface="+mn-ea"/>
                            <a:cs typeface="+mn-cs"/>
                          </a:rPr>
                          <m:t>𝑅</m:t>
                        </m:r>
                        <m:r>
                          <a:rPr lang="en-US" sz="1100" b="0" i="1" baseline="-25000">
                            <a:solidFill>
                              <a:schemeClr val="tx1"/>
                            </a:solidFill>
                            <a:effectLst/>
                            <a:latin typeface="Cambria Math"/>
                            <a:ea typeface="+mn-ea"/>
                            <a:cs typeface="+mn-cs"/>
                          </a:rPr>
                          <m:t>𝑖𝑛</m:t>
                        </m:r>
                        <m:r>
                          <m:rPr>
                            <m:nor/>
                          </m:rPr>
                          <a:rPr lang="en-US" sz="1100" baseline="-25000">
                            <a:solidFill>
                              <a:schemeClr val="tx1"/>
                            </a:solidFill>
                            <a:effectLst/>
                            <a:latin typeface="+mn-lt"/>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1</m:t>
                            </m:r>
                          </m:num>
                          <m:den>
                            <m:r>
                              <a:rPr lang="en-US" sz="1100" b="0" i="1">
                                <a:solidFill>
                                  <a:schemeClr val="tx1"/>
                                </a:solidFill>
                                <a:effectLst/>
                                <a:latin typeface="Cambria Math"/>
                                <a:ea typeface="+mn-ea"/>
                                <a:cs typeface="+mn-cs"/>
                              </a:rPr>
                              <m:t>1+</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h𝐼</m:t>
                                </m:r>
                                <m:r>
                                  <a:rPr lang="en-US" sz="1100" b="0" i="1" baseline="-25000">
                                    <a:solidFill>
                                      <a:schemeClr val="tx1"/>
                                    </a:solidFill>
                                    <a:effectLst/>
                                    <a:latin typeface="Cambria Math"/>
                                    <a:ea typeface="+mn-ea"/>
                                    <a:cs typeface="+mn-cs"/>
                                  </a:rPr>
                                  <m:t>𝑖𝑛</m:t>
                                </m:r>
                              </m:num>
                              <m:den>
                                <m:r>
                                  <a:rPr lang="en-US" sz="1100" b="0" i="1">
                                    <a:solidFill>
                                      <a:schemeClr val="tx1"/>
                                    </a:solidFill>
                                    <a:effectLst/>
                                    <a:latin typeface="Cambria Math"/>
                                    <a:ea typeface="+mn-ea"/>
                                    <a:cs typeface="+mn-cs"/>
                                  </a:rPr>
                                  <m:t>𝜆</m:t>
                                </m:r>
                                <m:r>
                                  <a:rPr lang="en-US" sz="1100" b="0" i="1" baseline="-25000">
                                    <a:solidFill>
                                      <a:schemeClr val="tx1"/>
                                    </a:solidFill>
                                    <a:effectLst/>
                                    <a:latin typeface="Cambria Math"/>
                                    <a:ea typeface="+mn-ea"/>
                                    <a:cs typeface="+mn-cs"/>
                                  </a:rPr>
                                  <m:t>𝑖𝑛</m:t>
                                </m:r>
                              </m:den>
                            </m:f>
                          </m:den>
                        </m:f>
                        <m:r>
                          <m:rPr>
                            <m:nor/>
                          </m:rPr>
                          <a:rPr lang="en-US">
                            <a:effectLst/>
                          </a:rPr>
                          <m:t> </m:t>
                        </m:r>
                      </m:e>
                    </m:borderBox>
                  </m:oMath>
                </m:oMathPara>
              </a14:m>
              <a:endParaRPr lang="en-US" sz="1100"/>
            </a:p>
          </xdr:txBody>
        </xdr:sp>
      </mc:Choice>
      <mc:Fallback xmlns="">
        <xdr:sp macro="" textlink="">
          <xdr:nvSpPr>
            <xdr:cNvPr id="9" name="TextBox 8"/>
            <xdr:cNvSpPr txBox="1"/>
          </xdr:nvSpPr>
          <xdr:spPr>
            <a:xfrm>
              <a:off x="5977496" y="7771279"/>
              <a:ext cx="1048591" cy="666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noAutofit/>
            </a:bodyPr>
            <a:lstStyle/>
            <a:p>
              <a:pPr/>
              <a:r>
                <a:rPr lang="en-US" sz="1100" i="0">
                  <a:latin typeface="Cambria Math"/>
                </a:rPr>
                <a:t>▭(</a:t>
              </a:r>
              <a:r>
                <a:rPr lang="en-US" sz="1100" b="0" i="0">
                  <a:solidFill>
                    <a:schemeClr val="tx1"/>
                  </a:solidFill>
                  <a:effectLst/>
                  <a:latin typeface="Cambria Math"/>
                  <a:ea typeface="+mn-ea"/>
                  <a:cs typeface="+mn-cs"/>
                </a:rPr>
                <a:t>𝑅</a:t>
              </a:r>
              <a:r>
                <a:rPr lang="en-US" sz="1100" b="0" i="0" baseline="-25000">
                  <a:solidFill>
                    <a:schemeClr val="tx1"/>
                  </a:solidFill>
                  <a:effectLst/>
                  <a:latin typeface="Cambria Math"/>
                  <a:ea typeface="+mn-ea"/>
                  <a:cs typeface="+mn-cs"/>
                </a:rPr>
                <a:t>𝑖𝑛</a:t>
              </a:r>
              <a:r>
                <a:rPr lang="en-US" sz="1100" b="0" i="0" baseline="-25000">
                  <a:solidFill>
                    <a:schemeClr val="tx1"/>
                  </a:solidFill>
                  <a:effectLst/>
                  <a:latin typeface="+mn-lt"/>
                  <a:ea typeface="+mn-ea"/>
                  <a:cs typeface="+mn-cs"/>
                </a:rPr>
                <a:t>"</a:t>
              </a:r>
              <a:r>
                <a:rPr lang="en-US" sz="1100" i="0" baseline="-25000">
                  <a:solidFill>
                    <a:schemeClr val="tx1"/>
                  </a:solidFill>
                  <a:effectLst/>
                  <a:latin typeface="+mn-lt"/>
                  <a:ea typeface="+mn-ea"/>
                  <a:cs typeface="+mn-cs"/>
                </a:rPr>
                <a:t>=</a:t>
              </a:r>
              <a:r>
                <a:rPr lang="en-US" sz="1100" b="0" i="0" baseline="-25000">
                  <a:solidFill>
                    <a:schemeClr val="tx1"/>
                  </a:solidFill>
                  <a:effectLst/>
                  <a:latin typeface="Cambria Math"/>
                  <a:ea typeface="+mn-ea"/>
                  <a:cs typeface="+mn-cs"/>
                </a:rPr>
                <a:t>"  </a:t>
              </a:r>
              <a:r>
                <a:rPr lang="en-US" sz="1100" b="0" i="0">
                  <a:solidFill>
                    <a:schemeClr val="tx1"/>
                  </a:solidFill>
                  <a:effectLst/>
                  <a:latin typeface="Cambria Math"/>
                  <a:ea typeface="+mn-ea"/>
                  <a:cs typeface="+mn-cs"/>
                </a:rPr>
                <a:t>1/(1+ℎ𝐼</a:t>
              </a:r>
              <a:r>
                <a:rPr lang="en-US" sz="1100" b="0" i="0" baseline="-25000">
                  <a:solidFill>
                    <a:schemeClr val="tx1"/>
                  </a:solidFill>
                  <a:effectLst/>
                  <a:latin typeface="Cambria Math"/>
                  <a:ea typeface="+mn-ea"/>
                  <a:cs typeface="+mn-cs"/>
                </a:rPr>
                <a:t>𝑖𝑛/</a:t>
              </a:r>
              <a:r>
                <a:rPr lang="en-US" sz="1100" b="0" i="0">
                  <a:solidFill>
                    <a:schemeClr val="tx1"/>
                  </a:solidFill>
                  <a:effectLst/>
                  <a:latin typeface="Cambria Math"/>
                  <a:ea typeface="+mn-ea"/>
                  <a:cs typeface="+mn-cs"/>
                </a:rPr>
                <a:t>𝜆</a:t>
              </a:r>
              <a:r>
                <a:rPr lang="en-US" sz="1100" b="0" i="0" baseline="-25000">
                  <a:solidFill>
                    <a:schemeClr val="tx1"/>
                  </a:solidFill>
                  <a:effectLst/>
                  <a:latin typeface="Cambria Math"/>
                  <a:ea typeface="+mn-ea"/>
                  <a:cs typeface="+mn-cs"/>
                </a:rPr>
                <a:t>𝑖𝑛) "</a:t>
              </a:r>
              <a:r>
                <a:rPr lang="en-US" i="0">
                  <a:effectLst/>
                </a:rPr>
                <a:t> </a:t>
              </a:r>
              <a:r>
                <a:rPr lang="en-US" i="0">
                  <a:effectLst/>
                  <a:latin typeface="Cambria Math"/>
                </a:rPr>
                <a:t>" </a:t>
              </a:r>
              <a:r>
                <a:rPr lang="en-US" sz="1100" i="0">
                  <a:effectLst/>
                  <a:latin typeface="Cambria Math"/>
                </a:rPr>
                <a:t>)</a:t>
              </a:r>
              <a:endParaRPr lang="en-US" sz="1100"/>
            </a:p>
          </xdr:txBody>
        </xdr:sp>
      </mc:Fallback>
    </mc:AlternateContent>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rishnH\Desktop\DESKTOP\PSV-2008-03-Unprotected-No%20Logo-Not%20Upto%20Dat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PI2000%20Calculation_Valid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1"/>
      <sheetName val="DES-2"/>
      <sheetName val="TOC"/>
      <sheetName val="Rev-Rec"/>
      <sheetName val="ISA-PSV"/>
      <sheetName val="ISA-RD"/>
      <sheetName val="Summary"/>
      <sheetName val="Cont (1)"/>
      <sheetName val="Cont (2)"/>
      <sheetName val="Cont (3)"/>
      <sheetName val="Tube Failure"/>
      <sheetName val="2-Phase Tube Failure"/>
      <sheetName val="CV-Vapor"/>
      <sheetName val="CV-Liquid"/>
      <sheetName val="Thermal"/>
      <sheetName val="Fire 1"/>
      <sheetName val="Fire 2"/>
      <sheetName val="Fire 3"/>
      <sheetName val="Fire Vap-Exp"/>
      <sheetName val="Fire-Ent"/>
      <sheetName val="Two Phase (HEM)"/>
      <sheetName val="SD Cont 1"/>
      <sheetName val="SD Cont 2"/>
      <sheetName val="SD Cont 3"/>
      <sheetName val="In-Out Line"/>
      <sheetName val="Simulation 1"/>
      <sheetName val="Simulation 2"/>
      <sheetName val="Simulation 3"/>
      <sheetName val="Change Record"/>
      <sheetName val="Pipe Size"/>
      <sheetName val="2K Table"/>
      <sheetName val="Sizing"/>
      <sheetName val="Conversion"/>
    </sheetNames>
    <sheetDataSet>
      <sheetData sheetId="0">
        <row r="6">
          <cell r="C6" t="str">
            <v>A-1</v>
          </cell>
        </row>
        <row r="22">
          <cell r="D22" t="str">
            <v>psig</v>
          </cell>
        </row>
      </sheetData>
      <sheetData sheetId="1"/>
      <sheetData sheetId="2"/>
      <sheetData sheetId="3"/>
      <sheetData sheetId="4">
        <row r="19">
          <cell r="F19">
            <v>6</v>
          </cell>
        </row>
      </sheetData>
      <sheetData sheetId="5">
        <row r="14">
          <cell r="I14">
            <v>24</v>
          </cell>
        </row>
      </sheetData>
      <sheetData sheetId="6"/>
      <sheetData sheetId="7"/>
      <sheetData sheetId="8"/>
      <sheetData sheetId="9"/>
      <sheetData sheetId="10">
        <row r="21">
          <cell r="O21">
            <v>450</v>
          </cell>
        </row>
      </sheetData>
      <sheetData sheetId="11">
        <row r="16">
          <cell r="M16">
            <v>19.305325442971036</v>
          </cell>
        </row>
      </sheetData>
      <sheetData sheetId="12">
        <row r="15">
          <cell r="L15">
            <v>70306.805290519056</v>
          </cell>
        </row>
      </sheetData>
      <sheetData sheetId="13"/>
      <sheetData sheetId="14"/>
      <sheetData sheetId="15"/>
      <sheetData sheetId="16"/>
      <sheetData sheetId="17">
        <row r="20">
          <cell r="J20">
            <v>3.6575998829568039</v>
          </cell>
        </row>
      </sheetData>
      <sheetData sheetId="18">
        <row r="18">
          <cell r="J18">
            <v>4.5719998536960045</v>
          </cell>
        </row>
      </sheetData>
      <sheetData sheetId="19"/>
      <sheetData sheetId="20">
        <row r="16">
          <cell r="L16">
            <v>14.603099745790233</v>
          </cell>
        </row>
      </sheetData>
      <sheetData sheetId="21"/>
      <sheetData sheetId="22"/>
      <sheetData sheetId="23"/>
      <sheetData sheetId="24">
        <row r="13">
          <cell r="F13">
            <v>5.9999999999999941E-3</v>
          </cell>
        </row>
      </sheetData>
      <sheetData sheetId="25"/>
      <sheetData sheetId="26"/>
      <sheetData sheetId="27"/>
      <sheetData sheetId="28"/>
      <sheetData sheetId="29">
        <row r="2">
          <cell r="C2" t="str">
            <v>5S</v>
          </cell>
        </row>
      </sheetData>
      <sheetData sheetId="30"/>
      <sheetData sheetId="31">
        <row r="11">
          <cell r="AG11">
            <v>4.0000000000000002E-4</v>
          </cell>
        </row>
      </sheetData>
      <sheetData sheetId="32">
        <row r="4">
          <cell r="C4">
            <v>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Summary"/>
      <sheetName val="API 2000 Calculation"/>
      <sheetName val="TK Drain"/>
      <sheetName val="Inlet Blanketting Failure"/>
      <sheetName val="Steam Coil Rupture"/>
      <sheetName val="Drain Pipe Rupture"/>
      <sheetName val="Calculation Basis"/>
      <sheetName val="References"/>
      <sheetName val="Program Revisions"/>
    </sheetNames>
    <sheetDataSet>
      <sheetData sheetId="0">
        <row r="6">
          <cell r="E6" t="str">
            <v>A</v>
          </cell>
        </row>
        <row r="8">
          <cell r="E8" t="str">
            <v>Flint Hills Resources</v>
          </cell>
        </row>
        <row r="9">
          <cell r="E9" t="str">
            <v>EDCP</v>
          </cell>
        </row>
        <row r="12">
          <cell r="E12" t="str">
            <v>NRB</v>
          </cell>
        </row>
        <row r="13">
          <cell r="E13">
            <v>41813</v>
          </cell>
        </row>
        <row r="16">
          <cell r="E16" t="str">
            <v>Corpus Christi, TX</v>
          </cell>
        </row>
        <row r="17">
          <cell r="E17" t="str">
            <v>Crude #3</v>
          </cell>
        </row>
        <row r="21">
          <cell r="F21" t="str">
            <v>psia</v>
          </cell>
        </row>
        <row r="30">
          <cell r="C30" t="str">
            <v>High Pressure KO Drum</v>
          </cell>
          <cell r="D30" t="str">
            <v>84V-11</v>
          </cell>
        </row>
      </sheetData>
      <sheetData sheetId="1"/>
      <sheetData sheetId="2" refreshError="1"/>
      <sheetData sheetId="3"/>
      <sheetData sheetId="4"/>
      <sheetData sheetId="5" refreshError="1"/>
      <sheetData sheetId="6"/>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269"/>
  <sheetViews>
    <sheetView showGridLines="0" tabSelected="1" view="pageBreakPreview" zoomScale="85" zoomScaleNormal="85" zoomScaleSheetLayoutView="85" workbookViewId="0">
      <selection activeCell="L32" sqref="L32"/>
    </sheetView>
  </sheetViews>
  <sheetFormatPr defaultRowHeight="12.75"/>
  <cols>
    <col min="1" max="1" width="2.85546875" style="32" customWidth="1"/>
    <col min="2" max="2" width="3.5703125" style="32" bestFit="1" customWidth="1"/>
    <col min="3" max="3" width="27.85546875" style="32" customWidth="1"/>
    <col min="4" max="4" width="16.85546875" style="32" customWidth="1"/>
    <col min="5" max="5" width="13.42578125" style="32" customWidth="1"/>
    <col min="6" max="7" width="11.7109375" style="32" customWidth="1"/>
    <col min="8" max="8" width="13.140625" style="32" customWidth="1"/>
    <col min="9" max="10" width="11.7109375" style="32" customWidth="1"/>
    <col min="11" max="11" width="13" style="32" customWidth="1"/>
    <col min="12" max="12" width="13.5703125" style="32" customWidth="1"/>
    <col min="13" max="13" width="11.7109375" style="39" customWidth="1"/>
    <col min="14" max="26" width="9.140625" style="32"/>
    <col min="27" max="27" width="13.85546875" style="32" customWidth="1"/>
    <col min="28" max="28" width="9.7109375" style="32" customWidth="1"/>
    <col min="29" max="29" width="9" style="32" customWidth="1"/>
    <col min="30" max="32" width="8" style="32" customWidth="1"/>
    <col min="33" max="33" width="11.5703125" style="32" customWidth="1"/>
    <col min="34" max="36" width="8" style="32" customWidth="1"/>
    <col min="37" max="37" width="9" style="32" customWidth="1"/>
    <col min="38" max="38" width="8" style="32" customWidth="1"/>
    <col min="39" max="39" width="9.42578125" style="32" customWidth="1"/>
    <col min="40" max="40" width="8" style="32" customWidth="1"/>
    <col min="41" max="41" width="10.5703125" style="32" customWidth="1"/>
    <col min="42" max="46" width="8" style="32" customWidth="1"/>
    <col min="47" max="47" width="10" style="32" customWidth="1"/>
    <col min="48" max="52" width="8" style="32" customWidth="1"/>
    <col min="53" max="53" width="10.7109375" style="32" customWidth="1"/>
    <col min="54" max="54" width="8" style="32" customWidth="1"/>
    <col min="55" max="55" width="11.28515625" style="32" customWidth="1"/>
    <col min="56" max="56" width="8" style="32" customWidth="1"/>
    <col min="57" max="57" width="10" style="32" customWidth="1"/>
    <col min="58" max="62" width="8" style="32" customWidth="1"/>
    <col min="63" max="63" width="10.85546875" style="32" customWidth="1"/>
    <col min="64" max="64" width="8" style="32" customWidth="1"/>
    <col min="65" max="65" width="11.42578125" style="32" customWidth="1"/>
    <col min="66" max="72" width="8" style="32" customWidth="1"/>
    <col min="73" max="73" width="8.42578125" style="32" customWidth="1"/>
    <col min="74" max="76" width="8" style="32" customWidth="1"/>
    <col min="77" max="77" width="10" style="32" customWidth="1"/>
    <col min="78" max="78" width="8" style="32" customWidth="1"/>
    <col min="79" max="79" width="10.28515625" style="32" customWidth="1"/>
    <col min="80" max="80" width="9.140625" style="32" customWidth="1"/>
    <col min="81" max="256" width="9.140625" style="32"/>
    <col min="257" max="257" width="2.85546875" style="32" customWidth="1"/>
    <col min="258" max="258" width="3.5703125" style="32" bestFit="1" customWidth="1"/>
    <col min="259" max="259" width="4.7109375" style="32" customWidth="1"/>
    <col min="260" max="260" width="30.7109375" style="32" customWidth="1"/>
    <col min="261" max="261" width="16.7109375" style="32" customWidth="1"/>
    <col min="262" max="268" width="11.7109375" style="32" customWidth="1"/>
    <col min="269" max="269" width="3.28515625" style="32" customWidth="1"/>
    <col min="270" max="282" width="9.140625" style="32"/>
    <col min="283" max="336" width="0" style="32" hidden="1" customWidth="1"/>
    <col min="337" max="512" width="9.140625" style="32"/>
    <col min="513" max="513" width="2.85546875" style="32" customWidth="1"/>
    <col min="514" max="514" width="3.5703125" style="32" bestFit="1" customWidth="1"/>
    <col min="515" max="515" width="4.7109375" style="32" customWidth="1"/>
    <col min="516" max="516" width="30.7109375" style="32" customWidth="1"/>
    <col min="517" max="517" width="16.7109375" style="32" customWidth="1"/>
    <col min="518" max="524" width="11.7109375" style="32" customWidth="1"/>
    <col min="525" max="525" width="3.28515625" style="32" customWidth="1"/>
    <col min="526" max="538" width="9.140625" style="32"/>
    <col min="539" max="592" width="0" style="32" hidden="1" customWidth="1"/>
    <col min="593" max="768" width="9.140625" style="32"/>
    <col min="769" max="769" width="2.85546875" style="32" customWidth="1"/>
    <col min="770" max="770" width="3.5703125" style="32" bestFit="1" customWidth="1"/>
    <col min="771" max="771" width="4.7109375" style="32" customWidth="1"/>
    <col min="772" max="772" width="30.7109375" style="32" customWidth="1"/>
    <col min="773" max="773" width="16.7109375" style="32" customWidth="1"/>
    <col min="774" max="780" width="11.7109375" style="32" customWidth="1"/>
    <col min="781" max="781" width="3.28515625" style="32" customWidth="1"/>
    <col min="782" max="794" width="9.140625" style="32"/>
    <col min="795" max="848" width="0" style="32" hidden="1" customWidth="1"/>
    <col min="849" max="1024" width="9.140625" style="32"/>
    <col min="1025" max="1025" width="2.85546875" style="32" customWidth="1"/>
    <col min="1026" max="1026" width="3.5703125" style="32" bestFit="1" customWidth="1"/>
    <col min="1027" max="1027" width="4.7109375" style="32" customWidth="1"/>
    <col min="1028" max="1028" width="30.7109375" style="32" customWidth="1"/>
    <col min="1029" max="1029" width="16.7109375" style="32" customWidth="1"/>
    <col min="1030" max="1036" width="11.7109375" style="32" customWidth="1"/>
    <col min="1037" max="1037" width="3.28515625" style="32" customWidth="1"/>
    <col min="1038" max="1050" width="9.140625" style="32"/>
    <col min="1051" max="1104" width="0" style="32" hidden="1" customWidth="1"/>
    <col min="1105" max="1280" width="9.140625" style="32"/>
    <col min="1281" max="1281" width="2.85546875" style="32" customWidth="1"/>
    <col min="1282" max="1282" width="3.5703125" style="32" bestFit="1" customWidth="1"/>
    <col min="1283" max="1283" width="4.7109375" style="32" customWidth="1"/>
    <col min="1284" max="1284" width="30.7109375" style="32" customWidth="1"/>
    <col min="1285" max="1285" width="16.7109375" style="32" customWidth="1"/>
    <col min="1286" max="1292" width="11.7109375" style="32" customWidth="1"/>
    <col min="1293" max="1293" width="3.28515625" style="32" customWidth="1"/>
    <col min="1294" max="1306" width="9.140625" style="32"/>
    <col min="1307" max="1360" width="0" style="32" hidden="1" customWidth="1"/>
    <col min="1361" max="1536" width="9.140625" style="32"/>
    <col min="1537" max="1537" width="2.85546875" style="32" customWidth="1"/>
    <col min="1538" max="1538" width="3.5703125" style="32" bestFit="1" customWidth="1"/>
    <col min="1539" max="1539" width="4.7109375" style="32" customWidth="1"/>
    <col min="1540" max="1540" width="30.7109375" style="32" customWidth="1"/>
    <col min="1541" max="1541" width="16.7109375" style="32" customWidth="1"/>
    <col min="1542" max="1548" width="11.7109375" style="32" customWidth="1"/>
    <col min="1549" max="1549" width="3.28515625" style="32" customWidth="1"/>
    <col min="1550" max="1562" width="9.140625" style="32"/>
    <col min="1563" max="1616" width="0" style="32" hidden="1" customWidth="1"/>
    <col min="1617" max="1792" width="9.140625" style="32"/>
    <col min="1793" max="1793" width="2.85546875" style="32" customWidth="1"/>
    <col min="1794" max="1794" width="3.5703125" style="32" bestFit="1" customWidth="1"/>
    <col min="1795" max="1795" width="4.7109375" style="32" customWidth="1"/>
    <col min="1796" max="1796" width="30.7109375" style="32" customWidth="1"/>
    <col min="1797" max="1797" width="16.7109375" style="32" customWidth="1"/>
    <col min="1798" max="1804" width="11.7109375" style="32" customWidth="1"/>
    <col min="1805" max="1805" width="3.28515625" style="32" customWidth="1"/>
    <col min="1806" max="1818" width="9.140625" style="32"/>
    <col min="1819" max="1872" width="0" style="32" hidden="1" customWidth="1"/>
    <col min="1873" max="2048" width="9.140625" style="32"/>
    <col min="2049" max="2049" width="2.85546875" style="32" customWidth="1"/>
    <col min="2050" max="2050" width="3.5703125" style="32" bestFit="1" customWidth="1"/>
    <col min="2051" max="2051" width="4.7109375" style="32" customWidth="1"/>
    <col min="2052" max="2052" width="30.7109375" style="32" customWidth="1"/>
    <col min="2053" max="2053" width="16.7109375" style="32" customWidth="1"/>
    <col min="2054" max="2060" width="11.7109375" style="32" customWidth="1"/>
    <col min="2061" max="2061" width="3.28515625" style="32" customWidth="1"/>
    <col min="2062" max="2074" width="9.140625" style="32"/>
    <col min="2075" max="2128" width="0" style="32" hidden="1" customWidth="1"/>
    <col min="2129" max="2304" width="9.140625" style="32"/>
    <col min="2305" max="2305" width="2.85546875" style="32" customWidth="1"/>
    <col min="2306" max="2306" width="3.5703125" style="32" bestFit="1" customWidth="1"/>
    <col min="2307" max="2307" width="4.7109375" style="32" customWidth="1"/>
    <col min="2308" max="2308" width="30.7109375" style="32" customWidth="1"/>
    <col min="2309" max="2309" width="16.7109375" style="32" customWidth="1"/>
    <col min="2310" max="2316" width="11.7109375" style="32" customWidth="1"/>
    <col min="2317" max="2317" width="3.28515625" style="32" customWidth="1"/>
    <col min="2318" max="2330" width="9.140625" style="32"/>
    <col min="2331" max="2384" width="0" style="32" hidden="1" customWidth="1"/>
    <col min="2385" max="2560" width="9.140625" style="32"/>
    <col min="2561" max="2561" width="2.85546875" style="32" customWidth="1"/>
    <col min="2562" max="2562" width="3.5703125" style="32" bestFit="1" customWidth="1"/>
    <col min="2563" max="2563" width="4.7109375" style="32" customWidth="1"/>
    <col min="2564" max="2564" width="30.7109375" style="32" customWidth="1"/>
    <col min="2565" max="2565" width="16.7109375" style="32" customWidth="1"/>
    <col min="2566" max="2572" width="11.7109375" style="32" customWidth="1"/>
    <col min="2573" max="2573" width="3.28515625" style="32" customWidth="1"/>
    <col min="2574" max="2586" width="9.140625" style="32"/>
    <col min="2587" max="2640" width="0" style="32" hidden="1" customWidth="1"/>
    <col min="2641" max="2816" width="9.140625" style="32"/>
    <col min="2817" max="2817" width="2.85546875" style="32" customWidth="1"/>
    <col min="2818" max="2818" width="3.5703125" style="32" bestFit="1" customWidth="1"/>
    <col min="2819" max="2819" width="4.7109375" style="32" customWidth="1"/>
    <col min="2820" max="2820" width="30.7109375" style="32" customWidth="1"/>
    <col min="2821" max="2821" width="16.7109375" style="32" customWidth="1"/>
    <col min="2822" max="2828" width="11.7109375" style="32" customWidth="1"/>
    <col min="2829" max="2829" width="3.28515625" style="32" customWidth="1"/>
    <col min="2830" max="2842" width="9.140625" style="32"/>
    <col min="2843" max="2896" width="0" style="32" hidden="1" customWidth="1"/>
    <col min="2897" max="3072" width="9.140625" style="32"/>
    <col min="3073" max="3073" width="2.85546875" style="32" customWidth="1"/>
    <col min="3074" max="3074" width="3.5703125" style="32" bestFit="1" customWidth="1"/>
    <col min="3075" max="3075" width="4.7109375" style="32" customWidth="1"/>
    <col min="3076" max="3076" width="30.7109375" style="32" customWidth="1"/>
    <col min="3077" max="3077" width="16.7109375" style="32" customWidth="1"/>
    <col min="3078" max="3084" width="11.7109375" style="32" customWidth="1"/>
    <col min="3085" max="3085" width="3.28515625" style="32" customWidth="1"/>
    <col min="3086" max="3098" width="9.140625" style="32"/>
    <col min="3099" max="3152" width="0" style="32" hidden="1" customWidth="1"/>
    <col min="3153" max="3328" width="9.140625" style="32"/>
    <col min="3329" max="3329" width="2.85546875" style="32" customWidth="1"/>
    <col min="3330" max="3330" width="3.5703125" style="32" bestFit="1" customWidth="1"/>
    <col min="3331" max="3331" width="4.7109375" style="32" customWidth="1"/>
    <col min="3332" max="3332" width="30.7109375" style="32" customWidth="1"/>
    <col min="3333" max="3333" width="16.7109375" style="32" customWidth="1"/>
    <col min="3334" max="3340" width="11.7109375" style="32" customWidth="1"/>
    <col min="3341" max="3341" width="3.28515625" style="32" customWidth="1"/>
    <col min="3342" max="3354" width="9.140625" style="32"/>
    <col min="3355" max="3408" width="0" style="32" hidden="1" customWidth="1"/>
    <col min="3409" max="3584" width="9.140625" style="32"/>
    <col min="3585" max="3585" width="2.85546875" style="32" customWidth="1"/>
    <col min="3586" max="3586" width="3.5703125" style="32" bestFit="1" customWidth="1"/>
    <col min="3587" max="3587" width="4.7109375" style="32" customWidth="1"/>
    <col min="3588" max="3588" width="30.7109375" style="32" customWidth="1"/>
    <col min="3589" max="3589" width="16.7109375" style="32" customWidth="1"/>
    <col min="3590" max="3596" width="11.7109375" style="32" customWidth="1"/>
    <col min="3597" max="3597" width="3.28515625" style="32" customWidth="1"/>
    <col min="3598" max="3610" width="9.140625" style="32"/>
    <col min="3611" max="3664" width="0" style="32" hidden="1" customWidth="1"/>
    <col min="3665" max="3840" width="9.140625" style="32"/>
    <col min="3841" max="3841" width="2.85546875" style="32" customWidth="1"/>
    <col min="3842" max="3842" width="3.5703125" style="32" bestFit="1" customWidth="1"/>
    <col min="3843" max="3843" width="4.7109375" style="32" customWidth="1"/>
    <col min="3844" max="3844" width="30.7109375" style="32" customWidth="1"/>
    <col min="3845" max="3845" width="16.7109375" style="32" customWidth="1"/>
    <col min="3846" max="3852" width="11.7109375" style="32" customWidth="1"/>
    <col min="3853" max="3853" width="3.28515625" style="32" customWidth="1"/>
    <col min="3854" max="3866" width="9.140625" style="32"/>
    <col min="3867" max="3920" width="0" style="32" hidden="1" customWidth="1"/>
    <col min="3921" max="4096" width="9.140625" style="32"/>
    <col min="4097" max="4097" width="2.85546875" style="32" customWidth="1"/>
    <col min="4098" max="4098" width="3.5703125" style="32" bestFit="1" customWidth="1"/>
    <col min="4099" max="4099" width="4.7109375" style="32" customWidth="1"/>
    <col min="4100" max="4100" width="30.7109375" style="32" customWidth="1"/>
    <col min="4101" max="4101" width="16.7109375" style="32" customWidth="1"/>
    <col min="4102" max="4108" width="11.7109375" style="32" customWidth="1"/>
    <col min="4109" max="4109" width="3.28515625" style="32" customWidth="1"/>
    <col min="4110" max="4122" width="9.140625" style="32"/>
    <col min="4123" max="4176" width="0" style="32" hidden="1" customWidth="1"/>
    <col min="4177" max="4352" width="9.140625" style="32"/>
    <col min="4353" max="4353" width="2.85546875" style="32" customWidth="1"/>
    <col min="4354" max="4354" width="3.5703125" style="32" bestFit="1" customWidth="1"/>
    <col min="4355" max="4355" width="4.7109375" style="32" customWidth="1"/>
    <col min="4356" max="4356" width="30.7109375" style="32" customWidth="1"/>
    <col min="4357" max="4357" width="16.7109375" style="32" customWidth="1"/>
    <col min="4358" max="4364" width="11.7109375" style="32" customWidth="1"/>
    <col min="4365" max="4365" width="3.28515625" style="32" customWidth="1"/>
    <col min="4366" max="4378" width="9.140625" style="32"/>
    <col min="4379" max="4432" width="0" style="32" hidden="1" customWidth="1"/>
    <col min="4433" max="4608" width="9.140625" style="32"/>
    <col min="4609" max="4609" width="2.85546875" style="32" customWidth="1"/>
    <col min="4610" max="4610" width="3.5703125" style="32" bestFit="1" customWidth="1"/>
    <col min="4611" max="4611" width="4.7109375" style="32" customWidth="1"/>
    <col min="4612" max="4612" width="30.7109375" style="32" customWidth="1"/>
    <col min="4613" max="4613" width="16.7109375" style="32" customWidth="1"/>
    <col min="4614" max="4620" width="11.7109375" style="32" customWidth="1"/>
    <col min="4621" max="4621" width="3.28515625" style="32" customWidth="1"/>
    <col min="4622" max="4634" width="9.140625" style="32"/>
    <col min="4635" max="4688" width="0" style="32" hidden="1" customWidth="1"/>
    <col min="4689" max="4864" width="9.140625" style="32"/>
    <col min="4865" max="4865" width="2.85546875" style="32" customWidth="1"/>
    <col min="4866" max="4866" width="3.5703125" style="32" bestFit="1" customWidth="1"/>
    <col min="4867" max="4867" width="4.7109375" style="32" customWidth="1"/>
    <col min="4868" max="4868" width="30.7109375" style="32" customWidth="1"/>
    <col min="4869" max="4869" width="16.7109375" style="32" customWidth="1"/>
    <col min="4870" max="4876" width="11.7109375" style="32" customWidth="1"/>
    <col min="4877" max="4877" width="3.28515625" style="32" customWidth="1"/>
    <col min="4878" max="4890" width="9.140625" style="32"/>
    <col min="4891" max="4944" width="0" style="32" hidden="1" customWidth="1"/>
    <col min="4945" max="5120" width="9.140625" style="32"/>
    <col min="5121" max="5121" width="2.85546875" style="32" customWidth="1"/>
    <col min="5122" max="5122" width="3.5703125" style="32" bestFit="1" customWidth="1"/>
    <col min="5123" max="5123" width="4.7109375" style="32" customWidth="1"/>
    <col min="5124" max="5124" width="30.7109375" style="32" customWidth="1"/>
    <col min="5125" max="5125" width="16.7109375" style="32" customWidth="1"/>
    <col min="5126" max="5132" width="11.7109375" style="32" customWidth="1"/>
    <col min="5133" max="5133" width="3.28515625" style="32" customWidth="1"/>
    <col min="5134" max="5146" width="9.140625" style="32"/>
    <col min="5147" max="5200" width="0" style="32" hidden="1" customWidth="1"/>
    <col min="5201" max="5376" width="9.140625" style="32"/>
    <col min="5377" max="5377" width="2.85546875" style="32" customWidth="1"/>
    <col min="5378" max="5378" width="3.5703125" style="32" bestFit="1" customWidth="1"/>
    <col min="5379" max="5379" width="4.7109375" style="32" customWidth="1"/>
    <col min="5380" max="5380" width="30.7109375" style="32" customWidth="1"/>
    <col min="5381" max="5381" width="16.7109375" style="32" customWidth="1"/>
    <col min="5382" max="5388" width="11.7109375" style="32" customWidth="1"/>
    <col min="5389" max="5389" width="3.28515625" style="32" customWidth="1"/>
    <col min="5390" max="5402" width="9.140625" style="32"/>
    <col min="5403" max="5456" width="0" style="32" hidden="1" customWidth="1"/>
    <col min="5457" max="5632" width="9.140625" style="32"/>
    <col min="5633" max="5633" width="2.85546875" style="32" customWidth="1"/>
    <col min="5634" max="5634" width="3.5703125" style="32" bestFit="1" customWidth="1"/>
    <col min="5635" max="5635" width="4.7109375" style="32" customWidth="1"/>
    <col min="5636" max="5636" width="30.7109375" style="32" customWidth="1"/>
    <col min="5637" max="5637" width="16.7109375" style="32" customWidth="1"/>
    <col min="5638" max="5644" width="11.7109375" style="32" customWidth="1"/>
    <col min="5645" max="5645" width="3.28515625" style="32" customWidth="1"/>
    <col min="5646" max="5658" width="9.140625" style="32"/>
    <col min="5659" max="5712" width="0" style="32" hidden="1" customWidth="1"/>
    <col min="5713" max="5888" width="9.140625" style="32"/>
    <col min="5889" max="5889" width="2.85546875" style="32" customWidth="1"/>
    <col min="5890" max="5890" width="3.5703125" style="32" bestFit="1" customWidth="1"/>
    <col min="5891" max="5891" width="4.7109375" style="32" customWidth="1"/>
    <col min="5892" max="5892" width="30.7109375" style="32" customWidth="1"/>
    <col min="5893" max="5893" width="16.7109375" style="32" customWidth="1"/>
    <col min="5894" max="5900" width="11.7109375" style="32" customWidth="1"/>
    <col min="5901" max="5901" width="3.28515625" style="32" customWidth="1"/>
    <col min="5902" max="5914" width="9.140625" style="32"/>
    <col min="5915" max="5968" width="0" style="32" hidden="1" customWidth="1"/>
    <col min="5969" max="6144" width="9.140625" style="32"/>
    <col min="6145" max="6145" width="2.85546875" style="32" customWidth="1"/>
    <col min="6146" max="6146" width="3.5703125" style="32" bestFit="1" customWidth="1"/>
    <col min="6147" max="6147" width="4.7109375" style="32" customWidth="1"/>
    <col min="6148" max="6148" width="30.7109375" style="32" customWidth="1"/>
    <col min="6149" max="6149" width="16.7109375" style="32" customWidth="1"/>
    <col min="6150" max="6156" width="11.7109375" style="32" customWidth="1"/>
    <col min="6157" max="6157" width="3.28515625" style="32" customWidth="1"/>
    <col min="6158" max="6170" width="9.140625" style="32"/>
    <col min="6171" max="6224" width="0" style="32" hidden="1" customWidth="1"/>
    <col min="6225" max="6400" width="9.140625" style="32"/>
    <col min="6401" max="6401" width="2.85546875" style="32" customWidth="1"/>
    <col min="6402" max="6402" width="3.5703125" style="32" bestFit="1" customWidth="1"/>
    <col min="6403" max="6403" width="4.7109375" style="32" customWidth="1"/>
    <col min="6404" max="6404" width="30.7109375" style="32" customWidth="1"/>
    <col min="6405" max="6405" width="16.7109375" style="32" customWidth="1"/>
    <col min="6406" max="6412" width="11.7109375" style="32" customWidth="1"/>
    <col min="6413" max="6413" width="3.28515625" style="32" customWidth="1"/>
    <col min="6414" max="6426" width="9.140625" style="32"/>
    <col min="6427" max="6480" width="0" style="32" hidden="1" customWidth="1"/>
    <col min="6481" max="6656" width="9.140625" style="32"/>
    <col min="6657" max="6657" width="2.85546875" style="32" customWidth="1"/>
    <col min="6658" max="6658" width="3.5703125" style="32" bestFit="1" customWidth="1"/>
    <col min="6659" max="6659" width="4.7109375" style="32" customWidth="1"/>
    <col min="6660" max="6660" width="30.7109375" style="32" customWidth="1"/>
    <col min="6661" max="6661" width="16.7109375" style="32" customWidth="1"/>
    <col min="6662" max="6668" width="11.7109375" style="32" customWidth="1"/>
    <col min="6669" max="6669" width="3.28515625" style="32" customWidth="1"/>
    <col min="6670" max="6682" width="9.140625" style="32"/>
    <col min="6683" max="6736" width="0" style="32" hidden="1" customWidth="1"/>
    <col min="6737" max="6912" width="9.140625" style="32"/>
    <col min="6913" max="6913" width="2.85546875" style="32" customWidth="1"/>
    <col min="6914" max="6914" width="3.5703125" style="32" bestFit="1" customWidth="1"/>
    <col min="6915" max="6915" width="4.7109375" style="32" customWidth="1"/>
    <col min="6916" max="6916" width="30.7109375" style="32" customWidth="1"/>
    <col min="6917" max="6917" width="16.7109375" style="32" customWidth="1"/>
    <col min="6918" max="6924" width="11.7109375" style="32" customWidth="1"/>
    <col min="6925" max="6925" width="3.28515625" style="32" customWidth="1"/>
    <col min="6926" max="6938" width="9.140625" style="32"/>
    <col min="6939" max="6992" width="0" style="32" hidden="1" customWidth="1"/>
    <col min="6993" max="7168" width="9.140625" style="32"/>
    <col min="7169" max="7169" width="2.85546875" style="32" customWidth="1"/>
    <col min="7170" max="7170" width="3.5703125" style="32" bestFit="1" customWidth="1"/>
    <col min="7171" max="7171" width="4.7109375" style="32" customWidth="1"/>
    <col min="7172" max="7172" width="30.7109375" style="32" customWidth="1"/>
    <col min="7173" max="7173" width="16.7109375" style="32" customWidth="1"/>
    <col min="7174" max="7180" width="11.7109375" style="32" customWidth="1"/>
    <col min="7181" max="7181" width="3.28515625" style="32" customWidth="1"/>
    <col min="7182" max="7194" width="9.140625" style="32"/>
    <col min="7195" max="7248" width="0" style="32" hidden="1" customWidth="1"/>
    <col min="7249" max="7424" width="9.140625" style="32"/>
    <col min="7425" max="7425" width="2.85546875" style="32" customWidth="1"/>
    <col min="7426" max="7426" width="3.5703125" style="32" bestFit="1" customWidth="1"/>
    <col min="7427" max="7427" width="4.7109375" style="32" customWidth="1"/>
    <col min="7428" max="7428" width="30.7109375" style="32" customWidth="1"/>
    <col min="7429" max="7429" width="16.7109375" style="32" customWidth="1"/>
    <col min="7430" max="7436" width="11.7109375" style="32" customWidth="1"/>
    <col min="7437" max="7437" width="3.28515625" style="32" customWidth="1"/>
    <col min="7438" max="7450" width="9.140625" style="32"/>
    <col min="7451" max="7504" width="0" style="32" hidden="1" customWidth="1"/>
    <col min="7505" max="7680" width="9.140625" style="32"/>
    <col min="7681" max="7681" width="2.85546875" style="32" customWidth="1"/>
    <col min="7682" max="7682" width="3.5703125" style="32" bestFit="1" customWidth="1"/>
    <col min="7683" max="7683" width="4.7109375" style="32" customWidth="1"/>
    <col min="7684" max="7684" width="30.7109375" style="32" customWidth="1"/>
    <col min="7685" max="7685" width="16.7109375" style="32" customWidth="1"/>
    <col min="7686" max="7692" width="11.7109375" style="32" customWidth="1"/>
    <col min="7693" max="7693" width="3.28515625" style="32" customWidth="1"/>
    <col min="7694" max="7706" width="9.140625" style="32"/>
    <col min="7707" max="7760" width="0" style="32" hidden="1" customWidth="1"/>
    <col min="7761" max="7936" width="9.140625" style="32"/>
    <col min="7937" max="7937" width="2.85546875" style="32" customWidth="1"/>
    <col min="7938" max="7938" width="3.5703125" style="32" bestFit="1" customWidth="1"/>
    <col min="7939" max="7939" width="4.7109375" style="32" customWidth="1"/>
    <col min="7940" max="7940" width="30.7109375" style="32" customWidth="1"/>
    <col min="7941" max="7941" width="16.7109375" style="32" customWidth="1"/>
    <col min="7942" max="7948" width="11.7109375" style="32" customWidth="1"/>
    <col min="7949" max="7949" width="3.28515625" style="32" customWidth="1"/>
    <col min="7950" max="7962" width="9.140625" style="32"/>
    <col min="7963" max="8016" width="0" style="32" hidden="1" customWidth="1"/>
    <col min="8017" max="8192" width="9.140625" style="32"/>
    <col min="8193" max="8193" width="2.85546875" style="32" customWidth="1"/>
    <col min="8194" max="8194" width="3.5703125" style="32" bestFit="1" customWidth="1"/>
    <col min="8195" max="8195" width="4.7109375" style="32" customWidth="1"/>
    <col min="8196" max="8196" width="30.7109375" style="32" customWidth="1"/>
    <col min="8197" max="8197" width="16.7109375" style="32" customWidth="1"/>
    <col min="8198" max="8204" width="11.7109375" style="32" customWidth="1"/>
    <col min="8205" max="8205" width="3.28515625" style="32" customWidth="1"/>
    <col min="8206" max="8218" width="9.140625" style="32"/>
    <col min="8219" max="8272" width="0" style="32" hidden="1" customWidth="1"/>
    <col min="8273" max="8448" width="9.140625" style="32"/>
    <col min="8449" max="8449" width="2.85546875" style="32" customWidth="1"/>
    <col min="8450" max="8450" width="3.5703125" style="32" bestFit="1" customWidth="1"/>
    <col min="8451" max="8451" width="4.7109375" style="32" customWidth="1"/>
    <col min="8452" max="8452" width="30.7109375" style="32" customWidth="1"/>
    <col min="8453" max="8453" width="16.7109375" style="32" customWidth="1"/>
    <col min="8454" max="8460" width="11.7109375" style="32" customWidth="1"/>
    <col min="8461" max="8461" width="3.28515625" style="32" customWidth="1"/>
    <col min="8462" max="8474" width="9.140625" style="32"/>
    <col min="8475" max="8528" width="0" style="32" hidden="1" customWidth="1"/>
    <col min="8529" max="8704" width="9.140625" style="32"/>
    <col min="8705" max="8705" width="2.85546875" style="32" customWidth="1"/>
    <col min="8706" max="8706" width="3.5703125" style="32" bestFit="1" customWidth="1"/>
    <col min="8707" max="8707" width="4.7109375" style="32" customWidth="1"/>
    <col min="8708" max="8708" width="30.7109375" style="32" customWidth="1"/>
    <col min="8709" max="8709" width="16.7109375" style="32" customWidth="1"/>
    <col min="8710" max="8716" width="11.7109375" style="32" customWidth="1"/>
    <col min="8717" max="8717" width="3.28515625" style="32" customWidth="1"/>
    <col min="8718" max="8730" width="9.140625" style="32"/>
    <col min="8731" max="8784" width="0" style="32" hidden="1" customWidth="1"/>
    <col min="8785" max="8960" width="9.140625" style="32"/>
    <col min="8961" max="8961" width="2.85546875" style="32" customWidth="1"/>
    <col min="8962" max="8962" width="3.5703125" style="32" bestFit="1" customWidth="1"/>
    <col min="8963" max="8963" width="4.7109375" style="32" customWidth="1"/>
    <col min="8964" max="8964" width="30.7109375" style="32" customWidth="1"/>
    <col min="8965" max="8965" width="16.7109375" style="32" customWidth="1"/>
    <col min="8966" max="8972" width="11.7109375" style="32" customWidth="1"/>
    <col min="8973" max="8973" width="3.28515625" style="32" customWidth="1"/>
    <col min="8974" max="8986" width="9.140625" style="32"/>
    <col min="8987" max="9040" width="0" style="32" hidden="1" customWidth="1"/>
    <col min="9041" max="9216" width="9.140625" style="32"/>
    <col min="9217" max="9217" width="2.85546875" style="32" customWidth="1"/>
    <col min="9218" max="9218" width="3.5703125" style="32" bestFit="1" customWidth="1"/>
    <col min="9219" max="9219" width="4.7109375" style="32" customWidth="1"/>
    <col min="9220" max="9220" width="30.7109375" style="32" customWidth="1"/>
    <col min="9221" max="9221" width="16.7109375" style="32" customWidth="1"/>
    <col min="9222" max="9228" width="11.7109375" style="32" customWidth="1"/>
    <col min="9229" max="9229" width="3.28515625" style="32" customWidth="1"/>
    <col min="9230" max="9242" width="9.140625" style="32"/>
    <col min="9243" max="9296" width="0" style="32" hidden="1" customWidth="1"/>
    <col min="9297" max="9472" width="9.140625" style="32"/>
    <col min="9473" max="9473" width="2.85546875" style="32" customWidth="1"/>
    <col min="9474" max="9474" width="3.5703125" style="32" bestFit="1" customWidth="1"/>
    <col min="9475" max="9475" width="4.7109375" style="32" customWidth="1"/>
    <col min="9476" max="9476" width="30.7109375" style="32" customWidth="1"/>
    <col min="9477" max="9477" width="16.7109375" style="32" customWidth="1"/>
    <col min="9478" max="9484" width="11.7109375" style="32" customWidth="1"/>
    <col min="9485" max="9485" width="3.28515625" style="32" customWidth="1"/>
    <col min="9486" max="9498" width="9.140625" style="32"/>
    <col min="9499" max="9552" width="0" style="32" hidden="1" customWidth="1"/>
    <col min="9553" max="9728" width="9.140625" style="32"/>
    <col min="9729" max="9729" width="2.85546875" style="32" customWidth="1"/>
    <col min="9730" max="9730" width="3.5703125" style="32" bestFit="1" customWidth="1"/>
    <col min="9731" max="9731" width="4.7109375" style="32" customWidth="1"/>
    <col min="9732" max="9732" width="30.7109375" style="32" customWidth="1"/>
    <col min="9733" max="9733" width="16.7109375" style="32" customWidth="1"/>
    <col min="9734" max="9740" width="11.7109375" style="32" customWidth="1"/>
    <col min="9741" max="9741" width="3.28515625" style="32" customWidth="1"/>
    <col min="9742" max="9754" width="9.140625" style="32"/>
    <col min="9755" max="9808" width="0" style="32" hidden="1" customWidth="1"/>
    <col min="9809" max="9984" width="9.140625" style="32"/>
    <col min="9985" max="9985" width="2.85546875" style="32" customWidth="1"/>
    <col min="9986" max="9986" width="3.5703125" style="32" bestFit="1" customWidth="1"/>
    <col min="9987" max="9987" width="4.7109375" style="32" customWidth="1"/>
    <col min="9988" max="9988" width="30.7109375" style="32" customWidth="1"/>
    <col min="9989" max="9989" width="16.7109375" style="32" customWidth="1"/>
    <col min="9990" max="9996" width="11.7109375" style="32" customWidth="1"/>
    <col min="9997" max="9997" width="3.28515625" style="32" customWidth="1"/>
    <col min="9998" max="10010" width="9.140625" style="32"/>
    <col min="10011" max="10064" width="0" style="32" hidden="1" customWidth="1"/>
    <col min="10065" max="10240" width="9.140625" style="32"/>
    <col min="10241" max="10241" width="2.85546875" style="32" customWidth="1"/>
    <col min="10242" max="10242" width="3.5703125" style="32" bestFit="1" customWidth="1"/>
    <col min="10243" max="10243" width="4.7109375" style="32" customWidth="1"/>
    <col min="10244" max="10244" width="30.7109375" style="32" customWidth="1"/>
    <col min="10245" max="10245" width="16.7109375" style="32" customWidth="1"/>
    <col min="10246" max="10252" width="11.7109375" style="32" customWidth="1"/>
    <col min="10253" max="10253" width="3.28515625" style="32" customWidth="1"/>
    <col min="10254" max="10266" width="9.140625" style="32"/>
    <col min="10267" max="10320" width="0" style="32" hidden="1" customWidth="1"/>
    <col min="10321" max="10496" width="9.140625" style="32"/>
    <col min="10497" max="10497" width="2.85546875" style="32" customWidth="1"/>
    <col min="10498" max="10498" width="3.5703125" style="32" bestFit="1" customWidth="1"/>
    <col min="10499" max="10499" width="4.7109375" style="32" customWidth="1"/>
    <col min="10500" max="10500" width="30.7109375" style="32" customWidth="1"/>
    <col min="10501" max="10501" width="16.7109375" style="32" customWidth="1"/>
    <col min="10502" max="10508" width="11.7109375" style="32" customWidth="1"/>
    <col min="10509" max="10509" width="3.28515625" style="32" customWidth="1"/>
    <col min="10510" max="10522" width="9.140625" style="32"/>
    <col min="10523" max="10576" width="0" style="32" hidden="1" customWidth="1"/>
    <col min="10577" max="10752" width="9.140625" style="32"/>
    <col min="10753" max="10753" width="2.85546875" style="32" customWidth="1"/>
    <col min="10754" max="10754" width="3.5703125" style="32" bestFit="1" customWidth="1"/>
    <col min="10755" max="10755" width="4.7109375" style="32" customWidth="1"/>
    <col min="10756" max="10756" width="30.7109375" style="32" customWidth="1"/>
    <col min="10757" max="10757" width="16.7109375" style="32" customWidth="1"/>
    <col min="10758" max="10764" width="11.7109375" style="32" customWidth="1"/>
    <col min="10765" max="10765" width="3.28515625" style="32" customWidth="1"/>
    <col min="10766" max="10778" width="9.140625" style="32"/>
    <col min="10779" max="10832" width="0" style="32" hidden="1" customWidth="1"/>
    <col min="10833" max="11008" width="9.140625" style="32"/>
    <col min="11009" max="11009" width="2.85546875" style="32" customWidth="1"/>
    <col min="11010" max="11010" width="3.5703125" style="32" bestFit="1" customWidth="1"/>
    <col min="11011" max="11011" width="4.7109375" style="32" customWidth="1"/>
    <col min="11012" max="11012" width="30.7109375" style="32" customWidth="1"/>
    <col min="11013" max="11013" width="16.7109375" style="32" customWidth="1"/>
    <col min="11014" max="11020" width="11.7109375" style="32" customWidth="1"/>
    <col min="11021" max="11021" width="3.28515625" style="32" customWidth="1"/>
    <col min="11022" max="11034" width="9.140625" style="32"/>
    <col min="11035" max="11088" width="0" style="32" hidden="1" customWidth="1"/>
    <col min="11089" max="11264" width="9.140625" style="32"/>
    <col min="11265" max="11265" width="2.85546875" style="32" customWidth="1"/>
    <col min="11266" max="11266" width="3.5703125" style="32" bestFit="1" customWidth="1"/>
    <col min="11267" max="11267" width="4.7109375" style="32" customWidth="1"/>
    <col min="11268" max="11268" width="30.7109375" style="32" customWidth="1"/>
    <col min="11269" max="11269" width="16.7109375" style="32" customWidth="1"/>
    <col min="11270" max="11276" width="11.7109375" style="32" customWidth="1"/>
    <col min="11277" max="11277" width="3.28515625" style="32" customWidth="1"/>
    <col min="11278" max="11290" width="9.140625" style="32"/>
    <col min="11291" max="11344" width="0" style="32" hidden="1" customWidth="1"/>
    <col min="11345" max="11520" width="9.140625" style="32"/>
    <col min="11521" max="11521" width="2.85546875" style="32" customWidth="1"/>
    <col min="11522" max="11522" width="3.5703125" style="32" bestFit="1" customWidth="1"/>
    <col min="11523" max="11523" width="4.7109375" style="32" customWidth="1"/>
    <col min="11524" max="11524" width="30.7109375" style="32" customWidth="1"/>
    <col min="11525" max="11525" width="16.7109375" style="32" customWidth="1"/>
    <col min="11526" max="11532" width="11.7109375" style="32" customWidth="1"/>
    <col min="11533" max="11533" width="3.28515625" style="32" customWidth="1"/>
    <col min="11534" max="11546" width="9.140625" style="32"/>
    <col min="11547" max="11600" width="0" style="32" hidden="1" customWidth="1"/>
    <col min="11601" max="11776" width="9.140625" style="32"/>
    <col min="11777" max="11777" width="2.85546875" style="32" customWidth="1"/>
    <col min="11778" max="11778" width="3.5703125" style="32" bestFit="1" customWidth="1"/>
    <col min="11779" max="11779" width="4.7109375" style="32" customWidth="1"/>
    <col min="11780" max="11780" width="30.7109375" style="32" customWidth="1"/>
    <col min="11781" max="11781" width="16.7109375" style="32" customWidth="1"/>
    <col min="11782" max="11788" width="11.7109375" style="32" customWidth="1"/>
    <col min="11789" max="11789" width="3.28515625" style="32" customWidth="1"/>
    <col min="11790" max="11802" width="9.140625" style="32"/>
    <col min="11803" max="11856" width="0" style="32" hidden="1" customWidth="1"/>
    <col min="11857" max="12032" width="9.140625" style="32"/>
    <col min="12033" max="12033" width="2.85546875" style="32" customWidth="1"/>
    <col min="12034" max="12034" width="3.5703125" style="32" bestFit="1" customWidth="1"/>
    <col min="12035" max="12035" width="4.7109375" style="32" customWidth="1"/>
    <col min="12036" max="12036" width="30.7109375" style="32" customWidth="1"/>
    <col min="12037" max="12037" width="16.7109375" style="32" customWidth="1"/>
    <col min="12038" max="12044" width="11.7109375" style="32" customWidth="1"/>
    <col min="12045" max="12045" width="3.28515625" style="32" customWidth="1"/>
    <col min="12046" max="12058" width="9.140625" style="32"/>
    <col min="12059" max="12112" width="0" style="32" hidden="1" customWidth="1"/>
    <col min="12113" max="12288" width="9.140625" style="32"/>
    <col min="12289" max="12289" width="2.85546875" style="32" customWidth="1"/>
    <col min="12290" max="12290" width="3.5703125" style="32" bestFit="1" customWidth="1"/>
    <col min="12291" max="12291" width="4.7109375" style="32" customWidth="1"/>
    <col min="12292" max="12292" width="30.7109375" style="32" customWidth="1"/>
    <col min="12293" max="12293" width="16.7109375" style="32" customWidth="1"/>
    <col min="12294" max="12300" width="11.7109375" style="32" customWidth="1"/>
    <col min="12301" max="12301" width="3.28515625" style="32" customWidth="1"/>
    <col min="12302" max="12314" width="9.140625" style="32"/>
    <col min="12315" max="12368" width="0" style="32" hidden="1" customWidth="1"/>
    <col min="12369" max="12544" width="9.140625" style="32"/>
    <col min="12545" max="12545" width="2.85546875" style="32" customWidth="1"/>
    <col min="12546" max="12546" width="3.5703125" style="32" bestFit="1" customWidth="1"/>
    <col min="12547" max="12547" width="4.7109375" style="32" customWidth="1"/>
    <col min="12548" max="12548" width="30.7109375" style="32" customWidth="1"/>
    <col min="12549" max="12549" width="16.7109375" style="32" customWidth="1"/>
    <col min="12550" max="12556" width="11.7109375" style="32" customWidth="1"/>
    <col min="12557" max="12557" width="3.28515625" style="32" customWidth="1"/>
    <col min="12558" max="12570" width="9.140625" style="32"/>
    <col min="12571" max="12624" width="0" style="32" hidden="1" customWidth="1"/>
    <col min="12625" max="12800" width="9.140625" style="32"/>
    <col min="12801" max="12801" width="2.85546875" style="32" customWidth="1"/>
    <col min="12802" max="12802" width="3.5703125" style="32" bestFit="1" customWidth="1"/>
    <col min="12803" max="12803" width="4.7109375" style="32" customWidth="1"/>
    <col min="12804" max="12804" width="30.7109375" style="32" customWidth="1"/>
    <col min="12805" max="12805" width="16.7109375" style="32" customWidth="1"/>
    <col min="12806" max="12812" width="11.7109375" style="32" customWidth="1"/>
    <col min="12813" max="12813" width="3.28515625" style="32" customWidth="1"/>
    <col min="12814" max="12826" width="9.140625" style="32"/>
    <col min="12827" max="12880" width="0" style="32" hidden="1" customWidth="1"/>
    <col min="12881" max="13056" width="9.140625" style="32"/>
    <col min="13057" max="13057" width="2.85546875" style="32" customWidth="1"/>
    <col min="13058" max="13058" width="3.5703125" style="32" bestFit="1" customWidth="1"/>
    <col min="13059" max="13059" width="4.7109375" style="32" customWidth="1"/>
    <col min="13060" max="13060" width="30.7109375" style="32" customWidth="1"/>
    <col min="13061" max="13061" width="16.7109375" style="32" customWidth="1"/>
    <col min="13062" max="13068" width="11.7109375" style="32" customWidth="1"/>
    <col min="13069" max="13069" width="3.28515625" style="32" customWidth="1"/>
    <col min="13070" max="13082" width="9.140625" style="32"/>
    <col min="13083" max="13136" width="0" style="32" hidden="1" customWidth="1"/>
    <col min="13137" max="13312" width="9.140625" style="32"/>
    <col min="13313" max="13313" width="2.85546875" style="32" customWidth="1"/>
    <col min="13314" max="13314" width="3.5703125" style="32" bestFit="1" customWidth="1"/>
    <col min="13315" max="13315" width="4.7109375" style="32" customWidth="1"/>
    <col min="13316" max="13316" width="30.7109375" style="32" customWidth="1"/>
    <col min="13317" max="13317" width="16.7109375" style="32" customWidth="1"/>
    <col min="13318" max="13324" width="11.7109375" style="32" customWidth="1"/>
    <col min="13325" max="13325" width="3.28515625" style="32" customWidth="1"/>
    <col min="13326" max="13338" width="9.140625" style="32"/>
    <col min="13339" max="13392" width="0" style="32" hidden="1" customWidth="1"/>
    <col min="13393" max="13568" width="9.140625" style="32"/>
    <col min="13569" max="13569" width="2.85546875" style="32" customWidth="1"/>
    <col min="13570" max="13570" width="3.5703125" style="32" bestFit="1" customWidth="1"/>
    <col min="13571" max="13571" width="4.7109375" style="32" customWidth="1"/>
    <col min="13572" max="13572" width="30.7109375" style="32" customWidth="1"/>
    <col min="13573" max="13573" width="16.7109375" style="32" customWidth="1"/>
    <col min="13574" max="13580" width="11.7109375" style="32" customWidth="1"/>
    <col min="13581" max="13581" width="3.28515625" style="32" customWidth="1"/>
    <col min="13582" max="13594" width="9.140625" style="32"/>
    <col min="13595" max="13648" width="0" style="32" hidden="1" customWidth="1"/>
    <col min="13649" max="13824" width="9.140625" style="32"/>
    <col min="13825" max="13825" width="2.85546875" style="32" customWidth="1"/>
    <col min="13826" max="13826" width="3.5703125" style="32" bestFit="1" customWidth="1"/>
    <col min="13827" max="13827" width="4.7109375" style="32" customWidth="1"/>
    <col min="13828" max="13828" width="30.7109375" style="32" customWidth="1"/>
    <col min="13829" max="13829" width="16.7109375" style="32" customWidth="1"/>
    <col min="13830" max="13836" width="11.7109375" style="32" customWidth="1"/>
    <col min="13837" max="13837" width="3.28515625" style="32" customWidth="1"/>
    <col min="13838" max="13850" width="9.140625" style="32"/>
    <col min="13851" max="13904" width="0" style="32" hidden="1" customWidth="1"/>
    <col min="13905" max="14080" width="9.140625" style="32"/>
    <col min="14081" max="14081" width="2.85546875" style="32" customWidth="1"/>
    <col min="14082" max="14082" width="3.5703125" style="32" bestFit="1" customWidth="1"/>
    <col min="14083" max="14083" width="4.7109375" style="32" customWidth="1"/>
    <col min="14084" max="14084" width="30.7109375" style="32" customWidth="1"/>
    <col min="14085" max="14085" width="16.7109375" style="32" customWidth="1"/>
    <col min="14086" max="14092" width="11.7109375" style="32" customWidth="1"/>
    <col min="14093" max="14093" width="3.28515625" style="32" customWidth="1"/>
    <col min="14094" max="14106" width="9.140625" style="32"/>
    <col min="14107" max="14160" width="0" style="32" hidden="1" customWidth="1"/>
    <col min="14161" max="14336" width="9.140625" style="32"/>
    <col min="14337" max="14337" width="2.85546875" style="32" customWidth="1"/>
    <col min="14338" max="14338" width="3.5703125" style="32" bestFit="1" customWidth="1"/>
    <col min="14339" max="14339" width="4.7109375" style="32" customWidth="1"/>
    <col min="14340" max="14340" width="30.7109375" style="32" customWidth="1"/>
    <col min="14341" max="14341" width="16.7109375" style="32" customWidth="1"/>
    <col min="14342" max="14348" width="11.7109375" style="32" customWidth="1"/>
    <col min="14349" max="14349" width="3.28515625" style="32" customWidth="1"/>
    <col min="14350" max="14362" width="9.140625" style="32"/>
    <col min="14363" max="14416" width="0" style="32" hidden="1" customWidth="1"/>
    <col min="14417" max="14592" width="9.140625" style="32"/>
    <col min="14593" max="14593" width="2.85546875" style="32" customWidth="1"/>
    <col min="14594" max="14594" width="3.5703125" style="32" bestFit="1" customWidth="1"/>
    <col min="14595" max="14595" width="4.7109375" style="32" customWidth="1"/>
    <col min="14596" max="14596" width="30.7109375" style="32" customWidth="1"/>
    <col min="14597" max="14597" width="16.7109375" style="32" customWidth="1"/>
    <col min="14598" max="14604" width="11.7109375" style="32" customWidth="1"/>
    <col min="14605" max="14605" width="3.28515625" style="32" customWidth="1"/>
    <col min="14606" max="14618" width="9.140625" style="32"/>
    <col min="14619" max="14672" width="0" style="32" hidden="1" customWidth="1"/>
    <col min="14673" max="14848" width="9.140625" style="32"/>
    <col min="14849" max="14849" width="2.85546875" style="32" customWidth="1"/>
    <col min="14850" max="14850" width="3.5703125" style="32" bestFit="1" customWidth="1"/>
    <col min="14851" max="14851" width="4.7109375" style="32" customWidth="1"/>
    <col min="14852" max="14852" width="30.7109375" style="32" customWidth="1"/>
    <col min="14853" max="14853" width="16.7109375" style="32" customWidth="1"/>
    <col min="14854" max="14860" width="11.7109375" style="32" customWidth="1"/>
    <col min="14861" max="14861" width="3.28515625" style="32" customWidth="1"/>
    <col min="14862" max="14874" width="9.140625" style="32"/>
    <col min="14875" max="14928" width="0" style="32" hidden="1" customWidth="1"/>
    <col min="14929" max="15104" width="9.140625" style="32"/>
    <col min="15105" max="15105" width="2.85546875" style="32" customWidth="1"/>
    <col min="15106" max="15106" width="3.5703125" style="32" bestFit="1" customWidth="1"/>
    <col min="15107" max="15107" width="4.7109375" style="32" customWidth="1"/>
    <col min="15108" max="15108" width="30.7109375" style="32" customWidth="1"/>
    <col min="15109" max="15109" width="16.7109375" style="32" customWidth="1"/>
    <col min="15110" max="15116" width="11.7109375" style="32" customWidth="1"/>
    <col min="15117" max="15117" width="3.28515625" style="32" customWidth="1"/>
    <col min="15118" max="15130" width="9.140625" style="32"/>
    <col min="15131" max="15184" width="0" style="32" hidden="1" customWidth="1"/>
    <col min="15185" max="15360" width="9.140625" style="32"/>
    <col min="15361" max="15361" width="2.85546875" style="32" customWidth="1"/>
    <col min="15362" max="15362" width="3.5703125" style="32" bestFit="1" customWidth="1"/>
    <col min="15363" max="15363" width="4.7109375" style="32" customWidth="1"/>
    <col min="15364" max="15364" width="30.7109375" style="32" customWidth="1"/>
    <col min="15365" max="15365" width="16.7109375" style="32" customWidth="1"/>
    <col min="15366" max="15372" width="11.7109375" style="32" customWidth="1"/>
    <col min="15373" max="15373" width="3.28515625" style="32" customWidth="1"/>
    <col min="15374" max="15386" width="9.140625" style="32"/>
    <col min="15387" max="15440" width="0" style="32" hidden="1" customWidth="1"/>
    <col min="15441" max="15616" width="9.140625" style="32"/>
    <col min="15617" max="15617" width="2.85546875" style="32" customWidth="1"/>
    <col min="15618" max="15618" width="3.5703125" style="32" bestFit="1" customWidth="1"/>
    <col min="15619" max="15619" width="4.7109375" style="32" customWidth="1"/>
    <col min="15620" max="15620" width="30.7109375" style="32" customWidth="1"/>
    <col min="15621" max="15621" width="16.7109375" style="32" customWidth="1"/>
    <col min="15622" max="15628" width="11.7109375" style="32" customWidth="1"/>
    <col min="15629" max="15629" width="3.28515625" style="32" customWidth="1"/>
    <col min="15630" max="15642" width="9.140625" style="32"/>
    <col min="15643" max="15696" width="0" style="32" hidden="1" customWidth="1"/>
    <col min="15697" max="15872" width="9.140625" style="32"/>
    <col min="15873" max="15873" width="2.85546875" style="32" customWidth="1"/>
    <col min="15874" max="15874" width="3.5703125" style="32" bestFit="1" customWidth="1"/>
    <col min="15875" max="15875" width="4.7109375" style="32" customWidth="1"/>
    <col min="15876" max="15876" width="30.7109375" style="32" customWidth="1"/>
    <col min="15877" max="15877" width="16.7109375" style="32" customWidth="1"/>
    <col min="15878" max="15884" width="11.7109375" style="32" customWidth="1"/>
    <col min="15885" max="15885" width="3.28515625" style="32" customWidth="1"/>
    <col min="15886" max="15898" width="9.140625" style="32"/>
    <col min="15899" max="15952" width="0" style="32" hidden="1" customWidth="1"/>
    <col min="15953" max="16128" width="9.140625" style="32"/>
    <col min="16129" max="16129" width="2.85546875" style="32" customWidth="1"/>
    <col min="16130" max="16130" width="3.5703125" style="32" bestFit="1" customWidth="1"/>
    <col min="16131" max="16131" width="4.7109375" style="32" customWidth="1"/>
    <col min="16132" max="16132" width="30.7109375" style="32" customWidth="1"/>
    <col min="16133" max="16133" width="16.7109375" style="32" customWidth="1"/>
    <col min="16134" max="16140" width="11.7109375" style="32" customWidth="1"/>
    <col min="16141" max="16141" width="3.28515625" style="32" customWidth="1"/>
    <col min="16142" max="16154" width="9.140625" style="32"/>
    <col min="16155" max="16208" width="0" style="32" hidden="1" customWidth="1"/>
    <col min="16209" max="16384" width="9.140625" style="32"/>
  </cols>
  <sheetData>
    <row r="1" spans="1:14" ht="18" customHeight="1">
      <c r="A1" s="92"/>
      <c r="B1" s="93"/>
      <c r="C1" s="93"/>
      <c r="D1" s="98"/>
      <c r="E1" s="99"/>
      <c r="F1" s="99"/>
      <c r="G1" s="99"/>
      <c r="H1" s="99"/>
      <c r="I1" s="99"/>
      <c r="J1" s="99"/>
      <c r="K1" s="99"/>
      <c r="L1" s="99"/>
      <c r="M1" s="242"/>
    </row>
    <row r="2" spans="1:14" ht="73.5" customHeight="1">
      <c r="A2" s="94"/>
      <c r="B2" s="95"/>
      <c r="C2" s="778" t="s">
        <v>330</v>
      </c>
      <c r="D2" s="779"/>
      <c r="E2" s="779"/>
      <c r="F2" s="779"/>
      <c r="G2" s="779"/>
      <c r="H2" s="779"/>
      <c r="I2" s="779"/>
      <c r="J2" s="779"/>
      <c r="K2" s="779"/>
      <c r="L2" s="779"/>
      <c r="M2" s="780"/>
    </row>
    <row r="3" spans="1:14" ht="18" customHeight="1">
      <c r="A3" s="96"/>
      <c r="B3" s="97"/>
      <c r="C3" s="781"/>
      <c r="D3" s="782"/>
      <c r="E3" s="782"/>
      <c r="F3" s="782"/>
      <c r="G3" s="782"/>
      <c r="H3" s="782"/>
      <c r="I3" s="782"/>
      <c r="J3" s="782"/>
      <c r="K3" s="782"/>
      <c r="L3" s="782"/>
      <c r="M3" s="783"/>
    </row>
    <row r="4" spans="1:14" ht="24.75" customHeight="1">
      <c r="A4" s="167" t="s">
        <v>157</v>
      </c>
      <c r="B4" s="167" t="s">
        <v>158</v>
      </c>
      <c r="C4" s="776">
        <f>CurrRev</f>
        <v>2.2000000000000002</v>
      </c>
      <c r="D4" s="777"/>
      <c r="E4" s="237"/>
      <c r="F4" s="237"/>
      <c r="G4" s="237"/>
      <c r="H4" s="237"/>
      <c r="I4" s="238"/>
      <c r="J4" s="238"/>
      <c r="K4" s="237"/>
      <c r="L4" s="239" t="s">
        <v>159</v>
      </c>
      <c r="M4" s="33"/>
      <c r="N4" s="208"/>
    </row>
    <row r="5" spans="1:14" ht="18" customHeight="1">
      <c r="A5" s="34"/>
      <c r="B5" s="34"/>
      <c r="C5" s="784" t="s">
        <v>160</v>
      </c>
      <c r="D5" s="785"/>
      <c r="E5" s="785"/>
      <c r="F5" s="785"/>
      <c r="G5" s="785"/>
      <c r="H5" s="785"/>
      <c r="I5" s="785"/>
      <c r="J5" s="785"/>
      <c r="K5" s="785"/>
      <c r="L5" s="785"/>
      <c r="M5" s="786"/>
    </row>
    <row r="6" spans="1:14" ht="18" customHeight="1">
      <c r="A6" s="35"/>
      <c r="B6" s="35">
        <v>1</v>
      </c>
      <c r="C6" s="36"/>
      <c r="D6" s="169" t="s">
        <v>161</v>
      </c>
      <c r="E6" s="199" t="s">
        <v>185</v>
      </c>
      <c r="F6" s="38"/>
      <c r="G6" s="38"/>
      <c r="H6" s="38"/>
      <c r="I6" s="38"/>
      <c r="J6" s="39"/>
      <c r="K6" s="39"/>
      <c r="L6" s="40"/>
      <c r="M6" s="41"/>
      <c r="N6" s="208"/>
    </row>
    <row r="7" spans="1:14" ht="18" customHeight="1">
      <c r="A7" s="35"/>
      <c r="B7" s="35">
        <v>2</v>
      </c>
      <c r="C7" s="42"/>
      <c r="D7" s="170" t="s">
        <v>162</v>
      </c>
      <c r="E7" s="821" t="s">
        <v>163</v>
      </c>
      <c r="F7" s="821"/>
      <c r="G7" s="821"/>
      <c r="H7" s="201"/>
      <c r="I7" s="38"/>
      <c r="J7" s="834" t="s">
        <v>164</v>
      </c>
      <c r="K7" s="835"/>
      <c r="L7" s="835"/>
      <c r="M7" s="836"/>
      <c r="N7" s="209"/>
    </row>
    <row r="8" spans="1:14" ht="18" customHeight="1">
      <c r="A8" s="35"/>
      <c r="B8" s="35">
        <v>3</v>
      </c>
      <c r="C8" s="42"/>
      <c r="D8" s="170" t="s">
        <v>165</v>
      </c>
      <c r="E8" s="821" t="s">
        <v>166</v>
      </c>
      <c r="F8" s="821"/>
      <c r="G8" s="821"/>
      <c r="H8" s="201"/>
      <c r="I8" s="38"/>
      <c r="J8" s="795" t="s">
        <v>204</v>
      </c>
      <c r="K8" s="795"/>
      <c r="L8" s="795"/>
      <c r="M8" s="796"/>
      <c r="N8" s="38"/>
    </row>
    <row r="9" spans="1:14" ht="18" customHeight="1">
      <c r="A9" s="35"/>
      <c r="B9" s="35">
        <v>4</v>
      </c>
      <c r="C9" s="42"/>
      <c r="D9" s="170" t="s">
        <v>167</v>
      </c>
      <c r="E9" s="821" t="s">
        <v>186</v>
      </c>
      <c r="F9" s="821"/>
      <c r="G9" s="821"/>
      <c r="H9" s="201"/>
      <c r="I9" s="38"/>
      <c r="J9" s="38"/>
      <c r="K9" s="38"/>
      <c r="L9" s="43"/>
      <c r="M9" s="100"/>
      <c r="N9" s="38"/>
    </row>
    <row r="10" spans="1:14" ht="18" customHeight="1">
      <c r="A10" s="35"/>
      <c r="B10" s="35">
        <v>5</v>
      </c>
      <c r="C10" s="42"/>
      <c r="D10" s="170" t="s">
        <v>168</v>
      </c>
      <c r="E10" s="37" t="s">
        <v>306</v>
      </c>
      <c r="F10" s="38"/>
      <c r="G10" s="38"/>
      <c r="H10" s="38"/>
      <c r="I10" s="38"/>
      <c r="J10" s="38"/>
      <c r="K10" s="38"/>
      <c r="L10" s="43"/>
      <c r="M10" s="101"/>
      <c r="N10" s="38"/>
    </row>
    <row r="11" spans="1:14" ht="18" customHeight="1">
      <c r="A11" s="35"/>
      <c r="B11" s="35">
        <v>6</v>
      </c>
      <c r="C11" s="42"/>
      <c r="D11" s="170" t="s">
        <v>169</v>
      </c>
      <c r="E11" s="213"/>
      <c r="F11" s="38"/>
      <c r="G11" s="38"/>
      <c r="H11" s="38"/>
      <c r="I11" s="38"/>
      <c r="J11" s="38"/>
      <c r="K11" s="38"/>
      <c r="L11" s="43"/>
      <c r="M11" s="101"/>
      <c r="N11" s="38"/>
    </row>
    <row r="12" spans="1:14" ht="18" customHeight="1">
      <c r="A12" s="35"/>
      <c r="B12" s="35">
        <v>7</v>
      </c>
      <c r="C12" s="42"/>
      <c r="D12" s="170" t="s">
        <v>170</v>
      </c>
      <c r="E12" s="213" t="s">
        <v>187</v>
      </c>
      <c r="F12" s="38"/>
      <c r="G12" s="38"/>
      <c r="H12" s="38"/>
      <c r="I12" s="38"/>
      <c r="J12" s="38"/>
      <c r="K12" s="38"/>
      <c r="L12" s="43"/>
      <c r="M12" s="101"/>
      <c r="N12" s="38"/>
    </row>
    <row r="13" spans="1:14" ht="18" customHeight="1">
      <c r="A13" s="35"/>
      <c r="B13" s="35">
        <v>8</v>
      </c>
      <c r="C13" s="42"/>
      <c r="D13" s="169" t="s">
        <v>171</v>
      </c>
      <c r="E13" s="44">
        <v>42018</v>
      </c>
      <c r="F13" s="172" t="s">
        <v>172</v>
      </c>
      <c r="G13" s="172"/>
      <c r="H13" s="172"/>
      <c r="I13" s="38"/>
      <c r="J13" s="38"/>
      <c r="K13" s="38"/>
      <c r="L13" s="43"/>
      <c r="M13" s="101"/>
      <c r="N13" s="38"/>
    </row>
    <row r="14" spans="1:14" ht="18" customHeight="1">
      <c r="A14" s="35"/>
      <c r="B14" s="35">
        <v>9</v>
      </c>
      <c r="C14" s="42"/>
      <c r="D14" s="170" t="s">
        <v>173</v>
      </c>
      <c r="E14" s="213"/>
      <c r="F14" s="38"/>
      <c r="G14" s="38"/>
      <c r="H14" s="38"/>
      <c r="I14" s="38"/>
      <c r="J14" s="38"/>
      <c r="K14" s="38"/>
      <c r="L14" s="43"/>
      <c r="M14" s="101"/>
      <c r="N14" s="38"/>
    </row>
    <row r="15" spans="1:14" ht="18" customHeight="1">
      <c r="A15" s="35"/>
      <c r="B15" s="35">
        <v>10</v>
      </c>
      <c r="C15" s="42"/>
      <c r="D15" s="169" t="s">
        <v>174</v>
      </c>
      <c r="E15" s="207"/>
      <c r="F15" s="172" t="s">
        <v>172</v>
      </c>
      <c r="G15" s="172"/>
      <c r="H15" s="172"/>
      <c r="I15" s="38"/>
      <c r="J15" s="38"/>
      <c r="K15" s="38"/>
      <c r="L15" s="43"/>
      <c r="M15" s="101"/>
      <c r="N15" s="38"/>
    </row>
    <row r="16" spans="1:14" ht="18" customHeight="1">
      <c r="A16" s="35"/>
      <c r="B16" s="35">
        <v>11</v>
      </c>
      <c r="C16" s="42"/>
      <c r="D16" s="169" t="s">
        <v>175</v>
      </c>
      <c r="E16" s="821" t="s">
        <v>188</v>
      </c>
      <c r="F16" s="821"/>
      <c r="G16" s="821"/>
      <c r="H16" s="201"/>
      <c r="I16" s="39"/>
      <c r="J16" s="38"/>
      <c r="K16" s="38"/>
      <c r="L16" s="43"/>
      <c r="M16" s="101"/>
      <c r="N16" s="38"/>
    </row>
    <row r="17" spans="1:15" ht="18" customHeight="1">
      <c r="A17" s="35"/>
      <c r="B17" s="45">
        <v>12</v>
      </c>
      <c r="C17" s="39"/>
      <c r="D17" s="171" t="s">
        <v>176</v>
      </c>
      <c r="E17" s="822" t="s">
        <v>189</v>
      </c>
      <c r="F17" s="821"/>
      <c r="G17" s="821"/>
      <c r="H17" s="201"/>
      <c r="I17" s="39"/>
      <c r="J17" s="38"/>
      <c r="K17" s="38"/>
      <c r="L17" s="43"/>
      <c r="M17" s="101"/>
      <c r="N17" s="38"/>
    </row>
    <row r="18" spans="1:15" ht="18" customHeight="1">
      <c r="A18" s="35"/>
      <c r="B18" s="45">
        <v>13</v>
      </c>
      <c r="C18" s="828" t="s">
        <v>177</v>
      </c>
      <c r="D18" s="829"/>
      <c r="E18" s="830"/>
      <c r="F18" s="38"/>
      <c r="G18" s="38"/>
      <c r="H18" s="38"/>
      <c r="I18" s="38"/>
      <c r="J18" s="38"/>
      <c r="K18" s="38"/>
      <c r="L18" s="43"/>
      <c r="M18" s="101"/>
      <c r="N18" s="38"/>
    </row>
    <row r="19" spans="1:15" ht="18" customHeight="1">
      <c r="A19" s="35"/>
      <c r="B19" s="45">
        <v>14</v>
      </c>
      <c r="C19" s="36"/>
      <c r="D19" s="169" t="s">
        <v>294</v>
      </c>
      <c r="E19" s="823" t="s">
        <v>182</v>
      </c>
      <c r="F19" s="821"/>
      <c r="G19" s="821"/>
      <c r="H19" s="201"/>
      <c r="I19" s="39"/>
      <c r="J19" s="38"/>
      <c r="K19" s="38"/>
      <c r="L19" s="43"/>
      <c r="M19" s="101"/>
      <c r="N19" s="38"/>
    </row>
    <row r="20" spans="1:15" ht="18" customHeight="1">
      <c r="A20" s="35"/>
      <c r="B20" s="45">
        <v>15</v>
      </c>
      <c r="C20" s="42"/>
      <c r="D20" s="170" t="s">
        <v>178</v>
      </c>
      <c r="E20" s="37"/>
      <c r="F20" s="38"/>
      <c r="G20" s="38"/>
      <c r="H20" s="38"/>
      <c r="I20" s="38"/>
      <c r="J20" s="38"/>
      <c r="K20" s="38"/>
      <c r="L20" s="43"/>
      <c r="M20" s="101"/>
      <c r="N20" s="38"/>
    </row>
    <row r="21" spans="1:15" ht="18" customHeight="1">
      <c r="A21" s="35"/>
      <c r="B21" s="45">
        <v>16</v>
      </c>
      <c r="C21" s="42"/>
      <c r="D21" s="170" t="s">
        <v>179</v>
      </c>
      <c r="E21" s="230">
        <v>14.699998089932121</v>
      </c>
      <c r="F21" s="172" t="s">
        <v>278</v>
      </c>
      <c r="G21" s="47"/>
      <c r="H21" s="47"/>
      <c r="I21" s="39"/>
      <c r="J21" s="38"/>
      <c r="K21" s="38"/>
      <c r="L21" s="43"/>
      <c r="M21" s="101"/>
      <c r="N21" s="38"/>
    </row>
    <row r="22" spans="1:15" ht="18" customHeight="1">
      <c r="A22" s="35"/>
      <c r="B22" s="45">
        <v>17</v>
      </c>
      <c r="C22" s="39"/>
      <c r="D22" s="39"/>
      <c r="E22" s="231"/>
      <c r="F22" s="39"/>
      <c r="G22" s="39"/>
      <c r="H22" s="39"/>
      <c r="I22" s="38"/>
      <c r="J22" s="38"/>
      <c r="K22" s="38"/>
      <c r="L22" s="43"/>
      <c r="M22" s="101"/>
      <c r="N22" s="38"/>
    </row>
    <row r="23" spans="1:15" ht="18" customHeight="1">
      <c r="A23" s="35"/>
      <c r="B23" s="45">
        <v>18</v>
      </c>
      <c r="C23" s="48"/>
      <c r="D23" s="39"/>
      <c r="E23" s="231"/>
      <c r="F23" s="39"/>
      <c r="G23" s="39"/>
      <c r="H23" s="39"/>
      <c r="I23" s="39"/>
      <c r="J23" s="38"/>
      <c r="K23" s="49"/>
      <c r="L23" s="43"/>
      <c r="M23" s="101"/>
      <c r="N23" s="38"/>
    </row>
    <row r="24" spans="1:15" ht="18" customHeight="1">
      <c r="A24" s="35"/>
      <c r="B24" s="45">
        <v>19</v>
      </c>
      <c r="C24" s="48"/>
      <c r="D24" s="39"/>
      <c r="E24" s="231"/>
      <c r="F24" s="39"/>
      <c r="G24" s="39"/>
      <c r="H24" s="39"/>
      <c r="I24" s="39"/>
      <c r="J24" s="38"/>
      <c r="K24" s="50"/>
      <c r="L24" s="43"/>
      <c r="M24" s="101"/>
      <c r="N24" s="38"/>
    </row>
    <row r="25" spans="1:15" ht="18" customHeight="1">
      <c r="A25" s="35"/>
      <c r="B25" s="45">
        <v>20</v>
      </c>
      <c r="C25" s="48"/>
      <c r="D25" s="39"/>
      <c r="E25" s="231"/>
      <c r="F25" s="39"/>
      <c r="G25" s="39"/>
      <c r="H25" s="39"/>
      <c r="I25" s="39"/>
      <c r="J25" s="38"/>
      <c r="K25" s="39"/>
      <c r="L25" s="43"/>
      <c r="M25" s="101"/>
      <c r="N25" s="208"/>
    </row>
    <row r="26" spans="1:15" ht="18" customHeight="1">
      <c r="A26" s="35"/>
      <c r="B26" s="45"/>
      <c r="C26" s="48"/>
      <c r="D26" s="39"/>
      <c r="E26" s="231"/>
      <c r="F26" s="39"/>
      <c r="G26" s="39"/>
      <c r="H26" s="39"/>
      <c r="I26" s="39"/>
      <c r="J26" s="38"/>
      <c r="K26" s="38"/>
      <c r="L26" s="43"/>
      <c r="M26" s="102"/>
      <c r="N26" s="208"/>
    </row>
    <row r="27" spans="1:15" ht="18" customHeight="1">
      <c r="A27" s="35"/>
      <c r="B27" s="45"/>
      <c r="C27" s="831" t="s">
        <v>282</v>
      </c>
      <c r="D27" s="832"/>
      <c r="E27" s="832"/>
      <c r="F27" s="832"/>
      <c r="G27" s="832"/>
      <c r="H27" s="832"/>
      <c r="I27" s="832"/>
      <c r="J27" s="832"/>
      <c r="K27" s="832"/>
      <c r="L27" s="832"/>
      <c r="M27" s="833"/>
      <c r="N27" s="46"/>
      <c r="O27" s="209"/>
    </row>
    <row r="28" spans="1:15" ht="40.5" customHeight="1">
      <c r="A28" s="806"/>
      <c r="B28" s="804"/>
      <c r="C28" s="52" t="s">
        <v>280</v>
      </c>
      <c r="D28" s="51" t="s">
        <v>180</v>
      </c>
      <c r="E28" s="232" t="s">
        <v>205</v>
      </c>
      <c r="F28" s="51" t="s">
        <v>210</v>
      </c>
      <c r="G28" s="51" t="s">
        <v>356</v>
      </c>
      <c r="H28" s="51" t="s">
        <v>207</v>
      </c>
      <c r="I28" s="51" t="s">
        <v>208</v>
      </c>
      <c r="J28" s="51" t="s">
        <v>209</v>
      </c>
      <c r="K28" s="51" t="s">
        <v>281</v>
      </c>
      <c r="L28" s="51" t="s">
        <v>329</v>
      </c>
      <c r="M28" s="51" t="s">
        <v>181</v>
      </c>
      <c r="N28" s="210"/>
    </row>
    <row r="29" spans="1:15" ht="15.75" customHeight="1">
      <c r="A29" s="807"/>
      <c r="B29" s="805"/>
      <c r="C29" s="212"/>
      <c r="D29" s="53"/>
      <c r="E29" s="104" t="s">
        <v>35</v>
      </c>
      <c r="F29" s="104" t="s">
        <v>35</v>
      </c>
      <c r="G29" s="104" t="s">
        <v>184</v>
      </c>
      <c r="H29" s="104" t="s">
        <v>35</v>
      </c>
      <c r="I29" s="104" t="s">
        <v>35</v>
      </c>
      <c r="J29" s="104" t="s">
        <v>35</v>
      </c>
      <c r="K29" s="104" t="s">
        <v>35</v>
      </c>
      <c r="L29" s="104" t="s">
        <v>35</v>
      </c>
      <c r="M29" s="105" t="s">
        <v>307</v>
      </c>
      <c r="N29" s="210"/>
    </row>
    <row r="30" spans="1:15" ht="18" customHeight="1">
      <c r="A30" s="806"/>
      <c r="B30" s="817">
        <v>25</v>
      </c>
      <c r="C30" s="787" t="s">
        <v>182</v>
      </c>
      <c r="D30" s="787" t="s">
        <v>183</v>
      </c>
      <c r="E30" s="789">
        <v>21.653543306999545</v>
      </c>
      <c r="F30" s="789">
        <v>25.199999999999449</v>
      </c>
      <c r="G30" s="798">
        <v>9682.7361693405092</v>
      </c>
      <c r="H30" s="789">
        <v>1.5999999999999699</v>
      </c>
      <c r="I30" s="789">
        <v>18.499999999999574</v>
      </c>
      <c r="J30" s="800">
        <v>19.999999999999986</v>
      </c>
      <c r="K30" s="802">
        <v>20</v>
      </c>
      <c r="L30" s="789">
        <v>3.2808398949998736</v>
      </c>
      <c r="M30" s="789">
        <v>0</v>
      </c>
      <c r="N30" s="200"/>
    </row>
    <row r="31" spans="1:15" ht="18" customHeight="1">
      <c r="A31" s="807"/>
      <c r="B31" s="818"/>
      <c r="C31" s="788"/>
      <c r="D31" s="788"/>
      <c r="E31" s="790"/>
      <c r="F31" s="797"/>
      <c r="G31" s="799"/>
      <c r="H31" s="791"/>
      <c r="I31" s="791"/>
      <c r="J31" s="801"/>
      <c r="K31" s="803"/>
      <c r="L31" s="791"/>
      <c r="M31" s="791"/>
      <c r="N31" s="200"/>
    </row>
    <row r="32" spans="1:15" ht="54.75" customHeight="1">
      <c r="A32" s="806"/>
      <c r="B32" s="804"/>
      <c r="C32" s="52" t="s">
        <v>283</v>
      </c>
      <c r="D32" s="51" t="s">
        <v>64</v>
      </c>
      <c r="E32" s="232" t="s">
        <v>284</v>
      </c>
      <c r="F32" s="51" t="s">
        <v>285</v>
      </c>
      <c r="G32" s="51" t="s">
        <v>286</v>
      </c>
      <c r="H32" s="51" t="s">
        <v>287</v>
      </c>
      <c r="I32" s="51" t="s">
        <v>288</v>
      </c>
      <c r="J32" s="51" t="s">
        <v>289</v>
      </c>
      <c r="K32" s="51" t="s">
        <v>290</v>
      </c>
      <c r="L32" s="51" t="s">
        <v>363</v>
      </c>
      <c r="M32" s="51" t="s">
        <v>331</v>
      </c>
      <c r="N32" s="200"/>
    </row>
    <row r="33" spans="1:15" ht="18" customHeight="1">
      <c r="A33" s="807"/>
      <c r="B33" s="805"/>
      <c r="C33" s="212"/>
      <c r="D33" s="53"/>
      <c r="E33" s="104" t="s">
        <v>69</v>
      </c>
      <c r="F33" s="104" t="s">
        <v>69</v>
      </c>
      <c r="G33" s="104" t="s">
        <v>54</v>
      </c>
      <c r="H33" s="104" t="s">
        <v>296</v>
      </c>
      <c r="I33" s="104" t="s">
        <v>69</v>
      </c>
      <c r="J33" s="104" t="s">
        <v>296</v>
      </c>
      <c r="K33" s="104" t="s">
        <v>69</v>
      </c>
      <c r="L33" s="104" t="s">
        <v>278</v>
      </c>
      <c r="M33" s="104" t="s">
        <v>295</v>
      </c>
      <c r="N33" s="200"/>
    </row>
    <row r="34" spans="1:15" ht="18" customHeight="1">
      <c r="A34" s="806"/>
      <c r="B34" s="817">
        <v>28</v>
      </c>
      <c r="C34" s="787" t="s">
        <v>353</v>
      </c>
      <c r="D34" s="789">
        <v>196.6</v>
      </c>
      <c r="E34" s="789">
        <v>225</v>
      </c>
      <c r="F34" s="789">
        <v>480.5</v>
      </c>
      <c r="G34" s="789">
        <v>101.7</v>
      </c>
      <c r="H34" s="792">
        <v>0</v>
      </c>
      <c r="I34" s="789">
        <v>122</v>
      </c>
      <c r="J34" s="793">
        <v>0</v>
      </c>
      <c r="K34" s="789">
        <v>320</v>
      </c>
      <c r="L34" s="789">
        <v>0.59999984268265094</v>
      </c>
      <c r="M34" s="789">
        <v>1</v>
      </c>
      <c r="N34" s="200"/>
    </row>
    <row r="35" spans="1:15" ht="18" customHeight="1">
      <c r="A35" s="807"/>
      <c r="B35" s="818"/>
      <c r="C35" s="788"/>
      <c r="D35" s="788"/>
      <c r="E35" s="790"/>
      <c r="F35" s="788"/>
      <c r="G35" s="791"/>
      <c r="H35" s="791"/>
      <c r="I35" s="791"/>
      <c r="J35" s="794"/>
      <c r="K35" s="791"/>
      <c r="L35" s="791"/>
      <c r="M35" s="791"/>
      <c r="N35" s="200"/>
    </row>
    <row r="36" spans="1:15" ht="40.5" customHeight="1">
      <c r="A36" s="806"/>
      <c r="B36" s="804"/>
      <c r="C36" s="813" t="s">
        <v>293</v>
      </c>
      <c r="D36" s="814"/>
      <c r="E36" s="837" t="s">
        <v>360</v>
      </c>
      <c r="F36" s="203"/>
      <c r="G36" s="203"/>
      <c r="H36" s="211"/>
      <c r="I36" s="51" t="s">
        <v>364</v>
      </c>
      <c r="J36" s="51" t="s">
        <v>365</v>
      </c>
      <c r="K36" s="51" t="s">
        <v>292</v>
      </c>
      <c r="L36" s="51" t="s">
        <v>291</v>
      </c>
      <c r="M36" s="241"/>
      <c r="N36" s="200"/>
    </row>
    <row r="37" spans="1:15" ht="18" customHeight="1">
      <c r="A37" s="807"/>
      <c r="B37" s="805"/>
      <c r="C37" s="815"/>
      <c r="D37" s="816"/>
      <c r="E37" s="838"/>
      <c r="F37" s="205"/>
      <c r="G37" s="205"/>
      <c r="H37" s="206"/>
      <c r="I37" s="104" t="s">
        <v>297</v>
      </c>
      <c r="J37" s="104" t="s">
        <v>298</v>
      </c>
      <c r="K37" s="104" t="s">
        <v>34</v>
      </c>
      <c r="L37" s="104" t="s">
        <v>34</v>
      </c>
      <c r="M37" s="105"/>
      <c r="N37" s="200"/>
    </row>
    <row r="38" spans="1:15" ht="18" customHeight="1">
      <c r="A38" s="806"/>
      <c r="B38" s="817">
        <v>31</v>
      </c>
      <c r="C38" s="808"/>
      <c r="D38" s="810"/>
      <c r="E38" s="812" t="s">
        <v>362</v>
      </c>
      <c r="F38" s="810"/>
      <c r="G38" s="824"/>
      <c r="H38" s="826"/>
      <c r="I38" s="789">
        <v>0</v>
      </c>
      <c r="J38" s="800">
        <v>0</v>
      </c>
      <c r="K38" s="789">
        <v>84.499904877869213</v>
      </c>
      <c r="L38" s="789">
        <v>114.99987054384573</v>
      </c>
      <c r="M38" s="819"/>
      <c r="N38" s="38"/>
      <c r="O38" s="38"/>
    </row>
    <row r="39" spans="1:15" ht="16.5" customHeight="1">
      <c r="A39" s="807"/>
      <c r="B39" s="818"/>
      <c r="C39" s="809"/>
      <c r="D39" s="811"/>
      <c r="E39" s="790"/>
      <c r="F39" s="811"/>
      <c r="G39" s="825"/>
      <c r="H39" s="827"/>
      <c r="I39" s="791"/>
      <c r="J39" s="801"/>
      <c r="K39" s="791"/>
      <c r="L39" s="791"/>
      <c r="M39" s="820"/>
      <c r="N39" s="39"/>
      <c r="O39" s="54"/>
    </row>
    <row r="40" spans="1:15" ht="18" customHeight="1">
      <c r="A40" s="48"/>
      <c r="B40" s="39"/>
      <c r="C40" s="39"/>
      <c r="D40" s="39"/>
      <c r="E40" s="231"/>
      <c r="F40" s="39"/>
      <c r="G40" s="39"/>
      <c r="H40" s="39"/>
      <c r="I40" s="39"/>
      <c r="J40" s="39"/>
      <c r="K40" s="39"/>
      <c r="L40" s="39"/>
      <c r="M40" s="54"/>
    </row>
    <row r="41" spans="1:15" ht="18" customHeight="1">
      <c r="A41" s="39"/>
      <c r="B41" s="39"/>
      <c r="C41" s="39"/>
      <c r="D41" s="39"/>
      <c r="E41" s="231"/>
      <c r="F41" s="39"/>
      <c r="G41" s="39"/>
      <c r="H41" s="39"/>
      <c r="I41" s="39"/>
      <c r="J41" s="39"/>
      <c r="K41" s="39"/>
      <c r="L41" s="39"/>
      <c r="M41" s="54"/>
    </row>
    <row r="42" spans="1:15" ht="18" customHeight="1">
      <c r="A42" s="39"/>
      <c r="B42" s="39"/>
      <c r="C42" s="39"/>
      <c r="D42" s="39"/>
      <c r="E42" s="231"/>
      <c r="F42" s="39"/>
      <c r="G42" s="39"/>
      <c r="H42" s="39"/>
      <c r="I42" s="39"/>
      <c r="J42" s="39"/>
      <c r="K42" s="39"/>
      <c r="L42" s="39"/>
      <c r="M42" s="54"/>
    </row>
    <row r="43" spans="1:15" ht="18" customHeight="1">
      <c r="A43" s="39"/>
      <c r="B43" s="39"/>
      <c r="C43" s="39"/>
      <c r="D43" s="39"/>
      <c r="E43" s="231"/>
      <c r="F43" s="39"/>
      <c r="G43" s="39"/>
      <c r="H43" s="39"/>
      <c r="I43" s="39"/>
      <c r="J43" s="39"/>
      <c r="K43" s="39"/>
      <c r="L43" s="39"/>
      <c r="M43" s="54"/>
    </row>
    <row r="44" spans="1:15" ht="18" customHeight="1">
      <c r="A44" s="39"/>
      <c r="B44" s="39"/>
      <c r="C44" s="39"/>
      <c r="D44" s="39"/>
      <c r="E44" s="231"/>
      <c r="F44" s="39"/>
      <c r="G44" s="39"/>
      <c r="H44" s="39"/>
      <c r="I44" s="39"/>
      <c r="J44" s="39"/>
      <c r="K44" s="39"/>
      <c r="L44" s="39"/>
      <c r="M44" s="54"/>
    </row>
    <row r="45" spans="1:15" ht="18" customHeight="1">
      <c r="A45" s="39"/>
      <c r="B45" s="39"/>
      <c r="C45" s="39"/>
      <c r="D45" s="39"/>
      <c r="E45" s="231"/>
      <c r="F45" s="39"/>
      <c r="G45" s="39"/>
      <c r="H45" s="39"/>
      <c r="I45" s="39"/>
      <c r="J45" s="39"/>
      <c r="K45" s="39"/>
      <c r="L45" s="39"/>
      <c r="M45" s="54"/>
    </row>
    <row r="46" spans="1:15" ht="18" customHeight="1">
      <c r="A46" s="39"/>
      <c r="B46" s="39"/>
      <c r="C46" s="39"/>
      <c r="D46" s="39"/>
      <c r="E46" s="231"/>
      <c r="F46" s="39"/>
      <c r="G46" s="39"/>
      <c r="H46" s="39"/>
      <c r="I46" s="39"/>
      <c r="J46" s="39"/>
      <c r="K46" s="39"/>
      <c r="L46" s="39"/>
      <c r="M46" s="54"/>
    </row>
    <row r="47" spans="1:15" ht="18" customHeight="1">
      <c r="A47" s="39"/>
      <c r="B47" s="39"/>
      <c r="C47" s="39"/>
      <c r="D47" s="39"/>
      <c r="E47" s="231"/>
      <c r="F47" s="39"/>
      <c r="G47" s="39"/>
      <c r="H47" s="39"/>
      <c r="I47" s="39"/>
      <c r="J47" s="39"/>
      <c r="K47" s="39"/>
      <c r="L47" s="39"/>
      <c r="M47" s="54"/>
    </row>
    <row r="48" spans="1:15" ht="18" customHeight="1">
      <c r="A48" s="39"/>
      <c r="B48" s="39"/>
      <c r="C48" s="39"/>
      <c r="D48" s="39"/>
      <c r="E48" s="231"/>
      <c r="F48" s="39"/>
      <c r="G48" s="39"/>
      <c r="H48" s="39"/>
      <c r="I48" s="39"/>
      <c r="J48" s="39"/>
      <c r="K48" s="39"/>
      <c r="L48" s="39"/>
      <c r="M48" s="54"/>
    </row>
    <row r="49" spans="1:13" ht="18" customHeight="1">
      <c r="A49" s="39"/>
      <c r="B49" s="39"/>
      <c r="C49" s="39"/>
      <c r="D49" s="39"/>
      <c r="E49" s="231"/>
      <c r="F49" s="39"/>
      <c r="G49" s="39"/>
      <c r="H49" s="39"/>
      <c r="I49" s="39"/>
      <c r="J49" s="39"/>
      <c r="K49" s="39"/>
      <c r="L49" s="39"/>
      <c r="M49" s="54"/>
    </row>
    <row r="50" spans="1:13" ht="18" customHeight="1">
      <c r="A50" s="39"/>
      <c r="B50" s="39"/>
      <c r="C50" s="39"/>
      <c r="D50" s="39"/>
      <c r="E50" s="231"/>
      <c r="F50" s="39"/>
      <c r="G50" s="39"/>
      <c r="H50" s="39"/>
      <c r="I50" s="39"/>
      <c r="J50" s="39"/>
      <c r="K50" s="39"/>
      <c r="L50" s="39"/>
      <c r="M50" s="54"/>
    </row>
    <row r="51" spans="1:13" ht="18" customHeight="1">
      <c r="A51" s="39"/>
      <c r="B51" s="39"/>
      <c r="C51" s="39"/>
      <c r="D51" s="39"/>
      <c r="E51" s="231"/>
      <c r="F51" s="39"/>
      <c r="G51" s="39"/>
      <c r="H51" s="39"/>
      <c r="I51" s="39"/>
      <c r="J51" s="39"/>
      <c r="K51" s="39"/>
      <c r="L51" s="39"/>
      <c r="M51" s="54"/>
    </row>
    <row r="52" spans="1:13" ht="18" customHeight="1">
      <c r="A52" s="39"/>
      <c r="B52" s="39"/>
      <c r="C52" s="39"/>
      <c r="D52" s="39"/>
      <c r="E52" s="231"/>
      <c r="F52" s="39"/>
      <c r="G52" s="39"/>
      <c r="H52" s="39"/>
      <c r="I52" s="39"/>
      <c r="J52" s="39"/>
      <c r="K52" s="39"/>
      <c r="L52" s="39"/>
      <c r="M52" s="54"/>
    </row>
    <row r="53" spans="1:13" ht="18" customHeight="1">
      <c r="A53" s="39"/>
      <c r="B53" s="39"/>
      <c r="C53" s="39"/>
      <c r="D53" s="39"/>
      <c r="E53" s="231"/>
      <c r="F53" s="39"/>
      <c r="G53" s="39"/>
      <c r="H53" s="39"/>
      <c r="I53" s="39"/>
      <c r="J53" s="39"/>
      <c r="K53" s="39"/>
      <c r="L53" s="39"/>
      <c r="M53" s="54"/>
    </row>
    <row r="54" spans="1:13" ht="18" customHeight="1">
      <c r="E54" s="235"/>
      <c r="M54" s="54"/>
    </row>
    <row r="55" spans="1:13" ht="18" customHeight="1">
      <c r="E55" s="235"/>
      <c r="M55" s="54"/>
    </row>
    <row r="56" spans="1:13" ht="18" customHeight="1">
      <c r="E56" s="235"/>
      <c r="M56" s="54"/>
    </row>
    <row r="57" spans="1:13" ht="18" customHeight="1">
      <c r="E57" s="235"/>
      <c r="M57" s="54"/>
    </row>
    <row r="58" spans="1:13" ht="18" customHeight="1">
      <c r="E58" s="235"/>
      <c r="M58" s="54"/>
    </row>
    <row r="59" spans="1:13" ht="18" customHeight="1">
      <c r="E59" s="235"/>
      <c r="M59" s="54"/>
    </row>
    <row r="60" spans="1:13" ht="18" customHeight="1">
      <c r="E60" s="235"/>
      <c r="M60" s="54"/>
    </row>
    <row r="61" spans="1:13" ht="18" customHeight="1">
      <c r="E61" s="235"/>
      <c r="M61" s="54"/>
    </row>
    <row r="62" spans="1:13" ht="18" customHeight="1">
      <c r="E62" s="235"/>
      <c r="M62" s="38"/>
    </row>
    <row r="63" spans="1:13" ht="18" customHeight="1">
      <c r="E63" s="235"/>
    </row>
    <row r="64" spans="1:13" ht="18" customHeight="1">
      <c r="E64" s="235"/>
    </row>
    <row r="65" spans="5:13" ht="18" customHeight="1">
      <c r="E65" s="235"/>
    </row>
    <row r="66" spans="5:13" ht="18" customHeight="1">
      <c r="E66" s="235"/>
    </row>
    <row r="67" spans="5:13" ht="18" customHeight="1">
      <c r="E67" s="235"/>
    </row>
    <row r="68" spans="5:13" ht="18" customHeight="1">
      <c r="E68" s="235"/>
      <c r="M68" s="38"/>
    </row>
    <row r="69" spans="5:13">
      <c r="E69" s="235"/>
      <c r="M69" s="54"/>
    </row>
    <row r="70" spans="5:13" ht="18" customHeight="1">
      <c r="E70" s="235"/>
      <c r="M70" s="54"/>
    </row>
    <row r="71" spans="5:13" ht="18" customHeight="1">
      <c r="E71" s="235"/>
      <c r="M71" s="54"/>
    </row>
    <row r="72" spans="5:13" ht="18" customHeight="1">
      <c r="E72" s="235"/>
      <c r="M72" s="54"/>
    </row>
    <row r="73" spans="5:13" ht="18" customHeight="1">
      <c r="E73" s="235"/>
      <c r="M73" s="54"/>
    </row>
    <row r="74" spans="5:13" ht="18" customHeight="1">
      <c r="E74" s="235"/>
      <c r="M74" s="54"/>
    </row>
    <row r="75" spans="5:13" ht="18" customHeight="1">
      <c r="E75" s="235"/>
      <c r="M75" s="54"/>
    </row>
    <row r="76" spans="5:13">
      <c r="E76" s="235"/>
    </row>
    <row r="77" spans="5:13">
      <c r="E77" s="235"/>
    </row>
    <row r="78" spans="5:13">
      <c r="E78" s="236"/>
      <c r="F78" s="55"/>
      <c r="G78" s="55"/>
      <c r="H78" s="55"/>
      <c r="I78" s="55"/>
      <c r="J78" s="55"/>
      <c r="K78" s="55"/>
      <c r="L78" s="55"/>
    </row>
    <row r="79" spans="5:13">
      <c r="E79" s="235"/>
    </row>
    <row r="80" spans="5:13">
      <c r="E80" s="235"/>
    </row>
    <row r="81" spans="5:5">
      <c r="E81" s="235"/>
    </row>
    <row r="82" spans="5:5">
      <c r="E82" s="235"/>
    </row>
    <row r="83" spans="5:5">
      <c r="E83" s="235"/>
    </row>
    <row r="84" spans="5:5">
      <c r="E84" s="235"/>
    </row>
    <row r="85" spans="5:5">
      <c r="E85" s="235"/>
    </row>
    <row r="86" spans="5:5">
      <c r="E86" s="235"/>
    </row>
    <row r="87" spans="5:5">
      <c r="E87" s="235"/>
    </row>
    <row r="88" spans="5:5">
      <c r="E88" s="235"/>
    </row>
    <row r="89" spans="5:5">
      <c r="E89" s="235"/>
    </row>
    <row r="90" spans="5:5">
      <c r="E90" s="235"/>
    </row>
    <row r="91" spans="5:5">
      <c r="E91" s="235"/>
    </row>
    <row r="92" spans="5:5">
      <c r="E92" s="235"/>
    </row>
    <row r="93" spans="5:5">
      <c r="E93" s="235"/>
    </row>
    <row r="94" spans="5:5">
      <c r="E94" s="235"/>
    </row>
    <row r="95" spans="5:5">
      <c r="E95" s="235"/>
    </row>
    <row r="96" spans="5:5">
      <c r="E96" s="235"/>
    </row>
    <row r="97" spans="1:15">
      <c r="E97" s="235"/>
    </row>
    <row r="98" spans="1:15">
      <c r="E98" s="235"/>
    </row>
    <row r="99" spans="1:15">
      <c r="E99" s="235"/>
    </row>
    <row r="100" spans="1:15">
      <c r="E100" s="235"/>
    </row>
    <row r="101" spans="1:15">
      <c r="E101" s="235"/>
    </row>
    <row r="102" spans="1:15">
      <c r="E102" s="235"/>
    </row>
    <row r="103" spans="1:15">
      <c r="E103" s="235"/>
    </row>
    <row r="104" spans="1:15" ht="12.75" hidden="1" customHeight="1">
      <c r="A104" s="167" t="s">
        <v>157</v>
      </c>
      <c r="B104" s="167" t="s">
        <v>158</v>
      </c>
      <c r="C104" s="168" t="str">
        <f>" Tank Vent Sizing - Version " &amp; CurrRev</f>
        <v xml:space="preserve"> Tank Vent Sizing - Version 2.2</v>
      </c>
      <c r="D104" s="237"/>
      <c r="E104" s="237"/>
      <c r="F104" s="237"/>
      <c r="G104" s="237"/>
      <c r="H104" s="237"/>
      <c r="I104" s="238"/>
      <c r="J104" s="238"/>
      <c r="K104" s="237"/>
      <c r="L104" s="239" t="s">
        <v>159</v>
      </c>
      <c r="M104" s="33"/>
    </row>
    <row r="105" spans="1:15" ht="12.75" hidden="1" customHeight="1">
      <c r="A105" s="34"/>
      <c r="B105" s="34"/>
      <c r="C105" s="784" t="s">
        <v>160</v>
      </c>
      <c r="D105" s="785"/>
      <c r="E105" s="785"/>
      <c r="F105" s="785"/>
      <c r="G105" s="785"/>
      <c r="H105" s="785"/>
      <c r="I105" s="785"/>
      <c r="J105" s="785"/>
      <c r="K105" s="785"/>
      <c r="L105" s="785"/>
      <c r="M105" s="786"/>
    </row>
    <row r="106" spans="1:15" ht="24.75" hidden="1" customHeight="1">
      <c r="A106" s="35"/>
      <c r="B106" s="35">
        <v>1</v>
      </c>
      <c r="C106" s="36"/>
      <c r="D106" s="169" t="s">
        <v>161</v>
      </c>
      <c r="E106" s="199" t="s">
        <v>185</v>
      </c>
      <c r="F106" s="38"/>
      <c r="G106" s="38"/>
      <c r="H106" s="38"/>
      <c r="I106" s="38"/>
      <c r="J106" s="39"/>
      <c r="K106" s="39"/>
      <c r="L106" s="40"/>
      <c r="M106" s="41"/>
    </row>
    <row r="107" spans="1:15" ht="16.5" hidden="1" customHeight="1">
      <c r="A107" s="35"/>
      <c r="B107" s="35">
        <v>2</v>
      </c>
      <c r="C107" s="42"/>
      <c r="D107" s="170" t="s">
        <v>162</v>
      </c>
      <c r="E107" s="821" t="s">
        <v>163</v>
      </c>
      <c r="F107" s="821"/>
      <c r="G107" s="821"/>
      <c r="H107" s="201"/>
      <c r="I107" s="38"/>
      <c r="J107" s="834" t="s">
        <v>164</v>
      </c>
      <c r="K107" s="835"/>
      <c r="L107" s="835"/>
      <c r="M107" s="836"/>
      <c r="O107" s="32" t="s">
        <v>204</v>
      </c>
    </row>
    <row r="108" spans="1:15" ht="12.75" hidden="1" customHeight="1">
      <c r="A108" s="35"/>
      <c r="B108" s="35">
        <v>3</v>
      </c>
      <c r="C108" s="42"/>
      <c r="D108" s="170" t="s">
        <v>165</v>
      </c>
      <c r="E108" s="821" t="s">
        <v>166</v>
      </c>
      <c r="F108" s="821"/>
      <c r="G108" s="821"/>
      <c r="H108" s="201"/>
      <c r="I108" s="38"/>
      <c r="J108" s="795" t="s">
        <v>204</v>
      </c>
      <c r="K108" s="795"/>
      <c r="L108" s="795"/>
      <c r="M108" s="796"/>
      <c r="O108" s="32" t="s">
        <v>203</v>
      </c>
    </row>
    <row r="109" spans="1:15" ht="12.75" hidden="1" customHeight="1">
      <c r="A109" s="35"/>
      <c r="B109" s="35">
        <v>4</v>
      </c>
      <c r="C109" s="42"/>
      <c r="D109" s="170" t="s">
        <v>167</v>
      </c>
      <c r="E109" s="821" t="s">
        <v>186</v>
      </c>
      <c r="F109" s="821"/>
      <c r="G109" s="821"/>
      <c r="H109" s="201"/>
      <c r="I109" s="38"/>
      <c r="J109" s="38"/>
      <c r="K109" s="38"/>
      <c r="L109" s="43"/>
      <c r="M109" s="100"/>
    </row>
    <row r="110" spans="1:15" ht="15" hidden="1" customHeight="1">
      <c r="A110" s="35"/>
      <c r="B110" s="35">
        <v>5</v>
      </c>
      <c r="C110" s="42"/>
      <c r="D110" s="170" t="s">
        <v>168</v>
      </c>
      <c r="E110" s="246" t="s">
        <v>306</v>
      </c>
      <c r="F110" s="38"/>
      <c r="G110" s="38"/>
      <c r="H110" s="38"/>
      <c r="I110" s="38"/>
      <c r="J110" s="38"/>
      <c r="K110" s="38"/>
      <c r="L110" s="43"/>
      <c r="M110" s="101"/>
    </row>
    <row r="111" spans="1:15" ht="12.75" hidden="1" customHeight="1">
      <c r="A111" s="35"/>
      <c r="B111" s="35">
        <v>6</v>
      </c>
      <c r="C111" s="42"/>
      <c r="D111" s="170" t="s">
        <v>169</v>
      </c>
      <c r="E111" s="245"/>
      <c r="F111" s="38"/>
      <c r="G111" s="38"/>
      <c r="H111" s="38"/>
      <c r="I111" s="38"/>
      <c r="J111" s="38"/>
      <c r="K111" s="38"/>
      <c r="L111" s="43"/>
      <c r="M111" s="101"/>
    </row>
    <row r="112" spans="1:15" ht="12.75" hidden="1" customHeight="1">
      <c r="A112" s="35"/>
      <c r="B112" s="35">
        <v>7</v>
      </c>
      <c r="C112" s="42"/>
      <c r="D112" s="170" t="s">
        <v>170</v>
      </c>
      <c r="E112" s="245" t="s">
        <v>187</v>
      </c>
      <c r="F112" s="38"/>
      <c r="G112" s="38"/>
      <c r="H112" s="38"/>
      <c r="I112" s="38"/>
      <c r="J112" s="38"/>
      <c r="K112" s="38"/>
      <c r="L112" s="43"/>
      <c r="M112" s="101"/>
    </row>
    <row r="113" spans="1:16" ht="12.75" hidden="1" customHeight="1">
      <c r="A113" s="35"/>
      <c r="B113" s="35">
        <v>8</v>
      </c>
      <c r="C113" s="42"/>
      <c r="D113" s="169" t="s">
        <v>171</v>
      </c>
      <c r="E113" s="44">
        <v>41813</v>
      </c>
      <c r="F113" s="172" t="s">
        <v>172</v>
      </c>
      <c r="G113" s="172"/>
      <c r="H113" s="172"/>
      <c r="I113" s="38"/>
      <c r="J113" s="38"/>
      <c r="K113" s="38"/>
      <c r="L113" s="43"/>
      <c r="M113" s="101"/>
    </row>
    <row r="114" spans="1:16" ht="12.75" hidden="1" customHeight="1">
      <c r="A114" s="35"/>
      <c r="B114" s="35">
        <v>9</v>
      </c>
      <c r="C114" s="42"/>
      <c r="D114" s="170" t="s">
        <v>173</v>
      </c>
      <c r="E114" s="245"/>
      <c r="F114" s="38"/>
      <c r="G114" s="38"/>
      <c r="H114" s="38"/>
      <c r="I114" s="38"/>
      <c r="J114" s="38"/>
      <c r="K114" s="38"/>
      <c r="L114" s="43"/>
      <c r="M114" s="101"/>
    </row>
    <row r="115" spans="1:16" ht="12.75" hidden="1" customHeight="1">
      <c r="A115" s="35"/>
      <c r="B115" s="35">
        <v>10</v>
      </c>
      <c r="C115" s="42"/>
      <c r="D115" s="169" t="s">
        <v>174</v>
      </c>
      <c r="E115" s="207"/>
      <c r="F115" s="172" t="s">
        <v>172</v>
      </c>
      <c r="G115" s="172"/>
      <c r="H115" s="172"/>
      <c r="I115" s="38"/>
      <c r="J115" s="38"/>
      <c r="K115" s="38"/>
      <c r="L115" s="43"/>
      <c r="M115" s="101"/>
      <c r="O115" s="10" t="s">
        <v>328</v>
      </c>
    </row>
    <row r="116" spans="1:16" ht="12.75" hidden="1" customHeight="1">
      <c r="A116" s="35"/>
      <c r="B116" s="35">
        <v>11</v>
      </c>
      <c r="C116" s="42"/>
      <c r="D116" s="169" t="s">
        <v>175</v>
      </c>
      <c r="E116" s="821" t="s">
        <v>188</v>
      </c>
      <c r="F116" s="821"/>
      <c r="G116" s="821"/>
      <c r="H116" s="201"/>
      <c r="I116" s="39"/>
      <c r="J116" s="38"/>
      <c r="K116" s="38"/>
      <c r="L116" s="43"/>
      <c r="M116" s="101"/>
      <c r="O116" s="10" t="s">
        <v>327</v>
      </c>
    </row>
    <row r="117" spans="1:16" ht="12.75" hidden="1" customHeight="1">
      <c r="A117" s="35"/>
      <c r="B117" s="45">
        <v>12</v>
      </c>
      <c r="C117" s="39"/>
      <c r="D117" s="171" t="s">
        <v>176</v>
      </c>
      <c r="E117" s="822" t="s">
        <v>189</v>
      </c>
      <c r="F117" s="821"/>
      <c r="G117" s="821"/>
      <c r="H117" s="201"/>
      <c r="I117" s="39"/>
      <c r="J117" s="38"/>
      <c r="K117" s="38"/>
      <c r="L117" s="43"/>
      <c r="M117" s="101"/>
    </row>
    <row r="118" spans="1:16" ht="12.75" hidden="1" customHeight="1">
      <c r="A118" s="35"/>
      <c r="B118" s="45">
        <v>13</v>
      </c>
      <c r="C118" s="828" t="s">
        <v>177</v>
      </c>
      <c r="D118" s="829"/>
      <c r="E118" s="830"/>
      <c r="F118" s="38"/>
      <c r="G118" s="38"/>
      <c r="H118" s="38"/>
      <c r="I118" s="38"/>
      <c r="J118" s="38"/>
      <c r="K118" s="38"/>
      <c r="L118" s="43"/>
      <c r="M118" s="101"/>
    </row>
    <row r="119" spans="1:16" ht="12.75" hidden="1" customHeight="1">
      <c r="A119" s="35"/>
      <c r="B119" s="45">
        <v>14</v>
      </c>
      <c r="C119" s="36"/>
      <c r="D119" s="169" t="s">
        <v>294</v>
      </c>
      <c r="E119" s="823" t="s">
        <v>182</v>
      </c>
      <c r="F119" s="821"/>
      <c r="G119" s="821"/>
      <c r="H119" s="201"/>
      <c r="I119" s="39"/>
      <c r="J119" s="38"/>
      <c r="K119" s="38"/>
      <c r="L119" s="43"/>
      <c r="M119" s="101"/>
    </row>
    <row r="120" spans="1:16" ht="12.75" hidden="1" customHeight="1">
      <c r="A120" s="35"/>
      <c r="B120" s="45">
        <v>15</v>
      </c>
      <c r="C120" s="42"/>
      <c r="D120" s="170" t="s">
        <v>178</v>
      </c>
      <c r="E120" s="246"/>
      <c r="F120" s="38"/>
      <c r="G120" s="38"/>
      <c r="H120" s="38"/>
      <c r="I120" s="38"/>
      <c r="J120" s="38"/>
      <c r="K120" s="38"/>
      <c r="L120" s="43"/>
      <c r="M120" s="101"/>
    </row>
    <row r="121" spans="1:16" ht="12.75" hidden="1" customHeight="1">
      <c r="A121" s="35"/>
      <c r="B121" s="45">
        <v>16</v>
      </c>
      <c r="C121" s="42"/>
      <c r="D121" s="170" t="s">
        <v>179</v>
      </c>
      <c r="E121" s="230">
        <v>14.699999785786758</v>
      </c>
      <c r="F121" s="172" t="s">
        <v>278</v>
      </c>
      <c r="G121" s="47"/>
      <c r="H121" s="47"/>
      <c r="I121" s="39"/>
      <c r="J121" s="38"/>
      <c r="K121" s="38"/>
      <c r="L121" s="43"/>
      <c r="M121" s="101"/>
    </row>
    <row r="122" spans="1:16" ht="12.75" hidden="1" customHeight="1">
      <c r="A122" s="35"/>
      <c r="B122" s="45">
        <v>17</v>
      </c>
      <c r="C122" s="39"/>
      <c r="D122" s="39"/>
      <c r="E122" s="231"/>
      <c r="F122" s="39"/>
      <c r="G122" s="39"/>
      <c r="H122" s="39"/>
      <c r="I122" s="38"/>
      <c r="J122" s="38"/>
      <c r="K122" s="38"/>
      <c r="L122" s="43"/>
      <c r="M122" s="101"/>
    </row>
    <row r="123" spans="1:16" ht="12.75" hidden="1" customHeight="1">
      <c r="A123" s="35"/>
      <c r="B123" s="45">
        <v>18</v>
      </c>
      <c r="C123" s="48"/>
      <c r="D123" s="39"/>
      <c r="E123" s="231"/>
      <c r="F123" s="39"/>
      <c r="G123" s="39"/>
      <c r="H123" s="39"/>
      <c r="I123" s="39"/>
      <c r="J123" s="38"/>
      <c r="K123" s="49"/>
      <c r="L123" s="43"/>
      <c r="M123" s="101"/>
    </row>
    <row r="124" spans="1:16" ht="12.75" hidden="1" customHeight="1">
      <c r="A124" s="35"/>
      <c r="B124" s="45">
        <v>19</v>
      </c>
      <c r="C124" s="48"/>
      <c r="D124" s="39"/>
      <c r="E124" s="231"/>
      <c r="F124" s="39"/>
      <c r="G124" s="39"/>
      <c r="H124" s="39"/>
      <c r="I124" s="39"/>
      <c r="J124" s="38"/>
      <c r="K124" s="50"/>
      <c r="L124" s="43"/>
      <c r="M124" s="101"/>
    </row>
    <row r="125" spans="1:16" ht="12.75" hidden="1" customHeight="1">
      <c r="A125" s="35"/>
      <c r="B125" s="45">
        <v>20</v>
      </c>
      <c r="C125" s="48"/>
      <c r="D125" s="39"/>
      <c r="E125" s="231"/>
      <c r="F125" s="39"/>
      <c r="G125" s="39"/>
      <c r="H125" s="39"/>
      <c r="I125" s="39"/>
      <c r="J125" s="38"/>
      <c r="K125" s="39"/>
      <c r="L125" s="43"/>
      <c r="M125" s="101"/>
    </row>
    <row r="126" spans="1:16" ht="15" hidden="1" customHeight="1">
      <c r="A126" s="35"/>
      <c r="B126" s="45"/>
      <c r="C126" s="48"/>
      <c r="D126" s="39"/>
      <c r="E126" s="231"/>
      <c r="F126" s="39"/>
      <c r="G126" s="39"/>
      <c r="H126" s="39"/>
      <c r="I126" s="39"/>
      <c r="J126" s="38"/>
      <c r="K126" s="38"/>
      <c r="L126" s="43"/>
      <c r="M126" s="102"/>
      <c r="O126" s="26" t="s">
        <v>184</v>
      </c>
      <c r="P126" s="26" t="s">
        <v>154</v>
      </c>
    </row>
    <row r="127" spans="1:16" ht="12.75" hidden="1" customHeight="1">
      <c r="A127" s="35"/>
      <c r="B127" s="45"/>
      <c r="C127" s="831" t="s">
        <v>282</v>
      </c>
      <c r="D127" s="832"/>
      <c r="E127" s="832"/>
      <c r="F127" s="832"/>
      <c r="G127" s="832"/>
      <c r="H127" s="832"/>
      <c r="I127" s="832"/>
      <c r="J127" s="832"/>
      <c r="K127" s="832"/>
      <c r="L127" s="832"/>
      <c r="M127" s="833"/>
      <c r="O127" s="91" t="s">
        <v>34</v>
      </c>
      <c r="P127" s="91" t="s">
        <v>143</v>
      </c>
    </row>
    <row r="128" spans="1:16" ht="12.75" hidden="1" customHeight="1">
      <c r="A128" s="806"/>
      <c r="B128" s="804"/>
      <c r="C128" s="52" t="s">
        <v>280</v>
      </c>
      <c r="D128" s="51" t="s">
        <v>180</v>
      </c>
      <c r="E128" s="232" t="s">
        <v>205</v>
      </c>
      <c r="F128" s="51" t="s">
        <v>210</v>
      </c>
      <c r="G128" s="51" t="s">
        <v>206</v>
      </c>
      <c r="H128" s="51" t="s">
        <v>207</v>
      </c>
      <c r="I128" s="51" t="s">
        <v>208</v>
      </c>
      <c r="J128" s="51" t="s">
        <v>209</v>
      </c>
      <c r="K128" s="51" t="s">
        <v>281</v>
      </c>
      <c r="L128" s="51" t="s">
        <v>329</v>
      </c>
      <c r="M128" s="51" t="s">
        <v>181</v>
      </c>
      <c r="O128" s="27" t="s">
        <v>69</v>
      </c>
      <c r="P128" s="27" t="s">
        <v>16</v>
      </c>
    </row>
    <row r="129" spans="1:16" ht="12.75" hidden="1" customHeight="1">
      <c r="A129" s="807"/>
      <c r="B129" s="805"/>
      <c r="C129" s="244"/>
      <c r="D129" s="53"/>
      <c r="E129" s="104" t="s">
        <v>35</v>
      </c>
      <c r="F129" s="104" t="s">
        <v>35</v>
      </c>
      <c r="G129" s="104" t="s">
        <v>184</v>
      </c>
      <c r="H129" s="104" t="s">
        <v>35</v>
      </c>
      <c r="I129" s="104" t="s">
        <v>35</v>
      </c>
      <c r="J129" s="104" t="s">
        <v>35</v>
      </c>
      <c r="K129" s="104" t="s">
        <v>35</v>
      </c>
      <c r="L129" s="104" t="s">
        <v>35</v>
      </c>
      <c r="M129" s="105" t="s">
        <v>307</v>
      </c>
      <c r="O129" s="91" t="s">
        <v>90</v>
      </c>
      <c r="P129" s="91" t="s">
        <v>14</v>
      </c>
    </row>
    <row r="130" spans="1:16" ht="12.75" hidden="1" customHeight="1">
      <c r="A130" s="806"/>
      <c r="B130" s="817">
        <v>25</v>
      </c>
      <c r="C130" s="787" t="s">
        <v>182</v>
      </c>
      <c r="D130" s="787" t="s">
        <v>183</v>
      </c>
      <c r="E130" s="789">
        <v>43.999999999999972</v>
      </c>
      <c r="F130" s="789">
        <v>39.999999999999858</v>
      </c>
      <c r="G130" s="839">
        <v>60821.233773498097</v>
      </c>
      <c r="H130" s="789">
        <v>1.9999999999999944</v>
      </c>
      <c r="I130" s="789">
        <v>37.999999999999979</v>
      </c>
      <c r="J130" s="800">
        <v>39.999999999999858</v>
      </c>
      <c r="K130" s="802">
        <v>9.14</v>
      </c>
      <c r="L130" s="789">
        <v>0</v>
      </c>
      <c r="M130" s="789">
        <v>1.5</v>
      </c>
      <c r="O130" s="27" t="s">
        <v>35</v>
      </c>
      <c r="P130" s="91" t="s">
        <v>103</v>
      </c>
    </row>
    <row r="131" spans="1:16" ht="12.75" hidden="1" customHeight="1">
      <c r="A131" s="807"/>
      <c r="B131" s="818"/>
      <c r="C131" s="788"/>
      <c r="D131" s="788"/>
      <c r="E131" s="790"/>
      <c r="F131" s="797"/>
      <c r="G131" s="799"/>
      <c r="H131" s="791"/>
      <c r="I131" s="791"/>
      <c r="J131" s="801"/>
      <c r="K131" s="803"/>
      <c r="L131" s="791"/>
      <c r="M131" s="791"/>
      <c r="O131" s="91" t="s">
        <v>147</v>
      </c>
      <c r="P131" s="91" t="s">
        <v>105</v>
      </c>
    </row>
    <row r="132" spans="1:16" ht="42" hidden="1" customHeight="1">
      <c r="A132" s="806"/>
      <c r="B132" s="804"/>
      <c r="C132" s="52" t="s">
        <v>283</v>
      </c>
      <c r="D132" s="51" t="s">
        <v>64</v>
      </c>
      <c r="E132" s="232" t="s">
        <v>284</v>
      </c>
      <c r="F132" s="51" t="s">
        <v>285</v>
      </c>
      <c r="G132" s="51" t="s">
        <v>286</v>
      </c>
      <c r="H132" s="51" t="s">
        <v>287</v>
      </c>
      <c r="I132" s="51" t="s">
        <v>288</v>
      </c>
      <c r="J132" s="51" t="s">
        <v>289</v>
      </c>
      <c r="K132" s="51" t="s">
        <v>290</v>
      </c>
      <c r="L132" s="51" t="s">
        <v>320</v>
      </c>
      <c r="M132" s="51" t="s">
        <v>331</v>
      </c>
      <c r="O132" s="27" t="s">
        <v>155</v>
      </c>
      <c r="P132" s="27" t="s">
        <v>156</v>
      </c>
    </row>
    <row r="133" spans="1:16" ht="12.75" hidden="1" customHeight="1">
      <c r="A133" s="807"/>
      <c r="B133" s="805"/>
      <c r="C133" s="244"/>
      <c r="D133" s="53"/>
      <c r="E133" s="104" t="s">
        <v>69</v>
      </c>
      <c r="F133" s="104" t="s">
        <v>69</v>
      </c>
      <c r="G133" s="104" t="s">
        <v>54</v>
      </c>
      <c r="H133" s="104" t="s">
        <v>296</v>
      </c>
      <c r="I133" s="104" t="s">
        <v>69</v>
      </c>
      <c r="J133" s="104" t="s">
        <v>296</v>
      </c>
      <c r="K133" s="104" t="s">
        <v>69</v>
      </c>
      <c r="L133" s="104" t="s">
        <v>278</v>
      </c>
      <c r="M133" s="104" t="s">
        <v>295</v>
      </c>
      <c r="O133" s="91" t="s">
        <v>44</v>
      </c>
      <c r="P133" s="91" t="s">
        <v>142</v>
      </c>
    </row>
    <row r="134" spans="1:16" ht="12.75" hidden="1" customHeight="1">
      <c r="A134" s="806"/>
      <c r="B134" s="817">
        <v>28</v>
      </c>
      <c r="C134" s="787"/>
      <c r="D134" s="789">
        <v>86.1</v>
      </c>
      <c r="E134" s="789">
        <v>0</v>
      </c>
      <c r="F134" s="789">
        <v>0</v>
      </c>
      <c r="G134" s="789">
        <v>156.69999999999999</v>
      </c>
      <c r="H134" s="789">
        <v>0</v>
      </c>
      <c r="I134" s="789">
        <v>104</v>
      </c>
      <c r="J134" s="800">
        <v>0</v>
      </c>
      <c r="K134" s="789">
        <v>104</v>
      </c>
      <c r="L134" s="789">
        <v>0</v>
      </c>
      <c r="M134" s="789">
        <v>0</v>
      </c>
      <c r="O134" s="29" t="s">
        <v>88</v>
      </c>
      <c r="P134" s="91" t="s">
        <v>144</v>
      </c>
    </row>
    <row r="135" spans="1:16" ht="12.75" hidden="1" customHeight="1">
      <c r="A135" s="807"/>
      <c r="B135" s="818"/>
      <c r="C135" s="788"/>
      <c r="D135" s="788"/>
      <c r="E135" s="790"/>
      <c r="F135" s="788"/>
      <c r="G135" s="791"/>
      <c r="H135" s="791"/>
      <c r="I135" s="791"/>
      <c r="J135" s="801"/>
      <c r="K135" s="791"/>
      <c r="L135" s="791"/>
      <c r="M135" s="791"/>
      <c r="O135" s="91" t="s">
        <v>34</v>
      </c>
      <c r="P135" s="91" t="s">
        <v>143</v>
      </c>
    </row>
    <row r="136" spans="1:16" ht="49.5" hidden="1" customHeight="1">
      <c r="A136" s="806"/>
      <c r="B136" s="804"/>
      <c r="C136" s="813" t="s">
        <v>293</v>
      </c>
      <c r="D136" s="842"/>
      <c r="E136" s="234"/>
      <c r="F136" s="203"/>
      <c r="G136" s="203"/>
      <c r="H136" s="243"/>
      <c r="I136" s="51" t="s">
        <v>321</v>
      </c>
      <c r="J136" s="51" t="s">
        <v>322</v>
      </c>
      <c r="K136" s="51" t="s">
        <v>292</v>
      </c>
      <c r="L136" s="51" t="s">
        <v>291</v>
      </c>
      <c r="M136" s="241"/>
      <c r="O136" s="91" t="s">
        <v>115</v>
      </c>
      <c r="P136" s="91" t="s">
        <v>116</v>
      </c>
    </row>
    <row r="137" spans="1:16" ht="12.75" hidden="1" customHeight="1">
      <c r="A137" s="807"/>
      <c r="B137" s="805"/>
      <c r="C137" s="815"/>
      <c r="D137" s="843"/>
      <c r="E137" s="233"/>
      <c r="F137" s="205"/>
      <c r="G137" s="205"/>
      <c r="H137" s="206"/>
      <c r="I137" s="104" t="s">
        <v>297</v>
      </c>
      <c r="J137" s="104" t="s">
        <v>298</v>
      </c>
      <c r="K137" s="104" t="s">
        <v>34</v>
      </c>
      <c r="L137" s="104" t="s">
        <v>34</v>
      </c>
      <c r="M137" s="281"/>
      <c r="O137" s="91" t="s">
        <v>145</v>
      </c>
      <c r="P137" s="91" t="s">
        <v>146</v>
      </c>
    </row>
    <row r="138" spans="1:16" ht="12.75" hidden="1" customHeight="1">
      <c r="A138" s="806"/>
      <c r="B138" s="817">
        <v>31</v>
      </c>
      <c r="C138" s="808"/>
      <c r="D138" s="810"/>
      <c r="E138" s="840"/>
      <c r="F138" s="810"/>
      <c r="G138" s="824"/>
      <c r="H138" s="826"/>
      <c r="I138" s="789">
        <v>0</v>
      </c>
      <c r="J138" s="800">
        <v>0</v>
      </c>
      <c r="K138" s="789">
        <v>279.99999072947747</v>
      </c>
      <c r="L138" s="789">
        <v>249.99999172274778</v>
      </c>
      <c r="M138" s="819"/>
      <c r="O138" s="91" t="s">
        <v>88</v>
      </c>
      <c r="P138" s="91" t="s">
        <v>144</v>
      </c>
    </row>
    <row r="139" spans="1:16" ht="12.75" hidden="1" customHeight="1">
      <c r="A139" s="807"/>
      <c r="B139" s="818"/>
      <c r="C139" s="809"/>
      <c r="D139" s="811"/>
      <c r="E139" s="841"/>
      <c r="F139" s="811"/>
      <c r="G139" s="825"/>
      <c r="H139" s="827"/>
      <c r="I139" s="791"/>
      <c r="J139" s="801"/>
      <c r="K139" s="791"/>
      <c r="L139" s="791"/>
      <c r="M139" s="820"/>
      <c r="O139" s="91" t="s">
        <v>88</v>
      </c>
      <c r="P139" s="91" t="s">
        <v>144</v>
      </c>
    </row>
    <row r="140" spans="1:16" hidden="1">
      <c r="O140" s="91" t="s">
        <v>88</v>
      </c>
      <c r="P140" s="91" t="s">
        <v>144</v>
      </c>
    </row>
    <row r="141" spans="1:16" hidden="1">
      <c r="C141" s="52"/>
      <c r="D141" s="51"/>
      <c r="E141" s="51"/>
      <c r="F141" s="51"/>
      <c r="G141" s="51"/>
      <c r="H141" s="51"/>
      <c r="I141" s="51"/>
      <c r="J141" s="51"/>
      <c r="K141" s="51"/>
      <c r="L141" s="51"/>
      <c r="M141" s="51"/>
      <c r="O141" s="27" t="s">
        <v>45</v>
      </c>
      <c r="P141" s="91" t="s">
        <v>117</v>
      </c>
    </row>
    <row r="142" spans="1:16" hidden="1">
      <c r="C142" s="103"/>
      <c r="D142" s="53"/>
      <c r="E142" s="104" t="s">
        <v>35</v>
      </c>
      <c r="F142" s="104" t="s">
        <v>35</v>
      </c>
      <c r="G142" s="104" t="s">
        <v>184</v>
      </c>
      <c r="H142" s="104" t="s">
        <v>35</v>
      </c>
      <c r="I142" s="104" t="s">
        <v>35</v>
      </c>
      <c r="J142" s="104" t="s">
        <v>35</v>
      </c>
      <c r="K142" s="104" t="s">
        <v>35</v>
      </c>
      <c r="L142" s="104" t="s">
        <v>35</v>
      </c>
      <c r="M142" s="105" t="s">
        <v>307</v>
      </c>
      <c r="O142" s="27" t="s">
        <v>54</v>
      </c>
      <c r="P142" s="91" t="s">
        <v>118</v>
      </c>
    </row>
    <row r="143" spans="1:16" hidden="1">
      <c r="C143" s="787"/>
      <c r="D143" s="787"/>
      <c r="E143" s="844"/>
      <c r="F143" s="787"/>
      <c r="G143" s="845"/>
      <c r="H143" s="844"/>
      <c r="I143" s="844"/>
      <c r="J143" s="847"/>
      <c r="K143" s="844"/>
      <c r="L143" s="844"/>
      <c r="M143" s="844"/>
      <c r="O143" s="91" t="s">
        <v>62</v>
      </c>
      <c r="P143" s="91" t="s">
        <v>119</v>
      </c>
    </row>
    <row r="144" spans="1:16" hidden="1">
      <c r="C144" s="788"/>
      <c r="D144" s="788"/>
      <c r="E144" s="791"/>
      <c r="F144" s="788"/>
      <c r="G144" s="846"/>
      <c r="H144" s="791"/>
      <c r="I144" s="791"/>
      <c r="J144" s="801"/>
      <c r="K144" s="791"/>
      <c r="L144" s="791"/>
      <c r="M144" s="791"/>
      <c r="O144" s="91" t="s">
        <v>148</v>
      </c>
      <c r="P144" s="91" t="s">
        <v>149</v>
      </c>
    </row>
    <row r="145" spans="3:16" hidden="1">
      <c r="C145" s="52"/>
      <c r="D145" s="51"/>
      <c r="E145" s="51"/>
      <c r="F145" s="51"/>
      <c r="G145" s="51"/>
      <c r="H145" s="51"/>
      <c r="I145" s="51"/>
      <c r="J145" s="51"/>
      <c r="K145" s="51"/>
      <c r="L145" s="51"/>
      <c r="M145" s="51"/>
      <c r="O145" s="27" t="s">
        <v>44</v>
      </c>
      <c r="P145" s="91" t="s">
        <v>142</v>
      </c>
    </row>
    <row r="146" spans="3:16" hidden="1">
      <c r="C146" s="103"/>
      <c r="D146" s="53"/>
      <c r="E146" s="104" t="s">
        <v>69</v>
      </c>
      <c r="F146" s="104" t="s">
        <v>69</v>
      </c>
      <c r="G146" s="104" t="s">
        <v>54</v>
      </c>
      <c r="H146" s="104" t="s">
        <v>296</v>
      </c>
      <c r="I146" s="104" t="s">
        <v>69</v>
      </c>
      <c r="J146" s="104" t="s">
        <v>296</v>
      </c>
      <c r="K146" s="104" t="s">
        <v>69</v>
      </c>
      <c r="L146" s="104" t="s">
        <v>278</v>
      </c>
      <c r="M146" s="104" t="s">
        <v>295</v>
      </c>
      <c r="O146" s="91" t="s">
        <v>59</v>
      </c>
      <c r="P146" s="91" t="s">
        <v>120</v>
      </c>
    </row>
    <row r="147" spans="3:16" hidden="1">
      <c r="C147" s="787"/>
      <c r="D147" s="787"/>
      <c r="E147" s="844"/>
      <c r="F147" s="787"/>
      <c r="G147" s="844"/>
      <c r="H147" s="844"/>
      <c r="I147" s="844"/>
      <c r="J147" s="847"/>
      <c r="K147" s="844"/>
      <c r="L147" s="844"/>
      <c r="M147" s="844"/>
      <c r="O147" s="91" t="s">
        <v>88</v>
      </c>
      <c r="P147" s="91" t="s">
        <v>144</v>
      </c>
    </row>
    <row r="148" spans="3:16" hidden="1">
      <c r="C148" s="788"/>
      <c r="D148" s="788"/>
      <c r="E148" s="791"/>
      <c r="F148" s="788"/>
      <c r="G148" s="791"/>
      <c r="H148" s="791"/>
      <c r="I148" s="791"/>
      <c r="J148" s="801"/>
      <c r="K148" s="791"/>
      <c r="L148" s="791"/>
      <c r="M148" s="791"/>
      <c r="O148" s="91" t="s">
        <v>88</v>
      </c>
      <c r="P148" s="91" t="s">
        <v>144</v>
      </c>
    </row>
    <row r="149" spans="3:16" hidden="1">
      <c r="C149" s="813"/>
      <c r="D149" s="842"/>
      <c r="E149" s="202"/>
      <c r="F149" s="203"/>
      <c r="G149" s="203"/>
      <c r="H149" s="204"/>
      <c r="I149" s="51"/>
      <c r="J149" s="51"/>
      <c r="K149" s="51"/>
      <c r="L149" s="51"/>
      <c r="M149" s="51"/>
      <c r="O149" s="91" t="s">
        <v>88</v>
      </c>
      <c r="P149" s="91" t="s">
        <v>144</v>
      </c>
    </row>
    <row r="150" spans="3:16" hidden="1">
      <c r="C150" s="815"/>
      <c r="D150" s="843"/>
      <c r="E150" s="104"/>
      <c r="F150" s="205"/>
      <c r="G150" s="205"/>
      <c r="H150" s="206"/>
      <c r="I150" s="104" t="s">
        <v>297</v>
      </c>
      <c r="J150" s="104" t="s">
        <v>298</v>
      </c>
      <c r="K150" s="104" t="s">
        <v>34</v>
      </c>
      <c r="L150" s="104" t="s">
        <v>34</v>
      </c>
      <c r="M150" s="105"/>
      <c r="O150" s="91" t="s">
        <v>88</v>
      </c>
      <c r="P150" s="91" t="s">
        <v>144</v>
      </c>
    </row>
    <row r="151" spans="3:16" hidden="1">
      <c r="C151" s="808"/>
      <c r="D151" s="810"/>
      <c r="E151" s="824"/>
      <c r="F151" s="810"/>
      <c r="G151" s="824"/>
      <c r="H151" s="826"/>
      <c r="I151" s="844"/>
      <c r="J151" s="847"/>
      <c r="K151" s="844"/>
      <c r="L151" s="844"/>
      <c r="M151" s="844"/>
      <c r="O151" s="91"/>
      <c r="P151" s="91"/>
    </row>
    <row r="152" spans="3:16" hidden="1">
      <c r="C152" s="809"/>
      <c r="D152" s="811"/>
      <c r="E152" s="825"/>
      <c r="F152" s="811"/>
      <c r="G152" s="825"/>
      <c r="H152" s="827"/>
      <c r="I152" s="791"/>
      <c r="J152" s="801"/>
      <c r="K152" s="791"/>
      <c r="L152" s="791"/>
      <c r="M152" s="791"/>
    </row>
    <row r="153" spans="3:16" hidden="1">
      <c r="E153" s="51"/>
      <c r="F153" s="51"/>
      <c r="G153" s="51"/>
      <c r="H153" s="51"/>
      <c r="I153" s="51"/>
      <c r="J153" s="51"/>
      <c r="K153" s="51"/>
      <c r="L153" s="51"/>
      <c r="M153" s="51"/>
    </row>
    <row r="154" spans="3:16" hidden="1">
      <c r="E154" s="104" t="s">
        <v>103</v>
      </c>
      <c r="F154" s="104" t="s">
        <v>103</v>
      </c>
      <c r="G154" s="104" t="s">
        <v>154</v>
      </c>
      <c r="H154" s="104" t="s">
        <v>104</v>
      </c>
      <c r="I154" s="104" t="s">
        <v>103</v>
      </c>
      <c r="J154" s="104" t="s">
        <v>103</v>
      </c>
      <c r="K154" s="104" t="s">
        <v>103</v>
      </c>
      <c r="L154" s="104" t="s">
        <v>103</v>
      </c>
      <c r="M154" s="105" t="s">
        <v>149</v>
      </c>
    </row>
    <row r="155" spans="3:16" hidden="1">
      <c r="E155" s="844"/>
      <c r="F155" s="787"/>
      <c r="G155" s="845"/>
      <c r="H155" s="844"/>
      <c r="I155" s="844"/>
      <c r="J155" s="847"/>
      <c r="K155" s="844"/>
      <c r="L155" s="844"/>
      <c r="M155" s="844"/>
    </row>
    <row r="156" spans="3:16" hidden="1">
      <c r="E156" s="791"/>
      <c r="F156" s="788"/>
      <c r="G156" s="846"/>
      <c r="H156" s="791"/>
      <c r="I156" s="791"/>
      <c r="J156" s="801"/>
      <c r="K156" s="791"/>
      <c r="L156" s="791"/>
      <c r="M156" s="791"/>
    </row>
    <row r="157" spans="3:16" hidden="1">
      <c r="E157" s="51"/>
      <c r="F157" s="51"/>
      <c r="G157" s="51"/>
      <c r="H157" s="51"/>
      <c r="I157" s="51"/>
      <c r="J157" s="51"/>
      <c r="K157" s="51"/>
      <c r="L157" s="51"/>
      <c r="M157" s="51"/>
    </row>
    <row r="158" spans="3:16" hidden="1">
      <c r="E158" s="104" t="s">
        <v>16</v>
      </c>
      <c r="F158" s="104" t="s">
        <v>16</v>
      </c>
      <c r="G158" s="104" t="s">
        <v>301</v>
      </c>
      <c r="H158" s="104" t="s">
        <v>302</v>
      </c>
      <c r="I158" s="104" t="s">
        <v>16</v>
      </c>
      <c r="J158" s="104" t="s">
        <v>302</v>
      </c>
      <c r="K158" s="104" t="s">
        <v>16</v>
      </c>
      <c r="L158" s="104" t="s">
        <v>302</v>
      </c>
      <c r="M158" s="104" t="s">
        <v>300</v>
      </c>
    </row>
    <row r="159" spans="3:16" hidden="1">
      <c r="E159" s="844"/>
      <c r="F159" s="787"/>
      <c r="G159" s="844"/>
      <c r="H159" s="844"/>
      <c r="I159" s="844"/>
      <c r="J159" s="847"/>
      <c r="K159" s="844"/>
      <c r="L159" s="844"/>
      <c r="M159" s="844"/>
    </row>
    <row r="160" spans="3:16" hidden="1">
      <c r="E160" s="791"/>
      <c r="F160" s="788"/>
      <c r="G160" s="791"/>
      <c r="H160" s="791"/>
      <c r="I160" s="791"/>
      <c r="J160" s="801"/>
      <c r="K160" s="791"/>
      <c r="L160" s="791"/>
      <c r="M160" s="791"/>
    </row>
    <row r="161" spans="5:13" hidden="1">
      <c r="E161" s="202"/>
      <c r="F161" s="203"/>
      <c r="G161" s="203"/>
      <c r="H161" s="204"/>
      <c r="I161" s="51"/>
      <c r="J161" s="51"/>
      <c r="K161" s="51"/>
      <c r="L161" s="51"/>
      <c r="M161" s="51"/>
    </row>
    <row r="162" spans="5:13" hidden="1">
      <c r="E162" s="104"/>
      <c r="F162" s="205"/>
      <c r="G162" s="205"/>
      <c r="H162" s="206"/>
      <c r="I162" s="104" t="s">
        <v>303</v>
      </c>
      <c r="J162" s="104" t="s">
        <v>304</v>
      </c>
      <c r="K162" s="104" t="s">
        <v>305</v>
      </c>
      <c r="L162" s="104" t="s">
        <v>305</v>
      </c>
      <c r="M162" s="104"/>
    </row>
    <row r="163" spans="5:13" hidden="1">
      <c r="E163" s="824"/>
      <c r="F163" s="810"/>
      <c r="G163" s="824"/>
      <c r="H163" s="826"/>
      <c r="I163" s="844"/>
      <c r="J163" s="847"/>
      <c r="K163" s="844"/>
      <c r="L163" s="844"/>
      <c r="M163" s="844"/>
    </row>
    <row r="164" spans="5:13" hidden="1">
      <c r="E164" s="825"/>
      <c r="F164" s="811"/>
      <c r="G164" s="825"/>
      <c r="H164" s="827"/>
      <c r="I164" s="791"/>
      <c r="J164" s="801"/>
      <c r="K164" s="791"/>
      <c r="L164" s="791"/>
      <c r="M164" s="791"/>
    </row>
    <row r="269" spans="9:9">
      <c r="I269" s="38"/>
    </row>
  </sheetData>
  <sheetProtection formatCells="0"/>
  <customSheetViews>
    <customSheetView guid="{E5D99FF3-C22B-41B8-A40B-5D821532B165}" scale="85" showPageBreaks="1" showGridLines="0" printArea="1" hiddenRows="1" hiddenColumns="1" view="pageBreakPreview" topLeftCell="A4">
      <selection activeCell="I8" sqref="I8:L8"/>
      <pageMargins left="0.7" right="0.7" top="0.75" bottom="0.75" header="0.3" footer="0.3"/>
      <pageSetup scale="65" fitToWidth="0" fitToHeight="0" orientation="portrait" horizontalDpi="1200" verticalDpi="1200" r:id="rId1"/>
    </customSheetView>
  </customSheetViews>
  <mergeCells count="178">
    <mergeCell ref="J163:J164"/>
    <mergeCell ref="K163:K164"/>
    <mergeCell ref="L163:L164"/>
    <mergeCell ref="M163:M164"/>
    <mergeCell ref="E163:E164"/>
    <mergeCell ref="F163:F164"/>
    <mergeCell ref="G163:G164"/>
    <mergeCell ref="H163:H164"/>
    <mergeCell ref="I163:I164"/>
    <mergeCell ref="J155:J156"/>
    <mergeCell ref="K155:K156"/>
    <mergeCell ref="L155:L156"/>
    <mergeCell ref="M155:M156"/>
    <mergeCell ref="E159:E160"/>
    <mergeCell ref="F159:F160"/>
    <mergeCell ref="G159:G160"/>
    <mergeCell ref="H159:H160"/>
    <mergeCell ref="I159:I160"/>
    <mergeCell ref="J159:J160"/>
    <mergeCell ref="K159:K160"/>
    <mergeCell ref="L159:L160"/>
    <mergeCell ref="M159:M160"/>
    <mergeCell ref="E155:E156"/>
    <mergeCell ref="F155:F156"/>
    <mergeCell ref="G155:G156"/>
    <mergeCell ref="H155:H156"/>
    <mergeCell ref="I155:I156"/>
    <mergeCell ref="L151:L152"/>
    <mergeCell ref="M151:M152"/>
    <mergeCell ref="H147:H148"/>
    <mergeCell ref="I147:I148"/>
    <mergeCell ref="J147:J148"/>
    <mergeCell ref="K147:K148"/>
    <mergeCell ref="L147:L148"/>
    <mergeCell ref="C147:C148"/>
    <mergeCell ref="D147:D148"/>
    <mergeCell ref="E147:E148"/>
    <mergeCell ref="F147:F148"/>
    <mergeCell ref="G147:G148"/>
    <mergeCell ref="C151:C152"/>
    <mergeCell ref="D151:D152"/>
    <mergeCell ref="E151:E152"/>
    <mergeCell ref="F151:F152"/>
    <mergeCell ref="G151:G152"/>
    <mergeCell ref="H151:H152"/>
    <mergeCell ref="I151:I152"/>
    <mergeCell ref="J151:J152"/>
    <mergeCell ref="K151:K152"/>
    <mergeCell ref="L143:L144"/>
    <mergeCell ref="M143:M144"/>
    <mergeCell ref="F138:F139"/>
    <mergeCell ref="G138:G139"/>
    <mergeCell ref="H138:H139"/>
    <mergeCell ref="I138:I139"/>
    <mergeCell ref="J138:J139"/>
    <mergeCell ref="M147:M148"/>
    <mergeCell ref="C149:D150"/>
    <mergeCell ref="C143:C144"/>
    <mergeCell ref="D143:D144"/>
    <mergeCell ref="E143:E144"/>
    <mergeCell ref="F143:F144"/>
    <mergeCell ref="G143:G144"/>
    <mergeCell ref="H143:H144"/>
    <mergeCell ref="I143:I144"/>
    <mergeCell ref="J143:J144"/>
    <mergeCell ref="K143:K144"/>
    <mergeCell ref="A138:A139"/>
    <mergeCell ref="B138:B139"/>
    <mergeCell ref="C138:C139"/>
    <mergeCell ref="D138:D139"/>
    <mergeCell ref="E138:E139"/>
    <mergeCell ref="K134:K135"/>
    <mergeCell ref="L134:L135"/>
    <mergeCell ref="M134:M135"/>
    <mergeCell ref="A136:A137"/>
    <mergeCell ref="B136:B137"/>
    <mergeCell ref="C136:D137"/>
    <mergeCell ref="F134:F135"/>
    <mergeCell ref="G134:G135"/>
    <mergeCell ref="H134:H135"/>
    <mergeCell ref="I134:I135"/>
    <mergeCell ref="J134:J135"/>
    <mergeCell ref="A134:A135"/>
    <mergeCell ref="B134:B135"/>
    <mergeCell ref="C134:C135"/>
    <mergeCell ref="D134:D135"/>
    <mergeCell ref="E134:E135"/>
    <mergeCell ref="K138:K139"/>
    <mergeCell ref="L138:L139"/>
    <mergeCell ref="M138:M139"/>
    <mergeCell ref="K130:K131"/>
    <mergeCell ref="L130:L131"/>
    <mergeCell ref="M130:M131"/>
    <mergeCell ref="A132:A133"/>
    <mergeCell ref="B132:B133"/>
    <mergeCell ref="F130:F131"/>
    <mergeCell ref="G130:G131"/>
    <mergeCell ref="H130:H131"/>
    <mergeCell ref="I130:I131"/>
    <mergeCell ref="J130:J131"/>
    <mergeCell ref="A130:A131"/>
    <mergeCell ref="B130:B131"/>
    <mergeCell ref="C130:C131"/>
    <mergeCell ref="D130:D131"/>
    <mergeCell ref="E130:E131"/>
    <mergeCell ref="E116:G116"/>
    <mergeCell ref="E117:G117"/>
    <mergeCell ref="E119:G119"/>
    <mergeCell ref="A128:A129"/>
    <mergeCell ref="B128:B129"/>
    <mergeCell ref="C105:M105"/>
    <mergeCell ref="E107:G107"/>
    <mergeCell ref="E108:G108"/>
    <mergeCell ref="J108:M108"/>
    <mergeCell ref="E109:G109"/>
    <mergeCell ref="C118:E118"/>
    <mergeCell ref="J107:M107"/>
    <mergeCell ref="C127:M127"/>
    <mergeCell ref="M38:M39"/>
    <mergeCell ref="E7:G7"/>
    <mergeCell ref="E8:G8"/>
    <mergeCell ref="E9:G9"/>
    <mergeCell ref="E16:G16"/>
    <mergeCell ref="E17:G17"/>
    <mergeCell ref="E19:G19"/>
    <mergeCell ref="F38:F39"/>
    <mergeCell ref="G38:G39"/>
    <mergeCell ref="H38:H39"/>
    <mergeCell ref="I38:I39"/>
    <mergeCell ref="J38:J39"/>
    <mergeCell ref="M30:M31"/>
    <mergeCell ref="C18:E18"/>
    <mergeCell ref="C27:M27"/>
    <mergeCell ref="J7:M7"/>
    <mergeCell ref="E36:E37"/>
    <mergeCell ref="L30:L31"/>
    <mergeCell ref="K38:K39"/>
    <mergeCell ref="L38:L39"/>
    <mergeCell ref="B28:B29"/>
    <mergeCell ref="A28:A29"/>
    <mergeCell ref="C38:C39"/>
    <mergeCell ref="D38:D39"/>
    <mergeCell ref="E38:E39"/>
    <mergeCell ref="C36:D37"/>
    <mergeCell ref="B30:B31"/>
    <mergeCell ref="B34:B35"/>
    <mergeCell ref="B38:B39"/>
    <mergeCell ref="A38:A39"/>
    <mergeCell ref="A34:A35"/>
    <mergeCell ref="B32:B33"/>
    <mergeCell ref="B36:B37"/>
    <mergeCell ref="A36:A37"/>
    <mergeCell ref="A32:A33"/>
    <mergeCell ref="A30:A31"/>
    <mergeCell ref="C4:D4"/>
    <mergeCell ref="C2:M3"/>
    <mergeCell ref="C5:M5"/>
    <mergeCell ref="C34:C35"/>
    <mergeCell ref="D34:D35"/>
    <mergeCell ref="E34:E35"/>
    <mergeCell ref="F34:F35"/>
    <mergeCell ref="G34:G35"/>
    <mergeCell ref="H34:H35"/>
    <mergeCell ref="I34:I35"/>
    <mergeCell ref="J34:J35"/>
    <mergeCell ref="K34:K35"/>
    <mergeCell ref="L34:L35"/>
    <mergeCell ref="M34:M35"/>
    <mergeCell ref="J8:M8"/>
    <mergeCell ref="C30:C31"/>
    <mergeCell ref="D30:D31"/>
    <mergeCell ref="E30:E31"/>
    <mergeCell ref="F30:F31"/>
    <mergeCell ref="G30:G31"/>
    <mergeCell ref="H30:H31"/>
    <mergeCell ref="I30:I31"/>
    <mergeCell ref="J30:J31"/>
    <mergeCell ref="K30:K31"/>
  </mergeCells>
  <dataValidations count="5">
    <dataValidation type="list" allowBlank="1" showInputMessage="1" showErrorMessage="1" sqref="HF19 WLX983063 WCB983063 VSF983063 VIJ983063 UYN983063 UOR983063 UEV983063 TUZ983063 TLD983063 TBH983063 SRL983063 SHP983063 RXT983063 RNX983063 REB983063 QUF983063 QKJ983063 QAN983063 PQR983063 PGV983063 OWZ983063 OND983063 ODH983063 NTL983063 NJP983063 MZT983063 MPX983063 MGB983063 LWF983063 LMJ983063 LCN983063 KSR983063 KIV983063 JYZ983063 JPD983063 JFH983063 IVL983063 ILP983063 IBT983063 HRX983063 HIB983063 GYF983063 GOJ983063 GEN983063 FUR983063 FKV983063 FAZ983063 ERD983063 EHH983063 DXL983063 DNP983063 DDT983063 CTX983063 CKB983063 CAF983063 BQJ983063 BGN983063 AWR983063 AMV983063 ACZ983063 TD983063 JH983063 L983020 WVT917527 WLX917527 WCB917527 VSF917527 VIJ917527 UYN917527 UOR917527 UEV917527 TUZ917527 TLD917527 TBH917527 SRL917527 SHP917527 RXT917527 RNX917527 REB917527 QUF917527 QKJ917527 QAN917527 PQR917527 PGV917527 OWZ917527 OND917527 ODH917527 NTL917527 NJP917527 MZT917527 MPX917527 MGB917527 LWF917527 LMJ917527 LCN917527 KSR917527 KIV917527 JYZ917527 JPD917527 JFH917527 IVL917527 ILP917527 IBT917527 HRX917527 HIB917527 GYF917527 GOJ917527 GEN917527 FUR917527 FKV917527 FAZ917527 ERD917527 EHH917527 DXL917527 DNP917527 DDT917527 CTX917527 CKB917527 CAF917527 BQJ917527 BGN917527 AWR917527 AMV917527 ACZ917527 TD917527 JH917527 L917484 WVT851991 WLX851991 WCB851991 VSF851991 VIJ851991 UYN851991 UOR851991 UEV851991 TUZ851991 TLD851991 TBH851991 SRL851991 SHP851991 RXT851991 RNX851991 REB851991 QUF851991 QKJ851991 QAN851991 PQR851991 PGV851991 OWZ851991 OND851991 ODH851991 NTL851991 NJP851991 MZT851991 MPX851991 MGB851991 LWF851991 LMJ851991 LCN851991 KSR851991 KIV851991 JYZ851991 JPD851991 JFH851991 IVL851991 ILP851991 IBT851991 HRX851991 HIB851991 GYF851991 GOJ851991 GEN851991 FUR851991 FKV851991 FAZ851991 ERD851991 EHH851991 DXL851991 DNP851991 DDT851991 CTX851991 CKB851991 CAF851991 BQJ851991 BGN851991 AWR851991 AMV851991 ACZ851991 TD851991 JH851991 L851948 WVT786455 WLX786455 WCB786455 VSF786455 VIJ786455 UYN786455 UOR786455 UEV786455 TUZ786455 TLD786455 TBH786455 SRL786455 SHP786455 RXT786455 RNX786455 REB786455 QUF786455 QKJ786455 QAN786455 PQR786455 PGV786455 OWZ786455 OND786455 ODH786455 NTL786455 NJP786455 MZT786455 MPX786455 MGB786455 LWF786455 LMJ786455 LCN786455 KSR786455 KIV786455 JYZ786455 JPD786455 JFH786455 IVL786455 ILP786455 IBT786455 HRX786455 HIB786455 GYF786455 GOJ786455 GEN786455 FUR786455 FKV786455 FAZ786455 ERD786455 EHH786455 DXL786455 DNP786455 DDT786455 CTX786455 CKB786455 CAF786455 BQJ786455 BGN786455 AWR786455 AMV786455 ACZ786455 TD786455 JH786455 L786412 WVT720919 WLX720919 WCB720919 VSF720919 VIJ720919 UYN720919 UOR720919 UEV720919 TUZ720919 TLD720919 TBH720919 SRL720919 SHP720919 RXT720919 RNX720919 REB720919 QUF720919 QKJ720919 QAN720919 PQR720919 PGV720919 OWZ720919 OND720919 ODH720919 NTL720919 NJP720919 MZT720919 MPX720919 MGB720919 LWF720919 LMJ720919 LCN720919 KSR720919 KIV720919 JYZ720919 JPD720919 JFH720919 IVL720919 ILP720919 IBT720919 HRX720919 HIB720919 GYF720919 GOJ720919 GEN720919 FUR720919 FKV720919 FAZ720919 ERD720919 EHH720919 DXL720919 DNP720919 DDT720919 CTX720919 CKB720919 CAF720919 BQJ720919 BGN720919 AWR720919 AMV720919 ACZ720919 TD720919 JH720919 L720876 WVT655383 WLX655383 WCB655383 VSF655383 VIJ655383 UYN655383 UOR655383 UEV655383 TUZ655383 TLD655383 TBH655383 SRL655383 SHP655383 RXT655383 RNX655383 REB655383 QUF655383 QKJ655383 QAN655383 PQR655383 PGV655383 OWZ655383 OND655383 ODH655383 NTL655383 NJP655383 MZT655383 MPX655383 MGB655383 LWF655383 LMJ655383 LCN655383 KSR655383 KIV655383 JYZ655383 JPD655383 JFH655383 IVL655383 ILP655383 IBT655383 HRX655383 HIB655383 GYF655383 GOJ655383 GEN655383 FUR655383 FKV655383 FAZ655383 ERD655383 EHH655383 DXL655383 DNP655383 DDT655383 CTX655383 CKB655383 CAF655383 BQJ655383 BGN655383 AWR655383 AMV655383 ACZ655383 TD655383 JH655383 L655340 WVT589847 WLX589847 WCB589847 VSF589847 VIJ589847 UYN589847 UOR589847 UEV589847 TUZ589847 TLD589847 TBH589847 SRL589847 SHP589847 RXT589847 RNX589847 REB589847 QUF589847 QKJ589847 QAN589847 PQR589847 PGV589847 OWZ589847 OND589847 ODH589847 NTL589847 NJP589847 MZT589847 MPX589847 MGB589847 LWF589847 LMJ589847 LCN589847 KSR589847 KIV589847 JYZ589847 JPD589847 JFH589847 IVL589847 ILP589847 IBT589847 HRX589847 HIB589847 GYF589847 GOJ589847 GEN589847 FUR589847 FKV589847 FAZ589847 ERD589847 EHH589847 DXL589847 DNP589847 DDT589847 CTX589847 CKB589847 CAF589847 BQJ589847 BGN589847 AWR589847 AMV589847 ACZ589847 TD589847 JH589847 L589804 WVT524311 WLX524311 WCB524311 VSF524311 VIJ524311 UYN524311 UOR524311 UEV524311 TUZ524311 TLD524311 TBH524311 SRL524311 SHP524311 RXT524311 RNX524311 REB524311 QUF524311 QKJ524311 QAN524311 PQR524311 PGV524311 OWZ524311 OND524311 ODH524311 NTL524311 NJP524311 MZT524311 MPX524311 MGB524311 LWF524311 LMJ524311 LCN524311 KSR524311 KIV524311 JYZ524311 JPD524311 JFH524311 IVL524311 ILP524311 IBT524311 HRX524311 HIB524311 GYF524311 GOJ524311 GEN524311 FUR524311 FKV524311 FAZ524311 ERD524311 EHH524311 DXL524311 DNP524311 DDT524311 CTX524311 CKB524311 CAF524311 BQJ524311 BGN524311 AWR524311 AMV524311 ACZ524311 TD524311 JH524311 L524268 WVT458775 WLX458775 WCB458775 VSF458775 VIJ458775 UYN458775 UOR458775 UEV458775 TUZ458775 TLD458775 TBH458775 SRL458775 SHP458775 RXT458775 RNX458775 REB458775 QUF458775 QKJ458775 QAN458775 PQR458775 PGV458775 OWZ458775 OND458775 ODH458775 NTL458775 NJP458775 MZT458775 MPX458775 MGB458775 LWF458775 LMJ458775 LCN458775 KSR458775 KIV458775 JYZ458775 JPD458775 JFH458775 IVL458775 ILP458775 IBT458775 HRX458775 HIB458775 GYF458775 GOJ458775 GEN458775 FUR458775 FKV458775 FAZ458775 ERD458775 EHH458775 DXL458775 DNP458775 DDT458775 CTX458775 CKB458775 CAF458775 BQJ458775 BGN458775 AWR458775 AMV458775 ACZ458775 TD458775 JH458775 L458732 WVT393239 WLX393239 WCB393239 VSF393239 VIJ393239 UYN393239 UOR393239 UEV393239 TUZ393239 TLD393239 TBH393239 SRL393239 SHP393239 RXT393239 RNX393239 REB393239 QUF393239 QKJ393239 QAN393239 PQR393239 PGV393239 OWZ393239 OND393239 ODH393239 NTL393239 NJP393239 MZT393239 MPX393239 MGB393239 LWF393239 LMJ393239 LCN393239 KSR393239 KIV393239 JYZ393239 JPD393239 JFH393239 IVL393239 ILP393239 IBT393239 HRX393239 HIB393239 GYF393239 GOJ393239 GEN393239 FUR393239 FKV393239 FAZ393239 ERD393239 EHH393239 DXL393239 DNP393239 DDT393239 CTX393239 CKB393239 CAF393239 BQJ393239 BGN393239 AWR393239 AMV393239 ACZ393239 TD393239 JH393239 L393196 WVT327703 WLX327703 WCB327703 VSF327703 VIJ327703 UYN327703 UOR327703 UEV327703 TUZ327703 TLD327703 TBH327703 SRL327703 SHP327703 RXT327703 RNX327703 REB327703 QUF327703 QKJ327703 QAN327703 PQR327703 PGV327703 OWZ327703 OND327703 ODH327703 NTL327703 NJP327703 MZT327703 MPX327703 MGB327703 LWF327703 LMJ327703 LCN327703 KSR327703 KIV327703 JYZ327703 JPD327703 JFH327703 IVL327703 ILP327703 IBT327703 HRX327703 HIB327703 GYF327703 GOJ327703 GEN327703 FUR327703 FKV327703 FAZ327703 ERD327703 EHH327703 DXL327703 DNP327703 DDT327703 CTX327703 CKB327703 CAF327703 BQJ327703 BGN327703 AWR327703 AMV327703 ACZ327703 TD327703 JH327703 L327660 WVT262167 WLX262167 WCB262167 VSF262167 VIJ262167 UYN262167 UOR262167 UEV262167 TUZ262167 TLD262167 TBH262167 SRL262167 SHP262167 RXT262167 RNX262167 REB262167 QUF262167 QKJ262167 QAN262167 PQR262167 PGV262167 OWZ262167 OND262167 ODH262167 NTL262167 NJP262167 MZT262167 MPX262167 MGB262167 LWF262167 LMJ262167 LCN262167 KSR262167 KIV262167 JYZ262167 JPD262167 JFH262167 IVL262167 ILP262167 IBT262167 HRX262167 HIB262167 GYF262167 GOJ262167 GEN262167 FUR262167 FKV262167 FAZ262167 ERD262167 EHH262167 DXL262167 DNP262167 DDT262167 CTX262167 CKB262167 CAF262167 BQJ262167 BGN262167 AWR262167 AMV262167 ACZ262167 TD262167 JH262167 L262124 WVT196631 WLX196631 WCB196631 VSF196631 VIJ196631 UYN196631 UOR196631 UEV196631 TUZ196631 TLD196631 TBH196631 SRL196631 SHP196631 RXT196631 RNX196631 REB196631 QUF196631 QKJ196631 QAN196631 PQR196631 PGV196631 OWZ196631 OND196631 ODH196631 NTL196631 NJP196631 MZT196631 MPX196631 MGB196631 LWF196631 LMJ196631 LCN196631 KSR196631 KIV196631 JYZ196631 JPD196631 JFH196631 IVL196631 ILP196631 IBT196631 HRX196631 HIB196631 GYF196631 GOJ196631 GEN196631 FUR196631 FKV196631 FAZ196631 ERD196631 EHH196631 DXL196631 DNP196631 DDT196631 CTX196631 CKB196631 CAF196631 BQJ196631 BGN196631 AWR196631 AMV196631 ACZ196631 TD196631 JH196631 L196588 WVT131095 WLX131095 WCB131095 VSF131095 VIJ131095 UYN131095 UOR131095 UEV131095 TUZ131095 TLD131095 TBH131095 SRL131095 SHP131095 RXT131095 RNX131095 REB131095 QUF131095 QKJ131095 QAN131095 PQR131095 PGV131095 OWZ131095 OND131095 ODH131095 NTL131095 NJP131095 MZT131095 MPX131095 MGB131095 LWF131095 LMJ131095 LCN131095 KSR131095 KIV131095 JYZ131095 JPD131095 JFH131095 IVL131095 ILP131095 IBT131095 HRX131095 HIB131095 GYF131095 GOJ131095 GEN131095 FUR131095 FKV131095 FAZ131095 ERD131095 EHH131095 DXL131095 DNP131095 DDT131095 CTX131095 CKB131095 CAF131095 BQJ131095 BGN131095 AWR131095 AMV131095 ACZ131095 TD131095 JH131095 L131052 WVT65559 WLX65559 WCB65559 VSF65559 VIJ65559 UYN65559 UOR65559 UEV65559 TUZ65559 TLD65559 TBH65559 SRL65559 SHP65559 RXT65559 RNX65559 REB65559 QUF65559 QKJ65559 QAN65559 PQR65559 PGV65559 OWZ65559 OND65559 ODH65559 NTL65559 NJP65559 MZT65559 MPX65559 MGB65559 LWF65559 LMJ65559 LCN65559 KSR65559 KIV65559 JYZ65559 JPD65559 JFH65559 IVL65559 ILP65559 IBT65559 HRX65559 HIB65559 GYF65559 GOJ65559 GEN65559 FUR65559 FKV65559 FAZ65559 ERD65559 EHH65559 DXL65559 DNP65559 DDT65559 CTX65559 CKB65559 CAF65559 BQJ65559 BGN65559 AWR65559 AMV65559 ACZ65559 TD65559 JH65559 L65516 WTR19 WJV19 VZZ19 VQD19 VGH19 UWL19 UMP19 UCT19 TSX19 TJB19 SZF19 SPJ19 SFN19 RVR19 RLV19 RBZ19 QSD19 QIH19 PYL19 POP19 PET19 OUX19 OLB19 OBF19 NRJ19 NHN19 MXR19 MNV19 MDZ19 LUD19 LKH19 LAL19 KQP19 KGT19 JWX19 JNB19 JDF19 ITJ19 IJN19 HZR19 HPV19 HFZ19 GWD19 GMH19 GCL19 FSP19 FIT19 EYX19 EPB19 EFF19 DVJ19 DLN19 DBR19 CRV19 CHZ19 BYD19 BOH19 BEL19 AUP19 AKT19 AAX19 RB19 WVT983063">
      <formula1>#REF!</formula1>
    </dataValidation>
    <dataValidation type="list" allowBlank="1" showInputMessage="1" showErrorMessage="1" sqref="TD30:TD37 JH30:JH37 WVS983077:WVS983082 WLW983077:WLW983082 WCA983077:WCA983082 VSE983077:VSE983082 VII983077:VII983082 UYM983077:UYM983082 UOQ983077:UOQ983082 UEU983077:UEU983082 TUY983077:TUY983082 TLC983077:TLC983082 TBG983077:TBG983082 SRK983077:SRK983082 SHO983077:SHO983082 RXS983077:RXS983082 RNW983077:RNW983082 REA983077:REA983082 QUE983077:QUE983082 QKI983077:QKI983082 QAM983077:QAM983082 PQQ983077:PQQ983082 PGU983077:PGU983082 OWY983077:OWY983082 ONC983077:ONC983082 ODG983077:ODG983082 NTK983077:NTK983082 NJO983077:NJO983082 MZS983077:MZS983082 MPW983077:MPW983082 MGA983077:MGA983082 LWE983077:LWE983082 LMI983077:LMI983082 LCM983077:LCM983082 KSQ983077:KSQ983082 KIU983077:KIU983082 JYY983077:JYY983082 JPC983077:JPC983082 JFG983077:JFG983082 IVK983077:IVK983082 ILO983077:ILO983082 IBS983077:IBS983082 HRW983077:HRW983082 HIA983077:HIA983082 GYE983077:GYE983082 GOI983077:GOI983082 GEM983077:GEM983082 FUQ983077:FUQ983082 FKU983077:FKU983082 FAY983077:FAY983082 ERC983077:ERC983082 EHG983077:EHG983082 DXK983077:DXK983082 DNO983077:DNO983082 DDS983077:DDS983082 CTW983077:CTW983082 CKA983077:CKA983082 CAE983077:CAE983082 BQI983077:BQI983082 BGM983077:BGM983082 AWQ983077:AWQ983082 AMU983077:AMU983082 ACY983077:ACY983082 TC983077:TC983082 JG983077:JG983082 K983034:K983039 WVS917541:WVS917546 WLW917541:WLW917546 WCA917541:WCA917546 VSE917541:VSE917546 VII917541:VII917546 UYM917541:UYM917546 UOQ917541:UOQ917546 UEU917541:UEU917546 TUY917541:TUY917546 TLC917541:TLC917546 TBG917541:TBG917546 SRK917541:SRK917546 SHO917541:SHO917546 RXS917541:RXS917546 RNW917541:RNW917546 REA917541:REA917546 QUE917541:QUE917546 QKI917541:QKI917546 QAM917541:QAM917546 PQQ917541:PQQ917546 PGU917541:PGU917546 OWY917541:OWY917546 ONC917541:ONC917546 ODG917541:ODG917546 NTK917541:NTK917546 NJO917541:NJO917546 MZS917541:MZS917546 MPW917541:MPW917546 MGA917541:MGA917546 LWE917541:LWE917546 LMI917541:LMI917546 LCM917541:LCM917546 KSQ917541:KSQ917546 KIU917541:KIU917546 JYY917541:JYY917546 JPC917541:JPC917546 JFG917541:JFG917546 IVK917541:IVK917546 ILO917541:ILO917546 IBS917541:IBS917546 HRW917541:HRW917546 HIA917541:HIA917546 GYE917541:GYE917546 GOI917541:GOI917546 GEM917541:GEM917546 FUQ917541:FUQ917546 FKU917541:FKU917546 FAY917541:FAY917546 ERC917541:ERC917546 EHG917541:EHG917546 DXK917541:DXK917546 DNO917541:DNO917546 DDS917541:DDS917546 CTW917541:CTW917546 CKA917541:CKA917546 CAE917541:CAE917546 BQI917541:BQI917546 BGM917541:BGM917546 AWQ917541:AWQ917546 AMU917541:AMU917546 ACY917541:ACY917546 TC917541:TC917546 JG917541:JG917546 K917498:K917503 WVS852005:WVS852010 WLW852005:WLW852010 WCA852005:WCA852010 VSE852005:VSE852010 VII852005:VII852010 UYM852005:UYM852010 UOQ852005:UOQ852010 UEU852005:UEU852010 TUY852005:TUY852010 TLC852005:TLC852010 TBG852005:TBG852010 SRK852005:SRK852010 SHO852005:SHO852010 RXS852005:RXS852010 RNW852005:RNW852010 REA852005:REA852010 QUE852005:QUE852010 QKI852005:QKI852010 QAM852005:QAM852010 PQQ852005:PQQ852010 PGU852005:PGU852010 OWY852005:OWY852010 ONC852005:ONC852010 ODG852005:ODG852010 NTK852005:NTK852010 NJO852005:NJO852010 MZS852005:MZS852010 MPW852005:MPW852010 MGA852005:MGA852010 LWE852005:LWE852010 LMI852005:LMI852010 LCM852005:LCM852010 KSQ852005:KSQ852010 KIU852005:KIU852010 JYY852005:JYY852010 JPC852005:JPC852010 JFG852005:JFG852010 IVK852005:IVK852010 ILO852005:ILO852010 IBS852005:IBS852010 HRW852005:HRW852010 HIA852005:HIA852010 GYE852005:GYE852010 GOI852005:GOI852010 GEM852005:GEM852010 FUQ852005:FUQ852010 FKU852005:FKU852010 FAY852005:FAY852010 ERC852005:ERC852010 EHG852005:EHG852010 DXK852005:DXK852010 DNO852005:DNO852010 DDS852005:DDS852010 CTW852005:CTW852010 CKA852005:CKA852010 CAE852005:CAE852010 BQI852005:BQI852010 BGM852005:BGM852010 AWQ852005:AWQ852010 AMU852005:AMU852010 ACY852005:ACY852010 TC852005:TC852010 JG852005:JG852010 K851962:K851967 WVS786469:WVS786474 WLW786469:WLW786474 WCA786469:WCA786474 VSE786469:VSE786474 VII786469:VII786474 UYM786469:UYM786474 UOQ786469:UOQ786474 UEU786469:UEU786474 TUY786469:TUY786474 TLC786469:TLC786474 TBG786469:TBG786474 SRK786469:SRK786474 SHO786469:SHO786474 RXS786469:RXS786474 RNW786469:RNW786474 REA786469:REA786474 QUE786469:QUE786474 QKI786469:QKI786474 QAM786469:QAM786474 PQQ786469:PQQ786474 PGU786469:PGU786474 OWY786469:OWY786474 ONC786469:ONC786474 ODG786469:ODG786474 NTK786469:NTK786474 NJO786469:NJO786474 MZS786469:MZS786474 MPW786469:MPW786474 MGA786469:MGA786474 LWE786469:LWE786474 LMI786469:LMI786474 LCM786469:LCM786474 KSQ786469:KSQ786474 KIU786469:KIU786474 JYY786469:JYY786474 JPC786469:JPC786474 JFG786469:JFG786474 IVK786469:IVK786474 ILO786469:ILO786474 IBS786469:IBS786474 HRW786469:HRW786474 HIA786469:HIA786474 GYE786469:GYE786474 GOI786469:GOI786474 GEM786469:GEM786474 FUQ786469:FUQ786474 FKU786469:FKU786474 FAY786469:FAY786474 ERC786469:ERC786474 EHG786469:EHG786474 DXK786469:DXK786474 DNO786469:DNO786474 DDS786469:DDS786474 CTW786469:CTW786474 CKA786469:CKA786474 CAE786469:CAE786474 BQI786469:BQI786474 BGM786469:BGM786474 AWQ786469:AWQ786474 AMU786469:AMU786474 ACY786469:ACY786474 TC786469:TC786474 JG786469:JG786474 K786426:K786431 WVS720933:WVS720938 WLW720933:WLW720938 WCA720933:WCA720938 VSE720933:VSE720938 VII720933:VII720938 UYM720933:UYM720938 UOQ720933:UOQ720938 UEU720933:UEU720938 TUY720933:TUY720938 TLC720933:TLC720938 TBG720933:TBG720938 SRK720933:SRK720938 SHO720933:SHO720938 RXS720933:RXS720938 RNW720933:RNW720938 REA720933:REA720938 QUE720933:QUE720938 QKI720933:QKI720938 QAM720933:QAM720938 PQQ720933:PQQ720938 PGU720933:PGU720938 OWY720933:OWY720938 ONC720933:ONC720938 ODG720933:ODG720938 NTK720933:NTK720938 NJO720933:NJO720938 MZS720933:MZS720938 MPW720933:MPW720938 MGA720933:MGA720938 LWE720933:LWE720938 LMI720933:LMI720938 LCM720933:LCM720938 KSQ720933:KSQ720938 KIU720933:KIU720938 JYY720933:JYY720938 JPC720933:JPC720938 JFG720933:JFG720938 IVK720933:IVK720938 ILO720933:ILO720938 IBS720933:IBS720938 HRW720933:HRW720938 HIA720933:HIA720938 GYE720933:GYE720938 GOI720933:GOI720938 GEM720933:GEM720938 FUQ720933:FUQ720938 FKU720933:FKU720938 FAY720933:FAY720938 ERC720933:ERC720938 EHG720933:EHG720938 DXK720933:DXK720938 DNO720933:DNO720938 DDS720933:DDS720938 CTW720933:CTW720938 CKA720933:CKA720938 CAE720933:CAE720938 BQI720933:BQI720938 BGM720933:BGM720938 AWQ720933:AWQ720938 AMU720933:AMU720938 ACY720933:ACY720938 TC720933:TC720938 JG720933:JG720938 K720890:K720895 WVS655397:WVS655402 WLW655397:WLW655402 WCA655397:WCA655402 VSE655397:VSE655402 VII655397:VII655402 UYM655397:UYM655402 UOQ655397:UOQ655402 UEU655397:UEU655402 TUY655397:TUY655402 TLC655397:TLC655402 TBG655397:TBG655402 SRK655397:SRK655402 SHO655397:SHO655402 RXS655397:RXS655402 RNW655397:RNW655402 REA655397:REA655402 QUE655397:QUE655402 QKI655397:QKI655402 QAM655397:QAM655402 PQQ655397:PQQ655402 PGU655397:PGU655402 OWY655397:OWY655402 ONC655397:ONC655402 ODG655397:ODG655402 NTK655397:NTK655402 NJO655397:NJO655402 MZS655397:MZS655402 MPW655397:MPW655402 MGA655397:MGA655402 LWE655397:LWE655402 LMI655397:LMI655402 LCM655397:LCM655402 KSQ655397:KSQ655402 KIU655397:KIU655402 JYY655397:JYY655402 JPC655397:JPC655402 JFG655397:JFG655402 IVK655397:IVK655402 ILO655397:ILO655402 IBS655397:IBS655402 HRW655397:HRW655402 HIA655397:HIA655402 GYE655397:GYE655402 GOI655397:GOI655402 GEM655397:GEM655402 FUQ655397:FUQ655402 FKU655397:FKU655402 FAY655397:FAY655402 ERC655397:ERC655402 EHG655397:EHG655402 DXK655397:DXK655402 DNO655397:DNO655402 DDS655397:DDS655402 CTW655397:CTW655402 CKA655397:CKA655402 CAE655397:CAE655402 BQI655397:BQI655402 BGM655397:BGM655402 AWQ655397:AWQ655402 AMU655397:AMU655402 ACY655397:ACY655402 TC655397:TC655402 JG655397:JG655402 K655354:K655359 WVS589861:WVS589866 WLW589861:WLW589866 WCA589861:WCA589866 VSE589861:VSE589866 VII589861:VII589866 UYM589861:UYM589866 UOQ589861:UOQ589866 UEU589861:UEU589866 TUY589861:TUY589866 TLC589861:TLC589866 TBG589861:TBG589866 SRK589861:SRK589866 SHO589861:SHO589866 RXS589861:RXS589866 RNW589861:RNW589866 REA589861:REA589866 QUE589861:QUE589866 QKI589861:QKI589866 QAM589861:QAM589866 PQQ589861:PQQ589866 PGU589861:PGU589866 OWY589861:OWY589866 ONC589861:ONC589866 ODG589861:ODG589866 NTK589861:NTK589866 NJO589861:NJO589866 MZS589861:MZS589866 MPW589861:MPW589866 MGA589861:MGA589866 LWE589861:LWE589866 LMI589861:LMI589866 LCM589861:LCM589866 KSQ589861:KSQ589866 KIU589861:KIU589866 JYY589861:JYY589866 JPC589861:JPC589866 JFG589861:JFG589866 IVK589861:IVK589866 ILO589861:ILO589866 IBS589861:IBS589866 HRW589861:HRW589866 HIA589861:HIA589866 GYE589861:GYE589866 GOI589861:GOI589866 GEM589861:GEM589866 FUQ589861:FUQ589866 FKU589861:FKU589866 FAY589861:FAY589866 ERC589861:ERC589866 EHG589861:EHG589866 DXK589861:DXK589866 DNO589861:DNO589866 DDS589861:DDS589866 CTW589861:CTW589866 CKA589861:CKA589866 CAE589861:CAE589866 BQI589861:BQI589866 BGM589861:BGM589866 AWQ589861:AWQ589866 AMU589861:AMU589866 ACY589861:ACY589866 TC589861:TC589866 JG589861:JG589866 K589818:K589823 WVS524325:WVS524330 WLW524325:WLW524330 WCA524325:WCA524330 VSE524325:VSE524330 VII524325:VII524330 UYM524325:UYM524330 UOQ524325:UOQ524330 UEU524325:UEU524330 TUY524325:TUY524330 TLC524325:TLC524330 TBG524325:TBG524330 SRK524325:SRK524330 SHO524325:SHO524330 RXS524325:RXS524330 RNW524325:RNW524330 REA524325:REA524330 QUE524325:QUE524330 QKI524325:QKI524330 QAM524325:QAM524330 PQQ524325:PQQ524330 PGU524325:PGU524330 OWY524325:OWY524330 ONC524325:ONC524330 ODG524325:ODG524330 NTK524325:NTK524330 NJO524325:NJO524330 MZS524325:MZS524330 MPW524325:MPW524330 MGA524325:MGA524330 LWE524325:LWE524330 LMI524325:LMI524330 LCM524325:LCM524330 KSQ524325:KSQ524330 KIU524325:KIU524330 JYY524325:JYY524330 JPC524325:JPC524330 JFG524325:JFG524330 IVK524325:IVK524330 ILO524325:ILO524330 IBS524325:IBS524330 HRW524325:HRW524330 HIA524325:HIA524330 GYE524325:GYE524330 GOI524325:GOI524330 GEM524325:GEM524330 FUQ524325:FUQ524330 FKU524325:FKU524330 FAY524325:FAY524330 ERC524325:ERC524330 EHG524325:EHG524330 DXK524325:DXK524330 DNO524325:DNO524330 DDS524325:DDS524330 CTW524325:CTW524330 CKA524325:CKA524330 CAE524325:CAE524330 BQI524325:BQI524330 BGM524325:BGM524330 AWQ524325:AWQ524330 AMU524325:AMU524330 ACY524325:ACY524330 TC524325:TC524330 JG524325:JG524330 K524282:K524287 WVS458789:WVS458794 WLW458789:WLW458794 WCA458789:WCA458794 VSE458789:VSE458794 VII458789:VII458794 UYM458789:UYM458794 UOQ458789:UOQ458794 UEU458789:UEU458794 TUY458789:TUY458794 TLC458789:TLC458794 TBG458789:TBG458794 SRK458789:SRK458794 SHO458789:SHO458794 RXS458789:RXS458794 RNW458789:RNW458794 REA458789:REA458794 QUE458789:QUE458794 QKI458789:QKI458794 QAM458789:QAM458794 PQQ458789:PQQ458794 PGU458789:PGU458794 OWY458789:OWY458794 ONC458789:ONC458794 ODG458789:ODG458794 NTK458789:NTK458794 NJO458789:NJO458794 MZS458789:MZS458794 MPW458789:MPW458794 MGA458789:MGA458794 LWE458789:LWE458794 LMI458789:LMI458794 LCM458789:LCM458794 KSQ458789:KSQ458794 KIU458789:KIU458794 JYY458789:JYY458794 JPC458789:JPC458794 JFG458789:JFG458794 IVK458789:IVK458794 ILO458789:ILO458794 IBS458789:IBS458794 HRW458789:HRW458794 HIA458789:HIA458794 GYE458789:GYE458794 GOI458789:GOI458794 GEM458789:GEM458794 FUQ458789:FUQ458794 FKU458789:FKU458794 FAY458789:FAY458794 ERC458789:ERC458794 EHG458789:EHG458794 DXK458789:DXK458794 DNO458789:DNO458794 DDS458789:DDS458794 CTW458789:CTW458794 CKA458789:CKA458794 CAE458789:CAE458794 BQI458789:BQI458794 BGM458789:BGM458794 AWQ458789:AWQ458794 AMU458789:AMU458794 ACY458789:ACY458794 TC458789:TC458794 JG458789:JG458794 K458746:K458751 WVS393253:WVS393258 WLW393253:WLW393258 WCA393253:WCA393258 VSE393253:VSE393258 VII393253:VII393258 UYM393253:UYM393258 UOQ393253:UOQ393258 UEU393253:UEU393258 TUY393253:TUY393258 TLC393253:TLC393258 TBG393253:TBG393258 SRK393253:SRK393258 SHO393253:SHO393258 RXS393253:RXS393258 RNW393253:RNW393258 REA393253:REA393258 QUE393253:QUE393258 QKI393253:QKI393258 QAM393253:QAM393258 PQQ393253:PQQ393258 PGU393253:PGU393258 OWY393253:OWY393258 ONC393253:ONC393258 ODG393253:ODG393258 NTK393253:NTK393258 NJO393253:NJO393258 MZS393253:MZS393258 MPW393253:MPW393258 MGA393253:MGA393258 LWE393253:LWE393258 LMI393253:LMI393258 LCM393253:LCM393258 KSQ393253:KSQ393258 KIU393253:KIU393258 JYY393253:JYY393258 JPC393253:JPC393258 JFG393253:JFG393258 IVK393253:IVK393258 ILO393253:ILO393258 IBS393253:IBS393258 HRW393253:HRW393258 HIA393253:HIA393258 GYE393253:GYE393258 GOI393253:GOI393258 GEM393253:GEM393258 FUQ393253:FUQ393258 FKU393253:FKU393258 FAY393253:FAY393258 ERC393253:ERC393258 EHG393253:EHG393258 DXK393253:DXK393258 DNO393253:DNO393258 DDS393253:DDS393258 CTW393253:CTW393258 CKA393253:CKA393258 CAE393253:CAE393258 BQI393253:BQI393258 BGM393253:BGM393258 AWQ393253:AWQ393258 AMU393253:AMU393258 ACY393253:ACY393258 TC393253:TC393258 JG393253:JG393258 K393210:K393215 WVS327717:WVS327722 WLW327717:WLW327722 WCA327717:WCA327722 VSE327717:VSE327722 VII327717:VII327722 UYM327717:UYM327722 UOQ327717:UOQ327722 UEU327717:UEU327722 TUY327717:TUY327722 TLC327717:TLC327722 TBG327717:TBG327722 SRK327717:SRK327722 SHO327717:SHO327722 RXS327717:RXS327722 RNW327717:RNW327722 REA327717:REA327722 QUE327717:QUE327722 QKI327717:QKI327722 QAM327717:QAM327722 PQQ327717:PQQ327722 PGU327717:PGU327722 OWY327717:OWY327722 ONC327717:ONC327722 ODG327717:ODG327722 NTK327717:NTK327722 NJO327717:NJO327722 MZS327717:MZS327722 MPW327717:MPW327722 MGA327717:MGA327722 LWE327717:LWE327722 LMI327717:LMI327722 LCM327717:LCM327722 KSQ327717:KSQ327722 KIU327717:KIU327722 JYY327717:JYY327722 JPC327717:JPC327722 JFG327717:JFG327722 IVK327717:IVK327722 ILO327717:ILO327722 IBS327717:IBS327722 HRW327717:HRW327722 HIA327717:HIA327722 GYE327717:GYE327722 GOI327717:GOI327722 GEM327717:GEM327722 FUQ327717:FUQ327722 FKU327717:FKU327722 FAY327717:FAY327722 ERC327717:ERC327722 EHG327717:EHG327722 DXK327717:DXK327722 DNO327717:DNO327722 DDS327717:DDS327722 CTW327717:CTW327722 CKA327717:CKA327722 CAE327717:CAE327722 BQI327717:BQI327722 BGM327717:BGM327722 AWQ327717:AWQ327722 AMU327717:AMU327722 ACY327717:ACY327722 TC327717:TC327722 JG327717:JG327722 K327674:K327679 WVS262181:WVS262186 WLW262181:WLW262186 WCA262181:WCA262186 VSE262181:VSE262186 VII262181:VII262186 UYM262181:UYM262186 UOQ262181:UOQ262186 UEU262181:UEU262186 TUY262181:TUY262186 TLC262181:TLC262186 TBG262181:TBG262186 SRK262181:SRK262186 SHO262181:SHO262186 RXS262181:RXS262186 RNW262181:RNW262186 REA262181:REA262186 QUE262181:QUE262186 QKI262181:QKI262186 QAM262181:QAM262186 PQQ262181:PQQ262186 PGU262181:PGU262186 OWY262181:OWY262186 ONC262181:ONC262186 ODG262181:ODG262186 NTK262181:NTK262186 NJO262181:NJO262186 MZS262181:MZS262186 MPW262181:MPW262186 MGA262181:MGA262186 LWE262181:LWE262186 LMI262181:LMI262186 LCM262181:LCM262186 KSQ262181:KSQ262186 KIU262181:KIU262186 JYY262181:JYY262186 JPC262181:JPC262186 JFG262181:JFG262186 IVK262181:IVK262186 ILO262181:ILO262186 IBS262181:IBS262186 HRW262181:HRW262186 HIA262181:HIA262186 GYE262181:GYE262186 GOI262181:GOI262186 GEM262181:GEM262186 FUQ262181:FUQ262186 FKU262181:FKU262186 FAY262181:FAY262186 ERC262181:ERC262186 EHG262181:EHG262186 DXK262181:DXK262186 DNO262181:DNO262186 DDS262181:DDS262186 CTW262181:CTW262186 CKA262181:CKA262186 CAE262181:CAE262186 BQI262181:BQI262186 BGM262181:BGM262186 AWQ262181:AWQ262186 AMU262181:AMU262186 ACY262181:ACY262186 TC262181:TC262186 JG262181:JG262186 K262138:K262143 WVS196645:WVS196650 WLW196645:WLW196650 WCA196645:WCA196650 VSE196645:VSE196650 VII196645:VII196650 UYM196645:UYM196650 UOQ196645:UOQ196650 UEU196645:UEU196650 TUY196645:TUY196650 TLC196645:TLC196650 TBG196645:TBG196650 SRK196645:SRK196650 SHO196645:SHO196650 RXS196645:RXS196650 RNW196645:RNW196650 REA196645:REA196650 QUE196645:QUE196650 QKI196645:QKI196650 QAM196645:QAM196650 PQQ196645:PQQ196650 PGU196645:PGU196650 OWY196645:OWY196650 ONC196645:ONC196650 ODG196645:ODG196650 NTK196645:NTK196650 NJO196645:NJO196650 MZS196645:MZS196650 MPW196645:MPW196650 MGA196645:MGA196650 LWE196645:LWE196650 LMI196645:LMI196650 LCM196645:LCM196650 KSQ196645:KSQ196650 KIU196645:KIU196650 JYY196645:JYY196650 JPC196645:JPC196650 JFG196645:JFG196650 IVK196645:IVK196650 ILO196645:ILO196650 IBS196645:IBS196650 HRW196645:HRW196650 HIA196645:HIA196650 GYE196645:GYE196650 GOI196645:GOI196650 GEM196645:GEM196650 FUQ196645:FUQ196650 FKU196645:FKU196650 FAY196645:FAY196650 ERC196645:ERC196650 EHG196645:EHG196650 DXK196645:DXK196650 DNO196645:DNO196650 DDS196645:DDS196650 CTW196645:CTW196650 CKA196645:CKA196650 CAE196645:CAE196650 BQI196645:BQI196650 BGM196645:BGM196650 AWQ196645:AWQ196650 AMU196645:AMU196650 ACY196645:ACY196650 TC196645:TC196650 JG196645:JG196650 K196602:K196607 WVS131109:WVS131114 WLW131109:WLW131114 WCA131109:WCA131114 VSE131109:VSE131114 VII131109:VII131114 UYM131109:UYM131114 UOQ131109:UOQ131114 UEU131109:UEU131114 TUY131109:TUY131114 TLC131109:TLC131114 TBG131109:TBG131114 SRK131109:SRK131114 SHO131109:SHO131114 RXS131109:RXS131114 RNW131109:RNW131114 REA131109:REA131114 QUE131109:QUE131114 QKI131109:QKI131114 QAM131109:QAM131114 PQQ131109:PQQ131114 PGU131109:PGU131114 OWY131109:OWY131114 ONC131109:ONC131114 ODG131109:ODG131114 NTK131109:NTK131114 NJO131109:NJO131114 MZS131109:MZS131114 MPW131109:MPW131114 MGA131109:MGA131114 LWE131109:LWE131114 LMI131109:LMI131114 LCM131109:LCM131114 KSQ131109:KSQ131114 KIU131109:KIU131114 JYY131109:JYY131114 JPC131109:JPC131114 JFG131109:JFG131114 IVK131109:IVK131114 ILO131109:ILO131114 IBS131109:IBS131114 HRW131109:HRW131114 HIA131109:HIA131114 GYE131109:GYE131114 GOI131109:GOI131114 GEM131109:GEM131114 FUQ131109:FUQ131114 FKU131109:FKU131114 FAY131109:FAY131114 ERC131109:ERC131114 EHG131109:EHG131114 DXK131109:DXK131114 DNO131109:DNO131114 DDS131109:DDS131114 CTW131109:CTW131114 CKA131109:CKA131114 CAE131109:CAE131114 BQI131109:BQI131114 BGM131109:BGM131114 AWQ131109:AWQ131114 AMU131109:AMU131114 ACY131109:ACY131114 TC131109:TC131114 JG131109:JG131114 K131066:K131071 WVS65573:WVS65578 WLW65573:WLW65578 WCA65573:WCA65578 VSE65573:VSE65578 VII65573:VII65578 UYM65573:UYM65578 UOQ65573:UOQ65578 UEU65573:UEU65578 TUY65573:TUY65578 TLC65573:TLC65578 TBG65573:TBG65578 SRK65573:SRK65578 SHO65573:SHO65578 RXS65573:RXS65578 RNW65573:RNW65578 REA65573:REA65578 QUE65573:QUE65578 QKI65573:QKI65578 QAM65573:QAM65578 PQQ65573:PQQ65578 PGU65573:PGU65578 OWY65573:OWY65578 ONC65573:ONC65578 ODG65573:ODG65578 NTK65573:NTK65578 NJO65573:NJO65578 MZS65573:MZS65578 MPW65573:MPW65578 MGA65573:MGA65578 LWE65573:LWE65578 LMI65573:LMI65578 LCM65573:LCM65578 KSQ65573:KSQ65578 KIU65573:KIU65578 JYY65573:JYY65578 JPC65573:JPC65578 JFG65573:JFG65578 IVK65573:IVK65578 ILO65573:ILO65578 IBS65573:IBS65578 HRW65573:HRW65578 HIA65573:HIA65578 GYE65573:GYE65578 GOI65573:GOI65578 GEM65573:GEM65578 FUQ65573:FUQ65578 FKU65573:FKU65578 FAY65573:FAY65578 ERC65573:ERC65578 EHG65573:EHG65578 DXK65573:DXK65578 DNO65573:DNO65578 DDS65573:DDS65578 CTW65573:CTW65578 CKA65573:CKA65578 CAE65573:CAE65578 BQI65573:BQI65578 BGM65573:BGM65578 AWQ65573:AWQ65578 AMU65573:AMU65578 ACY65573:ACY65578 TC65573:TC65578 JG65573:JG65578 K65530:K65535 WVT30:WVT37 WLX30:WLX37 WCB30:WCB37 VSF30:VSF37 VIJ30:VIJ37 UYN30:UYN37 UOR30:UOR37 UEV30:UEV37 TUZ30:TUZ37 TLD30:TLD37 TBH30:TBH37 SRL30:SRL37 SHP30:SHP37 RXT30:RXT37 RNX30:RNX37 REB30:REB37 QUF30:QUF37 QKJ30:QKJ37 QAN30:QAN37 PQR30:PQR37 PGV30:PGV37 OWZ30:OWZ37 OND30:OND37 ODH30:ODH37 NTL30:NTL37 NJP30:NJP37 MZT30:MZT37 MPX30:MPX37 MGB30:MGB37 LWF30:LWF37 LMJ30:LMJ37 LCN30:LCN37 KSR30:KSR37 KIV30:KIV37 JYZ30:JYZ37 JPD30:JPD37 JFH30:JFH37 IVL30:IVL37 ILP30:ILP37 IBT30:IBT37 HRX30:HRX37 HIB30:HIB37 GYF30:GYF37 GOJ30:GOJ37 GEN30:GEN37 FUR30:FUR37 FKV30:FKV37 FAZ30:FAZ37 ERD30:ERD37 EHH30:EHH37 DXL30:DXL37 DNP30:DNP37 DDT30:DDT37 CTX30:CTX37 CKB30:CKB37 CAF30:CAF37 BQJ30:BQJ37 BGN30:BGN37 AWR30:AWR37 AMV30:AMV37 ACZ30:ACZ37 HF8:HF18 WLX983052:WLX983062 WCB983052:WCB983062 VSF983052:VSF983062 VIJ983052:VIJ983062 UYN983052:UYN983062 UOR983052:UOR983062 UEV983052:UEV983062 TUZ983052:TUZ983062 TLD983052:TLD983062 TBH983052:TBH983062 SRL983052:SRL983062 SHP983052:SHP983062 RXT983052:RXT983062 RNX983052:RNX983062 REB983052:REB983062 QUF983052:QUF983062 QKJ983052:QKJ983062 QAN983052:QAN983062 PQR983052:PQR983062 PGV983052:PGV983062 OWZ983052:OWZ983062 OND983052:OND983062 ODH983052:ODH983062 NTL983052:NTL983062 NJP983052:NJP983062 MZT983052:MZT983062 MPX983052:MPX983062 MGB983052:MGB983062 LWF983052:LWF983062 LMJ983052:LMJ983062 LCN983052:LCN983062 KSR983052:KSR983062 KIV983052:KIV983062 JYZ983052:JYZ983062 JPD983052:JPD983062 JFH983052:JFH983062 IVL983052:IVL983062 ILP983052:ILP983062 IBT983052:IBT983062 HRX983052:HRX983062 HIB983052:HIB983062 GYF983052:GYF983062 GOJ983052:GOJ983062 GEN983052:GEN983062 FUR983052:FUR983062 FKV983052:FKV983062 FAZ983052:FAZ983062 ERD983052:ERD983062 EHH983052:EHH983062 DXL983052:DXL983062 DNP983052:DNP983062 DDT983052:DDT983062 CTX983052:CTX983062 CKB983052:CKB983062 CAF983052:CAF983062 BQJ983052:BQJ983062 BGN983052:BGN983062 AWR983052:AWR983062 AMV983052:AMV983062 ACZ983052:ACZ983062 TD983052:TD983062 JH983052:JH983062 L983009:L983019 WVT917516:WVT917526 WLX917516:WLX917526 WCB917516:WCB917526 VSF917516:VSF917526 VIJ917516:VIJ917526 UYN917516:UYN917526 UOR917516:UOR917526 UEV917516:UEV917526 TUZ917516:TUZ917526 TLD917516:TLD917526 TBH917516:TBH917526 SRL917516:SRL917526 SHP917516:SHP917526 RXT917516:RXT917526 RNX917516:RNX917526 REB917516:REB917526 QUF917516:QUF917526 QKJ917516:QKJ917526 QAN917516:QAN917526 PQR917516:PQR917526 PGV917516:PGV917526 OWZ917516:OWZ917526 OND917516:OND917526 ODH917516:ODH917526 NTL917516:NTL917526 NJP917516:NJP917526 MZT917516:MZT917526 MPX917516:MPX917526 MGB917516:MGB917526 LWF917516:LWF917526 LMJ917516:LMJ917526 LCN917516:LCN917526 KSR917516:KSR917526 KIV917516:KIV917526 JYZ917516:JYZ917526 JPD917516:JPD917526 JFH917516:JFH917526 IVL917516:IVL917526 ILP917516:ILP917526 IBT917516:IBT917526 HRX917516:HRX917526 HIB917516:HIB917526 GYF917516:GYF917526 GOJ917516:GOJ917526 GEN917516:GEN917526 FUR917516:FUR917526 FKV917516:FKV917526 FAZ917516:FAZ917526 ERD917516:ERD917526 EHH917516:EHH917526 DXL917516:DXL917526 DNP917516:DNP917526 DDT917516:DDT917526 CTX917516:CTX917526 CKB917516:CKB917526 CAF917516:CAF917526 BQJ917516:BQJ917526 BGN917516:BGN917526 AWR917516:AWR917526 AMV917516:AMV917526 ACZ917516:ACZ917526 TD917516:TD917526 JH917516:JH917526 L917473:L917483 WVT851980:WVT851990 WLX851980:WLX851990 WCB851980:WCB851990 VSF851980:VSF851990 VIJ851980:VIJ851990 UYN851980:UYN851990 UOR851980:UOR851990 UEV851980:UEV851990 TUZ851980:TUZ851990 TLD851980:TLD851990 TBH851980:TBH851990 SRL851980:SRL851990 SHP851980:SHP851990 RXT851980:RXT851990 RNX851980:RNX851990 REB851980:REB851990 QUF851980:QUF851990 QKJ851980:QKJ851990 QAN851980:QAN851990 PQR851980:PQR851990 PGV851980:PGV851990 OWZ851980:OWZ851990 OND851980:OND851990 ODH851980:ODH851990 NTL851980:NTL851990 NJP851980:NJP851990 MZT851980:MZT851990 MPX851980:MPX851990 MGB851980:MGB851990 LWF851980:LWF851990 LMJ851980:LMJ851990 LCN851980:LCN851990 KSR851980:KSR851990 KIV851980:KIV851990 JYZ851980:JYZ851990 JPD851980:JPD851990 JFH851980:JFH851990 IVL851980:IVL851990 ILP851980:ILP851990 IBT851980:IBT851990 HRX851980:HRX851990 HIB851980:HIB851990 GYF851980:GYF851990 GOJ851980:GOJ851990 GEN851980:GEN851990 FUR851980:FUR851990 FKV851980:FKV851990 FAZ851980:FAZ851990 ERD851980:ERD851990 EHH851980:EHH851990 DXL851980:DXL851990 DNP851980:DNP851990 DDT851980:DDT851990 CTX851980:CTX851990 CKB851980:CKB851990 CAF851980:CAF851990 BQJ851980:BQJ851990 BGN851980:BGN851990 AWR851980:AWR851990 AMV851980:AMV851990 ACZ851980:ACZ851990 TD851980:TD851990 JH851980:JH851990 L851937:L851947 WVT786444:WVT786454 WLX786444:WLX786454 WCB786444:WCB786454 VSF786444:VSF786454 VIJ786444:VIJ786454 UYN786444:UYN786454 UOR786444:UOR786454 UEV786444:UEV786454 TUZ786444:TUZ786454 TLD786444:TLD786454 TBH786444:TBH786454 SRL786444:SRL786454 SHP786444:SHP786454 RXT786444:RXT786454 RNX786444:RNX786454 REB786444:REB786454 QUF786444:QUF786454 QKJ786444:QKJ786454 QAN786444:QAN786454 PQR786444:PQR786454 PGV786444:PGV786454 OWZ786444:OWZ786454 OND786444:OND786454 ODH786444:ODH786454 NTL786444:NTL786454 NJP786444:NJP786454 MZT786444:MZT786454 MPX786444:MPX786454 MGB786444:MGB786454 LWF786444:LWF786454 LMJ786444:LMJ786454 LCN786444:LCN786454 KSR786444:KSR786454 KIV786444:KIV786454 JYZ786444:JYZ786454 JPD786444:JPD786454 JFH786444:JFH786454 IVL786444:IVL786454 ILP786444:ILP786454 IBT786444:IBT786454 HRX786444:HRX786454 HIB786444:HIB786454 GYF786444:GYF786454 GOJ786444:GOJ786454 GEN786444:GEN786454 FUR786444:FUR786454 FKV786444:FKV786454 FAZ786444:FAZ786454 ERD786444:ERD786454 EHH786444:EHH786454 DXL786444:DXL786454 DNP786444:DNP786454 DDT786444:DDT786454 CTX786444:CTX786454 CKB786444:CKB786454 CAF786444:CAF786454 BQJ786444:BQJ786454 BGN786444:BGN786454 AWR786444:AWR786454 AMV786444:AMV786454 ACZ786444:ACZ786454 TD786444:TD786454 JH786444:JH786454 L786401:L786411 WVT720908:WVT720918 WLX720908:WLX720918 WCB720908:WCB720918 VSF720908:VSF720918 VIJ720908:VIJ720918 UYN720908:UYN720918 UOR720908:UOR720918 UEV720908:UEV720918 TUZ720908:TUZ720918 TLD720908:TLD720918 TBH720908:TBH720918 SRL720908:SRL720918 SHP720908:SHP720918 RXT720908:RXT720918 RNX720908:RNX720918 REB720908:REB720918 QUF720908:QUF720918 QKJ720908:QKJ720918 QAN720908:QAN720918 PQR720908:PQR720918 PGV720908:PGV720918 OWZ720908:OWZ720918 OND720908:OND720918 ODH720908:ODH720918 NTL720908:NTL720918 NJP720908:NJP720918 MZT720908:MZT720918 MPX720908:MPX720918 MGB720908:MGB720918 LWF720908:LWF720918 LMJ720908:LMJ720918 LCN720908:LCN720918 KSR720908:KSR720918 KIV720908:KIV720918 JYZ720908:JYZ720918 JPD720908:JPD720918 JFH720908:JFH720918 IVL720908:IVL720918 ILP720908:ILP720918 IBT720908:IBT720918 HRX720908:HRX720918 HIB720908:HIB720918 GYF720908:GYF720918 GOJ720908:GOJ720918 GEN720908:GEN720918 FUR720908:FUR720918 FKV720908:FKV720918 FAZ720908:FAZ720918 ERD720908:ERD720918 EHH720908:EHH720918 DXL720908:DXL720918 DNP720908:DNP720918 DDT720908:DDT720918 CTX720908:CTX720918 CKB720908:CKB720918 CAF720908:CAF720918 BQJ720908:BQJ720918 BGN720908:BGN720918 AWR720908:AWR720918 AMV720908:AMV720918 ACZ720908:ACZ720918 TD720908:TD720918 JH720908:JH720918 L720865:L720875 WVT655372:WVT655382 WLX655372:WLX655382 WCB655372:WCB655382 VSF655372:VSF655382 VIJ655372:VIJ655382 UYN655372:UYN655382 UOR655372:UOR655382 UEV655372:UEV655382 TUZ655372:TUZ655382 TLD655372:TLD655382 TBH655372:TBH655382 SRL655372:SRL655382 SHP655372:SHP655382 RXT655372:RXT655382 RNX655372:RNX655382 REB655372:REB655382 QUF655372:QUF655382 QKJ655372:QKJ655382 QAN655372:QAN655382 PQR655372:PQR655382 PGV655372:PGV655382 OWZ655372:OWZ655382 OND655372:OND655382 ODH655372:ODH655382 NTL655372:NTL655382 NJP655372:NJP655382 MZT655372:MZT655382 MPX655372:MPX655382 MGB655372:MGB655382 LWF655372:LWF655382 LMJ655372:LMJ655382 LCN655372:LCN655382 KSR655372:KSR655382 KIV655372:KIV655382 JYZ655372:JYZ655382 JPD655372:JPD655382 JFH655372:JFH655382 IVL655372:IVL655382 ILP655372:ILP655382 IBT655372:IBT655382 HRX655372:HRX655382 HIB655372:HIB655382 GYF655372:GYF655382 GOJ655372:GOJ655382 GEN655372:GEN655382 FUR655372:FUR655382 FKV655372:FKV655382 FAZ655372:FAZ655382 ERD655372:ERD655382 EHH655372:EHH655382 DXL655372:DXL655382 DNP655372:DNP655382 DDT655372:DDT655382 CTX655372:CTX655382 CKB655372:CKB655382 CAF655372:CAF655382 BQJ655372:BQJ655382 BGN655372:BGN655382 AWR655372:AWR655382 AMV655372:AMV655382 ACZ655372:ACZ655382 TD655372:TD655382 JH655372:JH655382 L655329:L655339 WVT589836:WVT589846 WLX589836:WLX589846 WCB589836:WCB589846 VSF589836:VSF589846 VIJ589836:VIJ589846 UYN589836:UYN589846 UOR589836:UOR589846 UEV589836:UEV589846 TUZ589836:TUZ589846 TLD589836:TLD589846 TBH589836:TBH589846 SRL589836:SRL589846 SHP589836:SHP589846 RXT589836:RXT589846 RNX589836:RNX589846 REB589836:REB589846 QUF589836:QUF589846 QKJ589836:QKJ589846 QAN589836:QAN589846 PQR589836:PQR589846 PGV589836:PGV589846 OWZ589836:OWZ589846 OND589836:OND589846 ODH589836:ODH589846 NTL589836:NTL589846 NJP589836:NJP589846 MZT589836:MZT589846 MPX589836:MPX589846 MGB589836:MGB589846 LWF589836:LWF589846 LMJ589836:LMJ589846 LCN589836:LCN589846 KSR589836:KSR589846 KIV589836:KIV589846 JYZ589836:JYZ589846 JPD589836:JPD589846 JFH589836:JFH589846 IVL589836:IVL589846 ILP589836:ILP589846 IBT589836:IBT589846 HRX589836:HRX589846 HIB589836:HIB589846 GYF589836:GYF589846 GOJ589836:GOJ589846 GEN589836:GEN589846 FUR589836:FUR589846 FKV589836:FKV589846 FAZ589836:FAZ589846 ERD589836:ERD589846 EHH589836:EHH589846 DXL589836:DXL589846 DNP589836:DNP589846 DDT589836:DDT589846 CTX589836:CTX589846 CKB589836:CKB589846 CAF589836:CAF589846 BQJ589836:BQJ589846 BGN589836:BGN589846 AWR589836:AWR589846 AMV589836:AMV589846 ACZ589836:ACZ589846 TD589836:TD589846 JH589836:JH589846 L589793:L589803 WVT524300:WVT524310 WLX524300:WLX524310 WCB524300:WCB524310 VSF524300:VSF524310 VIJ524300:VIJ524310 UYN524300:UYN524310 UOR524300:UOR524310 UEV524300:UEV524310 TUZ524300:TUZ524310 TLD524300:TLD524310 TBH524300:TBH524310 SRL524300:SRL524310 SHP524300:SHP524310 RXT524300:RXT524310 RNX524300:RNX524310 REB524300:REB524310 QUF524300:QUF524310 QKJ524300:QKJ524310 QAN524300:QAN524310 PQR524300:PQR524310 PGV524300:PGV524310 OWZ524300:OWZ524310 OND524300:OND524310 ODH524300:ODH524310 NTL524300:NTL524310 NJP524300:NJP524310 MZT524300:MZT524310 MPX524300:MPX524310 MGB524300:MGB524310 LWF524300:LWF524310 LMJ524300:LMJ524310 LCN524300:LCN524310 KSR524300:KSR524310 KIV524300:KIV524310 JYZ524300:JYZ524310 JPD524300:JPD524310 JFH524300:JFH524310 IVL524300:IVL524310 ILP524300:ILP524310 IBT524300:IBT524310 HRX524300:HRX524310 HIB524300:HIB524310 GYF524300:GYF524310 GOJ524300:GOJ524310 GEN524300:GEN524310 FUR524300:FUR524310 FKV524300:FKV524310 FAZ524300:FAZ524310 ERD524300:ERD524310 EHH524300:EHH524310 DXL524300:DXL524310 DNP524300:DNP524310 DDT524300:DDT524310 CTX524300:CTX524310 CKB524300:CKB524310 CAF524300:CAF524310 BQJ524300:BQJ524310 BGN524300:BGN524310 AWR524300:AWR524310 AMV524300:AMV524310 ACZ524300:ACZ524310 TD524300:TD524310 JH524300:JH524310 L524257:L524267 WVT458764:WVT458774 WLX458764:WLX458774 WCB458764:WCB458774 VSF458764:VSF458774 VIJ458764:VIJ458774 UYN458764:UYN458774 UOR458764:UOR458774 UEV458764:UEV458774 TUZ458764:TUZ458774 TLD458764:TLD458774 TBH458764:TBH458774 SRL458764:SRL458774 SHP458764:SHP458774 RXT458764:RXT458774 RNX458764:RNX458774 REB458764:REB458774 QUF458764:QUF458774 QKJ458764:QKJ458774 QAN458764:QAN458774 PQR458764:PQR458774 PGV458764:PGV458774 OWZ458764:OWZ458774 OND458764:OND458774 ODH458764:ODH458774 NTL458764:NTL458774 NJP458764:NJP458774 MZT458764:MZT458774 MPX458764:MPX458774 MGB458764:MGB458774 LWF458764:LWF458774 LMJ458764:LMJ458774 LCN458764:LCN458774 KSR458764:KSR458774 KIV458764:KIV458774 JYZ458764:JYZ458774 JPD458764:JPD458774 JFH458764:JFH458774 IVL458764:IVL458774 ILP458764:ILP458774 IBT458764:IBT458774 HRX458764:HRX458774 HIB458764:HIB458774 GYF458764:GYF458774 GOJ458764:GOJ458774 GEN458764:GEN458774 FUR458764:FUR458774 FKV458764:FKV458774 FAZ458764:FAZ458774 ERD458764:ERD458774 EHH458764:EHH458774 DXL458764:DXL458774 DNP458764:DNP458774 DDT458764:DDT458774 CTX458764:CTX458774 CKB458764:CKB458774 CAF458764:CAF458774 BQJ458764:BQJ458774 BGN458764:BGN458774 AWR458764:AWR458774 AMV458764:AMV458774 ACZ458764:ACZ458774 TD458764:TD458774 JH458764:JH458774 L458721:L458731 WVT393228:WVT393238 WLX393228:WLX393238 WCB393228:WCB393238 VSF393228:VSF393238 VIJ393228:VIJ393238 UYN393228:UYN393238 UOR393228:UOR393238 UEV393228:UEV393238 TUZ393228:TUZ393238 TLD393228:TLD393238 TBH393228:TBH393238 SRL393228:SRL393238 SHP393228:SHP393238 RXT393228:RXT393238 RNX393228:RNX393238 REB393228:REB393238 QUF393228:QUF393238 QKJ393228:QKJ393238 QAN393228:QAN393238 PQR393228:PQR393238 PGV393228:PGV393238 OWZ393228:OWZ393238 OND393228:OND393238 ODH393228:ODH393238 NTL393228:NTL393238 NJP393228:NJP393238 MZT393228:MZT393238 MPX393228:MPX393238 MGB393228:MGB393238 LWF393228:LWF393238 LMJ393228:LMJ393238 LCN393228:LCN393238 KSR393228:KSR393238 KIV393228:KIV393238 JYZ393228:JYZ393238 JPD393228:JPD393238 JFH393228:JFH393238 IVL393228:IVL393238 ILP393228:ILP393238 IBT393228:IBT393238 HRX393228:HRX393238 HIB393228:HIB393238 GYF393228:GYF393238 GOJ393228:GOJ393238 GEN393228:GEN393238 FUR393228:FUR393238 FKV393228:FKV393238 FAZ393228:FAZ393238 ERD393228:ERD393238 EHH393228:EHH393238 DXL393228:DXL393238 DNP393228:DNP393238 DDT393228:DDT393238 CTX393228:CTX393238 CKB393228:CKB393238 CAF393228:CAF393238 BQJ393228:BQJ393238 BGN393228:BGN393238 AWR393228:AWR393238 AMV393228:AMV393238 ACZ393228:ACZ393238 TD393228:TD393238 JH393228:JH393238 L393185:L393195 WVT327692:WVT327702 WLX327692:WLX327702 WCB327692:WCB327702 VSF327692:VSF327702 VIJ327692:VIJ327702 UYN327692:UYN327702 UOR327692:UOR327702 UEV327692:UEV327702 TUZ327692:TUZ327702 TLD327692:TLD327702 TBH327692:TBH327702 SRL327692:SRL327702 SHP327692:SHP327702 RXT327692:RXT327702 RNX327692:RNX327702 REB327692:REB327702 QUF327692:QUF327702 QKJ327692:QKJ327702 QAN327692:QAN327702 PQR327692:PQR327702 PGV327692:PGV327702 OWZ327692:OWZ327702 OND327692:OND327702 ODH327692:ODH327702 NTL327692:NTL327702 NJP327692:NJP327702 MZT327692:MZT327702 MPX327692:MPX327702 MGB327692:MGB327702 LWF327692:LWF327702 LMJ327692:LMJ327702 LCN327692:LCN327702 KSR327692:KSR327702 KIV327692:KIV327702 JYZ327692:JYZ327702 JPD327692:JPD327702 JFH327692:JFH327702 IVL327692:IVL327702 ILP327692:ILP327702 IBT327692:IBT327702 HRX327692:HRX327702 HIB327692:HIB327702 GYF327692:GYF327702 GOJ327692:GOJ327702 GEN327692:GEN327702 FUR327692:FUR327702 FKV327692:FKV327702 FAZ327692:FAZ327702 ERD327692:ERD327702 EHH327692:EHH327702 DXL327692:DXL327702 DNP327692:DNP327702 DDT327692:DDT327702 CTX327692:CTX327702 CKB327692:CKB327702 CAF327692:CAF327702 BQJ327692:BQJ327702 BGN327692:BGN327702 AWR327692:AWR327702 AMV327692:AMV327702 ACZ327692:ACZ327702 TD327692:TD327702 JH327692:JH327702 L327649:L327659 WVT262156:WVT262166 WLX262156:WLX262166 WCB262156:WCB262166 VSF262156:VSF262166 VIJ262156:VIJ262166 UYN262156:UYN262166 UOR262156:UOR262166 UEV262156:UEV262166 TUZ262156:TUZ262166 TLD262156:TLD262166 TBH262156:TBH262166 SRL262156:SRL262166 SHP262156:SHP262166 RXT262156:RXT262166 RNX262156:RNX262166 REB262156:REB262166 QUF262156:QUF262166 QKJ262156:QKJ262166 QAN262156:QAN262166 PQR262156:PQR262166 PGV262156:PGV262166 OWZ262156:OWZ262166 OND262156:OND262166 ODH262156:ODH262166 NTL262156:NTL262166 NJP262156:NJP262166 MZT262156:MZT262166 MPX262156:MPX262166 MGB262156:MGB262166 LWF262156:LWF262166 LMJ262156:LMJ262166 LCN262156:LCN262166 KSR262156:KSR262166 KIV262156:KIV262166 JYZ262156:JYZ262166 JPD262156:JPD262166 JFH262156:JFH262166 IVL262156:IVL262166 ILP262156:ILP262166 IBT262156:IBT262166 HRX262156:HRX262166 HIB262156:HIB262166 GYF262156:GYF262166 GOJ262156:GOJ262166 GEN262156:GEN262166 FUR262156:FUR262166 FKV262156:FKV262166 FAZ262156:FAZ262166 ERD262156:ERD262166 EHH262156:EHH262166 DXL262156:DXL262166 DNP262156:DNP262166 DDT262156:DDT262166 CTX262156:CTX262166 CKB262156:CKB262166 CAF262156:CAF262166 BQJ262156:BQJ262166 BGN262156:BGN262166 AWR262156:AWR262166 AMV262156:AMV262166 ACZ262156:ACZ262166 TD262156:TD262166 JH262156:JH262166 L262113:L262123 WVT196620:WVT196630 WLX196620:WLX196630 WCB196620:WCB196630 VSF196620:VSF196630 VIJ196620:VIJ196630 UYN196620:UYN196630 UOR196620:UOR196630 UEV196620:UEV196630 TUZ196620:TUZ196630 TLD196620:TLD196630 TBH196620:TBH196630 SRL196620:SRL196630 SHP196620:SHP196630 RXT196620:RXT196630 RNX196620:RNX196630 REB196620:REB196630 QUF196620:QUF196630 QKJ196620:QKJ196630 QAN196620:QAN196630 PQR196620:PQR196630 PGV196620:PGV196630 OWZ196620:OWZ196630 OND196620:OND196630 ODH196620:ODH196630 NTL196620:NTL196630 NJP196620:NJP196630 MZT196620:MZT196630 MPX196620:MPX196630 MGB196620:MGB196630 LWF196620:LWF196630 LMJ196620:LMJ196630 LCN196620:LCN196630 KSR196620:KSR196630 KIV196620:KIV196630 JYZ196620:JYZ196630 JPD196620:JPD196630 JFH196620:JFH196630 IVL196620:IVL196630 ILP196620:ILP196630 IBT196620:IBT196630 HRX196620:HRX196630 HIB196620:HIB196630 GYF196620:GYF196630 GOJ196620:GOJ196630 GEN196620:GEN196630 FUR196620:FUR196630 FKV196620:FKV196630 FAZ196620:FAZ196630 ERD196620:ERD196630 EHH196620:EHH196630 DXL196620:DXL196630 DNP196620:DNP196630 DDT196620:DDT196630 CTX196620:CTX196630 CKB196620:CKB196630 CAF196620:CAF196630 BQJ196620:BQJ196630 BGN196620:BGN196630 AWR196620:AWR196630 AMV196620:AMV196630 ACZ196620:ACZ196630 TD196620:TD196630 JH196620:JH196630 L196577:L196587 WVT131084:WVT131094 WLX131084:WLX131094 WCB131084:WCB131094 VSF131084:VSF131094 VIJ131084:VIJ131094 UYN131084:UYN131094 UOR131084:UOR131094 UEV131084:UEV131094 TUZ131084:TUZ131094 TLD131084:TLD131094 TBH131084:TBH131094 SRL131084:SRL131094 SHP131084:SHP131094 RXT131084:RXT131094 RNX131084:RNX131094 REB131084:REB131094 QUF131084:QUF131094 QKJ131084:QKJ131094 QAN131084:QAN131094 PQR131084:PQR131094 PGV131084:PGV131094 OWZ131084:OWZ131094 OND131084:OND131094 ODH131084:ODH131094 NTL131084:NTL131094 NJP131084:NJP131094 MZT131084:MZT131094 MPX131084:MPX131094 MGB131084:MGB131094 LWF131084:LWF131094 LMJ131084:LMJ131094 LCN131084:LCN131094 KSR131084:KSR131094 KIV131084:KIV131094 JYZ131084:JYZ131094 JPD131084:JPD131094 JFH131084:JFH131094 IVL131084:IVL131094 ILP131084:ILP131094 IBT131084:IBT131094 HRX131084:HRX131094 HIB131084:HIB131094 GYF131084:GYF131094 GOJ131084:GOJ131094 GEN131084:GEN131094 FUR131084:FUR131094 FKV131084:FKV131094 FAZ131084:FAZ131094 ERD131084:ERD131094 EHH131084:EHH131094 DXL131084:DXL131094 DNP131084:DNP131094 DDT131084:DDT131094 CTX131084:CTX131094 CKB131084:CKB131094 CAF131084:CAF131094 BQJ131084:BQJ131094 BGN131084:BGN131094 AWR131084:AWR131094 AMV131084:AMV131094 ACZ131084:ACZ131094 TD131084:TD131094 JH131084:JH131094 L131041:L131051 WVT65548:WVT65558 WLX65548:WLX65558 WCB65548:WCB65558 VSF65548:VSF65558 VIJ65548:VIJ65558 UYN65548:UYN65558 UOR65548:UOR65558 UEV65548:UEV65558 TUZ65548:TUZ65558 TLD65548:TLD65558 TBH65548:TBH65558 SRL65548:SRL65558 SHP65548:SHP65558 RXT65548:RXT65558 RNX65548:RNX65558 REB65548:REB65558 QUF65548:QUF65558 QKJ65548:QKJ65558 QAN65548:QAN65558 PQR65548:PQR65558 PGV65548:PGV65558 OWZ65548:OWZ65558 OND65548:OND65558 ODH65548:ODH65558 NTL65548:NTL65558 NJP65548:NJP65558 MZT65548:MZT65558 MPX65548:MPX65558 MGB65548:MGB65558 LWF65548:LWF65558 LMJ65548:LMJ65558 LCN65548:LCN65558 KSR65548:KSR65558 KIV65548:KIV65558 JYZ65548:JYZ65558 JPD65548:JPD65558 JFH65548:JFH65558 IVL65548:IVL65558 ILP65548:ILP65558 IBT65548:IBT65558 HRX65548:HRX65558 HIB65548:HIB65558 GYF65548:GYF65558 GOJ65548:GOJ65558 GEN65548:GEN65558 FUR65548:FUR65558 FKV65548:FKV65558 FAZ65548:FAZ65558 ERD65548:ERD65558 EHH65548:EHH65558 DXL65548:DXL65558 DNP65548:DNP65558 DDT65548:DDT65558 CTX65548:CTX65558 CKB65548:CKB65558 CAF65548:CAF65558 BQJ65548:BQJ65558 BGN65548:BGN65558 AWR65548:AWR65558 AMV65548:AMV65558 ACZ65548:ACZ65558 TD65548:TD65558 JH65548:JH65558 L65505:L65515 WTR8:WTR18 WJV8:WJV18 VZZ8:VZZ18 VQD8:VQD18 VGH8:VGH18 UWL8:UWL18 UMP8:UMP18 UCT8:UCT18 TSX8:TSX18 TJB8:TJB18 SZF8:SZF18 SPJ8:SPJ18 SFN8:SFN18 RVR8:RVR18 RLV8:RLV18 RBZ8:RBZ18 QSD8:QSD18 QIH8:QIH18 PYL8:PYL18 POP8:POP18 PET8:PET18 OUX8:OUX18 OLB8:OLB18 OBF8:OBF18 NRJ8:NRJ18 NHN8:NHN18 MXR8:MXR18 MNV8:MNV18 MDZ8:MDZ18 LUD8:LUD18 LKH8:LKH18 LAL8:LAL18 KQP8:KQP18 KGT8:KGT18 JWX8:JWX18 JNB8:JNB18 JDF8:JDF18 ITJ8:ITJ18 IJN8:IJN18 HZR8:HZR18 HPV8:HPV18 HFZ8:HFZ18 GWD8:GWD18 GMH8:GMH18 GCL8:GCL18 FSP8:FSP18 FIT8:FIT18 EYX8:EYX18 EPB8:EPB18 EFF8:EFF18 DVJ8:DVJ18 DLN8:DLN18 DBR8:DBR18 CRV8:CRV18 CHZ8:CHZ18 BYD8:BYD18 BOH8:BOH18 BEL8:BEL18 AUP8:AUP18 AKT8:AKT18 AAX8:AAX18 RB8:RB18 WVT983052:WVT983062 WVT983064:WVT983073 WLX983064:WLX983073 WCB983064:WCB983073 VSF983064:VSF983073 VIJ983064:VIJ983073 UYN983064:UYN983073 UOR983064:UOR983073 UEV983064:UEV983073 TUZ983064:TUZ983073 TLD983064:TLD983073 TBH983064:TBH983073 SRL983064:SRL983073 SHP983064:SHP983073 RXT983064:RXT983073 RNX983064:RNX983073 REB983064:REB983073 QUF983064:QUF983073 QKJ983064:QKJ983073 QAN983064:QAN983073 PQR983064:PQR983073 PGV983064:PGV983073 OWZ983064:OWZ983073 OND983064:OND983073 ODH983064:ODH983073 NTL983064:NTL983073 NJP983064:NJP983073 MZT983064:MZT983073 MPX983064:MPX983073 MGB983064:MGB983073 LWF983064:LWF983073 LMJ983064:LMJ983073 LCN983064:LCN983073 KSR983064:KSR983073 KIV983064:KIV983073 JYZ983064:JYZ983073 JPD983064:JPD983073 JFH983064:JFH983073 IVL983064:IVL983073 ILP983064:ILP983073 IBT983064:IBT983073 HRX983064:HRX983073 HIB983064:HIB983073 GYF983064:GYF983073 GOJ983064:GOJ983073 GEN983064:GEN983073 FUR983064:FUR983073 FKV983064:FKV983073 FAZ983064:FAZ983073 ERD983064:ERD983073 EHH983064:EHH983073 DXL983064:DXL983073 DNP983064:DNP983073 DDT983064:DDT983073 CTX983064:CTX983073 CKB983064:CKB983073 CAF983064:CAF983073 BQJ983064:BQJ983073 BGN983064:BGN983073 AWR983064:AWR983073 AMV983064:AMV983073 ACZ983064:ACZ983073 TD983064:TD983073 JH983064:JH983073 L983021:L983030 WVT917528:WVT917537 WLX917528:WLX917537 WCB917528:WCB917537 VSF917528:VSF917537 VIJ917528:VIJ917537 UYN917528:UYN917537 UOR917528:UOR917537 UEV917528:UEV917537 TUZ917528:TUZ917537 TLD917528:TLD917537 TBH917528:TBH917537 SRL917528:SRL917537 SHP917528:SHP917537 RXT917528:RXT917537 RNX917528:RNX917537 REB917528:REB917537 QUF917528:QUF917537 QKJ917528:QKJ917537 QAN917528:QAN917537 PQR917528:PQR917537 PGV917528:PGV917537 OWZ917528:OWZ917537 OND917528:OND917537 ODH917528:ODH917537 NTL917528:NTL917537 NJP917528:NJP917537 MZT917528:MZT917537 MPX917528:MPX917537 MGB917528:MGB917537 LWF917528:LWF917537 LMJ917528:LMJ917537 LCN917528:LCN917537 KSR917528:KSR917537 KIV917528:KIV917537 JYZ917528:JYZ917537 JPD917528:JPD917537 JFH917528:JFH917537 IVL917528:IVL917537 ILP917528:ILP917537 IBT917528:IBT917537 HRX917528:HRX917537 HIB917528:HIB917537 GYF917528:GYF917537 GOJ917528:GOJ917537 GEN917528:GEN917537 FUR917528:FUR917537 FKV917528:FKV917537 FAZ917528:FAZ917537 ERD917528:ERD917537 EHH917528:EHH917537 DXL917528:DXL917537 DNP917528:DNP917537 DDT917528:DDT917537 CTX917528:CTX917537 CKB917528:CKB917537 CAF917528:CAF917537 BQJ917528:BQJ917537 BGN917528:BGN917537 AWR917528:AWR917537 AMV917528:AMV917537 ACZ917528:ACZ917537 TD917528:TD917537 JH917528:JH917537 L917485:L917494 WVT851992:WVT852001 WLX851992:WLX852001 WCB851992:WCB852001 VSF851992:VSF852001 VIJ851992:VIJ852001 UYN851992:UYN852001 UOR851992:UOR852001 UEV851992:UEV852001 TUZ851992:TUZ852001 TLD851992:TLD852001 TBH851992:TBH852001 SRL851992:SRL852001 SHP851992:SHP852001 RXT851992:RXT852001 RNX851992:RNX852001 REB851992:REB852001 QUF851992:QUF852001 QKJ851992:QKJ852001 QAN851992:QAN852001 PQR851992:PQR852001 PGV851992:PGV852001 OWZ851992:OWZ852001 OND851992:OND852001 ODH851992:ODH852001 NTL851992:NTL852001 NJP851992:NJP852001 MZT851992:MZT852001 MPX851992:MPX852001 MGB851992:MGB852001 LWF851992:LWF852001 LMJ851992:LMJ852001 LCN851992:LCN852001 KSR851992:KSR852001 KIV851992:KIV852001 JYZ851992:JYZ852001 JPD851992:JPD852001 JFH851992:JFH852001 IVL851992:IVL852001 ILP851992:ILP852001 IBT851992:IBT852001 HRX851992:HRX852001 HIB851992:HIB852001 GYF851992:GYF852001 GOJ851992:GOJ852001 GEN851992:GEN852001 FUR851992:FUR852001 FKV851992:FKV852001 FAZ851992:FAZ852001 ERD851992:ERD852001 EHH851992:EHH852001 DXL851992:DXL852001 DNP851992:DNP852001 DDT851992:DDT852001 CTX851992:CTX852001 CKB851992:CKB852001 CAF851992:CAF852001 BQJ851992:BQJ852001 BGN851992:BGN852001 AWR851992:AWR852001 AMV851992:AMV852001 ACZ851992:ACZ852001 TD851992:TD852001 JH851992:JH852001 L851949:L851958 WVT786456:WVT786465 WLX786456:WLX786465 WCB786456:WCB786465 VSF786456:VSF786465 VIJ786456:VIJ786465 UYN786456:UYN786465 UOR786456:UOR786465 UEV786456:UEV786465 TUZ786456:TUZ786465 TLD786456:TLD786465 TBH786456:TBH786465 SRL786456:SRL786465 SHP786456:SHP786465 RXT786456:RXT786465 RNX786456:RNX786465 REB786456:REB786465 QUF786456:QUF786465 QKJ786456:QKJ786465 QAN786456:QAN786465 PQR786456:PQR786465 PGV786456:PGV786465 OWZ786456:OWZ786465 OND786456:OND786465 ODH786456:ODH786465 NTL786456:NTL786465 NJP786456:NJP786465 MZT786456:MZT786465 MPX786456:MPX786465 MGB786456:MGB786465 LWF786456:LWF786465 LMJ786456:LMJ786465 LCN786456:LCN786465 KSR786456:KSR786465 KIV786456:KIV786465 JYZ786456:JYZ786465 JPD786456:JPD786465 JFH786456:JFH786465 IVL786456:IVL786465 ILP786456:ILP786465 IBT786456:IBT786465 HRX786456:HRX786465 HIB786456:HIB786465 GYF786456:GYF786465 GOJ786456:GOJ786465 GEN786456:GEN786465 FUR786456:FUR786465 FKV786456:FKV786465 FAZ786456:FAZ786465 ERD786456:ERD786465 EHH786456:EHH786465 DXL786456:DXL786465 DNP786456:DNP786465 DDT786456:DDT786465 CTX786456:CTX786465 CKB786456:CKB786465 CAF786456:CAF786465 BQJ786456:BQJ786465 BGN786456:BGN786465 AWR786456:AWR786465 AMV786456:AMV786465 ACZ786456:ACZ786465 TD786456:TD786465 JH786456:JH786465 L786413:L786422 WVT720920:WVT720929 WLX720920:WLX720929 WCB720920:WCB720929 VSF720920:VSF720929 VIJ720920:VIJ720929 UYN720920:UYN720929 UOR720920:UOR720929 UEV720920:UEV720929 TUZ720920:TUZ720929 TLD720920:TLD720929 TBH720920:TBH720929 SRL720920:SRL720929 SHP720920:SHP720929 RXT720920:RXT720929 RNX720920:RNX720929 REB720920:REB720929 QUF720920:QUF720929 QKJ720920:QKJ720929 QAN720920:QAN720929 PQR720920:PQR720929 PGV720920:PGV720929 OWZ720920:OWZ720929 OND720920:OND720929 ODH720920:ODH720929 NTL720920:NTL720929 NJP720920:NJP720929 MZT720920:MZT720929 MPX720920:MPX720929 MGB720920:MGB720929 LWF720920:LWF720929 LMJ720920:LMJ720929 LCN720920:LCN720929 KSR720920:KSR720929 KIV720920:KIV720929 JYZ720920:JYZ720929 JPD720920:JPD720929 JFH720920:JFH720929 IVL720920:IVL720929 ILP720920:ILP720929 IBT720920:IBT720929 HRX720920:HRX720929 HIB720920:HIB720929 GYF720920:GYF720929 GOJ720920:GOJ720929 GEN720920:GEN720929 FUR720920:FUR720929 FKV720920:FKV720929 FAZ720920:FAZ720929 ERD720920:ERD720929 EHH720920:EHH720929 DXL720920:DXL720929 DNP720920:DNP720929 DDT720920:DDT720929 CTX720920:CTX720929 CKB720920:CKB720929 CAF720920:CAF720929 BQJ720920:BQJ720929 BGN720920:BGN720929 AWR720920:AWR720929 AMV720920:AMV720929 ACZ720920:ACZ720929 TD720920:TD720929 JH720920:JH720929 L720877:L720886 WVT655384:WVT655393 WLX655384:WLX655393 WCB655384:WCB655393 VSF655384:VSF655393 VIJ655384:VIJ655393 UYN655384:UYN655393 UOR655384:UOR655393 UEV655384:UEV655393 TUZ655384:TUZ655393 TLD655384:TLD655393 TBH655384:TBH655393 SRL655384:SRL655393 SHP655384:SHP655393 RXT655384:RXT655393 RNX655384:RNX655393 REB655384:REB655393 QUF655384:QUF655393 QKJ655384:QKJ655393 QAN655384:QAN655393 PQR655384:PQR655393 PGV655384:PGV655393 OWZ655384:OWZ655393 OND655384:OND655393 ODH655384:ODH655393 NTL655384:NTL655393 NJP655384:NJP655393 MZT655384:MZT655393 MPX655384:MPX655393 MGB655384:MGB655393 LWF655384:LWF655393 LMJ655384:LMJ655393 LCN655384:LCN655393 KSR655384:KSR655393 KIV655384:KIV655393 JYZ655384:JYZ655393 JPD655384:JPD655393 JFH655384:JFH655393 IVL655384:IVL655393 ILP655384:ILP655393 IBT655384:IBT655393 HRX655384:HRX655393 HIB655384:HIB655393 GYF655384:GYF655393 GOJ655384:GOJ655393 GEN655384:GEN655393 FUR655384:FUR655393 FKV655384:FKV655393 FAZ655384:FAZ655393 ERD655384:ERD655393 EHH655384:EHH655393 DXL655384:DXL655393 DNP655384:DNP655393 DDT655384:DDT655393 CTX655384:CTX655393 CKB655384:CKB655393 CAF655384:CAF655393 BQJ655384:BQJ655393 BGN655384:BGN655393 AWR655384:AWR655393 AMV655384:AMV655393 ACZ655384:ACZ655393 TD655384:TD655393 JH655384:JH655393 L655341:L655350 WVT589848:WVT589857 WLX589848:WLX589857 WCB589848:WCB589857 VSF589848:VSF589857 VIJ589848:VIJ589857 UYN589848:UYN589857 UOR589848:UOR589857 UEV589848:UEV589857 TUZ589848:TUZ589857 TLD589848:TLD589857 TBH589848:TBH589857 SRL589848:SRL589857 SHP589848:SHP589857 RXT589848:RXT589857 RNX589848:RNX589857 REB589848:REB589857 QUF589848:QUF589857 QKJ589848:QKJ589857 QAN589848:QAN589857 PQR589848:PQR589857 PGV589848:PGV589857 OWZ589848:OWZ589857 OND589848:OND589857 ODH589848:ODH589857 NTL589848:NTL589857 NJP589848:NJP589857 MZT589848:MZT589857 MPX589848:MPX589857 MGB589848:MGB589857 LWF589848:LWF589857 LMJ589848:LMJ589857 LCN589848:LCN589857 KSR589848:KSR589857 KIV589848:KIV589857 JYZ589848:JYZ589857 JPD589848:JPD589857 JFH589848:JFH589857 IVL589848:IVL589857 ILP589848:ILP589857 IBT589848:IBT589857 HRX589848:HRX589857 HIB589848:HIB589857 GYF589848:GYF589857 GOJ589848:GOJ589857 GEN589848:GEN589857 FUR589848:FUR589857 FKV589848:FKV589857 FAZ589848:FAZ589857 ERD589848:ERD589857 EHH589848:EHH589857 DXL589848:DXL589857 DNP589848:DNP589857 DDT589848:DDT589857 CTX589848:CTX589857 CKB589848:CKB589857 CAF589848:CAF589857 BQJ589848:BQJ589857 BGN589848:BGN589857 AWR589848:AWR589857 AMV589848:AMV589857 ACZ589848:ACZ589857 TD589848:TD589857 JH589848:JH589857 L589805:L589814 WVT524312:WVT524321 WLX524312:WLX524321 WCB524312:WCB524321 VSF524312:VSF524321 VIJ524312:VIJ524321 UYN524312:UYN524321 UOR524312:UOR524321 UEV524312:UEV524321 TUZ524312:TUZ524321 TLD524312:TLD524321 TBH524312:TBH524321 SRL524312:SRL524321 SHP524312:SHP524321 RXT524312:RXT524321 RNX524312:RNX524321 REB524312:REB524321 QUF524312:QUF524321 QKJ524312:QKJ524321 QAN524312:QAN524321 PQR524312:PQR524321 PGV524312:PGV524321 OWZ524312:OWZ524321 OND524312:OND524321 ODH524312:ODH524321 NTL524312:NTL524321 NJP524312:NJP524321 MZT524312:MZT524321 MPX524312:MPX524321 MGB524312:MGB524321 LWF524312:LWF524321 LMJ524312:LMJ524321 LCN524312:LCN524321 KSR524312:KSR524321 KIV524312:KIV524321 JYZ524312:JYZ524321 JPD524312:JPD524321 JFH524312:JFH524321 IVL524312:IVL524321 ILP524312:ILP524321 IBT524312:IBT524321 HRX524312:HRX524321 HIB524312:HIB524321 GYF524312:GYF524321 GOJ524312:GOJ524321 GEN524312:GEN524321 FUR524312:FUR524321 FKV524312:FKV524321 FAZ524312:FAZ524321 ERD524312:ERD524321 EHH524312:EHH524321 DXL524312:DXL524321 DNP524312:DNP524321 DDT524312:DDT524321 CTX524312:CTX524321 CKB524312:CKB524321 CAF524312:CAF524321 BQJ524312:BQJ524321 BGN524312:BGN524321 AWR524312:AWR524321 AMV524312:AMV524321 ACZ524312:ACZ524321 TD524312:TD524321 JH524312:JH524321 L524269:L524278 WVT458776:WVT458785 WLX458776:WLX458785 WCB458776:WCB458785 VSF458776:VSF458785 VIJ458776:VIJ458785 UYN458776:UYN458785 UOR458776:UOR458785 UEV458776:UEV458785 TUZ458776:TUZ458785 TLD458776:TLD458785 TBH458776:TBH458785 SRL458776:SRL458785 SHP458776:SHP458785 RXT458776:RXT458785 RNX458776:RNX458785 REB458776:REB458785 QUF458776:QUF458785 QKJ458776:QKJ458785 QAN458776:QAN458785 PQR458776:PQR458785 PGV458776:PGV458785 OWZ458776:OWZ458785 OND458776:OND458785 ODH458776:ODH458785 NTL458776:NTL458785 NJP458776:NJP458785 MZT458776:MZT458785 MPX458776:MPX458785 MGB458776:MGB458785 LWF458776:LWF458785 LMJ458776:LMJ458785 LCN458776:LCN458785 KSR458776:KSR458785 KIV458776:KIV458785 JYZ458776:JYZ458785 JPD458776:JPD458785 JFH458776:JFH458785 IVL458776:IVL458785 ILP458776:ILP458785 IBT458776:IBT458785 HRX458776:HRX458785 HIB458776:HIB458785 GYF458776:GYF458785 GOJ458776:GOJ458785 GEN458776:GEN458785 FUR458776:FUR458785 FKV458776:FKV458785 FAZ458776:FAZ458785 ERD458776:ERD458785 EHH458776:EHH458785 DXL458776:DXL458785 DNP458776:DNP458785 DDT458776:DDT458785 CTX458776:CTX458785 CKB458776:CKB458785 CAF458776:CAF458785 BQJ458776:BQJ458785 BGN458776:BGN458785 AWR458776:AWR458785 AMV458776:AMV458785 ACZ458776:ACZ458785 TD458776:TD458785 JH458776:JH458785 L458733:L458742 WVT393240:WVT393249 WLX393240:WLX393249 WCB393240:WCB393249 VSF393240:VSF393249 VIJ393240:VIJ393249 UYN393240:UYN393249 UOR393240:UOR393249 UEV393240:UEV393249 TUZ393240:TUZ393249 TLD393240:TLD393249 TBH393240:TBH393249 SRL393240:SRL393249 SHP393240:SHP393249 RXT393240:RXT393249 RNX393240:RNX393249 REB393240:REB393249 QUF393240:QUF393249 QKJ393240:QKJ393249 QAN393240:QAN393249 PQR393240:PQR393249 PGV393240:PGV393249 OWZ393240:OWZ393249 OND393240:OND393249 ODH393240:ODH393249 NTL393240:NTL393249 NJP393240:NJP393249 MZT393240:MZT393249 MPX393240:MPX393249 MGB393240:MGB393249 LWF393240:LWF393249 LMJ393240:LMJ393249 LCN393240:LCN393249 KSR393240:KSR393249 KIV393240:KIV393249 JYZ393240:JYZ393249 JPD393240:JPD393249 JFH393240:JFH393249 IVL393240:IVL393249 ILP393240:ILP393249 IBT393240:IBT393249 HRX393240:HRX393249 HIB393240:HIB393249 GYF393240:GYF393249 GOJ393240:GOJ393249 GEN393240:GEN393249 FUR393240:FUR393249 FKV393240:FKV393249 FAZ393240:FAZ393249 ERD393240:ERD393249 EHH393240:EHH393249 DXL393240:DXL393249 DNP393240:DNP393249 DDT393240:DDT393249 CTX393240:CTX393249 CKB393240:CKB393249 CAF393240:CAF393249 BQJ393240:BQJ393249 BGN393240:BGN393249 AWR393240:AWR393249 AMV393240:AMV393249 ACZ393240:ACZ393249 TD393240:TD393249 JH393240:JH393249 L393197:L393206 WVT327704:WVT327713 WLX327704:WLX327713 WCB327704:WCB327713 VSF327704:VSF327713 VIJ327704:VIJ327713 UYN327704:UYN327713 UOR327704:UOR327713 UEV327704:UEV327713 TUZ327704:TUZ327713 TLD327704:TLD327713 TBH327704:TBH327713 SRL327704:SRL327713 SHP327704:SHP327713 RXT327704:RXT327713 RNX327704:RNX327713 REB327704:REB327713 QUF327704:QUF327713 QKJ327704:QKJ327713 QAN327704:QAN327713 PQR327704:PQR327713 PGV327704:PGV327713 OWZ327704:OWZ327713 OND327704:OND327713 ODH327704:ODH327713 NTL327704:NTL327713 NJP327704:NJP327713 MZT327704:MZT327713 MPX327704:MPX327713 MGB327704:MGB327713 LWF327704:LWF327713 LMJ327704:LMJ327713 LCN327704:LCN327713 KSR327704:KSR327713 KIV327704:KIV327713 JYZ327704:JYZ327713 JPD327704:JPD327713 JFH327704:JFH327713 IVL327704:IVL327713 ILP327704:ILP327713 IBT327704:IBT327713 HRX327704:HRX327713 HIB327704:HIB327713 GYF327704:GYF327713 GOJ327704:GOJ327713 GEN327704:GEN327713 FUR327704:FUR327713 FKV327704:FKV327713 FAZ327704:FAZ327713 ERD327704:ERD327713 EHH327704:EHH327713 DXL327704:DXL327713 DNP327704:DNP327713 DDT327704:DDT327713 CTX327704:CTX327713 CKB327704:CKB327713 CAF327704:CAF327713 BQJ327704:BQJ327713 BGN327704:BGN327713 AWR327704:AWR327713 AMV327704:AMV327713 ACZ327704:ACZ327713 TD327704:TD327713 JH327704:JH327713 L327661:L327670 WVT262168:WVT262177 WLX262168:WLX262177 WCB262168:WCB262177 VSF262168:VSF262177 VIJ262168:VIJ262177 UYN262168:UYN262177 UOR262168:UOR262177 UEV262168:UEV262177 TUZ262168:TUZ262177 TLD262168:TLD262177 TBH262168:TBH262177 SRL262168:SRL262177 SHP262168:SHP262177 RXT262168:RXT262177 RNX262168:RNX262177 REB262168:REB262177 QUF262168:QUF262177 QKJ262168:QKJ262177 QAN262168:QAN262177 PQR262168:PQR262177 PGV262168:PGV262177 OWZ262168:OWZ262177 OND262168:OND262177 ODH262168:ODH262177 NTL262168:NTL262177 NJP262168:NJP262177 MZT262168:MZT262177 MPX262168:MPX262177 MGB262168:MGB262177 LWF262168:LWF262177 LMJ262168:LMJ262177 LCN262168:LCN262177 KSR262168:KSR262177 KIV262168:KIV262177 JYZ262168:JYZ262177 JPD262168:JPD262177 JFH262168:JFH262177 IVL262168:IVL262177 ILP262168:ILP262177 IBT262168:IBT262177 HRX262168:HRX262177 HIB262168:HIB262177 GYF262168:GYF262177 GOJ262168:GOJ262177 GEN262168:GEN262177 FUR262168:FUR262177 FKV262168:FKV262177 FAZ262168:FAZ262177 ERD262168:ERD262177 EHH262168:EHH262177 DXL262168:DXL262177 DNP262168:DNP262177 DDT262168:DDT262177 CTX262168:CTX262177 CKB262168:CKB262177 CAF262168:CAF262177 BQJ262168:BQJ262177 BGN262168:BGN262177 AWR262168:AWR262177 AMV262168:AMV262177 ACZ262168:ACZ262177 TD262168:TD262177 JH262168:JH262177 L262125:L262134 WVT196632:WVT196641 WLX196632:WLX196641 WCB196632:WCB196641 VSF196632:VSF196641 VIJ196632:VIJ196641 UYN196632:UYN196641 UOR196632:UOR196641 UEV196632:UEV196641 TUZ196632:TUZ196641 TLD196632:TLD196641 TBH196632:TBH196641 SRL196632:SRL196641 SHP196632:SHP196641 RXT196632:RXT196641 RNX196632:RNX196641 REB196632:REB196641 QUF196632:QUF196641 QKJ196632:QKJ196641 QAN196632:QAN196641 PQR196632:PQR196641 PGV196632:PGV196641 OWZ196632:OWZ196641 OND196632:OND196641 ODH196632:ODH196641 NTL196632:NTL196641 NJP196632:NJP196641 MZT196632:MZT196641 MPX196632:MPX196641 MGB196632:MGB196641 LWF196632:LWF196641 LMJ196632:LMJ196641 LCN196632:LCN196641 KSR196632:KSR196641 KIV196632:KIV196641 JYZ196632:JYZ196641 JPD196632:JPD196641 JFH196632:JFH196641 IVL196632:IVL196641 ILP196632:ILP196641 IBT196632:IBT196641 HRX196632:HRX196641 HIB196632:HIB196641 GYF196632:GYF196641 GOJ196632:GOJ196641 GEN196632:GEN196641 FUR196632:FUR196641 FKV196632:FKV196641 FAZ196632:FAZ196641 ERD196632:ERD196641 EHH196632:EHH196641 DXL196632:DXL196641 DNP196632:DNP196641 DDT196632:DDT196641 CTX196632:CTX196641 CKB196632:CKB196641 CAF196632:CAF196641 BQJ196632:BQJ196641 BGN196632:BGN196641 AWR196632:AWR196641 AMV196632:AMV196641 ACZ196632:ACZ196641 TD196632:TD196641 JH196632:JH196641 L196589:L196598 WVT131096:WVT131105 WLX131096:WLX131105 WCB131096:WCB131105 VSF131096:VSF131105 VIJ131096:VIJ131105 UYN131096:UYN131105 UOR131096:UOR131105 UEV131096:UEV131105 TUZ131096:TUZ131105 TLD131096:TLD131105 TBH131096:TBH131105 SRL131096:SRL131105 SHP131096:SHP131105 RXT131096:RXT131105 RNX131096:RNX131105 REB131096:REB131105 QUF131096:QUF131105 QKJ131096:QKJ131105 QAN131096:QAN131105 PQR131096:PQR131105 PGV131096:PGV131105 OWZ131096:OWZ131105 OND131096:OND131105 ODH131096:ODH131105 NTL131096:NTL131105 NJP131096:NJP131105 MZT131096:MZT131105 MPX131096:MPX131105 MGB131096:MGB131105 LWF131096:LWF131105 LMJ131096:LMJ131105 LCN131096:LCN131105 KSR131096:KSR131105 KIV131096:KIV131105 JYZ131096:JYZ131105 JPD131096:JPD131105 JFH131096:JFH131105 IVL131096:IVL131105 ILP131096:ILP131105 IBT131096:IBT131105 HRX131096:HRX131105 HIB131096:HIB131105 GYF131096:GYF131105 GOJ131096:GOJ131105 GEN131096:GEN131105 FUR131096:FUR131105 FKV131096:FKV131105 FAZ131096:FAZ131105 ERD131096:ERD131105 EHH131096:EHH131105 DXL131096:DXL131105 DNP131096:DNP131105 DDT131096:DDT131105 CTX131096:CTX131105 CKB131096:CKB131105 CAF131096:CAF131105 BQJ131096:BQJ131105 BGN131096:BGN131105 AWR131096:AWR131105 AMV131096:AMV131105 ACZ131096:ACZ131105 TD131096:TD131105 JH131096:JH131105 L131053:L131062 WVT65560:WVT65569 WLX65560:WLX65569 WCB65560:WCB65569 VSF65560:VSF65569 VIJ65560:VIJ65569 UYN65560:UYN65569 UOR65560:UOR65569 UEV65560:UEV65569 TUZ65560:TUZ65569 TLD65560:TLD65569 TBH65560:TBH65569 SRL65560:SRL65569 SHP65560:SHP65569 RXT65560:RXT65569 RNX65560:RNX65569 REB65560:REB65569 QUF65560:QUF65569 QKJ65560:QKJ65569 QAN65560:QAN65569 PQR65560:PQR65569 PGV65560:PGV65569 OWZ65560:OWZ65569 OND65560:OND65569 ODH65560:ODH65569 NTL65560:NTL65569 NJP65560:NJP65569 MZT65560:MZT65569 MPX65560:MPX65569 MGB65560:MGB65569 LWF65560:LWF65569 LMJ65560:LMJ65569 LCN65560:LCN65569 KSR65560:KSR65569 KIV65560:KIV65569 JYZ65560:JYZ65569 JPD65560:JPD65569 JFH65560:JFH65569 IVL65560:IVL65569 ILP65560:ILP65569 IBT65560:IBT65569 HRX65560:HRX65569 HIB65560:HIB65569 GYF65560:GYF65569 GOJ65560:GOJ65569 GEN65560:GEN65569 FUR65560:FUR65569 FKV65560:FKV65569 FAZ65560:FAZ65569 ERD65560:ERD65569 EHH65560:EHH65569 DXL65560:DXL65569 DNP65560:DNP65569 DDT65560:DDT65569 CTX65560:CTX65569 CKB65560:CKB65569 CAF65560:CAF65569 BQJ65560:BQJ65569 BGN65560:BGN65569 AWR65560:AWR65569 AMV65560:AMV65569 ACZ65560:ACZ65569 TD65560:TD65569 JH65560:JH65569 L65517:L65526 WVU20:WVU26 WLY20:WLY26 WCC20:WCC26 VSG20:VSG26 VIK20:VIK26 UYO20:UYO26 UOS20:UOS26 UEW20:UEW26 TVA20:TVA26 TLE20:TLE26 TBI20:TBI26 SRM20:SRM26 SHQ20:SHQ26 RXU20:RXU26 RNY20:RNY26 REC20:REC26 QUG20:QUG26 QKK20:QKK26 QAO20:QAO26 PQS20:PQS26 PGW20:PGW26 OXA20:OXA26 ONE20:ONE26 ODI20:ODI26 NTM20:NTM26 NJQ20:NJQ26 MZU20:MZU26 MPY20:MPY26 MGC20:MGC26 LWG20:LWG26 LMK20:LMK26 LCO20:LCO26 KSS20:KSS26 KIW20:KIW26 JZA20:JZA26 JPE20:JPE26 JFI20:JFI26 IVM20:IVM26 ILQ20:ILQ26 IBU20:IBU26 HRY20:HRY26 HIC20:HIC26 GYG20:GYG26 GOK20:GOK26 GEO20:GEO26 FUS20:FUS26 FKW20:FKW26 FBA20:FBA26 ERE20:ERE26 EHI20:EHI26 DXM20:DXM26 DNQ20:DNQ26 DDU20:DDU26 CTY20:CTY26 CKC20:CKC26 CAG20:CAG26 BQK20:BQK26 BGO20:BGO26 AWS20:AWS26 AMW20:AMW26 ADA20:ADA26 TE20:TE26 JI20:JI26">
      <formula1>#REF!</formula1>
    </dataValidation>
    <dataValidation type="decimal" allowBlank="1" showInputMessage="1" showErrorMessage="1" sqref="JI30:JI37 TE30:TE37 ADA30:ADA37 AMW30:AMW37 AWS30:AWS37 BGO30:BGO37 BQK30:BQK37 CAG30:CAG37 CKC30:CKC37 CTY30:CTY37 DDU30:DDU37 DNQ30:DNQ37 DXM30:DXM37 EHI30:EHI37 ERE30:ERE37 FBA30:FBA37 FKW30:FKW37 FUS30:FUS37 GEO30:GEO37 GOK30:GOK37 GYG30:GYG37 HIC30:HIC37 HRY30:HRY37 IBU30:IBU37 ILQ30:ILQ37 IVM30:IVM37 JFI30:JFI37 JPE30:JPE37 JZA30:JZA37 KIW30:KIW37 KSS30:KSS37 LCO30:LCO37 LMK30:LMK37 LWG30:LWG37 MGC30:MGC37 MPY30:MPY37 MZU30:MZU37 NJQ30:NJQ37 NTM30:NTM37 ODI30:ODI37 ONE30:ONE37 OXA30:OXA37 PGW30:PGW37 PQS30:PQS37 QAO30:QAO37 QKK30:QKK37 QUG30:QUG37 REC30:REC37 RNY30:RNY37 RXU30:RXU37 SHQ30:SHQ37 SRM30:SRM37 TBI30:TBI37 TLE30:TLE37 TVA30:TVA37 UEW30:UEW37 UOS30:UOS37 UYO30:UYO37 VIK30:VIK37 VSG30:VSG37 WCC30:WCC37 WLY30:WLY37 WVU30:WVU37 L65530:L65535 JH65573:JH65578 TD65573:TD65578 ACZ65573:ACZ65578 AMV65573:AMV65578 AWR65573:AWR65578 BGN65573:BGN65578 BQJ65573:BQJ65578 CAF65573:CAF65578 CKB65573:CKB65578 CTX65573:CTX65578 DDT65573:DDT65578 DNP65573:DNP65578 DXL65573:DXL65578 EHH65573:EHH65578 ERD65573:ERD65578 FAZ65573:FAZ65578 FKV65573:FKV65578 FUR65573:FUR65578 GEN65573:GEN65578 GOJ65573:GOJ65578 GYF65573:GYF65578 HIB65573:HIB65578 HRX65573:HRX65578 IBT65573:IBT65578 ILP65573:ILP65578 IVL65573:IVL65578 JFH65573:JFH65578 JPD65573:JPD65578 JYZ65573:JYZ65578 KIV65573:KIV65578 KSR65573:KSR65578 LCN65573:LCN65578 LMJ65573:LMJ65578 LWF65573:LWF65578 MGB65573:MGB65578 MPX65573:MPX65578 MZT65573:MZT65578 NJP65573:NJP65578 NTL65573:NTL65578 ODH65573:ODH65578 OND65573:OND65578 OWZ65573:OWZ65578 PGV65573:PGV65578 PQR65573:PQR65578 QAN65573:QAN65578 QKJ65573:QKJ65578 QUF65573:QUF65578 REB65573:REB65578 RNX65573:RNX65578 RXT65573:RXT65578 SHP65573:SHP65578 SRL65573:SRL65578 TBH65573:TBH65578 TLD65573:TLD65578 TUZ65573:TUZ65578 UEV65573:UEV65578 UOR65573:UOR65578 UYN65573:UYN65578 VIJ65573:VIJ65578 VSF65573:VSF65578 WCB65573:WCB65578 WLX65573:WLX65578 WVT65573:WVT65578 L131066:L131071 JH131109:JH131114 TD131109:TD131114 ACZ131109:ACZ131114 AMV131109:AMV131114 AWR131109:AWR131114 BGN131109:BGN131114 BQJ131109:BQJ131114 CAF131109:CAF131114 CKB131109:CKB131114 CTX131109:CTX131114 DDT131109:DDT131114 DNP131109:DNP131114 DXL131109:DXL131114 EHH131109:EHH131114 ERD131109:ERD131114 FAZ131109:FAZ131114 FKV131109:FKV131114 FUR131109:FUR131114 GEN131109:GEN131114 GOJ131109:GOJ131114 GYF131109:GYF131114 HIB131109:HIB131114 HRX131109:HRX131114 IBT131109:IBT131114 ILP131109:ILP131114 IVL131109:IVL131114 JFH131109:JFH131114 JPD131109:JPD131114 JYZ131109:JYZ131114 KIV131109:KIV131114 KSR131109:KSR131114 LCN131109:LCN131114 LMJ131109:LMJ131114 LWF131109:LWF131114 MGB131109:MGB131114 MPX131109:MPX131114 MZT131109:MZT131114 NJP131109:NJP131114 NTL131109:NTL131114 ODH131109:ODH131114 OND131109:OND131114 OWZ131109:OWZ131114 PGV131109:PGV131114 PQR131109:PQR131114 QAN131109:QAN131114 QKJ131109:QKJ131114 QUF131109:QUF131114 REB131109:REB131114 RNX131109:RNX131114 RXT131109:RXT131114 SHP131109:SHP131114 SRL131109:SRL131114 TBH131109:TBH131114 TLD131109:TLD131114 TUZ131109:TUZ131114 UEV131109:UEV131114 UOR131109:UOR131114 UYN131109:UYN131114 VIJ131109:VIJ131114 VSF131109:VSF131114 WCB131109:WCB131114 WLX131109:WLX131114 WVT131109:WVT131114 L196602:L196607 JH196645:JH196650 TD196645:TD196650 ACZ196645:ACZ196650 AMV196645:AMV196650 AWR196645:AWR196650 BGN196645:BGN196650 BQJ196645:BQJ196650 CAF196645:CAF196650 CKB196645:CKB196650 CTX196645:CTX196650 DDT196645:DDT196650 DNP196645:DNP196650 DXL196645:DXL196650 EHH196645:EHH196650 ERD196645:ERD196650 FAZ196645:FAZ196650 FKV196645:FKV196650 FUR196645:FUR196650 GEN196645:GEN196650 GOJ196645:GOJ196650 GYF196645:GYF196650 HIB196645:HIB196650 HRX196645:HRX196650 IBT196645:IBT196650 ILP196645:ILP196650 IVL196645:IVL196650 JFH196645:JFH196650 JPD196645:JPD196650 JYZ196645:JYZ196650 KIV196645:KIV196650 KSR196645:KSR196650 LCN196645:LCN196650 LMJ196645:LMJ196650 LWF196645:LWF196650 MGB196645:MGB196650 MPX196645:MPX196650 MZT196645:MZT196650 NJP196645:NJP196650 NTL196645:NTL196650 ODH196645:ODH196650 OND196645:OND196650 OWZ196645:OWZ196650 PGV196645:PGV196650 PQR196645:PQR196650 QAN196645:QAN196650 QKJ196645:QKJ196650 QUF196645:QUF196650 REB196645:REB196650 RNX196645:RNX196650 RXT196645:RXT196650 SHP196645:SHP196650 SRL196645:SRL196650 TBH196645:TBH196650 TLD196645:TLD196650 TUZ196645:TUZ196650 UEV196645:UEV196650 UOR196645:UOR196650 UYN196645:UYN196650 VIJ196645:VIJ196650 VSF196645:VSF196650 WCB196645:WCB196650 WLX196645:WLX196650 WVT196645:WVT196650 L262138:L262143 JH262181:JH262186 TD262181:TD262186 ACZ262181:ACZ262186 AMV262181:AMV262186 AWR262181:AWR262186 BGN262181:BGN262186 BQJ262181:BQJ262186 CAF262181:CAF262186 CKB262181:CKB262186 CTX262181:CTX262186 DDT262181:DDT262186 DNP262181:DNP262186 DXL262181:DXL262186 EHH262181:EHH262186 ERD262181:ERD262186 FAZ262181:FAZ262186 FKV262181:FKV262186 FUR262181:FUR262186 GEN262181:GEN262186 GOJ262181:GOJ262186 GYF262181:GYF262186 HIB262181:HIB262186 HRX262181:HRX262186 IBT262181:IBT262186 ILP262181:ILP262186 IVL262181:IVL262186 JFH262181:JFH262186 JPD262181:JPD262186 JYZ262181:JYZ262186 KIV262181:KIV262186 KSR262181:KSR262186 LCN262181:LCN262186 LMJ262181:LMJ262186 LWF262181:LWF262186 MGB262181:MGB262186 MPX262181:MPX262186 MZT262181:MZT262186 NJP262181:NJP262186 NTL262181:NTL262186 ODH262181:ODH262186 OND262181:OND262186 OWZ262181:OWZ262186 PGV262181:PGV262186 PQR262181:PQR262186 QAN262181:QAN262186 QKJ262181:QKJ262186 QUF262181:QUF262186 REB262181:REB262186 RNX262181:RNX262186 RXT262181:RXT262186 SHP262181:SHP262186 SRL262181:SRL262186 TBH262181:TBH262186 TLD262181:TLD262186 TUZ262181:TUZ262186 UEV262181:UEV262186 UOR262181:UOR262186 UYN262181:UYN262186 VIJ262181:VIJ262186 VSF262181:VSF262186 WCB262181:WCB262186 WLX262181:WLX262186 WVT262181:WVT262186 L327674:L327679 JH327717:JH327722 TD327717:TD327722 ACZ327717:ACZ327722 AMV327717:AMV327722 AWR327717:AWR327722 BGN327717:BGN327722 BQJ327717:BQJ327722 CAF327717:CAF327722 CKB327717:CKB327722 CTX327717:CTX327722 DDT327717:DDT327722 DNP327717:DNP327722 DXL327717:DXL327722 EHH327717:EHH327722 ERD327717:ERD327722 FAZ327717:FAZ327722 FKV327717:FKV327722 FUR327717:FUR327722 GEN327717:GEN327722 GOJ327717:GOJ327722 GYF327717:GYF327722 HIB327717:HIB327722 HRX327717:HRX327722 IBT327717:IBT327722 ILP327717:ILP327722 IVL327717:IVL327722 JFH327717:JFH327722 JPD327717:JPD327722 JYZ327717:JYZ327722 KIV327717:KIV327722 KSR327717:KSR327722 LCN327717:LCN327722 LMJ327717:LMJ327722 LWF327717:LWF327722 MGB327717:MGB327722 MPX327717:MPX327722 MZT327717:MZT327722 NJP327717:NJP327722 NTL327717:NTL327722 ODH327717:ODH327722 OND327717:OND327722 OWZ327717:OWZ327722 PGV327717:PGV327722 PQR327717:PQR327722 QAN327717:QAN327722 QKJ327717:QKJ327722 QUF327717:QUF327722 REB327717:REB327722 RNX327717:RNX327722 RXT327717:RXT327722 SHP327717:SHP327722 SRL327717:SRL327722 TBH327717:TBH327722 TLD327717:TLD327722 TUZ327717:TUZ327722 UEV327717:UEV327722 UOR327717:UOR327722 UYN327717:UYN327722 VIJ327717:VIJ327722 VSF327717:VSF327722 WCB327717:WCB327722 WLX327717:WLX327722 WVT327717:WVT327722 L393210:L393215 JH393253:JH393258 TD393253:TD393258 ACZ393253:ACZ393258 AMV393253:AMV393258 AWR393253:AWR393258 BGN393253:BGN393258 BQJ393253:BQJ393258 CAF393253:CAF393258 CKB393253:CKB393258 CTX393253:CTX393258 DDT393253:DDT393258 DNP393253:DNP393258 DXL393253:DXL393258 EHH393253:EHH393258 ERD393253:ERD393258 FAZ393253:FAZ393258 FKV393253:FKV393258 FUR393253:FUR393258 GEN393253:GEN393258 GOJ393253:GOJ393258 GYF393253:GYF393258 HIB393253:HIB393258 HRX393253:HRX393258 IBT393253:IBT393258 ILP393253:ILP393258 IVL393253:IVL393258 JFH393253:JFH393258 JPD393253:JPD393258 JYZ393253:JYZ393258 KIV393253:KIV393258 KSR393253:KSR393258 LCN393253:LCN393258 LMJ393253:LMJ393258 LWF393253:LWF393258 MGB393253:MGB393258 MPX393253:MPX393258 MZT393253:MZT393258 NJP393253:NJP393258 NTL393253:NTL393258 ODH393253:ODH393258 OND393253:OND393258 OWZ393253:OWZ393258 PGV393253:PGV393258 PQR393253:PQR393258 QAN393253:QAN393258 QKJ393253:QKJ393258 QUF393253:QUF393258 REB393253:REB393258 RNX393253:RNX393258 RXT393253:RXT393258 SHP393253:SHP393258 SRL393253:SRL393258 TBH393253:TBH393258 TLD393253:TLD393258 TUZ393253:TUZ393258 UEV393253:UEV393258 UOR393253:UOR393258 UYN393253:UYN393258 VIJ393253:VIJ393258 VSF393253:VSF393258 WCB393253:WCB393258 WLX393253:WLX393258 WVT393253:WVT393258 L458746:L458751 JH458789:JH458794 TD458789:TD458794 ACZ458789:ACZ458794 AMV458789:AMV458794 AWR458789:AWR458794 BGN458789:BGN458794 BQJ458789:BQJ458794 CAF458789:CAF458794 CKB458789:CKB458794 CTX458789:CTX458794 DDT458789:DDT458794 DNP458789:DNP458794 DXL458789:DXL458794 EHH458789:EHH458794 ERD458789:ERD458794 FAZ458789:FAZ458794 FKV458789:FKV458794 FUR458789:FUR458794 GEN458789:GEN458794 GOJ458789:GOJ458794 GYF458789:GYF458794 HIB458789:HIB458794 HRX458789:HRX458794 IBT458789:IBT458794 ILP458789:ILP458794 IVL458789:IVL458794 JFH458789:JFH458794 JPD458789:JPD458794 JYZ458789:JYZ458794 KIV458789:KIV458794 KSR458789:KSR458794 LCN458789:LCN458794 LMJ458789:LMJ458794 LWF458789:LWF458794 MGB458789:MGB458794 MPX458789:MPX458794 MZT458789:MZT458794 NJP458789:NJP458794 NTL458789:NTL458794 ODH458789:ODH458794 OND458789:OND458794 OWZ458789:OWZ458794 PGV458789:PGV458794 PQR458789:PQR458794 QAN458789:QAN458794 QKJ458789:QKJ458794 QUF458789:QUF458794 REB458789:REB458794 RNX458789:RNX458794 RXT458789:RXT458794 SHP458789:SHP458794 SRL458789:SRL458794 TBH458789:TBH458794 TLD458789:TLD458794 TUZ458789:TUZ458794 UEV458789:UEV458794 UOR458789:UOR458794 UYN458789:UYN458794 VIJ458789:VIJ458794 VSF458789:VSF458794 WCB458789:WCB458794 WLX458789:WLX458794 WVT458789:WVT458794 L524282:L524287 JH524325:JH524330 TD524325:TD524330 ACZ524325:ACZ524330 AMV524325:AMV524330 AWR524325:AWR524330 BGN524325:BGN524330 BQJ524325:BQJ524330 CAF524325:CAF524330 CKB524325:CKB524330 CTX524325:CTX524330 DDT524325:DDT524330 DNP524325:DNP524330 DXL524325:DXL524330 EHH524325:EHH524330 ERD524325:ERD524330 FAZ524325:FAZ524330 FKV524325:FKV524330 FUR524325:FUR524330 GEN524325:GEN524330 GOJ524325:GOJ524330 GYF524325:GYF524330 HIB524325:HIB524330 HRX524325:HRX524330 IBT524325:IBT524330 ILP524325:ILP524330 IVL524325:IVL524330 JFH524325:JFH524330 JPD524325:JPD524330 JYZ524325:JYZ524330 KIV524325:KIV524330 KSR524325:KSR524330 LCN524325:LCN524330 LMJ524325:LMJ524330 LWF524325:LWF524330 MGB524325:MGB524330 MPX524325:MPX524330 MZT524325:MZT524330 NJP524325:NJP524330 NTL524325:NTL524330 ODH524325:ODH524330 OND524325:OND524330 OWZ524325:OWZ524330 PGV524325:PGV524330 PQR524325:PQR524330 QAN524325:QAN524330 QKJ524325:QKJ524330 QUF524325:QUF524330 REB524325:REB524330 RNX524325:RNX524330 RXT524325:RXT524330 SHP524325:SHP524330 SRL524325:SRL524330 TBH524325:TBH524330 TLD524325:TLD524330 TUZ524325:TUZ524330 UEV524325:UEV524330 UOR524325:UOR524330 UYN524325:UYN524330 VIJ524325:VIJ524330 VSF524325:VSF524330 WCB524325:WCB524330 WLX524325:WLX524330 WVT524325:WVT524330 L589818:L589823 JH589861:JH589866 TD589861:TD589866 ACZ589861:ACZ589866 AMV589861:AMV589866 AWR589861:AWR589866 BGN589861:BGN589866 BQJ589861:BQJ589866 CAF589861:CAF589866 CKB589861:CKB589866 CTX589861:CTX589866 DDT589861:DDT589866 DNP589861:DNP589866 DXL589861:DXL589866 EHH589861:EHH589866 ERD589861:ERD589866 FAZ589861:FAZ589866 FKV589861:FKV589866 FUR589861:FUR589866 GEN589861:GEN589866 GOJ589861:GOJ589866 GYF589861:GYF589866 HIB589861:HIB589866 HRX589861:HRX589866 IBT589861:IBT589866 ILP589861:ILP589866 IVL589861:IVL589866 JFH589861:JFH589866 JPD589861:JPD589866 JYZ589861:JYZ589866 KIV589861:KIV589866 KSR589861:KSR589866 LCN589861:LCN589866 LMJ589861:LMJ589866 LWF589861:LWF589866 MGB589861:MGB589866 MPX589861:MPX589866 MZT589861:MZT589866 NJP589861:NJP589866 NTL589861:NTL589866 ODH589861:ODH589866 OND589861:OND589866 OWZ589861:OWZ589866 PGV589861:PGV589866 PQR589861:PQR589866 QAN589861:QAN589866 QKJ589861:QKJ589866 QUF589861:QUF589866 REB589861:REB589866 RNX589861:RNX589866 RXT589861:RXT589866 SHP589861:SHP589866 SRL589861:SRL589866 TBH589861:TBH589866 TLD589861:TLD589866 TUZ589861:TUZ589866 UEV589861:UEV589866 UOR589861:UOR589866 UYN589861:UYN589866 VIJ589861:VIJ589866 VSF589861:VSF589866 WCB589861:WCB589866 WLX589861:WLX589866 WVT589861:WVT589866 L655354:L655359 JH655397:JH655402 TD655397:TD655402 ACZ655397:ACZ655402 AMV655397:AMV655402 AWR655397:AWR655402 BGN655397:BGN655402 BQJ655397:BQJ655402 CAF655397:CAF655402 CKB655397:CKB655402 CTX655397:CTX655402 DDT655397:DDT655402 DNP655397:DNP655402 DXL655397:DXL655402 EHH655397:EHH655402 ERD655397:ERD655402 FAZ655397:FAZ655402 FKV655397:FKV655402 FUR655397:FUR655402 GEN655397:GEN655402 GOJ655397:GOJ655402 GYF655397:GYF655402 HIB655397:HIB655402 HRX655397:HRX655402 IBT655397:IBT655402 ILP655397:ILP655402 IVL655397:IVL655402 JFH655397:JFH655402 JPD655397:JPD655402 JYZ655397:JYZ655402 KIV655397:KIV655402 KSR655397:KSR655402 LCN655397:LCN655402 LMJ655397:LMJ655402 LWF655397:LWF655402 MGB655397:MGB655402 MPX655397:MPX655402 MZT655397:MZT655402 NJP655397:NJP655402 NTL655397:NTL655402 ODH655397:ODH655402 OND655397:OND655402 OWZ655397:OWZ655402 PGV655397:PGV655402 PQR655397:PQR655402 QAN655397:QAN655402 QKJ655397:QKJ655402 QUF655397:QUF655402 REB655397:REB655402 RNX655397:RNX655402 RXT655397:RXT655402 SHP655397:SHP655402 SRL655397:SRL655402 TBH655397:TBH655402 TLD655397:TLD655402 TUZ655397:TUZ655402 UEV655397:UEV655402 UOR655397:UOR655402 UYN655397:UYN655402 VIJ655397:VIJ655402 VSF655397:VSF655402 WCB655397:WCB655402 WLX655397:WLX655402 WVT655397:WVT655402 L720890:L720895 JH720933:JH720938 TD720933:TD720938 ACZ720933:ACZ720938 AMV720933:AMV720938 AWR720933:AWR720938 BGN720933:BGN720938 BQJ720933:BQJ720938 CAF720933:CAF720938 CKB720933:CKB720938 CTX720933:CTX720938 DDT720933:DDT720938 DNP720933:DNP720938 DXL720933:DXL720938 EHH720933:EHH720938 ERD720933:ERD720938 FAZ720933:FAZ720938 FKV720933:FKV720938 FUR720933:FUR720938 GEN720933:GEN720938 GOJ720933:GOJ720938 GYF720933:GYF720938 HIB720933:HIB720938 HRX720933:HRX720938 IBT720933:IBT720938 ILP720933:ILP720938 IVL720933:IVL720938 JFH720933:JFH720938 JPD720933:JPD720938 JYZ720933:JYZ720938 KIV720933:KIV720938 KSR720933:KSR720938 LCN720933:LCN720938 LMJ720933:LMJ720938 LWF720933:LWF720938 MGB720933:MGB720938 MPX720933:MPX720938 MZT720933:MZT720938 NJP720933:NJP720938 NTL720933:NTL720938 ODH720933:ODH720938 OND720933:OND720938 OWZ720933:OWZ720938 PGV720933:PGV720938 PQR720933:PQR720938 QAN720933:QAN720938 QKJ720933:QKJ720938 QUF720933:QUF720938 REB720933:REB720938 RNX720933:RNX720938 RXT720933:RXT720938 SHP720933:SHP720938 SRL720933:SRL720938 TBH720933:TBH720938 TLD720933:TLD720938 TUZ720933:TUZ720938 UEV720933:UEV720938 UOR720933:UOR720938 UYN720933:UYN720938 VIJ720933:VIJ720938 VSF720933:VSF720938 WCB720933:WCB720938 WLX720933:WLX720938 WVT720933:WVT720938 L786426:L786431 JH786469:JH786474 TD786469:TD786474 ACZ786469:ACZ786474 AMV786469:AMV786474 AWR786469:AWR786474 BGN786469:BGN786474 BQJ786469:BQJ786474 CAF786469:CAF786474 CKB786469:CKB786474 CTX786469:CTX786474 DDT786469:DDT786474 DNP786469:DNP786474 DXL786469:DXL786474 EHH786469:EHH786474 ERD786469:ERD786474 FAZ786469:FAZ786474 FKV786469:FKV786474 FUR786469:FUR786474 GEN786469:GEN786474 GOJ786469:GOJ786474 GYF786469:GYF786474 HIB786469:HIB786474 HRX786469:HRX786474 IBT786469:IBT786474 ILP786469:ILP786474 IVL786469:IVL786474 JFH786469:JFH786474 JPD786469:JPD786474 JYZ786469:JYZ786474 KIV786469:KIV786474 KSR786469:KSR786474 LCN786469:LCN786474 LMJ786469:LMJ786474 LWF786469:LWF786474 MGB786469:MGB786474 MPX786469:MPX786474 MZT786469:MZT786474 NJP786469:NJP786474 NTL786469:NTL786474 ODH786469:ODH786474 OND786469:OND786474 OWZ786469:OWZ786474 PGV786469:PGV786474 PQR786469:PQR786474 QAN786469:QAN786474 QKJ786469:QKJ786474 QUF786469:QUF786474 REB786469:REB786474 RNX786469:RNX786474 RXT786469:RXT786474 SHP786469:SHP786474 SRL786469:SRL786474 TBH786469:TBH786474 TLD786469:TLD786474 TUZ786469:TUZ786474 UEV786469:UEV786474 UOR786469:UOR786474 UYN786469:UYN786474 VIJ786469:VIJ786474 VSF786469:VSF786474 WCB786469:WCB786474 WLX786469:WLX786474 WVT786469:WVT786474 L851962:L851967 JH852005:JH852010 TD852005:TD852010 ACZ852005:ACZ852010 AMV852005:AMV852010 AWR852005:AWR852010 BGN852005:BGN852010 BQJ852005:BQJ852010 CAF852005:CAF852010 CKB852005:CKB852010 CTX852005:CTX852010 DDT852005:DDT852010 DNP852005:DNP852010 DXL852005:DXL852010 EHH852005:EHH852010 ERD852005:ERD852010 FAZ852005:FAZ852010 FKV852005:FKV852010 FUR852005:FUR852010 GEN852005:GEN852010 GOJ852005:GOJ852010 GYF852005:GYF852010 HIB852005:HIB852010 HRX852005:HRX852010 IBT852005:IBT852010 ILP852005:ILP852010 IVL852005:IVL852010 JFH852005:JFH852010 JPD852005:JPD852010 JYZ852005:JYZ852010 KIV852005:KIV852010 KSR852005:KSR852010 LCN852005:LCN852010 LMJ852005:LMJ852010 LWF852005:LWF852010 MGB852005:MGB852010 MPX852005:MPX852010 MZT852005:MZT852010 NJP852005:NJP852010 NTL852005:NTL852010 ODH852005:ODH852010 OND852005:OND852010 OWZ852005:OWZ852010 PGV852005:PGV852010 PQR852005:PQR852010 QAN852005:QAN852010 QKJ852005:QKJ852010 QUF852005:QUF852010 REB852005:REB852010 RNX852005:RNX852010 RXT852005:RXT852010 SHP852005:SHP852010 SRL852005:SRL852010 TBH852005:TBH852010 TLD852005:TLD852010 TUZ852005:TUZ852010 UEV852005:UEV852010 UOR852005:UOR852010 UYN852005:UYN852010 VIJ852005:VIJ852010 VSF852005:VSF852010 WCB852005:WCB852010 WLX852005:WLX852010 WVT852005:WVT852010 L917498:L917503 JH917541:JH917546 TD917541:TD917546 ACZ917541:ACZ917546 AMV917541:AMV917546 AWR917541:AWR917546 BGN917541:BGN917546 BQJ917541:BQJ917546 CAF917541:CAF917546 CKB917541:CKB917546 CTX917541:CTX917546 DDT917541:DDT917546 DNP917541:DNP917546 DXL917541:DXL917546 EHH917541:EHH917546 ERD917541:ERD917546 FAZ917541:FAZ917546 FKV917541:FKV917546 FUR917541:FUR917546 GEN917541:GEN917546 GOJ917541:GOJ917546 GYF917541:GYF917546 HIB917541:HIB917546 HRX917541:HRX917546 IBT917541:IBT917546 ILP917541:ILP917546 IVL917541:IVL917546 JFH917541:JFH917546 JPD917541:JPD917546 JYZ917541:JYZ917546 KIV917541:KIV917546 KSR917541:KSR917546 LCN917541:LCN917546 LMJ917541:LMJ917546 LWF917541:LWF917546 MGB917541:MGB917546 MPX917541:MPX917546 MZT917541:MZT917546 NJP917541:NJP917546 NTL917541:NTL917546 ODH917541:ODH917546 OND917541:OND917546 OWZ917541:OWZ917546 PGV917541:PGV917546 PQR917541:PQR917546 QAN917541:QAN917546 QKJ917541:QKJ917546 QUF917541:QUF917546 REB917541:REB917546 RNX917541:RNX917546 RXT917541:RXT917546 SHP917541:SHP917546 SRL917541:SRL917546 TBH917541:TBH917546 TLD917541:TLD917546 TUZ917541:TUZ917546 UEV917541:UEV917546 UOR917541:UOR917546 UYN917541:UYN917546 VIJ917541:VIJ917546 VSF917541:VSF917546 WCB917541:WCB917546 WLX917541:WLX917546 WVT917541:WVT917546 L983034:L983039 JH983077:JH983082 TD983077:TD983082 ACZ983077:ACZ983082 AMV983077:AMV983082 AWR983077:AWR983082 BGN983077:BGN983082 BQJ983077:BQJ983082 CAF983077:CAF983082 CKB983077:CKB983082 CTX983077:CTX983082 DDT983077:DDT983082 DNP983077:DNP983082 DXL983077:DXL983082 EHH983077:EHH983082 ERD983077:ERD983082 FAZ983077:FAZ983082 FKV983077:FKV983082 FUR983077:FUR983082 GEN983077:GEN983082 GOJ983077:GOJ983082 GYF983077:GYF983082 HIB983077:HIB983082 HRX983077:HRX983082 IBT983077:IBT983082 ILP983077:ILP983082 IVL983077:IVL983082 JFH983077:JFH983082 JPD983077:JPD983082 JYZ983077:JYZ983082 KIV983077:KIV983082 KSR983077:KSR983082 LCN983077:LCN983082 LMJ983077:LMJ983082 LWF983077:LWF983082 MGB983077:MGB983082 MPX983077:MPX983082 MZT983077:MZT983082 NJP983077:NJP983082 NTL983077:NTL983082 ODH983077:ODH983082 OND983077:OND983082 OWZ983077:OWZ983082 PGV983077:PGV983082 PQR983077:PQR983082 QAN983077:QAN983082 QKJ983077:QKJ983082 QUF983077:QUF983082 REB983077:REB983082 RNX983077:RNX983082 RXT983077:RXT983082 SHP983077:SHP983082 SRL983077:SRL983082 TBH983077:TBH983082 TLD983077:TLD983082 TUZ983077:TUZ983082 UEV983077:UEV983082 UOR983077:UOR983082 UYN983077:UYN983082 VIJ983077:VIJ983082 VSF983077:VSF983082 WCB983077:WCB983082 WLX983077:WLX983082 WVT983077:WVT983082 M30 M130 M155 M147 M143 M145 M157 M159">
      <formula1>0</formula1>
      <formula2>500</formula2>
    </dataValidation>
    <dataValidation type="list" allowBlank="1" showErrorMessage="1" sqref="J8:M8 J108:M108">
      <formula1>$O$107:$O$108</formula1>
    </dataValidation>
    <dataValidation type="list" sqref="E38:E39">
      <formula1>"Yes,No"</formula1>
    </dataValidation>
  </dataValidations>
  <pageMargins left="0.7" right="0.7" top="0.75" bottom="0.75" header="0.3" footer="0.3"/>
  <pageSetup scale="56" fitToWidth="0" fitToHeight="0" orientation="portrait" horizontalDpi="1200" verticalDpi="1200"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AP67"/>
  <sheetViews>
    <sheetView showGridLines="0" view="pageBreakPreview" zoomScale="85" zoomScaleNormal="100" zoomScaleSheetLayoutView="85" workbookViewId="0">
      <selection activeCell="M17" sqref="M17:O18"/>
    </sheetView>
  </sheetViews>
  <sheetFormatPr defaultRowHeight="12.75"/>
  <cols>
    <col min="1" max="2" width="2.7109375" style="179" customWidth="1"/>
    <col min="3" max="4" width="3.7109375" style="179" customWidth="1"/>
    <col min="5" max="5" width="7.7109375" style="179" customWidth="1"/>
    <col min="6" max="6" width="6.7109375" style="179" customWidth="1"/>
    <col min="7" max="7" width="14" style="179" customWidth="1"/>
    <col min="8" max="8" width="11.7109375" style="179" customWidth="1"/>
    <col min="9" max="9" width="10.7109375" style="179" customWidth="1"/>
    <col min="10" max="12" width="8.7109375" style="179" customWidth="1"/>
    <col min="13" max="13" width="6.7109375" style="179" customWidth="1"/>
    <col min="14" max="14" width="3.7109375" style="179" customWidth="1"/>
    <col min="15" max="40" width="9.140625" style="179"/>
    <col min="41" max="41" width="0" style="179" hidden="1" customWidth="1"/>
    <col min="42" max="42" width="9.140625" style="179" hidden="1" customWidth="1"/>
    <col min="43" max="43" width="0" style="179" hidden="1" customWidth="1"/>
    <col min="44" max="256" width="9.140625" style="179"/>
    <col min="257" max="258" width="2.7109375" style="179" customWidth="1"/>
    <col min="259" max="260" width="3.7109375" style="179" customWidth="1"/>
    <col min="261" max="261" width="7.7109375" style="179" customWidth="1"/>
    <col min="262" max="262" width="6.7109375" style="179" customWidth="1"/>
    <col min="263" max="263" width="12.7109375" style="179" customWidth="1"/>
    <col min="264" max="264" width="11.7109375" style="179" customWidth="1"/>
    <col min="265" max="265" width="10.7109375" style="179" customWidth="1"/>
    <col min="266" max="268" width="8.7109375" style="179" customWidth="1"/>
    <col min="269" max="269" width="6.7109375" style="179" customWidth="1"/>
    <col min="270" max="270" width="3.7109375" style="179" customWidth="1"/>
    <col min="271" max="512" width="9.140625" style="179"/>
    <col min="513" max="514" width="2.7109375" style="179" customWidth="1"/>
    <col min="515" max="516" width="3.7109375" style="179" customWidth="1"/>
    <col min="517" max="517" width="7.7109375" style="179" customWidth="1"/>
    <col min="518" max="518" width="6.7109375" style="179" customWidth="1"/>
    <col min="519" max="519" width="12.7109375" style="179" customWidth="1"/>
    <col min="520" max="520" width="11.7109375" style="179" customWidth="1"/>
    <col min="521" max="521" width="10.7109375" style="179" customWidth="1"/>
    <col min="522" max="524" width="8.7109375" style="179" customWidth="1"/>
    <col min="525" max="525" width="6.7109375" style="179" customWidth="1"/>
    <col min="526" max="526" width="3.7109375" style="179" customWidth="1"/>
    <col min="527" max="768" width="9.140625" style="179"/>
    <col min="769" max="770" width="2.7109375" style="179" customWidth="1"/>
    <col min="771" max="772" width="3.7109375" style="179" customWidth="1"/>
    <col min="773" max="773" width="7.7109375" style="179" customWidth="1"/>
    <col min="774" max="774" width="6.7109375" style="179" customWidth="1"/>
    <col min="775" max="775" width="12.7109375" style="179" customWidth="1"/>
    <col min="776" max="776" width="11.7109375" style="179" customWidth="1"/>
    <col min="777" max="777" width="10.7109375" style="179" customWidth="1"/>
    <col min="778" max="780" width="8.7109375" style="179" customWidth="1"/>
    <col min="781" max="781" width="6.7109375" style="179" customWidth="1"/>
    <col min="782" max="782" width="3.7109375" style="179" customWidth="1"/>
    <col min="783" max="1024" width="9.140625" style="179"/>
    <col min="1025" max="1026" width="2.7109375" style="179" customWidth="1"/>
    <col min="1027" max="1028" width="3.7109375" style="179" customWidth="1"/>
    <col min="1029" max="1029" width="7.7109375" style="179" customWidth="1"/>
    <col min="1030" max="1030" width="6.7109375" style="179" customWidth="1"/>
    <col min="1031" max="1031" width="12.7109375" style="179" customWidth="1"/>
    <col min="1032" max="1032" width="11.7109375" style="179" customWidth="1"/>
    <col min="1033" max="1033" width="10.7109375" style="179" customWidth="1"/>
    <col min="1034" max="1036" width="8.7109375" style="179" customWidth="1"/>
    <col min="1037" max="1037" width="6.7109375" style="179" customWidth="1"/>
    <col min="1038" max="1038" width="3.7109375" style="179" customWidth="1"/>
    <col min="1039" max="1280" width="9.140625" style="179"/>
    <col min="1281" max="1282" width="2.7109375" style="179" customWidth="1"/>
    <col min="1283" max="1284" width="3.7109375" style="179" customWidth="1"/>
    <col min="1285" max="1285" width="7.7109375" style="179" customWidth="1"/>
    <col min="1286" max="1286" width="6.7109375" style="179" customWidth="1"/>
    <col min="1287" max="1287" width="12.7109375" style="179" customWidth="1"/>
    <col min="1288" max="1288" width="11.7109375" style="179" customWidth="1"/>
    <col min="1289" max="1289" width="10.7109375" style="179" customWidth="1"/>
    <col min="1290" max="1292" width="8.7109375" style="179" customWidth="1"/>
    <col min="1293" max="1293" width="6.7109375" style="179" customWidth="1"/>
    <col min="1294" max="1294" width="3.7109375" style="179" customWidth="1"/>
    <col min="1295" max="1536" width="9.140625" style="179"/>
    <col min="1537" max="1538" width="2.7109375" style="179" customWidth="1"/>
    <col min="1539" max="1540" width="3.7109375" style="179" customWidth="1"/>
    <col min="1541" max="1541" width="7.7109375" style="179" customWidth="1"/>
    <col min="1542" max="1542" width="6.7109375" style="179" customWidth="1"/>
    <col min="1543" max="1543" width="12.7109375" style="179" customWidth="1"/>
    <col min="1544" max="1544" width="11.7109375" style="179" customWidth="1"/>
    <col min="1545" max="1545" width="10.7109375" style="179" customWidth="1"/>
    <col min="1546" max="1548" width="8.7109375" style="179" customWidth="1"/>
    <col min="1549" max="1549" width="6.7109375" style="179" customWidth="1"/>
    <col min="1550" max="1550" width="3.7109375" style="179" customWidth="1"/>
    <col min="1551" max="1792" width="9.140625" style="179"/>
    <col min="1793" max="1794" width="2.7109375" style="179" customWidth="1"/>
    <col min="1795" max="1796" width="3.7109375" style="179" customWidth="1"/>
    <col min="1797" max="1797" width="7.7109375" style="179" customWidth="1"/>
    <col min="1798" max="1798" width="6.7109375" style="179" customWidth="1"/>
    <col min="1799" max="1799" width="12.7109375" style="179" customWidth="1"/>
    <col min="1800" max="1800" width="11.7109375" style="179" customWidth="1"/>
    <col min="1801" max="1801" width="10.7109375" style="179" customWidth="1"/>
    <col min="1802" max="1804" width="8.7109375" style="179" customWidth="1"/>
    <col min="1805" max="1805" width="6.7109375" style="179" customWidth="1"/>
    <col min="1806" max="1806" width="3.7109375" style="179" customWidth="1"/>
    <col min="1807" max="2048" width="9.140625" style="179"/>
    <col min="2049" max="2050" width="2.7109375" style="179" customWidth="1"/>
    <col min="2051" max="2052" width="3.7109375" style="179" customWidth="1"/>
    <col min="2053" max="2053" width="7.7109375" style="179" customWidth="1"/>
    <col min="2054" max="2054" width="6.7109375" style="179" customWidth="1"/>
    <col min="2055" max="2055" width="12.7109375" style="179" customWidth="1"/>
    <col min="2056" max="2056" width="11.7109375" style="179" customWidth="1"/>
    <col min="2057" max="2057" width="10.7109375" style="179" customWidth="1"/>
    <col min="2058" max="2060" width="8.7109375" style="179" customWidth="1"/>
    <col min="2061" max="2061" width="6.7109375" style="179" customWidth="1"/>
    <col min="2062" max="2062" width="3.7109375" style="179" customWidth="1"/>
    <col min="2063" max="2304" width="9.140625" style="179"/>
    <col min="2305" max="2306" width="2.7109375" style="179" customWidth="1"/>
    <col min="2307" max="2308" width="3.7109375" style="179" customWidth="1"/>
    <col min="2309" max="2309" width="7.7109375" style="179" customWidth="1"/>
    <col min="2310" max="2310" width="6.7109375" style="179" customWidth="1"/>
    <col min="2311" max="2311" width="12.7109375" style="179" customWidth="1"/>
    <col min="2312" max="2312" width="11.7109375" style="179" customWidth="1"/>
    <col min="2313" max="2313" width="10.7109375" style="179" customWidth="1"/>
    <col min="2314" max="2316" width="8.7109375" style="179" customWidth="1"/>
    <col min="2317" max="2317" width="6.7109375" style="179" customWidth="1"/>
    <col min="2318" max="2318" width="3.7109375" style="179" customWidth="1"/>
    <col min="2319" max="2560" width="9.140625" style="179"/>
    <col min="2561" max="2562" width="2.7109375" style="179" customWidth="1"/>
    <col min="2563" max="2564" width="3.7109375" style="179" customWidth="1"/>
    <col min="2565" max="2565" width="7.7109375" style="179" customWidth="1"/>
    <col min="2566" max="2566" width="6.7109375" style="179" customWidth="1"/>
    <col min="2567" max="2567" width="12.7109375" style="179" customWidth="1"/>
    <col min="2568" max="2568" width="11.7109375" style="179" customWidth="1"/>
    <col min="2569" max="2569" width="10.7109375" style="179" customWidth="1"/>
    <col min="2570" max="2572" width="8.7109375" style="179" customWidth="1"/>
    <col min="2573" max="2573" width="6.7109375" style="179" customWidth="1"/>
    <col min="2574" max="2574" width="3.7109375" style="179" customWidth="1"/>
    <col min="2575" max="2816" width="9.140625" style="179"/>
    <col min="2817" max="2818" width="2.7109375" style="179" customWidth="1"/>
    <col min="2819" max="2820" width="3.7109375" style="179" customWidth="1"/>
    <col min="2821" max="2821" width="7.7109375" style="179" customWidth="1"/>
    <col min="2822" max="2822" width="6.7109375" style="179" customWidth="1"/>
    <col min="2823" max="2823" width="12.7109375" style="179" customWidth="1"/>
    <col min="2824" max="2824" width="11.7109375" style="179" customWidth="1"/>
    <col min="2825" max="2825" width="10.7109375" style="179" customWidth="1"/>
    <col min="2826" max="2828" width="8.7109375" style="179" customWidth="1"/>
    <col min="2829" max="2829" width="6.7109375" style="179" customWidth="1"/>
    <col min="2830" max="2830" width="3.7109375" style="179" customWidth="1"/>
    <col min="2831" max="3072" width="9.140625" style="179"/>
    <col min="3073" max="3074" width="2.7109375" style="179" customWidth="1"/>
    <col min="3075" max="3076" width="3.7109375" style="179" customWidth="1"/>
    <col min="3077" max="3077" width="7.7109375" style="179" customWidth="1"/>
    <col min="3078" max="3078" width="6.7109375" style="179" customWidth="1"/>
    <col min="3079" max="3079" width="12.7109375" style="179" customWidth="1"/>
    <col min="3080" max="3080" width="11.7109375" style="179" customWidth="1"/>
    <col min="3081" max="3081" width="10.7109375" style="179" customWidth="1"/>
    <col min="3082" max="3084" width="8.7109375" style="179" customWidth="1"/>
    <col min="3085" max="3085" width="6.7109375" style="179" customWidth="1"/>
    <col min="3086" max="3086" width="3.7109375" style="179" customWidth="1"/>
    <col min="3087" max="3328" width="9.140625" style="179"/>
    <col min="3329" max="3330" width="2.7109375" style="179" customWidth="1"/>
    <col min="3331" max="3332" width="3.7109375" style="179" customWidth="1"/>
    <col min="3333" max="3333" width="7.7109375" style="179" customWidth="1"/>
    <col min="3334" max="3334" width="6.7109375" style="179" customWidth="1"/>
    <col min="3335" max="3335" width="12.7109375" style="179" customWidth="1"/>
    <col min="3336" max="3336" width="11.7109375" style="179" customWidth="1"/>
    <col min="3337" max="3337" width="10.7109375" style="179" customWidth="1"/>
    <col min="3338" max="3340" width="8.7109375" style="179" customWidth="1"/>
    <col min="3341" max="3341" width="6.7109375" style="179" customWidth="1"/>
    <col min="3342" max="3342" width="3.7109375" style="179" customWidth="1"/>
    <col min="3343" max="3584" width="9.140625" style="179"/>
    <col min="3585" max="3586" width="2.7109375" style="179" customWidth="1"/>
    <col min="3587" max="3588" width="3.7109375" style="179" customWidth="1"/>
    <col min="3589" max="3589" width="7.7109375" style="179" customWidth="1"/>
    <col min="3590" max="3590" width="6.7109375" style="179" customWidth="1"/>
    <col min="3591" max="3591" width="12.7109375" style="179" customWidth="1"/>
    <col min="3592" max="3592" width="11.7109375" style="179" customWidth="1"/>
    <col min="3593" max="3593" width="10.7109375" style="179" customWidth="1"/>
    <col min="3594" max="3596" width="8.7109375" style="179" customWidth="1"/>
    <col min="3597" max="3597" width="6.7109375" style="179" customWidth="1"/>
    <col min="3598" max="3598" width="3.7109375" style="179" customWidth="1"/>
    <col min="3599" max="3840" width="9.140625" style="179"/>
    <col min="3841" max="3842" width="2.7109375" style="179" customWidth="1"/>
    <col min="3843" max="3844" width="3.7109375" style="179" customWidth="1"/>
    <col min="3845" max="3845" width="7.7109375" style="179" customWidth="1"/>
    <col min="3846" max="3846" width="6.7109375" style="179" customWidth="1"/>
    <col min="3847" max="3847" width="12.7109375" style="179" customWidth="1"/>
    <col min="3848" max="3848" width="11.7109375" style="179" customWidth="1"/>
    <col min="3849" max="3849" width="10.7109375" style="179" customWidth="1"/>
    <col min="3850" max="3852" width="8.7109375" style="179" customWidth="1"/>
    <col min="3853" max="3853" width="6.7109375" style="179" customWidth="1"/>
    <col min="3854" max="3854" width="3.7109375" style="179" customWidth="1"/>
    <col min="3855" max="4096" width="9.140625" style="179"/>
    <col min="4097" max="4098" width="2.7109375" style="179" customWidth="1"/>
    <col min="4099" max="4100" width="3.7109375" style="179" customWidth="1"/>
    <col min="4101" max="4101" width="7.7109375" style="179" customWidth="1"/>
    <col min="4102" max="4102" width="6.7109375" style="179" customWidth="1"/>
    <col min="4103" max="4103" width="12.7109375" style="179" customWidth="1"/>
    <col min="4104" max="4104" width="11.7109375" style="179" customWidth="1"/>
    <col min="4105" max="4105" width="10.7109375" style="179" customWidth="1"/>
    <col min="4106" max="4108" width="8.7109375" style="179" customWidth="1"/>
    <col min="4109" max="4109" width="6.7109375" style="179" customWidth="1"/>
    <col min="4110" max="4110" width="3.7109375" style="179" customWidth="1"/>
    <col min="4111" max="4352" width="9.140625" style="179"/>
    <col min="4353" max="4354" width="2.7109375" style="179" customWidth="1"/>
    <col min="4355" max="4356" width="3.7109375" style="179" customWidth="1"/>
    <col min="4357" max="4357" width="7.7109375" style="179" customWidth="1"/>
    <col min="4358" max="4358" width="6.7109375" style="179" customWidth="1"/>
    <col min="4359" max="4359" width="12.7109375" style="179" customWidth="1"/>
    <col min="4360" max="4360" width="11.7109375" style="179" customWidth="1"/>
    <col min="4361" max="4361" width="10.7109375" style="179" customWidth="1"/>
    <col min="4362" max="4364" width="8.7109375" style="179" customWidth="1"/>
    <col min="4365" max="4365" width="6.7109375" style="179" customWidth="1"/>
    <col min="4366" max="4366" width="3.7109375" style="179" customWidth="1"/>
    <col min="4367" max="4608" width="9.140625" style="179"/>
    <col min="4609" max="4610" width="2.7109375" style="179" customWidth="1"/>
    <col min="4611" max="4612" width="3.7109375" style="179" customWidth="1"/>
    <col min="4613" max="4613" width="7.7109375" style="179" customWidth="1"/>
    <col min="4614" max="4614" width="6.7109375" style="179" customWidth="1"/>
    <col min="4615" max="4615" width="12.7109375" style="179" customWidth="1"/>
    <col min="4616" max="4616" width="11.7109375" style="179" customWidth="1"/>
    <col min="4617" max="4617" width="10.7109375" style="179" customWidth="1"/>
    <col min="4618" max="4620" width="8.7109375" style="179" customWidth="1"/>
    <col min="4621" max="4621" width="6.7109375" style="179" customWidth="1"/>
    <col min="4622" max="4622" width="3.7109375" style="179" customWidth="1"/>
    <col min="4623" max="4864" width="9.140625" style="179"/>
    <col min="4865" max="4866" width="2.7109375" style="179" customWidth="1"/>
    <col min="4867" max="4868" width="3.7109375" style="179" customWidth="1"/>
    <col min="4869" max="4869" width="7.7109375" style="179" customWidth="1"/>
    <col min="4870" max="4870" width="6.7109375" style="179" customWidth="1"/>
    <col min="4871" max="4871" width="12.7109375" style="179" customWidth="1"/>
    <col min="4872" max="4872" width="11.7109375" style="179" customWidth="1"/>
    <col min="4873" max="4873" width="10.7109375" style="179" customWidth="1"/>
    <col min="4874" max="4876" width="8.7109375" style="179" customWidth="1"/>
    <col min="4877" max="4877" width="6.7109375" style="179" customWidth="1"/>
    <col min="4878" max="4878" width="3.7109375" style="179" customWidth="1"/>
    <col min="4879" max="5120" width="9.140625" style="179"/>
    <col min="5121" max="5122" width="2.7109375" style="179" customWidth="1"/>
    <col min="5123" max="5124" width="3.7109375" style="179" customWidth="1"/>
    <col min="5125" max="5125" width="7.7109375" style="179" customWidth="1"/>
    <col min="5126" max="5126" width="6.7109375" style="179" customWidth="1"/>
    <col min="5127" max="5127" width="12.7109375" style="179" customWidth="1"/>
    <col min="5128" max="5128" width="11.7109375" style="179" customWidth="1"/>
    <col min="5129" max="5129" width="10.7109375" style="179" customWidth="1"/>
    <col min="5130" max="5132" width="8.7109375" style="179" customWidth="1"/>
    <col min="5133" max="5133" width="6.7109375" style="179" customWidth="1"/>
    <col min="5134" max="5134" width="3.7109375" style="179" customWidth="1"/>
    <col min="5135" max="5376" width="9.140625" style="179"/>
    <col min="5377" max="5378" width="2.7109375" style="179" customWidth="1"/>
    <col min="5379" max="5380" width="3.7109375" style="179" customWidth="1"/>
    <col min="5381" max="5381" width="7.7109375" style="179" customWidth="1"/>
    <col min="5382" max="5382" width="6.7109375" style="179" customWidth="1"/>
    <col min="5383" max="5383" width="12.7109375" style="179" customWidth="1"/>
    <col min="5384" max="5384" width="11.7109375" style="179" customWidth="1"/>
    <col min="5385" max="5385" width="10.7109375" style="179" customWidth="1"/>
    <col min="5386" max="5388" width="8.7109375" style="179" customWidth="1"/>
    <col min="5389" max="5389" width="6.7109375" style="179" customWidth="1"/>
    <col min="5390" max="5390" width="3.7109375" style="179" customWidth="1"/>
    <col min="5391" max="5632" width="9.140625" style="179"/>
    <col min="5633" max="5634" width="2.7109375" style="179" customWidth="1"/>
    <col min="5635" max="5636" width="3.7109375" style="179" customWidth="1"/>
    <col min="5637" max="5637" width="7.7109375" style="179" customWidth="1"/>
    <col min="5638" max="5638" width="6.7109375" style="179" customWidth="1"/>
    <col min="5639" max="5639" width="12.7109375" style="179" customWidth="1"/>
    <col min="5640" max="5640" width="11.7109375" style="179" customWidth="1"/>
    <col min="5641" max="5641" width="10.7109375" style="179" customWidth="1"/>
    <col min="5642" max="5644" width="8.7109375" style="179" customWidth="1"/>
    <col min="5645" max="5645" width="6.7109375" style="179" customWidth="1"/>
    <col min="5646" max="5646" width="3.7109375" style="179" customWidth="1"/>
    <col min="5647" max="5888" width="9.140625" style="179"/>
    <col min="5889" max="5890" width="2.7109375" style="179" customWidth="1"/>
    <col min="5891" max="5892" width="3.7109375" style="179" customWidth="1"/>
    <col min="5893" max="5893" width="7.7109375" style="179" customWidth="1"/>
    <col min="5894" max="5894" width="6.7109375" style="179" customWidth="1"/>
    <col min="5895" max="5895" width="12.7109375" style="179" customWidth="1"/>
    <col min="5896" max="5896" width="11.7109375" style="179" customWidth="1"/>
    <col min="5897" max="5897" width="10.7109375" style="179" customWidth="1"/>
    <col min="5898" max="5900" width="8.7109375" style="179" customWidth="1"/>
    <col min="5901" max="5901" width="6.7109375" style="179" customWidth="1"/>
    <col min="5902" max="5902" width="3.7109375" style="179" customWidth="1"/>
    <col min="5903" max="6144" width="9.140625" style="179"/>
    <col min="6145" max="6146" width="2.7109375" style="179" customWidth="1"/>
    <col min="6147" max="6148" width="3.7109375" style="179" customWidth="1"/>
    <col min="6149" max="6149" width="7.7109375" style="179" customWidth="1"/>
    <col min="6150" max="6150" width="6.7109375" style="179" customWidth="1"/>
    <col min="6151" max="6151" width="12.7109375" style="179" customWidth="1"/>
    <col min="6152" max="6152" width="11.7109375" style="179" customWidth="1"/>
    <col min="6153" max="6153" width="10.7109375" style="179" customWidth="1"/>
    <col min="6154" max="6156" width="8.7109375" style="179" customWidth="1"/>
    <col min="6157" max="6157" width="6.7109375" style="179" customWidth="1"/>
    <col min="6158" max="6158" width="3.7109375" style="179" customWidth="1"/>
    <col min="6159" max="6400" width="9.140625" style="179"/>
    <col min="6401" max="6402" width="2.7109375" style="179" customWidth="1"/>
    <col min="6403" max="6404" width="3.7109375" style="179" customWidth="1"/>
    <col min="6405" max="6405" width="7.7109375" style="179" customWidth="1"/>
    <col min="6406" max="6406" width="6.7109375" style="179" customWidth="1"/>
    <col min="6407" max="6407" width="12.7109375" style="179" customWidth="1"/>
    <col min="6408" max="6408" width="11.7109375" style="179" customWidth="1"/>
    <col min="6409" max="6409" width="10.7109375" style="179" customWidth="1"/>
    <col min="6410" max="6412" width="8.7109375" style="179" customWidth="1"/>
    <col min="6413" max="6413" width="6.7109375" style="179" customWidth="1"/>
    <col min="6414" max="6414" width="3.7109375" style="179" customWidth="1"/>
    <col min="6415" max="6656" width="9.140625" style="179"/>
    <col min="6657" max="6658" width="2.7109375" style="179" customWidth="1"/>
    <col min="6659" max="6660" width="3.7109375" style="179" customWidth="1"/>
    <col min="6661" max="6661" width="7.7109375" style="179" customWidth="1"/>
    <col min="6662" max="6662" width="6.7109375" style="179" customWidth="1"/>
    <col min="6663" max="6663" width="12.7109375" style="179" customWidth="1"/>
    <col min="6664" max="6664" width="11.7109375" style="179" customWidth="1"/>
    <col min="6665" max="6665" width="10.7109375" style="179" customWidth="1"/>
    <col min="6666" max="6668" width="8.7109375" style="179" customWidth="1"/>
    <col min="6669" max="6669" width="6.7109375" style="179" customWidth="1"/>
    <col min="6670" max="6670" width="3.7109375" style="179" customWidth="1"/>
    <col min="6671" max="6912" width="9.140625" style="179"/>
    <col min="6913" max="6914" width="2.7109375" style="179" customWidth="1"/>
    <col min="6915" max="6916" width="3.7109375" style="179" customWidth="1"/>
    <col min="6917" max="6917" width="7.7109375" style="179" customWidth="1"/>
    <col min="6918" max="6918" width="6.7109375" style="179" customWidth="1"/>
    <col min="6919" max="6919" width="12.7109375" style="179" customWidth="1"/>
    <col min="6920" max="6920" width="11.7109375" style="179" customWidth="1"/>
    <col min="6921" max="6921" width="10.7109375" style="179" customWidth="1"/>
    <col min="6922" max="6924" width="8.7109375" style="179" customWidth="1"/>
    <col min="6925" max="6925" width="6.7109375" style="179" customWidth="1"/>
    <col min="6926" max="6926" width="3.7109375" style="179" customWidth="1"/>
    <col min="6927" max="7168" width="9.140625" style="179"/>
    <col min="7169" max="7170" width="2.7109375" style="179" customWidth="1"/>
    <col min="7171" max="7172" width="3.7109375" style="179" customWidth="1"/>
    <col min="7173" max="7173" width="7.7109375" style="179" customWidth="1"/>
    <col min="7174" max="7174" width="6.7109375" style="179" customWidth="1"/>
    <col min="7175" max="7175" width="12.7109375" style="179" customWidth="1"/>
    <col min="7176" max="7176" width="11.7109375" style="179" customWidth="1"/>
    <col min="7177" max="7177" width="10.7109375" style="179" customWidth="1"/>
    <col min="7178" max="7180" width="8.7109375" style="179" customWidth="1"/>
    <col min="7181" max="7181" width="6.7109375" style="179" customWidth="1"/>
    <col min="7182" max="7182" width="3.7109375" style="179" customWidth="1"/>
    <col min="7183" max="7424" width="9.140625" style="179"/>
    <col min="7425" max="7426" width="2.7109375" style="179" customWidth="1"/>
    <col min="7427" max="7428" width="3.7109375" style="179" customWidth="1"/>
    <col min="7429" max="7429" width="7.7109375" style="179" customWidth="1"/>
    <col min="7430" max="7430" width="6.7109375" style="179" customWidth="1"/>
    <col min="7431" max="7431" width="12.7109375" style="179" customWidth="1"/>
    <col min="7432" max="7432" width="11.7109375" style="179" customWidth="1"/>
    <col min="7433" max="7433" width="10.7109375" style="179" customWidth="1"/>
    <col min="7434" max="7436" width="8.7109375" style="179" customWidth="1"/>
    <col min="7437" max="7437" width="6.7109375" style="179" customWidth="1"/>
    <col min="7438" max="7438" width="3.7109375" style="179" customWidth="1"/>
    <col min="7439" max="7680" width="9.140625" style="179"/>
    <col min="7681" max="7682" width="2.7109375" style="179" customWidth="1"/>
    <col min="7683" max="7684" width="3.7109375" style="179" customWidth="1"/>
    <col min="7685" max="7685" width="7.7109375" style="179" customWidth="1"/>
    <col min="7686" max="7686" width="6.7109375" style="179" customWidth="1"/>
    <col min="7687" max="7687" width="12.7109375" style="179" customWidth="1"/>
    <col min="7688" max="7688" width="11.7109375" style="179" customWidth="1"/>
    <col min="7689" max="7689" width="10.7109375" style="179" customWidth="1"/>
    <col min="7690" max="7692" width="8.7109375" style="179" customWidth="1"/>
    <col min="7693" max="7693" width="6.7109375" style="179" customWidth="1"/>
    <col min="7694" max="7694" width="3.7109375" style="179" customWidth="1"/>
    <col min="7695" max="7936" width="9.140625" style="179"/>
    <col min="7937" max="7938" width="2.7109375" style="179" customWidth="1"/>
    <col min="7939" max="7940" width="3.7109375" style="179" customWidth="1"/>
    <col min="7941" max="7941" width="7.7109375" style="179" customWidth="1"/>
    <col min="7942" max="7942" width="6.7109375" style="179" customWidth="1"/>
    <col min="7943" max="7943" width="12.7109375" style="179" customWidth="1"/>
    <col min="7944" max="7944" width="11.7109375" style="179" customWidth="1"/>
    <col min="7945" max="7945" width="10.7109375" style="179" customWidth="1"/>
    <col min="7946" max="7948" width="8.7109375" style="179" customWidth="1"/>
    <col min="7949" max="7949" width="6.7109375" style="179" customWidth="1"/>
    <col min="7950" max="7950" width="3.7109375" style="179" customWidth="1"/>
    <col min="7951" max="8192" width="9.140625" style="179"/>
    <col min="8193" max="8194" width="2.7109375" style="179" customWidth="1"/>
    <col min="8195" max="8196" width="3.7109375" style="179" customWidth="1"/>
    <col min="8197" max="8197" width="7.7109375" style="179" customWidth="1"/>
    <col min="8198" max="8198" width="6.7109375" style="179" customWidth="1"/>
    <col min="8199" max="8199" width="12.7109375" style="179" customWidth="1"/>
    <col min="8200" max="8200" width="11.7109375" style="179" customWidth="1"/>
    <col min="8201" max="8201" width="10.7109375" style="179" customWidth="1"/>
    <col min="8202" max="8204" width="8.7109375" style="179" customWidth="1"/>
    <col min="8205" max="8205" width="6.7109375" style="179" customWidth="1"/>
    <col min="8206" max="8206" width="3.7109375" style="179" customWidth="1"/>
    <col min="8207" max="8448" width="9.140625" style="179"/>
    <col min="8449" max="8450" width="2.7109375" style="179" customWidth="1"/>
    <col min="8451" max="8452" width="3.7109375" style="179" customWidth="1"/>
    <col min="8453" max="8453" width="7.7109375" style="179" customWidth="1"/>
    <col min="8454" max="8454" width="6.7109375" style="179" customWidth="1"/>
    <col min="8455" max="8455" width="12.7109375" style="179" customWidth="1"/>
    <col min="8456" max="8456" width="11.7109375" style="179" customWidth="1"/>
    <col min="8457" max="8457" width="10.7109375" style="179" customWidth="1"/>
    <col min="8458" max="8460" width="8.7109375" style="179" customWidth="1"/>
    <col min="8461" max="8461" width="6.7109375" style="179" customWidth="1"/>
    <col min="8462" max="8462" width="3.7109375" style="179" customWidth="1"/>
    <col min="8463" max="8704" width="9.140625" style="179"/>
    <col min="8705" max="8706" width="2.7109375" style="179" customWidth="1"/>
    <col min="8707" max="8708" width="3.7109375" style="179" customWidth="1"/>
    <col min="8709" max="8709" width="7.7109375" style="179" customWidth="1"/>
    <col min="8710" max="8710" width="6.7109375" style="179" customWidth="1"/>
    <col min="8711" max="8711" width="12.7109375" style="179" customWidth="1"/>
    <col min="8712" max="8712" width="11.7109375" style="179" customWidth="1"/>
    <col min="8713" max="8713" width="10.7109375" style="179" customWidth="1"/>
    <col min="8714" max="8716" width="8.7109375" style="179" customWidth="1"/>
    <col min="8717" max="8717" width="6.7109375" style="179" customWidth="1"/>
    <col min="8718" max="8718" width="3.7109375" style="179" customWidth="1"/>
    <col min="8719" max="8960" width="9.140625" style="179"/>
    <col min="8961" max="8962" width="2.7109375" style="179" customWidth="1"/>
    <col min="8963" max="8964" width="3.7109375" style="179" customWidth="1"/>
    <col min="8965" max="8965" width="7.7109375" style="179" customWidth="1"/>
    <col min="8966" max="8966" width="6.7109375" style="179" customWidth="1"/>
    <col min="8967" max="8967" width="12.7109375" style="179" customWidth="1"/>
    <col min="8968" max="8968" width="11.7109375" style="179" customWidth="1"/>
    <col min="8969" max="8969" width="10.7109375" style="179" customWidth="1"/>
    <col min="8970" max="8972" width="8.7109375" style="179" customWidth="1"/>
    <col min="8973" max="8973" width="6.7109375" style="179" customWidth="1"/>
    <col min="8974" max="8974" width="3.7109375" style="179" customWidth="1"/>
    <col min="8975" max="9216" width="9.140625" style="179"/>
    <col min="9217" max="9218" width="2.7109375" style="179" customWidth="1"/>
    <col min="9219" max="9220" width="3.7109375" style="179" customWidth="1"/>
    <col min="9221" max="9221" width="7.7109375" style="179" customWidth="1"/>
    <col min="9222" max="9222" width="6.7109375" style="179" customWidth="1"/>
    <col min="9223" max="9223" width="12.7109375" style="179" customWidth="1"/>
    <col min="9224" max="9224" width="11.7109375" style="179" customWidth="1"/>
    <col min="9225" max="9225" width="10.7109375" style="179" customWidth="1"/>
    <col min="9226" max="9228" width="8.7109375" style="179" customWidth="1"/>
    <col min="9229" max="9229" width="6.7109375" style="179" customWidth="1"/>
    <col min="9230" max="9230" width="3.7109375" style="179" customWidth="1"/>
    <col min="9231" max="9472" width="9.140625" style="179"/>
    <col min="9473" max="9474" width="2.7109375" style="179" customWidth="1"/>
    <col min="9475" max="9476" width="3.7109375" style="179" customWidth="1"/>
    <col min="9477" max="9477" width="7.7109375" style="179" customWidth="1"/>
    <col min="9478" max="9478" width="6.7109375" style="179" customWidth="1"/>
    <col min="9479" max="9479" width="12.7109375" style="179" customWidth="1"/>
    <col min="9480" max="9480" width="11.7109375" style="179" customWidth="1"/>
    <col min="9481" max="9481" width="10.7109375" style="179" customWidth="1"/>
    <col min="9482" max="9484" width="8.7109375" style="179" customWidth="1"/>
    <col min="9485" max="9485" width="6.7109375" style="179" customWidth="1"/>
    <col min="9486" max="9486" width="3.7109375" style="179" customWidth="1"/>
    <col min="9487" max="9728" width="9.140625" style="179"/>
    <col min="9729" max="9730" width="2.7109375" style="179" customWidth="1"/>
    <col min="9731" max="9732" width="3.7109375" style="179" customWidth="1"/>
    <col min="9733" max="9733" width="7.7109375" style="179" customWidth="1"/>
    <col min="9734" max="9734" width="6.7109375" style="179" customWidth="1"/>
    <col min="9735" max="9735" width="12.7109375" style="179" customWidth="1"/>
    <col min="9736" max="9736" width="11.7109375" style="179" customWidth="1"/>
    <col min="9737" max="9737" width="10.7109375" style="179" customWidth="1"/>
    <col min="9738" max="9740" width="8.7109375" style="179" customWidth="1"/>
    <col min="9741" max="9741" width="6.7109375" style="179" customWidth="1"/>
    <col min="9742" max="9742" width="3.7109375" style="179" customWidth="1"/>
    <col min="9743" max="9984" width="9.140625" style="179"/>
    <col min="9985" max="9986" width="2.7109375" style="179" customWidth="1"/>
    <col min="9987" max="9988" width="3.7109375" style="179" customWidth="1"/>
    <col min="9989" max="9989" width="7.7109375" style="179" customWidth="1"/>
    <col min="9990" max="9990" width="6.7109375" style="179" customWidth="1"/>
    <col min="9991" max="9991" width="12.7109375" style="179" customWidth="1"/>
    <col min="9992" max="9992" width="11.7109375" style="179" customWidth="1"/>
    <col min="9993" max="9993" width="10.7109375" style="179" customWidth="1"/>
    <col min="9994" max="9996" width="8.7109375" style="179" customWidth="1"/>
    <col min="9997" max="9997" width="6.7109375" style="179" customWidth="1"/>
    <col min="9998" max="9998" width="3.7109375" style="179" customWidth="1"/>
    <col min="9999" max="10240" width="9.140625" style="179"/>
    <col min="10241" max="10242" width="2.7109375" style="179" customWidth="1"/>
    <col min="10243" max="10244" width="3.7109375" style="179" customWidth="1"/>
    <col min="10245" max="10245" width="7.7109375" style="179" customWidth="1"/>
    <col min="10246" max="10246" width="6.7109375" style="179" customWidth="1"/>
    <col min="10247" max="10247" width="12.7109375" style="179" customWidth="1"/>
    <col min="10248" max="10248" width="11.7109375" style="179" customWidth="1"/>
    <col min="10249" max="10249" width="10.7109375" style="179" customWidth="1"/>
    <col min="10250" max="10252" width="8.7109375" style="179" customWidth="1"/>
    <col min="10253" max="10253" width="6.7109375" style="179" customWidth="1"/>
    <col min="10254" max="10254" width="3.7109375" style="179" customWidth="1"/>
    <col min="10255" max="10496" width="9.140625" style="179"/>
    <col min="10497" max="10498" width="2.7109375" style="179" customWidth="1"/>
    <col min="10499" max="10500" width="3.7109375" style="179" customWidth="1"/>
    <col min="10501" max="10501" width="7.7109375" style="179" customWidth="1"/>
    <col min="10502" max="10502" width="6.7109375" style="179" customWidth="1"/>
    <col min="10503" max="10503" width="12.7109375" style="179" customWidth="1"/>
    <col min="10504" max="10504" width="11.7109375" style="179" customWidth="1"/>
    <col min="10505" max="10505" width="10.7109375" style="179" customWidth="1"/>
    <col min="10506" max="10508" width="8.7109375" style="179" customWidth="1"/>
    <col min="10509" max="10509" width="6.7109375" style="179" customWidth="1"/>
    <col min="10510" max="10510" width="3.7109375" style="179" customWidth="1"/>
    <col min="10511" max="10752" width="9.140625" style="179"/>
    <col min="10753" max="10754" width="2.7109375" style="179" customWidth="1"/>
    <col min="10755" max="10756" width="3.7109375" style="179" customWidth="1"/>
    <col min="10757" max="10757" width="7.7109375" style="179" customWidth="1"/>
    <col min="10758" max="10758" width="6.7109375" style="179" customWidth="1"/>
    <col min="10759" max="10759" width="12.7109375" style="179" customWidth="1"/>
    <col min="10760" max="10760" width="11.7109375" style="179" customWidth="1"/>
    <col min="10761" max="10761" width="10.7109375" style="179" customWidth="1"/>
    <col min="10762" max="10764" width="8.7109375" style="179" customWidth="1"/>
    <col min="10765" max="10765" width="6.7109375" style="179" customWidth="1"/>
    <col min="10766" max="10766" width="3.7109375" style="179" customWidth="1"/>
    <col min="10767" max="11008" width="9.140625" style="179"/>
    <col min="11009" max="11010" width="2.7109375" style="179" customWidth="1"/>
    <col min="11011" max="11012" width="3.7109375" style="179" customWidth="1"/>
    <col min="11013" max="11013" width="7.7109375" style="179" customWidth="1"/>
    <col min="11014" max="11014" width="6.7109375" style="179" customWidth="1"/>
    <col min="11015" max="11015" width="12.7109375" style="179" customWidth="1"/>
    <col min="11016" max="11016" width="11.7109375" style="179" customWidth="1"/>
    <col min="11017" max="11017" width="10.7109375" style="179" customWidth="1"/>
    <col min="11018" max="11020" width="8.7109375" style="179" customWidth="1"/>
    <col min="11021" max="11021" width="6.7109375" style="179" customWidth="1"/>
    <col min="11022" max="11022" width="3.7109375" style="179" customWidth="1"/>
    <col min="11023" max="11264" width="9.140625" style="179"/>
    <col min="11265" max="11266" width="2.7109375" style="179" customWidth="1"/>
    <col min="11267" max="11268" width="3.7109375" style="179" customWidth="1"/>
    <col min="11269" max="11269" width="7.7109375" style="179" customWidth="1"/>
    <col min="11270" max="11270" width="6.7109375" style="179" customWidth="1"/>
    <col min="11271" max="11271" width="12.7109375" style="179" customWidth="1"/>
    <col min="11272" max="11272" width="11.7109375" style="179" customWidth="1"/>
    <col min="11273" max="11273" width="10.7109375" style="179" customWidth="1"/>
    <col min="11274" max="11276" width="8.7109375" style="179" customWidth="1"/>
    <col min="11277" max="11277" width="6.7109375" style="179" customWidth="1"/>
    <col min="11278" max="11278" width="3.7109375" style="179" customWidth="1"/>
    <col min="11279" max="11520" width="9.140625" style="179"/>
    <col min="11521" max="11522" width="2.7109375" style="179" customWidth="1"/>
    <col min="11523" max="11524" width="3.7109375" style="179" customWidth="1"/>
    <col min="11525" max="11525" width="7.7109375" style="179" customWidth="1"/>
    <col min="11526" max="11526" width="6.7109375" style="179" customWidth="1"/>
    <col min="11527" max="11527" width="12.7109375" style="179" customWidth="1"/>
    <col min="11528" max="11528" width="11.7109375" style="179" customWidth="1"/>
    <col min="11529" max="11529" width="10.7109375" style="179" customWidth="1"/>
    <col min="11530" max="11532" width="8.7109375" style="179" customWidth="1"/>
    <col min="11533" max="11533" width="6.7109375" style="179" customWidth="1"/>
    <col min="11534" max="11534" width="3.7109375" style="179" customWidth="1"/>
    <col min="11535" max="11776" width="9.140625" style="179"/>
    <col min="11777" max="11778" width="2.7109375" style="179" customWidth="1"/>
    <col min="11779" max="11780" width="3.7109375" style="179" customWidth="1"/>
    <col min="11781" max="11781" width="7.7109375" style="179" customWidth="1"/>
    <col min="11782" max="11782" width="6.7109375" style="179" customWidth="1"/>
    <col min="11783" max="11783" width="12.7109375" style="179" customWidth="1"/>
    <col min="11784" max="11784" width="11.7109375" style="179" customWidth="1"/>
    <col min="11785" max="11785" width="10.7109375" style="179" customWidth="1"/>
    <col min="11786" max="11788" width="8.7109375" style="179" customWidth="1"/>
    <col min="11789" max="11789" width="6.7109375" style="179" customWidth="1"/>
    <col min="11790" max="11790" width="3.7109375" style="179" customWidth="1"/>
    <col min="11791" max="12032" width="9.140625" style="179"/>
    <col min="12033" max="12034" width="2.7109375" style="179" customWidth="1"/>
    <col min="12035" max="12036" width="3.7109375" style="179" customWidth="1"/>
    <col min="12037" max="12037" width="7.7109375" style="179" customWidth="1"/>
    <col min="12038" max="12038" width="6.7109375" style="179" customWidth="1"/>
    <col min="12039" max="12039" width="12.7109375" style="179" customWidth="1"/>
    <col min="12040" max="12040" width="11.7109375" style="179" customWidth="1"/>
    <col min="12041" max="12041" width="10.7109375" style="179" customWidth="1"/>
    <col min="12042" max="12044" width="8.7109375" style="179" customWidth="1"/>
    <col min="12045" max="12045" width="6.7109375" style="179" customWidth="1"/>
    <col min="12046" max="12046" width="3.7109375" style="179" customWidth="1"/>
    <col min="12047" max="12288" width="9.140625" style="179"/>
    <col min="12289" max="12290" width="2.7109375" style="179" customWidth="1"/>
    <col min="12291" max="12292" width="3.7109375" style="179" customWidth="1"/>
    <col min="12293" max="12293" width="7.7109375" style="179" customWidth="1"/>
    <col min="12294" max="12294" width="6.7109375" style="179" customWidth="1"/>
    <col min="12295" max="12295" width="12.7109375" style="179" customWidth="1"/>
    <col min="12296" max="12296" width="11.7109375" style="179" customWidth="1"/>
    <col min="12297" max="12297" width="10.7109375" style="179" customWidth="1"/>
    <col min="12298" max="12300" width="8.7109375" style="179" customWidth="1"/>
    <col min="12301" max="12301" width="6.7109375" style="179" customWidth="1"/>
    <col min="12302" max="12302" width="3.7109375" style="179" customWidth="1"/>
    <col min="12303" max="12544" width="9.140625" style="179"/>
    <col min="12545" max="12546" width="2.7109375" style="179" customWidth="1"/>
    <col min="12547" max="12548" width="3.7109375" style="179" customWidth="1"/>
    <col min="12549" max="12549" width="7.7109375" style="179" customWidth="1"/>
    <col min="12550" max="12550" width="6.7109375" style="179" customWidth="1"/>
    <col min="12551" max="12551" width="12.7109375" style="179" customWidth="1"/>
    <col min="12552" max="12552" width="11.7109375" style="179" customWidth="1"/>
    <col min="12553" max="12553" width="10.7109375" style="179" customWidth="1"/>
    <col min="12554" max="12556" width="8.7109375" style="179" customWidth="1"/>
    <col min="12557" max="12557" width="6.7109375" style="179" customWidth="1"/>
    <col min="12558" max="12558" width="3.7109375" style="179" customWidth="1"/>
    <col min="12559" max="12800" width="9.140625" style="179"/>
    <col min="12801" max="12802" width="2.7109375" style="179" customWidth="1"/>
    <col min="12803" max="12804" width="3.7109375" style="179" customWidth="1"/>
    <col min="12805" max="12805" width="7.7109375" style="179" customWidth="1"/>
    <col min="12806" max="12806" width="6.7109375" style="179" customWidth="1"/>
    <col min="12807" max="12807" width="12.7109375" style="179" customWidth="1"/>
    <col min="12808" max="12808" width="11.7109375" style="179" customWidth="1"/>
    <col min="12809" max="12809" width="10.7109375" style="179" customWidth="1"/>
    <col min="12810" max="12812" width="8.7109375" style="179" customWidth="1"/>
    <col min="12813" max="12813" width="6.7109375" style="179" customWidth="1"/>
    <col min="12814" max="12814" width="3.7109375" style="179" customWidth="1"/>
    <col min="12815" max="13056" width="9.140625" style="179"/>
    <col min="13057" max="13058" width="2.7109375" style="179" customWidth="1"/>
    <col min="13059" max="13060" width="3.7109375" style="179" customWidth="1"/>
    <col min="13061" max="13061" width="7.7109375" style="179" customWidth="1"/>
    <col min="13062" max="13062" width="6.7109375" style="179" customWidth="1"/>
    <col min="13063" max="13063" width="12.7109375" style="179" customWidth="1"/>
    <col min="13064" max="13064" width="11.7109375" style="179" customWidth="1"/>
    <col min="13065" max="13065" width="10.7109375" style="179" customWidth="1"/>
    <col min="13066" max="13068" width="8.7109375" style="179" customWidth="1"/>
    <col min="13069" max="13069" width="6.7109375" style="179" customWidth="1"/>
    <col min="13070" max="13070" width="3.7109375" style="179" customWidth="1"/>
    <col min="13071" max="13312" width="9.140625" style="179"/>
    <col min="13313" max="13314" width="2.7109375" style="179" customWidth="1"/>
    <col min="13315" max="13316" width="3.7109375" style="179" customWidth="1"/>
    <col min="13317" max="13317" width="7.7109375" style="179" customWidth="1"/>
    <col min="13318" max="13318" width="6.7109375" style="179" customWidth="1"/>
    <col min="13319" max="13319" width="12.7109375" style="179" customWidth="1"/>
    <col min="13320" max="13320" width="11.7109375" style="179" customWidth="1"/>
    <col min="13321" max="13321" width="10.7109375" style="179" customWidth="1"/>
    <col min="13322" max="13324" width="8.7109375" style="179" customWidth="1"/>
    <col min="13325" max="13325" width="6.7109375" style="179" customWidth="1"/>
    <col min="13326" max="13326" width="3.7109375" style="179" customWidth="1"/>
    <col min="13327" max="13568" width="9.140625" style="179"/>
    <col min="13569" max="13570" width="2.7109375" style="179" customWidth="1"/>
    <col min="13571" max="13572" width="3.7109375" style="179" customWidth="1"/>
    <col min="13573" max="13573" width="7.7109375" style="179" customWidth="1"/>
    <col min="13574" max="13574" width="6.7109375" style="179" customWidth="1"/>
    <col min="13575" max="13575" width="12.7109375" style="179" customWidth="1"/>
    <col min="13576" max="13576" width="11.7109375" style="179" customWidth="1"/>
    <col min="13577" max="13577" width="10.7109375" style="179" customWidth="1"/>
    <col min="13578" max="13580" width="8.7109375" style="179" customWidth="1"/>
    <col min="13581" max="13581" width="6.7109375" style="179" customWidth="1"/>
    <col min="13582" max="13582" width="3.7109375" style="179" customWidth="1"/>
    <col min="13583" max="13824" width="9.140625" style="179"/>
    <col min="13825" max="13826" width="2.7109375" style="179" customWidth="1"/>
    <col min="13827" max="13828" width="3.7109375" style="179" customWidth="1"/>
    <col min="13829" max="13829" width="7.7109375" style="179" customWidth="1"/>
    <col min="13830" max="13830" width="6.7109375" style="179" customWidth="1"/>
    <col min="13831" max="13831" width="12.7109375" style="179" customWidth="1"/>
    <col min="13832" max="13832" width="11.7109375" style="179" customWidth="1"/>
    <col min="13833" max="13833" width="10.7109375" style="179" customWidth="1"/>
    <col min="13834" max="13836" width="8.7109375" style="179" customWidth="1"/>
    <col min="13837" max="13837" width="6.7109375" style="179" customWidth="1"/>
    <col min="13838" max="13838" width="3.7109375" style="179" customWidth="1"/>
    <col min="13839" max="14080" width="9.140625" style="179"/>
    <col min="14081" max="14082" width="2.7109375" style="179" customWidth="1"/>
    <col min="14083" max="14084" width="3.7109375" style="179" customWidth="1"/>
    <col min="14085" max="14085" width="7.7109375" style="179" customWidth="1"/>
    <col min="14086" max="14086" width="6.7109375" style="179" customWidth="1"/>
    <col min="14087" max="14087" width="12.7109375" style="179" customWidth="1"/>
    <col min="14088" max="14088" width="11.7109375" style="179" customWidth="1"/>
    <col min="14089" max="14089" width="10.7109375" style="179" customWidth="1"/>
    <col min="14090" max="14092" width="8.7109375" style="179" customWidth="1"/>
    <col min="14093" max="14093" width="6.7109375" style="179" customWidth="1"/>
    <col min="14094" max="14094" width="3.7109375" style="179" customWidth="1"/>
    <col min="14095" max="14336" width="9.140625" style="179"/>
    <col min="14337" max="14338" width="2.7109375" style="179" customWidth="1"/>
    <col min="14339" max="14340" width="3.7109375" style="179" customWidth="1"/>
    <col min="14341" max="14341" width="7.7109375" style="179" customWidth="1"/>
    <col min="14342" max="14342" width="6.7109375" style="179" customWidth="1"/>
    <col min="14343" max="14343" width="12.7109375" style="179" customWidth="1"/>
    <col min="14344" max="14344" width="11.7109375" style="179" customWidth="1"/>
    <col min="14345" max="14345" width="10.7109375" style="179" customWidth="1"/>
    <col min="14346" max="14348" width="8.7109375" style="179" customWidth="1"/>
    <col min="14349" max="14349" width="6.7109375" style="179" customWidth="1"/>
    <col min="14350" max="14350" width="3.7109375" style="179" customWidth="1"/>
    <col min="14351" max="14592" width="9.140625" style="179"/>
    <col min="14593" max="14594" width="2.7109375" style="179" customWidth="1"/>
    <col min="14595" max="14596" width="3.7109375" style="179" customWidth="1"/>
    <col min="14597" max="14597" width="7.7109375" style="179" customWidth="1"/>
    <col min="14598" max="14598" width="6.7109375" style="179" customWidth="1"/>
    <col min="14599" max="14599" width="12.7109375" style="179" customWidth="1"/>
    <col min="14600" max="14600" width="11.7109375" style="179" customWidth="1"/>
    <col min="14601" max="14601" width="10.7109375" style="179" customWidth="1"/>
    <col min="14602" max="14604" width="8.7109375" style="179" customWidth="1"/>
    <col min="14605" max="14605" width="6.7109375" style="179" customWidth="1"/>
    <col min="14606" max="14606" width="3.7109375" style="179" customWidth="1"/>
    <col min="14607" max="14848" width="9.140625" style="179"/>
    <col min="14849" max="14850" width="2.7109375" style="179" customWidth="1"/>
    <col min="14851" max="14852" width="3.7109375" style="179" customWidth="1"/>
    <col min="14853" max="14853" width="7.7109375" style="179" customWidth="1"/>
    <col min="14854" max="14854" width="6.7109375" style="179" customWidth="1"/>
    <col min="14855" max="14855" width="12.7109375" style="179" customWidth="1"/>
    <col min="14856" max="14856" width="11.7109375" style="179" customWidth="1"/>
    <col min="14857" max="14857" width="10.7109375" style="179" customWidth="1"/>
    <col min="14858" max="14860" width="8.7109375" style="179" customWidth="1"/>
    <col min="14861" max="14861" width="6.7109375" style="179" customWidth="1"/>
    <col min="14862" max="14862" width="3.7109375" style="179" customWidth="1"/>
    <col min="14863" max="15104" width="9.140625" style="179"/>
    <col min="15105" max="15106" width="2.7109375" style="179" customWidth="1"/>
    <col min="15107" max="15108" width="3.7109375" style="179" customWidth="1"/>
    <col min="15109" max="15109" width="7.7109375" style="179" customWidth="1"/>
    <col min="15110" max="15110" width="6.7109375" style="179" customWidth="1"/>
    <col min="15111" max="15111" width="12.7109375" style="179" customWidth="1"/>
    <col min="15112" max="15112" width="11.7109375" style="179" customWidth="1"/>
    <col min="15113" max="15113" width="10.7109375" style="179" customWidth="1"/>
    <col min="15114" max="15116" width="8.7109375" style="179" customWidth="1"/>
    <col min="15117" max="15117" width="6.7109375" style="179" customWidth="1"/>
    <col min="15118" max="15118" width="3.7109375" style="179" customWidth="1"/>
    <col min="15119" max="15360" width="9.140625" style="179"/>
    <col min="15361" max="15362" width="2.7109375" style="179" customWidth="1"/>
    <col min="15363" max="15364" width="3.7109375" style="179" customWidth="1"/>
    <col min="15365" max="15365" width="7.7109375" style="179" customWidth="1"/>
    <col min="15366" max="15366" width="6.7109375" style="179" customWidth="1"/>
    <col min="15367" max="15367" width="12.7109375" style="179" customWidth="1"/>
    <col min="15368" max="15368" width="11.7109375" style="179" customWidth="1"/>
    <col min="15369" max="15369" width="10.7109375" style="179" customWidth="1"/>
    <col min="15370" max="15372" width="8.7109375" style="179" customWidth="1"/>
    <col min="15373" max="15373" width="6.7109375" style="179" customWidth="1"/>
    <col min="15374" max="15374" width="3.7109375" style="179" customWidth="1"/>
    <col min="15375" max="15616" width="9.140625" style="179"/>
    <col min="15617" max="15618" width="2.7109375" style="179" customWidth="1"/>
    <col min="15619" max="15620" width="3.7109375" style="179" customWidth="1"/>
    <col min="15621" max="15621" width="7.7109375" style="179" customWidth="1"/>
    <col min="15622" max="15622" width="6.7109375" style="179" customWidth="1"/>
    <col min="15623" max="15623" width="12.7109375" style="179" customWidth="1"/>
    <col min="15624" max="15624" width="11.7109375" style="179" customWidth="1"/>
    <col min="15625" max="15625" width="10.7109375" style="179" customWidth="1"/>
    <col min="15626" max="15628" width="8.7109375" style="179" customWidth="1"/>
    <col min="15629" max="15629" width="6.7109375" style="179" customWidth="1"/>
    <col min="15630" max="15630" width="3.7109375" style="179" customWidth="1"/>
    <col min="15631" max="15872" width="9.140625" style="179"/>
    <col min="15873" max="15874" width="2.7109375" style="179" customWidth="1"/>
    <col min="15875" max="15876" width="3.7109375" style="179" customWidth="1"/>
    <col min="15877" max="15877" width="7.7109375" style="179" customWidth="1"/>
    <col min="15878" max="15878" width="6.7109375" style="179" customWidth="1"/>
    <col min="15879" max="15879" width="12.7109375" style="179" customWidth="1"/>
    <col min="15880" max="15880" width="11.7109375" style="179" customWidth="1"/>
    <col min="15881" max="15881" width="10.7109375" style="179" customWidth="1"/>
    <col min="15882" max="15884" width="8.7109375" style="179" customWidth="1"/>
    <col min="15885" max="15885" width="6.7109375" style="179" customWidth="1"/>
    <col min="15886" max="15886" width="3.7109375" style="179" customWidth="1"/>
    <col min="15887" max="16128" width="9.140625" style="179"/>
    <col min="16129" max="16130" width="2.7109375" style="179" customWidth="1"/>
    <col min="16131" max="16132" width="3.7109375" style="179" customWidth="1"/>
    <col min="16133" max="16133" width="7.7109375" style="179" customWidth="1"/>
    <col min="16134" max="16134" width="6.7109375" style="179" customWidth="1"/>
    <col min="16135" max="16135" width="12.7109375" style="179" customWidth="1"/>
    <col min="16136" max="16136" width="11.7109375" style="179" customWidth="1"/>
    <col min="16137" max="16137" width="10.7109375" style="179" customWidth="1"/>
    <col min="16138" max="16140" width="8.7109375" style="179" customWidth="1"/>
    <col min="16141" max="16141" width="6.7109375" style="179" customWidth="1"/>
    <col min="16142" max="16142" width="3.7109375" style="179" customWidth="1"/>
    <col min="16143" max="16384" width="9.140625" style="179"/>
  </cols>
  <sheetData>
    <row r="1" spans="2:42" ht="13.5" thickBot="1">
      <c r="C1" s="133"/>
      <c r="D1" s="133"/>
      <c r="E1" s="133"/>
      <c r="F1" s="133"/>
      <c r="G1" s="133"/>
      <c r="H1" s="133"/>
      <c r="I1" s="133"/>
      <c r="J1" s="133"/>
      <c r="K1" s="133"/>
      <c r="L1" s="133"/>
      <c r="M1" s="133"/>
      <c r="N1" s="133"/>
      <c r="O1" s="133"/>
      <c r="P1" s="133"/>
      <c r="Q1" s="133"/>
      <c r="R1" s="133"/>
      <c r="S1" s="133"/>
      <c r="T1" s="133"/>
      <c r="U1" s="133"/>
      <c r="V1" s="173" t="s">
        <v>211</v>
      </c>
      <c r="W1" s="599">
        <f>General!M4+1</f>
        <v>1</v>
      </c>
      <c r="AP1" s="667" t="s">
        <v>367</v>
      </c>
    </row>
    <row r="2" spans="2:42" ht="15.75">
      <c r="C2" s="106"/>
      <c r="D2" s="107"/>
      <c r="E2" s="107"/>
      <c r="F2" s="915" t="s">
        <v>218</v>
      </c>
      <c r="G2" s="915"/>
      <c r="H2" s="915"/>
      <c r="I2" s="915"/>
      <c r="J2" s="915"/>
      <c r="K2" s="915"/>
      <c r="L2" s="915"/>
      <c r="M2" s="915"/>
      <c r="N2" s="915"/>
      <c r="O2" s="915"/>
      <c r="P2" s="915"/>
      <c r="Q2" s="915"/>
      <c r="R2" s="915"/>
      <c r="S2" s="915"/>
      <c r="T2" s="915"/>
      <c r="U2" s="918" t="s">
        <v>161</v>
      </c>
      <c r="V2" s="919"/>
      <c r="W2" s="175" t="str">
        <f>IF(ISBLANK(General!$E$6),"",General!$E$6)</f>
        <v>A</v>
      </c>
      <c r="AP2" s="667" t="s">
        <v>368</v>
      </c>
    </row>
    <row r="3" spans="2:42">
      <c r="C3" s="108"/>
      <c r="D3" s="57"/>
      <c r="E3" s="58"/>
      <c r="F3" s="916"/>
      <c r="G3" s="916"/>
      <c r="H3" s="916"/>
      <c r="I3" s="916"/>
      <c r="J3" s="916"/>
      <c r="K3" s="916"/>
      <c r="L3" s="916"/>
      <c r="M3" s="916"/>
      <c r="N3" s="916"/>
      <c r="O3" s="916"/>
      <c r="P3" s="916"/>
      <c r="Q3" s="916"/>
      <c r="R3" s="916"/>
      <c r="S3" s="916"/>
      <c r="T3" s="916"/>
      <c r="U3" s="920" t="s">
        <v>212</v>
      </c>
      <c r="V3" s="921"/>
      <c r="W3" s="176" t="str">
        <f>IF(ISBLANK(General!$E$12),"",General!$E$12)</f>
        <v>NRB</v>
      </c>
      <c r="AP3" s="667" t="s">
        <v>369</v>
      </c>
    </row>
    <row r="4" spans="2:42">
      <c r="C4" s="108"/>
      <c r="D4" s="57"/>
      <c r="E4" s="58"/>
      <c r="F4" s="916"/>
      <c r="G4" s="916"/>
      <c r="H4" s="916"/>
      <c r="I4" s="916"/>
      <c r="J4" s="916"/>
      <c r="K4" s="916"/>
      <c r="L4" s="916"/>
      <c r="M4" s="916"/>
      <c r="N4" s="916"/>
      <c r="O4" s="916"/>
      <c r="P4" s="916"/>
      <c r="Q4" s="916"/>
      <c r="R4" s="916"/>
      <c r="S4" s="916"/>
      <c r="T4" s="916"/>
      <c r="U4" s="920" t="s">
        <v>213</v>
      </c>
      <c r="V4" s="921"/>
      <c r="W4" s="177">
        <f>IF(ISBLANK(General!$E$13),"",General!$E$13)</f>
        <v>42018</v>
      </c>
    </row>
    <row r="5" spans="2:42">
      <c r="C5" s="116"/>
      <c r="D5" s="56"/>
      <c r="E5" s="56"/>
      <c r="F5" s="917"/>
      <c r="G5" s="917"/>
      <c r="H5" s="917"/>
      <c r="I5" s="917"/>
      <c r="J5" s="917"/>
      <c r="K5" s="917"/>
      <c r="L5" s="917"/>
      <c r="M5" s="917"/>
      <c r="N5" s="917"/>
      <c r="O5" s="917"/>
      <c r="P5" s="917"/>
      <c r="Q5" s="917"/>
      <c r="R5" s="917"/>
      <c r="S5" s="917"/>
      <c r="T5" s="917"/>
      <c r="U5" s="922" t="s">
        <v>214</v>
      </c>
      <c r="V5" s="923"/>
      <c r="W5" s="178" t="str">
        <f>IF(ISBLANK(General!$E$14),"",General!$E$14)</f>
        <v/>
      </c>
    </row>
    <row r="6" spans="2:42">
      <c r="C6" s="924" t="s">
        <v>165</v>
      </c>
      <c r="D6" s="925"/>
      <c r="E6" s="926"/>
      <c r="F6" s="927" t="str">
        <f>IF(ISBLANK(General!$E$8),"",General!$E$8)</f>
        <v>Flint Hills Resources</v>
      </c>
      <c r="G6" s="928"/>
      <c r="H6" s="928"/>
      <c r="I6" s="928"/>
      <c r="J6" s="929"/>
      <c r="K6" s="930" t="s">
        <v>215</v>
      </c>
      <c r="L6" s="931"/>
      <c r="M6" s="931"/>
      <c r="N6" s="931"/>
      <c r="O6" s="931"/>
      <c r="P6" s="931"/>
      <c r="Q6" s="932"/>
      <c r="R6" s="927" t="str">
        <f>IF(ISBLANK(General!$C$30),"",General!$C$30)</f>
        <v>High Pressure KO Drum</v>
      </c>
      <c r="S6" s="928"/>
      <c r="T6" s="928"/>
      <c r="U6" s="928"/>
      <c r="V6" s="928"/>
      <c r="W6" s="933"/>
    </row>
    <row r="7" spans="2:42">
      <c r="C7" s="895" t="s">
        <v>216</v>
      </c>
      <c r="D7" s="896"/>
      <c r="E7" s="897"/>
      <c r="F7" s="898" t="str">
        <f>IF(ISBLANK(General!$E$9),"",General!$E$9)</f>
        <v>EDCP</v>
      </c>
      <c r="G7" s="899"/>
      <c r="H7" s="899"/>
      <c r="I7" s="899"/>
      <c r="J7" s="900"/>
      <c r="K7" s="901" t="s">
        <v>217</v>
      </c>
      <c r="L7" s="902"/>
      <c r="M7" s="902"/>
      <c r="N7" s="902"/>
      <c r="O7" s="902"/>
      <c r="P7" s="902"/>
      <c r="Q7" s="903"/>
      <c r="R7" s="898" t="str">
        <f>IF(ISBLANK(General!$D$30),"",General!$D$30)</f>
        <v>84V-11</v>
      </c>
      <c r="S7" s="899"/>
      <c r="T7" s="899"/>
      <c r="U7" s="899"/>
      <c r="V7" s="899"/>
      <c r="W7" s="904"/>
    </row>
    <row r="8" spans="2:42">
      <c r="C8" s="905" t="s">
        <v>176</v>
      </c>
      <c r="D8" s="906"/>
      <c r="E8" s="907"/>
      <c r="F8" s="908" t="str">
        <f>IF(ISBLANK(General!$E$17),"",General!$E$17)</f>
        <v>Crude #3</v>
      </c>
      <c r="G8" s="909"/>
      <c r="H8" s="909"/>
      <c r="I8" s="909"/>
      <c r="J8" s="910"/>
      <c r="K8" s="911" t="s">
        <v>175</v>
      </c>
      <c r="L8" s="912"/>
      <c r="M8" s="912"/>
      <c r="N8" s="912"/>
      <c r="O8" s="912"/>
      <c r="P8" s="912"/>
      <c r="Q8" s="913"/>
      <c r="R8" s="908" t="str">
        <f>IF(ISBLANK(General!$E$16),"",General!$E$16)</f>
        <v>Corpus Christi, TX</v>
      </c>
      <c r="S8" s="909"/>
      <c r="T8" s="909"/>
      <c r="U8" s="909"/>
      <c r="V8" s="909"/>
      <c r="W8" s="914"/>
    </row>
    <row r="9" spans="2:42" ht="15.75">
      <c r="C9" s="881" t="s">
        <v>370</v>
      </c>
      <c r="D9" s="882"/>
      <c r="E9" s="882"/>
      <c r="F9" s="882"/>
      <c r="G9" s="882"/>
      <c r="H9" s="882"/>
      <c r="I9" s="882"/>
      <c r="J9" s="882"/>
      <c r="K9" s="882"/>
      <c r="L9" s="882"/>
      <c r="M9" s="882"/>
      <c r="N9" s="882"/>
      <c r="O9" s="882"/>
      <c r="P9" s="882"/>
      <c r="Q9" s="882"/>
      <c r="R9" s="882"/>
      <c r="S9" s="882"/>
      <c r="T9" s="882"/>
      <c r="U9" s="882"/>
      <c r="V9" s="882"/>
      <c r="W9" s="883"/>
    </row>
    <row r="10" spans="2:42" ht="12.95" customHeight="1">
      <c r="B10" s="442"/>
      <c r="C10" s="443"/>
      <c r="D10" s="444"/>
      <c r="E10" s="444"/>
      <c r="F10" s="444"/>
      <c r="G10" s="444"/>
      <c r="H10" s="444"/>
      <c r="I10" s="444"/>
      <c r="J10" s="444"/>
      <c r="K10" s="444"/>
      <c r="L10" s="444"/>
      <c r="M10" s="444"/>
      <c r="N10" s="444"/>
      <c r="O10" s="665"/>
      <c r="P10" s="665"/>
      <c r="Q10" s="665"/>
      <c r="R10" s="665"/>
      <c r="S10" s="665"/>
      <c r="T10" s="665"/>
      <c r="U10" s="665"/>
      <c r="V10" s="665"/>
      <c r="W10" s="666"/>
    </row>
    <row r="11" spans="2:42" ht="12.95" customHeight="1">
      <c r="B11" s="442"/>
      <c r="C11" s="445"/>
      <c r="D11" s="134"/>
      <c r="E11" s="134"/>
      <c r="F11" s="134"/>
      <c r="G11" s="134"/>
      <c r="H11" s="884" t="s">
        <v>371</v>
      </c>
      <c r="I11" s="884"/>
      <c r="J11" s="884"/>
      <c r="K11" s="884"/>
      <c r="L11" s="885"/>
      <c r="M11" s="885"/>
      <c r="N11" s="886" t="s">
        <v>372</v>
      </c>
      <c r="O11" s="886"/>
      <c r="P11" s="889"/>
      <c r="Q11" s="889"/>
      <c r="R11" s="889"/>
      <c r="S11" s="889"/>
      <c r="T11" s="134"/>
      <c r="U11" s="134"/>
      <c r="V11" s="134"/>
      <c r="W11" s="181"/>
    </row>
    <row r="12" spans="2:42" ht="12.95" customHeight="1">
      <c r="B12" s="442"/>
      <c r="C12" s="445"/>
      <c r="D12" s="134"/>
      <c r="E12" s="134"/>
      <c r="F12" s="134"/>
      <c r="G12" s="134"/>
      <c r="H12" s="892" t="s">
        <v>373</v>
      </c>
      <c r="I12" s="892"/>
      <c r="J12" s="892"/>
      <c r="K12" s="892"/>
      <c r="L12" s="663"/>
      <c r="M12" s="664" t="str">
        <f>IF(ISBLANK('[1]DES-1'!$D$22),"",'[1]DES-1'!$D$22)</f>
        <v>psig</v>
      </c>
      <c r="N12" s="887"/>
      <c r="O12" s="887"/>
      <c r="P12" s="890"/>
      <c r="Q12" s="890"/>
      <c r="R12" s="890"/>
      <c r="S12" s="890"/>
      <c r="T12" s="134"/>
      <c r="U12" s="134"/>
      <c r="V12" s="134"/>
      <c r="W12" s="181"/>
    </row>
    <row r="13" spans="2:42" ht="12.95" customHeight="1">
      <c r="B13" s="442"/>
      <c r="C13" s="445"/>
      <c r="D13" s="134"/>
      <c r="E13" s="134"/>
      <c r="F13" s="134"/>
      <c r="G13" s="134"/>
      <c r="H13" s="893" t="s">
        <v>178</v>
      </c>
      <c r="I13" s="893"/>
      <c r="J13" s="893"/>
      <c r="K13" s="893"/>
      <c r="L13" s="894"/>
      <c r="M13" s="894"/>
      <c r="N13" s="888"/>
      <c r="O13" s="888"/>
      <c r="P13" s="891"/>
      <c r="Q13" s="891"/>
      <c r="R13" s="891"/>
      <c r="S13" s="891"/>
      <c r="T13" s="134"/>
      <c r="U13" s="134"/>
      <c r="V13" s="134"/>
      <c r="W13" s="181"/>
    </row>
    <row r="14" spans="2:42" ht="12.95" customHeight="1">
      <c r="B14" s="442"/>
      <c r="C14" s="445"/>
      <c r="D14" s="446"/>
      <c r="E14" s="446"/>
      <c r="F14" s="447"/>
      <c r="G14" s="447"/>
      <c r="H14" s="447"/>
      <c r="I14" s="447"/>
      <c r="J14" s="447"/>
      <c r="K14" s="447"/>
      <c r="L14" s="447"/>
      <c r="M14" s="447"/>
      <c r="N14" s="448"/>
      <c r="O14" s="134"/>
      <c r="P14" s="134"/>
      <c r="Q14" s="134"/>
      <c r="R14" s="134"/>
      <c r="S14" s="134"/>
      <c r="T14" s="134"/>
      <c r="U14" s="134"/>
      <c r="V14" s="134"/>
      <c r="W14" s="181"/>
    </row>
    <row r="15" spans="2:42" ht="12.95" customHeight="1">
      <c r="B15" s="442"/>
      <c r="C15" s="445"/>
      <c r="D15" s="134"/>
      <c r="E15" s="134"/>
      <c r="F15" s="873" t="s">
        <v>374</v>
      </c>
      <c r="G15" s="874"/>
      <c r="H15" s="874"/>
      <c r="I15" s="874"/>
      <c r="J15" s="874"/>
      <c r="K15" s="874"/>
      <c r="L15" s="874"/>
      <c r="M15" s="877" t="s">
        <v>375</v>
      </c>
      <c r="N15" s="877"/>
      <c r="O15" s="877"/>
      <c r="P15" s="878" t="s">
        <v>376</v>
      </c>
      <c r="Q15" s="878"/>
      <c r="R15" s="878"/>
      <c r="S15" s="878"/>
      <c r="T15" s="878"/>
      <c r="U15" s="879"/>
      <c r="V15" s="134"/>
      <c r="W15" s="181"/>
    </row>
    <row r="16" spans="2:42" ht="12.95" customHeight="1">
      <c r="B16" s="442"/>
      <c r="C16" s="445"/>
      <c r="D16" s="134"/>
      <c r="E16" s="134"/>
      <c r="F16" s="875"/>
      <c r="G16" s="876"/>
      <c r="H16" s="876"/>
      <c r="I16" s="876"/>
      <c r="J16" s="876"/>
      <c r="K16" s="876"/>
      <c r="L16" s="876"/>
      <c r="M16" s="877"/>
      <c r="N16" s="877"/>
      <c r="O16" s="877"/>
      <c r="P16" s="874"/>
      <c r="Q16" s="874"/>
      <c r="R16" s="874"/>
      <c r="S16" s="874"/>
      <c r="T16" s="874"/>
      <c r="U16" s="880"/>
      <c r="V16" s="134"/>
      <c r="W16" s="181"/>
    </row>
    <row r="17" spans="2:23" ht="12.95" customHeight="1">
      <c r="B17" s="442"/>
      <c r="C17" s="445"/>
      <c r="D17" s="134"/>
      <c r="E17" s="134"/>
      <c r="F17" s="863" t="s">
        <v>377</v>
      </c>
      <c r="G17" s="863"/>
      <c r="H17" s="863"/>
      <c r="I17" s="863"/>
      <c r="J17" s="863"/>
      <c r="K17" s="863"/>
      <c r="L17" s="863"/>
      <c r="M17" s="864" t="s">
        <v>367</v>
      </c>
      <c r="N17" s="865"/>
      <c r="O17" s="866"/>
      <c r="P17" s="867"/>
      <c r="Q17" s="868"/>
      <c r="R17" s="868"/>
      <c r="S17" s="868"/>
      <c r="T17" s="868"/>
      <c r="U17" s="869"/>
      <c r="V17" s="134"/>
      <c r="W17" s="181"/>
    </row>
    <row r="18" spans="2:23" ht="12.95" customHeight="1">
      <c r="B18" s="442"/>
      <c r="C18" s="445"/>
      <c r="D18" s="134"/>
      <c r="E18" s="134"/>
      <c r="F18" s="863"/>
      <c r="G18" s="863"/>
      <c r="H18" s="863"/>
      <c r="I18" s="863"/>
      <c r="J18" s="863"/>
      <c r="K18" s="863"/>
      <c r="L18" s="863"/>
      <c r="M18" s="864"/>
      <c r="N18" s="865"/>
      <c r="O18" s="866"/>
      <c r="P18" s="870"/>
      <c r="Q18" s="871"/>
      <c r="R18" s="871"/>
      <c r="S18" s="871"/>
      <c r="T18" s="871"/>
      <c r="U18" s="872"/>
      <c r="V18" s="134"/>
      <c r="W18" s="181"/>
    </row>
    <row r="19" spans="2:23" ht="12.95" customHeight="1">
      <c r="B19" s="442"/>
      <c r="C19" s="445"/>
      <c r="D19" s="134"/>
      <c r="E19" s="134"/>
      <c r="F19" s="863" t="s">
        <v>378</v>
      </c>
      <c r="G19" s="863"/>
      <c r="H19" s="863"/>
      <c r="I19" s="863"/>
      <c r="J19" s="863"/>
      <c r="K19" s="863"/>
      <c r="L19" s="863"/>
      <c r="M19" s="864" t="s">
        <v>367</v>
      </c>
      <c r="N19" s="865"/>
      <c r="O19" s="866"/>
      <c r="P19" s="867"/>
      <c r="Q19" s="868"/>
      <c r="R19" s="868"/>
      <c r="S19" s="868"/>
      <c r="T19" s="868"/>
      <c r="U19" s="869"/>
      <c r="V19" s="134"/>
      <c r="W19" s="181"/>
    </row>
    <row r="20" spans="2:23" ht="12.95" customHeight="1">
      <c r="B20" s="442"/>
      <c r="C20" s="445"/>
      <c r="D20" s="134"/>
      <c r="E20" s="134"/>
      <c r="F20" s="863"/>
      <c r="G20" s="863"/>
      <c r="H20" s="863"/>
      <c r="I20" s="863"/>
      <c r="J20" s="863"/>
      <c r="K20" s="863"/>
      <c r="L20" s="863"/>
      <c r="M20" s="864"/>
      <c r="N20" s="865"/>
      <c r="O20" s="866"/>
      <c r="P20" s="870"/>
      <c r="Q20" s="871"/>
      <c r="R20" s="871"/>
      <c r="S20" s="871"/>
      <c r="T20" s="871"/>
      <c r="U20" s="872"/>
      <c r="V20" s="134"/>
      <c r="W20" s="181"/>
    </row>
    <row r="21" spans="2:23" ht="12.95" customHeight="1">
      <c r="B21" s="442"/>
      <c r="C21" s="445"/>
      <c r="D21" s="134"/>
      <c r="E21" s="134"/>
      <c r="F21" s="863" t="s">
        <v>379</v>
      </c>
      <c r="G21" s="863"/>
      <c r="H21" s="863"/>
      <c r="I21" s="863"/>
      <c r="J21" s="863"/>
      <c r="K21" s="863"/>
      <c r="L21" s="863"/>
      <c r="M21" s="864" t="s">
        <v>367</v>
      </c>
      <c r="N21" s="865"/>
      <c r="O21" s="866"/>
      <c r="P21" s="867"/>
      <c r="Q21" s="868"/>
      <c r="R21" s="868"/>
      <c r="S21" s="868"/>
      <c r="T21" s="868"/>
      <c r="U21" s="869"/>
      <c r="V21" s="134"/>
      <c r="W21" s="181"/>
    </row>
    <row r="22" spans="2:23" ht="12.95" customHeight="1">
      <c r="B22" s="442"/>
      <c r="C22" s="445"/>
      <c r="D22" s="134"/>
      <c r="E22" s="134"/>
      <c r="F22" s="863"/>
      <c r="G22" s="863"/>
      <c r="H22" s="863"/>
      <c r="I22" s="863"/>
      <c r="J22" s="863"/>
      <c r="K22" s="863"/>
      <c r="L22" s="863"/>
      <c r="M22" s="864"/>
      <c r="N22" s="865"/>
      <c r="O22" s="866"/>
      <c r="P22" s="870"/>
      <c r="Q22" s="871"/>
      <c r="R22" s="871"/>
      <c r="S22" s="871"/>
      <c r="T22" s="871"/>
      <c r="U22" s="872"/>
      <c r="V22" s="134"/>
      <c r="W22" s="181"/>
    </row>
    <row r="23" spans="2:23" ht="12.95" customHeight="1">
      <c r="B23" s="442"/>
      <c r="C23" s="445"/>
      <c r="D23" s="134"/>
      <c r="E23" s="134"/>
      <c r="F23" s="863" t="s">
        <v>380</v>
      </c>
      <c r="G23" s="863"/>
      <c r="H23" s="863"/>
      <c r="I23" s="863"/>
      <c r="J23" s="863"/>
      <c r="K23" s="863"/>
      <c r="L23" s="863"/>
      <c r="M23" s="864" t="s">
        <v>367</v>
      </c>
      <c r="N23" s="865"/>
      <c r="O23" s="866"/>
      <c r="P23" s="867"/>
      <c r="Q23" s="868"/>
      <c r="R23" s="868"/>
      <c r="S23" s="868"/>
      <c r="T23" s="868"/>
      <c r="U23" s="869"/>
      <c r="V23" s="134"/>
      <c r="W23" s="181"/>
    </row>
    <row r="24" spans="2:23" ht="12.95" customHeight="1">
      <c r="B24" s="442"/>
      <c r="C24" s="445"/>
      <c r="D24" s="134"/>
      <c r="E24" s="134"/>
      <c r="F24" s="863"/>
      <c r="G24" s="863"/>
      <c r="H24" s="863"/>
      <c r="I24" s="863"/>
      <c r="J24" s="863"/>
      <c r="K24" s="863"/>
      <c r="L24" s="863"/>
      <c r="M24" s="864"/>
      <c r="N24" s="865"/>
      <c r="O24" s="866"/>
      <c r="P24" s="870"/>
      <c r="Q24" s="871"/>
      <c r="R24" s="871"/>
      <c r="S24" s="871"/>
      <c r="T24" s="871"/>
      <c r="U24" s="872"/>
      <c r="V24" s="134"/>
      <c r="W24" s="181"/>
    </row>
    <row r="25" spans="2:23" ht="12.95" customHeight="1">
      <c r="B25" s="442"/>
      <c r="C25" s="445"/>
      <c r="D25" s="134"/>
      <c r="E25" s="134"/>
      <c r="F25" s="863" t="s">
        <v>381</v>
      </c>
      <c r="G25" s="863"/>
      <c r="H25" s="863"/>
      <c r="I25" s="863"/>
      <c r="J25" s="863"/>
      <c r="K25" s="863"/>
      <c r="L25" s="863"/>
      <c r="M25" s="864" t="s">
        <v>367</v>
      </c>
      <c r="N25" s="865"/>
      <c r="O25" s="866"/>
      <c r="P25" s="867"/>
      <c r="Q25" s="868"/>
      <c r="R25" s="868"/>
      <c r="S25" s="868"/>
      <c r="T25" s="868"/>
      <c r="U25" s="869"/>
      <c r="V25" s="134"/>
      <c r="W25" s="181"/>
    </row>
    <row r="26" spans="2:23" ht="12.95" customHeight="1">
      <c r="B26" s="442"/>
      <c r="C26" s="445"/>
      <c r="D26" s="134"/>
      <c r="E26" s="134"/>
      <c r="F26" s="863"/>
      <c r="G26" s="863"/>
      <c r="H26" s="863"/>
      <c r="I26" s="863"/>
      <c r="J26" s="863"/>
      <c r="K26" s="863"/>
      <c r="L26" s="863"/>
      <c r="M26" s="864"/>
      <c r="N26" s="865"/>
      <c r="O26" s="866"/>
      <c r="P26" s="870"/>
      <c r="Q26" s="871"/>
      <c r="R26" s="871"/>
      <c r="S26" s="871"/>
      <c r="T26" s="871"/>
      <c r="U26" s="872"/>
      <c r="V26" s="134"/>
      <c r="W26" s="181"/>
    </row>
    <row r="27" spans="2:23" ht="12.95" customHeight="1">
      <c r="B27" s="442"/>
      <c r="C27" s="445"/>
      <c r="D27" s="134"/>
      <c r="E27" s="134"/>
      <c r="F27" s="863" t="s">
        <v>382</v>
      </c>
      <c r="G27" s="863"/>
      <c r="H27" s="863"/>
      <c r="I27" s="863"/>
      <c r="J27" s="863"/>
      <c r="K27" s="863"/>
      <c r="L27" s="863"/>
      <c r="M27" s="864" t="s">
        <v>367</v>
      </c>
      <c r="N27" s="865"/>
      <c r="O27" s="866"/>
      <c r="P27" s="867"/>
      <c r="Q27" s="868"/>
      <c r="R27" s="868"/>
      <c r="S27" s="868"/>
      <c r="T27" s="868"/>
      <c r="U27" s="869"/>
      <c r="V27" s="134"/>
      <c r="W27" s="181"/>
    </row>
    <row r="28" spans="2:23" ht="12.95" customHeight="1">
      <c r="B28" s="442"/>
      <c r="C28" s="445"/>
      <c r="D28" s="134"/>
      <c r="E28" s="134"/>
      <c r="F28" s="863"/>
      <c r="G28" s="863"/>
      <c r="H28" s="863"/>
      <c r="I28" s="863"/>
      <c r="J28" s="863"/>
      <c r="K28" s="863"/>
      <c r="L28" s="863"/>
      <c r="M28" s="864"/>
      <c r="N28" s="865"/>
      <c r="O28" s="866"/>
      <c r="P28" s="870"/>
      <c r="Q28" s="871"/>
      <c r="R28" s="871"/>
      <c r="S28" s="871"/>
      <c r="T28" s="871"/>
      <c r="U28" s="872"/>
      <c r="V28" s="134"/>
      <c r="W28" s="181"/>
    </row>
    <row r="29" spans="2:23" ht="12.95" customHeight="1">
      <c r="B29" s="442"/>
      <c r="C29" s="445"/>
      <c r="D29" s="134"/>
      <c r="E29" s="134"/>
      <c r="F29" s="863" t="s">
        <v>383</v>
      </c>
      <c r="G29" s="863"/>
      <c r="H29" s="863"/>
      <c r="I29" s="863"/>
      <c r="J29" s="863"/>
      <c r="K29" s="863"/>
      <c r="L29" s="863"/>
      <c r="M29" s="864" t="s">
        <v>367</v>
      </c>
      <c r="N29" s="865"/>
      <c r="O29" s="866"/>
      <c r="P29" s="867"/>
      <c r="Q29" s="868"/>
      <c r="R29" s="868"/>
      <c r="S29" s="868"/>
      <c r="T29" s="868"/>
      <c r="U29" s="869"/>
      <c r="V29" s="134"/>
      <c r="W29" s="181"/>
    </row>
    <row r="30" spans="2:23" ht="12.95" customHeight="1">
      <c r="B30" s="442"/>
      <c r="C30" s="445"/>
      <c r="D30" s="134"/>
      <c r="E30" s="134"/>
      <c r="F30" s="863"/>
      <c r="G30" s="863"/>
      <c r="H30" s="863"/>
      <c r="I30" s="863"/>
      <c r="J30" s="863"/>
      <c r="K30" s="863"/>
      <c r="L30" s="863"/>
      <c r="M30" s="864"/>
      <c r="N30" s="865"/>
      <c r="O30" s="866"/>
      <c r="P30" s="870"/>
      <c r="Q30" s="871"/>
      <c r="R30" s="871"/>
      <c r="S30" s="871"/>
      <c r="T30" s="871"/>
      <c r="U30" s="872"/>
      <c r="V30" s="134"/>
      <c r="W30" s="181"/>
    </row>
    <row r="31" spans="2:23" ht="12.95" customHeight="1">
      <c r="B31" s="442"/>
      <c r="C31" s="445"/>
      <c r="D31" s="134"/>
      <c r="E31" s="134"/>
      <c r="F31" s="863" t="s">
        <v>384</v>
      </c>
      <c r="G31" s="863"/>
      <c r="H31" s="863"/>
      <c r="I31" s="863"/>
      <c r="J31" s="863"/>
      <c r="K31" s="863"/>
      <c r="L31" s="863"/>
      <c r="M31" s="864" t="s">
        <v>367</v>
      </c>
      <c r="N31" s="865"/>
      <c r="O31" s="866"/>
      <c r="P31" s="867"/>
      <c r="Q31" s="868"/>
      <c r="R31" s="868"/>
      <c r="S31" s="868"/>
      <c r="T31" s="868"/>
      <c r="U31" s="869"/>
      <c r="V31" s="134"/>
      <c r="W31" s="181"/>
    </row>
    <row r="32" spans="2:23" ht="12.95" customHeight="1">
      <c r="B32" s="442"/>
      <c r="C32" s="445"/>
      <c r="D32" s="134"/>
      <c r="E32" s="134"/>
      <c r="F32" s="863"/>
      <c r="G32" s="863"/>
      <c r="H32" s="863"/>
      <c r="I32" s="863"/>
      <c r="J32" s="863"/>
      <c r="K32" s="863"/>
      <c r="L32" s="863"/>
      <c r="M32" s="864"/>
      <c r="N32" s="865"/>
      <c r="O32" s="866"/>
      <c r="P32" s="870"/>
      <c r="Q32" s="871"/>
      <c r="R32" s="871"/>
      <c r="S32" s="871"/>
      <c r="T32" s="871"/>
      <c r="U32" s="872"/>
      <c r="V32" s="134"/>
      <c r="W32" s="181"/>
    </row>
    <row r="33" spans="2:23" ht="12.95" customHeight="1">
      <c r="B33" s="442"/>
      <c r="C33" s="445"/>
      <c r="D33" s="134"/>
      <c r="E33" s="134"/>
      <c r="F33" s="863" t="s">
        <v>385</v>
      </c>
      <c r="G33" s="863"/>
      <c r="H33" s="863"/>
      <c r="I33" s="863"/>
      <c r="J33" s="863"/>
      <c r="K33" s="863"/>
      <c r="L33" s="863"/>
      <c r="M33" s="864" t="s">
        <v>367</v>
      </c>
      <c r="N33" s="865"/>
      <c r="O33" s="866"/>
      <c r="P33" s="867"/>
      <c r="Q33" s="868"/>
      <c r="R33" s="868"/>
      <c r="S33" s="868"/>
      <c r="T33" s="868"/>
      <c r="U33" s="869"/>
      <c r="V33" s="134"/>
      <c r="W33" s="181"/>
    </row>
    <row r="34" spans="2:23" ht="12.95" customHeight="1">
      <c r="B34" s="442"/>
      <c r="C34" s="445"/>
      <c r="D34" s="134"/>
      <c r="E34" s="134"/>
      <c r="F34" s="863"/>
      <c r="G34" s="863"/>
      <c r="H34" s="863"/>
      <c r="I34" s="863"/>
      <c r="J34" s="863"/>
      <c r="K34" s="863"/>
      <c r="L34" s="863"/>
      <c r="M34" s="864"/>
      <c r="N34" s="865"/>
      <c r="O34" s="866"/>
      <c r="P34" s="870"/>
      <c r="Q34" s="871"/>
      <c r="R34" s="871"/>
      <c r="S34" s="871"/>
      <c r="T34" s="871"/>
      <c r="U34" s="872"/>
      <c r="V34" s="134"/>
      <c r="W34" s="181"/>
    </row>
    <row r="35" spans="2:23" ht="12.95" customHeight="1">
      <c r="B35" s="442"/>
      <c r="C35" s="445"/>
      <c r="D35" s="134"/>
      <c r="E35" s="134"/>
      <c r="F35" s="863" t="s">
        <v>386</v>
      </c>
      <c r="G35" s="863"/>
      <c r="H35" s="863"/>
      <c r="I35" s="863"/>
      <c r="J35" s="863"/>
      <c r="K35" s="863"/>
      <c r="L35" s="863"/>
      <c r="M35" s="864" t="s">
        <v>367</v>
      </c>
      <c r="N35" s="865"/>
      <c r="O35" s="866"/>
      <c r="P35" s="867"/>
      <c r="Q35" s="868"/>
      <c r="R35" s="868"/>
      <c r="S35" s="868"/>
      <c r="T35" s="868"/>
      <c r="U35" s="869"/>
      <c r="V35" s="134"/>
      <c r="W35" s="181"/>
    </row>
    <row r="36" spans="2:23" ht="12.95" customHeight="1">
      <c r="B36" s="442"/>
      <c r="C36" s="445"/>
      <c r="D36" s="134"/>
      <c r="E36" s="134"/>
      <c r="F36" s="863"/>
      <c r="G36" s="863"/>
      <c r="H36" s="863"/>
      <c r="I36" s="863"/>
      <c r="J36" s="863"/>
      <c r="K36" s="863"/>
      <c r="L36" s="863"/>
      <c r="M36" s="864"/>
      <c r="N36" s="865"/>
      <c r="O36" s="866"/>
      <c r="P36" s="870"/>
      <c r="Q36" s="871"/>
      <c r="R36" s="871"/>
      <c r="S36" s="871"/>
      <c r="T36" s="871"/>
      <c r="U36" s="872"/>
      <c r="V36" s="134"/>
      <c r="W36" s="181"/>
    </row>
    <row r="37" spans="2:23" ht="12.95" customHeight="1">
      <c r="B37" s="442"/>
      <c r="C37" s="445"/>
      <c r="D37" s="134"/>
      <c r="E37" s="134"/>
      <c r="F37" s="863" t="s">
        <v>387</v>
      </c>
      <c r="G37" s="863"/>
      <c r="H37" s="863"/>
      <c r="I37" s="863"/>
      <c r="J37" s="863"/>
      <c r="K37" s="863"/>
      <c r="L37" s="863"/>
      <c r="M37" s="864" t="s">
        <v>367</v>
      </c>
      <c r="N37" s="865"/>
      <c r="O37" s="866"/>
      <c r="P37" s="867"/>
      <c r="Q37" s="868"/>
      <c r="R37" s="868"/>
      <c r="S37" s="868"/>
      <c r="T37" s="868"/>
      <c r="U37" s="869"/>
      <c r="V37" s="134"/>
      <c r="W37" s="181"/>
    </row>
    <row r="38" spans="2:23" ht="12.95" customHeight="1">
      <c r="B38" s="442"/>
      <c r="C38" s="445"/>
      <c r="D38" s="134"/>
      <c r="E38" s="134"/>
      <c r="F38" s="863"/>
      <c r="G38" s="863"/>
      <c r="H38" s="863"/>
      <c r="I38" s="863"/>
      <c r="J38" s="863"/>
      <c r="K38" s="863"/>
      <c r="L38" s="863"/>
      <c r="M38" s="864"/>
      <c r="N38" s="865"/>
      <c r="O38" s="866"/>
      <c r="P38" s="870"/>
      <c r="Q38" s="871"/>
      <c r="R38" s="871"/>
      <c r="S38" s="871"/>
      <c r="T38" s="871"/>
      <c r="U38" s="872"/>
      <c r="V38" s="134"/>
      <c r="W38" s="181"/>
    </row>
    <row r="39" spans="2:23" ht="12.95" customHeight="1">
      <c r="B39" s="442"/>
      <c r="C39" s="445"/>
      <c r="D39" s="134"/>
      <c r="E39" s="134"/>
      <c r="F39" s="863" t="s">
        <v>388</v>
      </c>
      <c r="G39" s="863"/>
      <c r="H39" s="863"/>
      <c r="I39" s="863"/>
      <c r="J39" s="863"/>
      <c r="K39" s="863"/>
      <c r="L39" s="863"/>
      <c r="M39" s="864" t="s">
        <v>367</v>
      </c>
      <c r="N39" s="865"/>
      <c r="O39" s="866"/>
      <c r="P39" s="867"/>
      <c r="Q39" s="868"/>
      <c r="R39" s="868"/>
      <c r="S39" s="868"/>
      <c r="T39" s="868"/>
      <c r="U39" s="869"/>
      <c r="V39" s="134"/>
      <c r="W39" s="181"/>
    </row>
    <row r="40" spans="2:23" ht="12.95" customHeight="1">
      <c r="B40" s="442"/>
      <c r="C40" s="445"/>
      <c r="D40" s="134"/>
      <c r="E40" s="134"/>
      <c r="F40" s="863"/>
      <c r="G40" s="863"/>
      <c r="H40" s="863"/>
      <c r="I40" s="863"/>
      <c r="J40" s="863"/>
      <c r="K40" s="863"/>
      <c r="L40" s="863"/>
      <c r="M40" s="864"/>
      <c r="N40" s="865"/>
      <c r="O40" s="866"/>
      <c r="P40" s="870"/>
      <c r="Q40" s="871"/>
      <c r="R40" s="871"/>
      <c r="S40" s="871"/>
      <c r="T40" s="871"/>
      <c r="U40" s="872"/>
      <c r="V40" s="134"/>
      <c r="W40" s="181"/>
    </row>
    <row r="41" spans="2:23" ht="12.95" customHeight="1">
      <c r="B41" s="442"/>
      <c r="C41" s="445"/>
      <c r="D41" s="134"/>
      <c r="E41" s="134"/>
      <c r="F41" s="863" t="s">
        <v>389</v>
      </c>
      <c r="G41" s="863"/>
      <c r="H41" s="863"/>
      <c r="I41" s="863"/>
      <c r="J41" s="863"/>
      <c r="K41" s="863"/>
      <c r="L41" s="863"/>
      <c r="M41" s="864" t="s">
        <v>367</v>
      </c>
      <c r="N41" s="865"/>
      <c r="O41" s="866"/>
      <c r="P41" s="867"/>
      <c r="Q41" s="868"/>
      <c r="R41" s="868"/>
      <c r="S41" s="868"/>
      <c r="T41" s="868"/>
      <c r="U41" s="869"/>
      <c r="V41" s="134"/>
      <c r="W41" s="181"/>
    </row>
    <row r="42" spans="2:23" ht="12.95" customHeight="1">
      <c r="B42" s="442"/>
      <c r="C42" s="445"/>
      <c r="D42" s="134"/>
      <c r="E42" s="134"/>
      <c r="F42" s="863"/>
      <c r="G42" s="863"/>
      <c r="H42" s="863"/>
      <c r="I42" s="863"/>
      <c r="J42" s="863"/>
      <c r="K42" s="863"/>
      <c r="L42" s="863"/>
      <c r="M42" s="864"/>
      <c r="N42" s="865"/>
      <c r="O42" s="866"/>
      <c r="P42" s="870"/>
      <c r="Q42" s="871"/>
      <c r="R42" s="871"/>
      <c r="S42" s="871"/>
      <c r="T42" s="871"/>
      <c r="U42" s="872"/>
      <c r="V42" s="134"/>
      <c r="W42" s="181"/>
    </row>
    <row r="43" spans="2:23" ht="12.95" customHeight="1">
      <c r="B43" s="442"/>
      <c r="C43" s="445"/>
      <c r="D43" s="134"/>
      <c r="E43" s="134"/>
      <c r="F43" s="863" t="s">
        <v>390</v>
      </c>
      <c r="G43" s="863"/>
      <c r="H43" s="863"/>
      <c r="I43" s="863"/>
      <c r="J43" s="863"/>
      <c r="K43" s="863"/>
      <c r="L43" s="863"/>
      <c r="M43" s="864" t="s">
        <v>367</v>
      </c>
      <c r="N43" s="865"/>
      <c r="O43" s="866"/>
      <c r="P43" s="867"/>
      <c r="Q43" s="868"/>
      <c r="R43" s="868"/>
      <c r="S43" s="868"/>
      <c r="T43" s="868"/>
      <c r="U43" s="869"/>
      <c r="V43" s="134"/>
      <c r="W43" s="181"/>
    </row>
    <row r="44" spans="2:23" ht="12.95" customHeight="1">
      <c r="B44" s="442"/>
      <c r="C44" s="445"/>
      <c r="D44" s="134"/>
      <c r="E44" s="134"/>
      <c r="F44" s="863"/>
      <c r="G44" s="863"/>
      <c r="H44" s="863"/>
      <c r="I44" s="863"/>
      <c r="J44" s="863"/>
      <c r="K44" s="863"/>
      <c r="L44" s="863"/>
      <c r="M44" s="864"/>
      <c r="N44" s="865"/>
      <c r="O44" s="866"/>
      <c r="P44" s="870"/>
      <c r="Q44" s="871"/>
      <c r="R44" s="871"/>
      <c r="S44" s="871"/>
      <c r="T44" s="871"/>
      <c r="U44" s="872"/>
      <c r="V44" s="134"/>
      <c r="W44" s="181"/>
    </row>
    <row r="45" spans="2:23" ht="12.95" customHeight="1">
      <c r="B45" s="442"/>
      <c r="C45" s="445"/>
      <c r="D45" s="134"/>
      <c r="E45" s="134"/>
      <c r="F45" s="863" t="s">
        <v>391</v>
      </c>
      <c r="G45" s="863"/>
      <c r="H45" s="863"/>
      <c r="I45" s="863"/>
      <c r="J45" s="863"/>
      <c r="K45" s="863"/>
      <c r="L45" s="863"/>
      <c r="M45" s="864" t="s">
        <v>367</v>
      </c>
      <c r="N45" s="865"/>
      <c r="O45" s="866"/>
      <c r="P45" s="867"/>
      <c r="Q45" s="868"/>
      <c r="R45" s="868"/>
      <c r="S45" s="868"/>
      <c r="T45" s="868"/>
      <c r="U45" s="869"/>
      <c r="V45" s="134"/>
      <c r="W45" s="181"/>
    </row>
    <row r="46" spans="2:23" ht="12.95" customHeight="1">
      <c r="B46" s="442"/>
      <c r="C46" s="445"/>
      <c r="D46" s="134"/>
      <c r="E46" s="134"/>
      <c r="F46" s="863"/>
      <c r="G46" s="863"/>
      <c r="H46" s="863"/>
      <c r="I46" s="863"/>
      <c r="J46" s="863"/>
      <c r="K46" s="863"/>
      <c r="L46" s="863"/>
      <c r="M46" s="864"/>
      <c r="N46" s="865"/>
      <c r="O46" s="866"/>
      <c r="P46" s="870"/>
      <c r="Q46" s="871"/>
      <c r="R46" s="871"/>
      <c r="S46" s="871"/>
      <c r="T46" s="871"/>
      <c r="U46" s="872"/>
      <c r="V46" s="134"/>
      <c r="W46" s="181"/>
    </row>
    <row r="47" spans="2:23" ht="12.95" customHeight="1">
      <c r="B47" s="442"/>
      <c r="C47" s="445"/>
      <c r="D47" s="134"/>
      <c r="E47" s="134"/>
      <c r="F47" s="863" t="s">
        <v>392</v>
      </c>
      <c r="G47" s="863"/>
      <c r="H47" s="863"/>
      <c r="I47" s="863"/>
      <c r="J47" s="863"/>
      <c r="K47" s="863"/>
      <c r="L47" s="863"/>
      <c r="M47" s="864" t="s">
        <v>367</v>
      </c>
      <c r="N47" s="865"/>
      <c r="O47" s="866"/>
      <c r="P47" s="867"/>
      <c r="Q47" s="868"/>
      <c r="R47" s="868"/>
      <c r="S47" s="868"/>
      <c r="T47" s="868"/>
      <c r="U47" s="869"/>
      <c r="V47" s="134"/>
      <c r="W47" s="181"/>
    </row>
    <row r="48" spans="2:23" ht="12.95" customHeight="1">
      <c r="B48" s="442"/>
      <c r="C48" s="445"/>
      <c r="D48" s="134"/>
      <c r="E48" s="134"/>
      <c r="F48" s="863"/>
      <c r="G48" s="863"/>
      <c r="H48" s="863"/>
      <c r="I48" s="863"/>
      <c r="J48" s="863"/>
      <c r="K48" s="863"/>
      <c r="L48" s="863"/>
      <c r="M48" s="864"/>
      <c r="N48" s="865"/>
      <c r="O48" s="866"/>
      <c r="P48" s="870"/>
      <c r="Q48" s="871"/>
      <c r="R48" s="871"/>
      <c r="S48" s="871"/>
      <c r="T48" s="871"/>
      <c r="U48" s="872"/>
      <c r="V48" s="134"/>
      <c r="W48" s="181"/>
    </row>
    <row r="49" spans="2:23" ht="12.95" customHeight="1">
      <c r="B49" s="442"/>
      <c r="C49" s="445"/>
      <c r="D49" s="134"/>
      <c r="E49" s="134"/>
      <c r="F49" s="863" t="s">
        <v>393</v>
      </c>
      <c r="G49" s="863"/>
      <c r="H49" s="863"/>
      <c r="I49" s="863"/>
      <c r="J49" s="863"/>
      <c r="K49" s="863"/>
      <c r="L49" s="863"/>
      <c r="M49" s="864" t="s">
        <v>367</v>
      </c>
      <c r="N49" s="865"/>
      <c r="O49" s="866"/>
      <c r="P49" s="867"/>
      <c r="Q49" s="868"/>
      <c r="R49" s="868"/>
      <c r="S49" s="868"/>
      <c r="T49" s="868"/>
      <c r="U49" s="869"/>
      <c r="V49" s="134"/>
      <c r="W49" s="181"/>
    </row>
    <row r="50" spans="2:23" ht="12.95" customHeight="1">
      <c r="B50" s="442"/>
      <c r="C50" s="445"/>
      <c r="D50" s="134"/>
      <c r="E50" s="134"/>
      <c r="F50" s="863"/>
      <c r="G50" s="863"/>
      <c r="H50" s="863"/>
      <c r="I50" s="863"/>
      <c r="J50" s="863"/>
      <c r="K50" s="863"/>
      <c r="L50" s="863"/>
      <c r="M50" s="864"/>
      <c r="N50" s="865"/>
      <c r="O50" s="866"/>
      <c r="P50" s="870"/>
      <c r="Q50" s="871"/>
      <c r="R50" s="871"/>
      <c r="S50" s="871"/>
      <c r="T50" s="871"/>
      <c r="U50" s="872"/>
      <c r="V50" s="134"/>
      <c r="W50" s="181"/>
    </row>
    <row r="51" spans="2:23" ht="12.95" customHeight="1">
      <c r="B51" s="442"/>
      <c r="C51" s="445"/>
      <c r="D51" s="134"/>
      <c r="E51" s="134"/>
      <c r="F51" s="863" t="s">
        <v>394</v>
      </c>
      <c r="G51" s="863"/>
      <c r="H51" s="863"/>
      <c r="I51" s="863"/>
      <c r="J51" s="863"/>
      <c r="K51" s="863"/>
      <c r="L51" s="863"/>
      <c r="M51" s="864" t="s">
        <v>367</v>
      </c>
      <c r="N51" s="865"/>
      <c r="O51" s="866"/>
      <c r="P51" s="867"/>
      <c r="Q51" s="868"/>
      <c r="R51" s="868"/>
      <c r="S51" s="868"/>
      <c r="T51" s="868"/>
      <c r="U51" s="869"/>
      <c r="V51" s="134"/>
      <c r="W51" s="181"/>
    </row>
    <row r="52" spans="2:23" ht="12.95" customHeight="1">
      <c r="B52" s="442"/>
      <c r="C52" s="445"/>
      <c r="D52" s="134"/>
      <c r="E52" s="134"/>
      <c r="F52" s="863"/>
      <c r="G52" s="863"/>
      <c r="H52" s="863"/>
      <c r="I52" s="863"/>
      <c r="J52" s="863"/>
      <c r="K52" s="863"/>
      <c r="L52" s="863"/>
      <c r="M52" s="864"/>
      <c r="N52" s="865"/>
      <c r="O52" s="866"/>
      <c r="P52" s="870"/>
      <c r="Q52" s="871"/>
      <c r="R52" s="871"/>
      <c r="S52" s="871"/>
      <c r="T52" s="871"/>
      <c r="U52" s="872"/>
      <c r="V52" s="134"/>
      <c r="W52" s="181"/>
    </row>
    <row r="53" spans="2:23" ht="12.95" customHeight="1">
      <c r="B53" s="442"/>
      <c r="C53" s="445"/>
      <c r="D53" s="134"/>
      <c r="E53" s="134"/>
      <c r="F53" s="863" t="s">
        <v>395</v>
      </c>
      <c r="G53" s="863"/>
      <c r="H53" s="863"/>
      <c r="I53" s="863"/>
      <c r="J53" s="863"/>
      <c r="K53" s="863"/>
      <c r="L53" s="863"/>
      <c r="M53" s="864" t="s">
        <v>367</v>
      </c>
      <c r="N53" s="865"/>
      <c r="O53" s="866"/>
      <c r="P53" s="867"/>
      <c r="Q53" s="868"/>
      <c r="R53" s="868"/>
      <c r="S53" s="868"/>
      <c r="T53" s="868"/>
      <c r="U53" s="869"/>
      <c r="V53" s="134"/>
      <c r="W53" s="181"/>
    </row>
    <row r="54" spans="2:23" ht="12.95" customHeight="1">
      <c r="B54" s="442"/>
      <c r="C54" s="445"/>
      <c r="D54" s="134"/>
      <c r="E54" s="134"/>
      <c r="F54" s="863"/>
      <c r="G54" s="863"/>
      <c r="H54" s="863"/>
      <c r="I54" s="863"/>
      <c r="J54" s="863"/>
      <c r="K54" s="863"/>
      <c r="L54" s="863"/>
      <c r="M54" s="864"/>
      <c r="N54" s="865"/>
      <c r="O54" s="866"/>
      <c r="P54" s="870"/>
      <c r="Q54" s="871"/>
      <c r="R54" s="871"/>
      <c r="S54" s="871"/>
      <c r="T54" s="871"/>
      <c r="U54" s="872"/>
      <c r="V54" s="134"/>
      <c r="W54" s="181"/>
    </row>
    <row r="55" spans="2:23" ht="12.95" customHeight="1">
      <c r="B55" s="442"/>
      <c r="C55" s="445"/>
      <c r="D55" s="134"/>
      <c r="E55" s="449"/>
      <c r="F55" s="449"/>
      <c r="G55" s="449"/>
      <c r="H55" s="450"/>
      <c r="I55" s="451"/>
      <c r="J55" s="451"/>
      <c r="K55" s="451"/>
      <c r="L55" s="451"/>
      <c r="M55" s="451"/>
      <c r="N55" s="452"/>
      <c r="O55" s="134"/>
      <c r="P55" s="134"/>
      <c r="Q55" s="134"/>
      <c r="R55" s="134"/>
      <c r="S55" s="134"/>
      <c r="T55" s="134"/>
      <c r="U55" s="134"/>
      <c r="V55" s="134"/>
      <c r="W55" s="181"/>
    </row>
    <row r="56" spans="2:23" ht="12.95" customHeight="1">
      <c r="B56" s="442"/>
      <c r="C56" s="854" t="s">
        <v>396</v>
      </c>
      <c r="D56" s="855"/>
      <c r="E56" s="855"/>
      <c r="F56" s="855"/>
      <c r="G56" s="855"/>
      <c r="H56" s="855"/>
      <c r="I56" s="855"/>
      <c r="J56" s="855"/>
      <c r="K56" s="855"/>
      <c r="L56" s="855"/>
      <c r="M56" s="855"/>
      <c r="N56" s="855"/>
      <c r="O56" s="855"/>
      <c r="P56" s="855"/>
      <c r="Q56" s="855"/>
      <c r="R56" s="855"/>
      <c r="S56" s="855"/>
      <c r="T56" s="855"/>
      <c r="U56" s="855"/>
      <c r="V56" s="855"/>
      <c r="W56" s="856"/>
    </row>
    <row r="57" spans="2:23" ht="12.95" customHeight="1">
      <c r="B57" s="442"/>
      <c r="C57" s="857">
        <v>1</v>
      </c>
      <c r="D57" s="858"/>
      <c r="E57" s="858"/>
      <c r="F57" s="858"/>
      <c r="G57" s="858"/>
      <c r="H57" s="858"/>
      <c r="I57" s="858"/>
      <c r="J57" s="858"/>
      <c r="K57" s="858"/>
      <c r="L57" s="858"/>
      <c r="M57" s="858"/>
      <c r="N57" s="858"/>
      <c r="O57" s="858"/>
      <c r="P57" s="858"/>
      <c r="Q57" s="858"/>
      <c r="R57" s="858"/>
      <c r="S57" s="858"/>
      <c r="T57" s="858"/>
      <c r="U57" s="858"/>
      <c r="V57" s="858"/>
      <c r="W57" s="859"/>
    </row>
    <row r="58" spans="2:23" ht="12.95" customHeight="1">
      <c r="B58" s="442"/>
      <c r="C58" s="860"/>
      <c r="D58" s="861"/>
      <c r="E58" s="861"/>
      <c r="F58" s="861"/>
      <c r="G58" s="861"/>
      <c r="H58" s="861"/>
      <c r="I58" s="861"/>
      <c r="J58" s="861"/>
      <c r="K58" s="861"/>
      <c r="L58" s="861"/>
      <c r="M58" s="861"/>
      <c r="N58" s="861"/>
      <c r="O58" s="861"/>
      <c r="P58" s="861"/>
      <c r="Q58" s="861"/>
      <c r="R58" s="861"/>
      <c r="S58" s="861"/>
      <c r="T58" s="861"/>
      <c r="U58" s="861"/>
      <c r="V58" s="861"/>
      <c r="W58" s="862"/>
    </row>
    <row r="59" spans="2:23" ht="12.95" customHeight="1">
      <c r="B59" s="442"/>
      <c r="C59" s="860"/>
      <c r="D59" s="861"/>
      <c r="E59" s="861"/>
      <c r="F59" s="861"/>
      <c r="G59" s="861"/>
      <c r="H59" s="861"/>
      <c r="I59" s="861"/>
      <c r="J59" s="861"/>
      <c r="K59" s="861"/>
      <c r="L59" s="861"/>
      <c r="M59" s="861"/>
      <c r="N59" s="861"/>
      <c r="O59" s="861"/>
      <c r="P59" s="861"/>
      <c r="Q59" s="861"/>
      <c r="R59" s="861"/>
      <c r="S59" s="861"/>
      <c r="T59" s="861"/>
      <c r="U59" s="861"/>
      <c r="V59" s="861"/>
      <c r="W59" s="862"/>
    </row>
    <row r="60" spans="2:23" ht="12.95" customHeight="1">
      <c r="B60" s="442"/>
      <c r="C60" s="860"/>
      <c r="D60" s="861"/>
      <c r="E60" s="861"/>
      <c r="F60" s="861"/>
      <c r="G60" s="861"/>
      <c r="H60" s="861"/>
      <c r="I60" s="861"/>
      <c r="J60" s="861"/>
      <c r="K60" s="861"/>
      <c r="L60" s="861"/>
      <c r="M60" s="861"/>
      <c r="N60" s="861"/>
      <c r="O60" s="861"/>
      <c r="P60" s="861"/>
      <c r="Q60" s="861"/>
      <c r="R60" s="861"/>
      <c r="S60" s="861"/>
      <c r="T60" s="861"/>
      <c r="U60" s="861"/>
      <c r="V60" s="861"/>
      <c r="W60" s="862"/>
    </row>
    <row r="61" spans="2:23">
      <c r="C61" s="848"/>
      <c r="D61" s="849"/>
      <c r="E61" s="849"/>
      <c r="F61" s="849"/>
      <c r="G61" s="849"/>
      <c r="H61" s="849"/>
      <c r="I61" s="849"/>
      <c r="J61" s="849"/>
      <c r="K61" s="849"/>
      <c r="L61" s="849"/>
      <c r="M61" s="849"/>
      <c r="N61" s="849"/>
      <c r="O61" s="849"/>
      <c r="P61" s="849"/>
      <c r="Q61" s="849"/>
      <c r="R61" s="849"/>
      <c r="S61" s="849"/>
      <c r="T61" s="849"/>
      <c r="U61" s="849"/>
      <c r="V61" s="849"/>
      <c r="W61" s="850"/>
    </row>
    <row r="62" spans="2:23">
      <c r="C62" s="848"/>
      <c r="D62" s="849"/>
      <c r="E62" s="849"/>
      <c r="F62" s="849"/>
      <c r="G62" s="849"/>
      <c r="H62" s="849"/>
      <c r="I62" s="849"/>
      <c r="J62" s="849"/>
      <c r="K62" s="849"/>
      <c r="L62" s="849"/>
      <c r="M62" s="849"/>
      <c r="N62" s="849"/>
      <c r="O62" s="849"/>
      <c r="P62" s="849"/>
      <c r="Q62" s="849"/>
      <c r="R62" s="849"/>
      <c r="S62" s="849"/>
      <c r="T62" s="849"/>
      <c r="U62" s="849"/>
      <c r="V62" s="849"/>
      <c r="W62" s="850"/>
    </row>
    <row r="63" spans="2:23">
      <c r="C63" s="848"/>
      <c r="D63" s="849"/>
      <c r="E63" s="849"/>
      <c r="F63" s="849"/>
      <c r="G63" s="849"/>
      <c r="H63" s="849"/>
      <c r="I63" s="849"/>
      <c r="J63" s="849"/>
      <c r="K63" s="849"/>
      <c r="L63" s="849"/>
      <c r="M63" s="849"/>
      <c r="N63" s="849"/>
      <c r="O63" s="849"/>
      <c r="P63" s="849"/>
      <c r="Q63" s="849"/>
      <c r="R63" s="849"/>
      <c r="S63" s="849"/>
      <c r="T63" s="849"/>
      <c r="U63" s="849"/>
      <c r="V63" s="849"/>
      <c r="W63" s="850"/>
    </row>
    <row r="64" spans="2:23">
      <c r="C64" s="848"/>
      <c r="D64" s="849"/>
      <c r="E64" s="849"/>
      <c r="F64" s="849"/>
      <c r="G64" s="849"/>
      <c r="H64" s="849"/>
      <c r="I64" s="849"/>
      <c r="J64" s="849"/>
      <c r="K64" s="849"/>
      <c r="L64" s="849"/>
      <c r="M64" s="849"/>
      <c r="N64" s="849"/>
      <c r="O64" s="849"/>
      <c r="P64" s="849"/>
      <c r="Q64" s="849"/>
      <c r="R64" s="849"/>
      <c r="S64" s="849"/>
      <c r="T64" s="849"/>
      <c r="U64" s="849"/>
      <c r="V64" s="849"/>
      <c r="W64" s="850"/>
    </row>
    <row r="65" spans="3:23">
      <c r="C65" s="848"/>
      <c r="D65" s="849"/>
      <c r="E65" s="849"/>
      <c r="F65" s="849"/>
      <c r="G65" s="849"/>
      <c r="H65" s="849"/>
      <c r="I65" s="849"/>
      <c r="J65" s="849"/>
      <c r="K65" s="849"/>
      <c r="L65" s="849"/>
      <c r="M65" s="849"/>
      <c r="N65" s="849"/>
      <c r="O65" s="849"/>
      <c r="P65" s="849"/>
      <c r="Q65" s="849"/>
      <c r="R65" s="849"/>
      <c r="S65" s="849"/>
      <c r="T65" s="849"/>
      <c r="U65" s="849"/>
      <c r="V65" s="849"/>
      <c r="W65" s="850"/>
    </row>
    <row r="66" spans="3:23">
      <c r="C66" s="848"/>
      <c r="D66" s="849"/>
      <c r="E66" s="849"/>
      <c r="F66" s="849"/>
      <c r="G66" s="849"/>
      <c r="H66" s="849"/>
      <c r="I66" s="849"/>
      <c r="J66" s="849"/>
      <c r="K66" s="849"/>
      <c r="L66" s="849"/>
      <c r="M66" s="849"/>
      <c r="N66" s="849"/>
      <c r="O66" s="849"/>
      <c r="P66" s="849"/>
      <c r="Q66" s="849"/>
      <c r="R66" s="849"/>
      <c r="S66" s="849"/>
      <c r="T66" s="849"/>
      <c r="U66" s="849"/>
      <c r="V66" s="849"/>
      <c r="W66" s="850"/>
    </row>
    <row r="67" spans="3:23" ht="13.5" thickBot="1">
      <c r="C67" s="851"/>
      <c r="D67" s="852"/>
      <c r="E67" s="852"/>
      <c r="F67" s="852"/>
      <c r="G67" s="852"/>
      <c r="H67" s="852"/>
      <c r="I67" s="852"/>
      <c r="J67" s="852"/>
      <c r="K67" s="852"/>
      <c r="L67" s="852"/>
      <c r="M67" s="852"/>
      <c r="N67" s="852"/>
      <c r="O67" s="852"/>
      <c r="P67" s="852"/>
      <c r="Q67" s="852"/>
      <c r="R67" s="852"/>
      <c r="S67" s="852"/>
      <c r="T67" s="852"/>
      <c r="U67" s="852"/>
      <c r="V67" s="852"/>
      <c r="W67" s="853"/>
    </row>
  </sheetData>
  <sheetProtection formatCells="0"/>
  <mergeCells count="116">
    <mergeCell ref="F2:T5"/>
    <mergeCell ref="U2:V2"/>
    <mergeCell ref="U3:V3"/>
    <mergeCell ref="U4:V4"/>
    <mergeCell ref="U5:V5"/>
    <mergeCell ref="C6:E6"/>
    <mergeCell ref="F6:J6"/>
    <mergeCell ref="K6:Q6"/>
    <mergeCell ref="R6:W6"/>
    <mergeCell ref="C9:W9"/>
    <mergeCell ref="H11:K11"/>
    <mergeCell ref="L11:M11"/>
    <mergeCell ref="N11:O13"/>
    <mergeCell ref="P11:S13"/>
    <mergeCell ref="H12:K12"/>
    <mergeCell ref="H13:K13"/>
    <mergeCell ref="L13:M13"/>
    <mergeCell ref="C7:E7"/>
    <mergeCell ref="F7:J7"/>
    <mergeCell ref="K7:Q7"/>
    <mergeCell ref="R7:W7"/>
    <mergeCell ref="C8:E8"/>
    <mergeCell ref="F8:J8"/>
    <mergeCell ref="K8:Q8"/>
    <mergeCell ref="R8:W8"/>
    <mergeCell ref="F19:L20"/>
    <mergeCell ref="M19:O20"/>
    <mergeCell ref="P19:U19"/>
    <mergeCell ref="P20:U20"/>
    <mergeCell ref="F21:L22"/>
    <mergeCell ref="M21:O22"/>
    <mergeCell ref="P21:U21"/>
    <mergeCell ref="P22:U22"/>
    <mergeCell ref="F15:L16"/>
    <mergeCell ref="M15:O16"/>
    <mergeCell ref="P15:U16"/>
    <mergeCell ref="F17:L18"/>
    <mergeCell ref="M17:O18"/>
    <mergeCell ref="P17:U17"/>
    <mergeCell ref="P18:U18"/>
    <mergeCell ref="F27:L28"/>
    <mergeCell ref="M27:O28"/>
    <mergeCell ref="P27:U27"/>
    <mergeCell ref="P28:U28"/>
    <mergeCell ref="F29:L30"/>
    <mergeCell ref="M29:O30"/>
    <mergeCell ref="P29:U29"/>
    <mergeCell ref="P30:U30"/>
    <mergeCell ref="F23:L24"/>
    <mergeCell ref="M23:O24"/>
    <mergeCell ref="P23:U23"/>
    <mergeCell ref="P24:U24"/>
    <mergeCell ref="F25:L26"/>
    <mergeCell ref="M25:O26"/>
    <mergeCell ref="P25:U25"/>
    <mergeCell ref="P26:U26"/>
    <mergeCell ref="F35:L36"/>
    <mergeCell ref="M35:O36"/>
    <mergeCell ref="P35:U35"/>
    <mergeCell ref="P36:U36"/>
    <mergeCell ref="F37:L38"/>
    <mergeCell ref="M37:O38"/>
    <mergeCell ref="P37:U37"/>
    <mergeCell ref="P38:U38"/>
    <mergeCell ref="F31:L32"/>
    <mergeCell ref="M31:O32"/>
    <mergeCell ref="P31:U31"/>
    <mergeCell ref="P32:U32"/>
    <mergeCell ref="F33:L34"/>
    <mergeCell ref="M33:O34"/>
    <mergeCell ref="P33:U33"/>
    <mergeCell ref="P34:U34"/>
    <mergeCell ref="F43:L44"/>
    <mergeCell ref="M43:O44"/>
    <mergeCell ref="P43:U43"/>
    <mergeCell ref="P44:U44"/>
    <mergeCell ref="F45:L46"/>
    <mergeCell ref="M45:O46"/>
    <mergeCell ref="P45:U45"/>
    <mergeCell ref="P46:U46"/>
    <mergeCell ref="F39:L40"/>
    <mergeCell ref="M39:O40"/>
    <mergeCell ref="P39:U39"/>
    <mergeCell ref="P40:U40"/>
    <mergeCell ref="F41:L42"/>
    <mergeCell ref="M41:O42"/>
    <mergeCell ref="P41:U41"/>
    <mergeCell ref="P42:U42"/>
    <mergeCell ref="F51:L52"/>
    <mergeCell ref="M51:O52"/>
    <mergeCell ref="P51:U51"/>
    <mergeCell ref="P52:U52"/>
    <mergeCell ref="F53:L54"/>
    <mergeCell ref="M53:O54"/>
    <mergeCell ref="P53:U53"/>
    <mergeCell ref="P54:U54"/>
    <mergeCell ref="F47:L48"/>
    <mergeCell ref="M47:O48"/>
    <mergeCell ref="P47:U47"/>
    <mergeCell ref="P48:U48"/>
    <mergeCell ref="F49:L50"/>
    <mergeCell ref="M49:O50"/>
    <mergeCell ref="P49:U49"/>
    <mergeCell ref="P50:U50"/>
    <mergeCell ref="C62:W62"/>
    <mergeCell ref="C63:W63"/>
    <mergeCell ref="C64:W64"/>
    <mergeCell ref="C65:W65"/>
    <mergeCell ref="C66:W66"/>
    <mergeCell ref="C67:W67"/>
    <mergeCell ref="C56:W56"/>
    <mergeCell ref="C57:W57"/>
    <mergeCell ref="C58:W58"/>
    <mergeCell ref="C59:W59"/>
    <mergeCell ref="C60:W60"/>
    <mergeCell ref="C61:W61"/>
  </mergeCells>
  <dataValidations count="2">
    <dataValidation type="list" allowBlank="1" showInputMessage="1" showErrorMessage="1" sqref="WVP983061:WVP983094 H65557:H65590 JD65557:JD65590 SZ65557:SZ65590 ACV65557:ACV65590 AMR65557:AMR65590 AWN65557:AWN65590 BGJ65557:BGJ65590 BQF65557:BQF65590 CAB65557:CAB65590 CJX65557:CJX65590 CTT65557:CTT65590 DDP65557:DDP65590 DNL65557:DNL65590 DXH65557:DXH65590 EHD65557:EHD65590 EQZ65557:EQZ65590 FAV65557:FAV65590 FKR65557:FKR65590 FUN65557:FUN65590 GEJ65557:GEJ65590 GOF65557:GOF65590 GYB65557:GYB65590 HHX65557:HHX65590 HRT65557:HRT65590 IBP65557:IBP65590 ILL65557:ILL65590 IVH65557:IVH65590 JFD65557:JFD65590 JOZ65557:JOZ65590 JYV65557:JYV65590 KIR65557:KIR65590 KSN65557:KSN65590 LCJ65557:LCJ65590 LMF65557:LMF65590 LWB65557:LWB65590 MFX65557:MFX65590 MPT65557:MPT65590 MZP65557:MZP65590 NJL65557:NJL65590 NTH65557:NTH65590 ODD65557:ODD65590 OMZ65557:OMZ65590 OWV65557:OWV65590 PGR65557:PGR65590 PQN65557:PQN65590 QAJ65557:QAJ65590 QKF65557:QKF65590 QUB65557:QUB65590 RDX65557:RDX65590 RNT65557:RNT65590 RXP65557:RXP65590 SHL65557:SHL65590 SRH65557:SRH65590 TBD65557:TBD65590 TKZ65557:TKZ65590 TUV65557:TUV65590 UER65557:UER65590 UON65557:UON65590 UYJ65557:UYJ65590 VIF65557:VIF65590 VSB65557:VSB65590 WBX65557:WBX65590 WLT65557:WLT65590 WVP65557:WVP65590 H131093:H131126 JD131093:JD131126 SZ131093:SZ131126 ACV131093:ACV131126 AMR131093:AMR131126 AWN131093:AWN131126 BGJ131093:BGJ131126 BQF131093:BQF131126 CAB131093:CAB131126 CJX131093:CJX131126 CTT131093:CTT131126 DDP131093:DDP131126 DNL131093:DNL131126 DXH131093:DXH131126 EHD131093:EHD131126 EQZ131093:EQZ131126 FAV131093:FAV131126 FKR131093:FKR131126 FUN131093:FUN131126 GEJ131093:GEJ131126 GOF131093:GOF131126 GYB131093:GYB131126 HHX131093:HHX131126 HRT131093:HRT131126 IBP131093:IBP131126 ILL131093:ILL131126 IVH131093:IVH131126 JFD131093:JFD131126 JOZ131093:JOZ131126 JYV131093:JYV131126 KIR131093:KIR131126 KSN131093:KSN131126 LCJ131093:LCJ131126 LMF131093:LMF131126 LWB131093:LWB131126 MFX131093:MFX131126 MPT131093:MPT131126 MZP131093:MZP131126 NJL131093:NJL131126 NTH131093:NTH131126 ODD131093:ODD131126 OMZ131093:OMZ131126 OWV131093:OWV131126 PGR131093:PGR131126 PQN131093:PQN131126 QAJ131093:QAJ131126 QKF131093:QKF131126 QUB131093:QUB131126 RDX131093:RDX131126 RNT131093:RNT131126 RXP131093:RXP131126 SHL131093:SHL131126 SRH131093:SRH131126 TBD131093:TBD131126 TKZ131093:TKZ131126 TUV131093:TUV131126 UER131093:UER131126 UON131093:UON131126 UYJ131093:UYJ131126 VIF131093:VIF131126 VSB131093:VSB131126 WBX131093:WBX131126 WLT131093:WLT131126 WVP131093:WVP131126 H196629:H196662 JD196629:JD196662 SZ196629:SZ196662 ACV196629:ACV196662 AMR196629:AMR196662 AWN196629:AWN196662 BGJ196629:BGJ196662 BQF196629:BQF196662 CAB196629:CAB196662 CJX196629:CJX196662 CTT196629:CTT196662 DDP196629:DDP196662 DNL196629:DNL196662 DXH196629:DXH196662 EHD196629:EHD196662 EQZ196629:EQZ196662 FAV196629:FAV196662 FKR196629:FKR196662 FUN196629:FUN196662 GEJ196629:GEJ196662 GOF196629:GOF196662 GYB196629:GYB196662 HHX196629:HHX196662 HRT196629:HRT196662 IBP196629:IBP196662 ILL196629:ILL196662 IVH196629:IVH196662 JFD196629:JFD196662 JOZ196629:JOZ196662 JYV196629:JYV196662 KIR196629:KIR196662 KSN196629:KSN196662 LCJ196629:LCJ196662 LMF196629:LMF196662 LWB196629:LWB196662 MFX196629:MFX196662 MPT196629:MPT196662 MZP196629:MZP196662 NJL196629:NJL196662 NTH196629:NTH196662 ODD196629:ODD196662 OMZ196629:OMZ196662 OWV196629:OWV196662 PGR196629:PGR196662 PQN196629:PQN196662 QAJ196629:QAJ196662 QKF196629:QKF196662 QUB196629:QUB196662 RDX196629:RDX196662 RNT196629:RNT196662 RXP196629:RXP196662 SHL196629:SHL196662 SRH196629:SRH196662 TBD196629:TBD196662 TKZ196629:TKZ196662 TUV196629:TUV196662 UER196629:UER196662 UON196629:UON196662 UYJ196629:UYJ196662 VIF196629:VIF196662 VSB196629:VSB196662 WBX196629:WBX196662 WLT196629:WLT196662 WVP196629:WVP196662 H262165:H262198 JD262165:JD262198 SZ262165:SZ262198 ACV262165:ACV262198 AMR262165:AMR262198 AWN262165:AWN262198 BGJ262165:BGJ262198 BQF262165:BQF262198 CAB262165:CAB262198 CJX262165:CJX262198 CTT262165:CTT262198 DDP262165:DDP262198 DNL262165:DNL262198 DXH262165:DXH262198 EHD262165:EHD262198 EQZ262165:EQZ262198 FAV262165:FAV262198 FKR262165:FKR262198 FUN262165:FUN262198 GEJ262165:GEJ262198 GOF262165:GOF262198 GYB262165:GYB262198 HHX262165:HHX262198 HRT262165:HRT262198 IBP262165:IBP262198 ILL262165:ILL262198 IVH262165:IVH262198 JFD262165:JFD262198 JOZ262165:JOZ262198 JYV262165:JYV262198 KIR262165:KIR262198 KSN262165:KSN262198 LCJ262165:LCJ262198 LMF262165:LMF262198 LWB262165:LWB262198 MFX262165:MFX262198 MPT262165:MPT262198 MZP262165:MZP262198 NJL262165:NJL262198 NTH262165:NTH262198 ODD262165:ODD262198 OMZ262165:OMZ262198 OWV262165:OWV262198 PGR262165:PGR262198 PQN262165:PQN262198 QAJ262165:QAJ262198 QKF262165:QKF262198 QUB262165:QUB262198 RDX262165:RDX262198 RNT262165:RNT262198 RXP262165:RXP262198 SHL262165:SHL262198 SRH262165:SRH262198 TBD262165:TBD262198 TKZ262165:TKZ262198 TUV262165:TUV262198 UER262165:UER262198 UON262165:UON262198 UYJ262165:UYJ262198 VIF262165:VIF262198 VSB262165:VSB262198 WBX262165:WBX262198 WLT262165:WLT262198 WVP262165:WVP262198 H327701:H327734 JD327701:JD327734 SZ327701:SZ327734 ACV327701:ACV327734 AMR327701:AMR327734 AWN327701:AWN327734 BGJ327701:BGJ327734 BQF327701:BQF327734 CAB327701:CAB327734 CJX327701:CJX327734 CTT327701:CTT327734 DDP327701:DDP327734 DNL327701:DNL327734 DXH327701:DXH327734 EHD327701:EHD327734 EQZ327701:EQZ327734 FAV327701:FAV327734 FKR327701:FKR327734 FUN327701:FUN327734 GEJ327701:GEJ327734 GOF327701:GOF327734 GYB327701:GYB327734 HHX327701:HHX327734 HRT327701:HRT327734 IBP327701:IBP327734 ILL327701:ILL327734 IVH327701:IVH327734 JFD327701:JFD327734 JOZ327701:JOZ327734 JYV327701:JYV327734 KIR327701:KIR327734 KSN327701:KSN327734 LCJ327701:LCJ327734 LMF327701:LMF327734 LWB327701:LWB327734 MFX327701:MFX327734 MPT327701:MPT327734 MZP327701:MZP327734 NJL327701:NJL327734 NTH327701:NTH327734 ODD327701:ODD327734 OMZ327701:OMZ327734 OWV327701:OWV327734 PGR327701:PGR327734 PQN327701:PQN327734 QAJ327701:QAJ327734 QKF327701:QKF327734 QUB327701:QUB327734 RDX327701:RDX327734 RNT327701:RNT327734 RXP327701:RXP327734 SHL327701:SHL327734 SRH327701:SRH327734 TBD327701:TBD327734 TKZ327701:TKZ327734 TUV327701:TUV327734 UER327701:UER327734 UON327701:UON327734 UYJ327701:UYJ327734 VIF327701:VIF327734 VSB327701:VSB327734 WBX327701:WBX327734 WLT327701:WLT327734 WVP327701:WVP327734 H393237:H393270 JD393237:JD393270 SZ393237:SZ393270 ACV393237:ACV393270 AMR393237:AMR393270 AWN393237:AWN393270 BGJ393237:BGJ393270 BQF393237:BQF393270 CAB393237:CAB393270 CJX393237:CJX393270 CTT393237:CTT393270 DDP393237:DDP393270 DNL393237:DNL393270 DXH393237:DXH393270 EHD393237:EHD393270 EQZ393237:EQZ393270 FAV393237:FAV393270 FKR393237:FKR393270 FUN393237:FUN393270 GEJ393237:GEJ393270 GOF393237:GOF393270 GYB393237:GYB393270 HHX393237:HHX393270 HRT393237:HRT393270 IBP393237:IBP393270 ILL393237:ILL393270 IVH393237:IVH393270 JFD393237:JFD393270 JOZ393237:JOZ393270 JYV393237:JYV393270 KIR393237:KIR393270 KSN393237:KSN393270 LCJ393237:LCJ393270 LMF393237:LMF393270 LWB393237:LWB393270 MFX393237:MFX393270 MPT393237:MPT393270 MZP393237:MZP393270 NJL393237:NJL393270 NTH393237:NTH393270 ODD393237:ODD393270 OMZ393237:OMZ393270 OWV393237:OWV393270 PGR393237:PGR393270 PQN393237:PQN393270 QAJ393237:QAJ393270 QKF393237:QKF393270 QUB393237:QUB393270 RDX393237:RDX393270 RNT393237:RNT393270 RXP393237:RXP393270 SHL393237:SHL393270 SRH393237:SRH393270 TBD393237:TBD393270 TKZ393237:TKZ393270 TUV393237:TUV393270 UER393237:UER393270 UON393237:UON393270 UYJ393237:UYJ393270 VIF393237:VIF393270 VSB393237:VSB393270 WBX393237:WBX393270 WLT393237:WLT393270 WVP393237:WVP393270 H458773:H458806 JD458773:JD458806 SZ458773:SZ458806 ACV458773:ACV458806 AMR458773:AMR458806 AWN458773:AWN458806 BGJ458773:BGJ458806 BQF458773:BQF458806 CAB458773:CAB458806 CJX458773:CJX458806 CTT458773:CTT458806 DDP458773:DDP458806 DNL458773:DNL458806 DXH458773:DXH458806 EHD458773:EHD458806 EQZ458773:EQZ458806 FAV458773:FAV458806 FKR458773:FKR458806 FUN458773:FUN458806 GEJ458773:GEJ458806 GOF458773:GOF458806 GYB458773:GYB458806 HHX458773:HHX458806 HRT458773:HRT458806 IBP458773:IBP458806 ILL458773:ILL458806 IVH458773:IVH458806 JFD458773:JFD458806 JOZ458773:JOZ458806 JYV458773:JYV458806 KIR458773:KIR458806 KSN458773:KSN458806 LCJ458773:LCJ458806 LMF458773:LMF458806 LWB458773:LWB458806 MFX458773:MFX458806 MPT458773:MPT458806 MZP458773:MZP458806 NJL458773:NJL458806 NTH458773:NTH458806 ODD458773:ODD458806 OMZ458773:OMZ458806 OWV458773:OWV458806 PGR458773:PGR458806 PQN458773:PQN458806 QAJ458773:QAJ458806 QKF458773:QKF458806 QUB458773:QUB458806 RDX458773:RDX458806 RNT458773:RNT458806 RXP458773:RXP458806 SHL458773:SHL458806 SRH458773:SRH458806 TBD458773:TBD458806 TKZ458773:TKZ458806 TUV458773:TUV458806 UER458773:UER458806 UON458773:UON458806 UYJ458773:UYJ458806 VIF458773:VIF458806 VSB458773:VSB458806 WBX458773:WBX458806 WLT458773:WLT458806 WVP458773:WVP458806 H524309:H524342 JD524309:JD524342 SZ524309:SZ524342 ACV524309:ACV524342 AMR524309:AMR524342 AWN524309:AWN524342 BGJ524309:BGJ524342 BQF524309:BQF524342 CAB524309:CAB524342 CJX524309:CJX524342 CTT524309:CTT524342 DDP524309:DDP524342 DNL524309:DNL524342 DXH524309:DXH524342 EHD524309:EHD524342 EQZ524309:EQZ524342 FAV524309:FAV524342 FKR524309:FKR524342 FUN524309:FUN524342 GEJ524309:GEJ524342 GOF524309:GOF524342 GYB524309:GYB524342 HHX524309:HHX524342 HRT524309:HRT524342 IBP524309:IBP524342 ILL524309:ILL524342 IVH524309:IVH524342 JFD524309:JFD524342 JOZ524309:JOZ524342 JYV524309:JYV524342 KIR524309:KIR524342 KSN524309:KSN524342 LCJ524309:LCJ524342 LMF524309:LMF524342 LWB524309:LWB524342 MFX524309:MFX524342 MPT524309:MPT524342 MZP524309:MZP524342 NJL524309:NJL524342 NTH524309:NTH524342 ODD524309:ODD524342 OMZ524309:OMZ524342 OWV524309:OWV524342 PGR524309:PGR524342 PQN524309:PQN524342 QAJ524309:QAJ524342 QKF524309:QKF524342 QUB524309:QUB524342 RDX524309:RDX524342 RNT524309:RNT524342 RXP524309:RXP524342 SHL524309:SHL524342 SRH524309:SRH524342 TBD524309:TBD524342 TKZ524309:TKZ524342 TUV524309:TUV524342 UER524309:UER524342 UON524309:UON524342 UYJ524309:UYJ524342 VIF524309:VIF524342 VSB524309:VSB524342 WBX524309:WBX524342 WLT524309:WLT524342 WVP524309:WVP524342 H589845:H589878 JD589845:JD589878 SZ589845:SZ589878 ACV589845:ACV589878 AMR589845:AMR589878 AWN589845:AWN589878 BGJ589845:BGJ589878 BQF589845:BQF589878 CAB589845:CAB589878 CJX589845:CJX589878 CTT589845:CTT589878 DDP589845:DDP589878 DNL589845:DNL589878 DXH589845:DXH589878 EHD589845:EHD589878 EQZ589845:EQZ589878 FAV589845:FAV589878 FKR589845:FKR589878 FUN589845:FUN589878 GEJ589845:GEJ589878 GOF589845:GOF589878 GYB589845:GYB589878 HHX589845:HHX589878 HRT589845:HRT589878 IBP589845:IBP589878 ILL589845:ILL589878 IVH589845:IVH589878 JFD589845:JFD589878 JOZ589845:JOZ589878 JYV589845:JYV589878 KIR589845:KIR589878 KSN589845:KSN589878 LCJ589845:LCJ589878 LMF589845:LMF589878 LWB589845:LWB589878 MFX589845:MFX589878 MPT589845:MPT589878 MZP589845:MZP589878 NJL589845:NJL589878 NTH589845:NTH589878 ODD589845:ODD589878 OMZ589845:OMZ589878 OWV589845:OWV589878 PGR589845:PGR589878 PQN589845:PQN589878 QAJ589845:QAJ589878 QKF589845:QKF589878 QUB589845:QUB589878 RDX589845:RDX589878 RNT589845:RNT589878 RXP589845:RXP589878 SHL589845:SHL589878 SRH589845:SRH589878 TBD589845:TBD589878 TKZ589845:TKZ589878 TUV589845:TUV589878 UER589845:UER589878 UON589845:UON589878 UYJ589845:UYJ589878 VIF589845:VIF589878 VSB589845:VSB589878 WBX589845:WBX589878 WLT589845:WLT589878 WVP589845:WVP589878 H655381:H655414 JD655381:JD655414 SZ655381:SZ655414 ACV655381:ACV655414 AMR655381:AMR655414 AWN655381:AWN655414 BGJ655381:BGJ655414 BQF655381:BQF655414 CAB655381:CAB655414 CJX655381:CJX655414 CTT655381:CTT655414 DDP655381:DDP655414 DNL655381:DNL655414 DXH655381:DXH655414 EHD655381:EHD655414 EQZ655381:EQZ655414 FAV655381:FAV655414 FKR655381:FKR655414 FUN655381:FUN655414 GEJ655381:GEJ655414 GOF655381:GOF655414 GYB655381:GYB655414 HHX655381:HHX655414 HRT655381:HRT655414 IBP655381:IBP655414 ILL655381:ILL655414 IVH655381:IVH655414 JFD655381:JFD655414 JOZ655381:JOZ655414 JYV655381:JYV655414 KIR655381:KIR655414 KSN655381:KSN655414 LCJ655381:LCJ655414 LMF655381:LMF655414 LWB655381:LWB655414 MFX655381:MFX655414 MPT655381:MPT655414 MZP655381:MZP655414 NJL655381:NJL655414 NTH655381:NTH655414 ODD655381:ODD655414 OMZ655381:OMZ655414 OWV655381:OWV655414 PGR655381:PGR655414 PQN655381:PQN655414 QAJ655381:QAJ655414 QKF655381:QKF655414 QUB655381:QUB655414 RDX655381:RDX655414 RNT655381:RNT655414 RXP655381:RXP655414 SHL655381:SHL655414 SRH655381:SRH655414 TBD655381:TBD655414 TKZ655381:TKZ655414 TUV655381:TUV655414 UER655381:UER655414 UON655381:UON655414 UYJ655381:UYJ655414 VIF655381:VIF655414 VSB655381:VSB655414 WBX655381:WBX655414 WLT655381:WLT655414 WVP655381:WVP655414 H720917:H720950 JD720917:JD720950 SZ720917:SZ720950 ACV720917:ACV720950 AMR720917:AMR720950 AWN720917:AWN720950 BGJ720917:BGJ720950 BQF720917:BQF720950 CAB720917:CAB720950 CJX720917:CJX720950 CTT720917:CTT720950 DDP720917:DDP720950 DNL720917:DNL720950 DXH720917:DXH720950 EHD720917:EHD720950 EQZ720917:EQZ720950 FAV720917:FAV720950 FKR720917:FKR720950 FUN720917:FUN720950 GEJ720917:GEJ720950 GOF720917:GOF720950 GYB720917:GYB720950 HHX720917:HHX720950 HRT720917:HRT720950 IBP720917:IBP720950 ILL720917:ILL720950 IVH720917:IVH720950 JFD720917:JFD720950 JOZ720917:JOZ720950 JYV720917:JYV720950 KIR720917:KIR720950 KSN720917:KSN720950 LCJ720917:LCJ720950 LMF720917:LMF720950 LWB720917:LWB720950 MFX720917:MFX720950 MPT720917:MPT720950 MZP720917:MZP720950 NJL720917:NJL720950 NTH720917:NTH720950 ODD720917:ODD720950 OMZ720917:OMZ720950 OWV720917:OWV720950 PGR720917:PGR720950 PQN720917:PQN720950 QAJ720917:QAJ720950 QKF720917:QKF720950 QUB720917:QUB720950 RDX720917:RDX720950 RNT720917:RNT720950 RXP720917:RXP720950 SHL720917:SHL720950 SRH720917:SRH720950 TBD720917:TBD720950 TKZ720917:TKZ720950 TUV720917:TUV720950 UER720917:UER720950 UON720917:UON720950 UYJ720917:UYJ720950 VIF720917:VIF720950 VSB720917:VSB720950 WBX720917:WBX720950 WLT720917:WLT720950 WVP720917:WVP720950 H786453:H786486 JD786453:JD786486 SZ786453:SZ786486 ACV786453:ACV786486 AMR786453:AMR786486 AWN786453:AWN786486 BGJ786453:BGJ786486 BQF786453:BQF786486 CAB786453:CAB786486 CJX786453:CJX786486 CTT786453:CTT786486 DDP786453:DDP786486 DNL786453:DNL786486 DXH786453:DXH786486 EHD786453:EHD786486 EQZ786453:EQZ786486 FAV786453:FAV786486 FKR786453:FKR786486 FUN786453:FUN786486 GEJ786453:GEJ786486 GOF786453:GOF786486 GYB786453:GYB786486 HHX786453:HHX786486 HRT786453:HRT786486 IBP786453:IBP786486 ILL786453:ILL786486 IVH786453:IVH786486 JFD786453:JFD786486 JOZ786453:JOZ786486 JYV786453:JYV786486 KIR786453:KIR786486 KSN786453:KSN786486 LCJ786453:LCJ786486 LMF786453:LMF786486 LWB786453:LWB786486 MFX786453:MFX786486 MPT786453:MPT786486 MZP786453:MZP786486 NJL786453:NJL786486 NTH786453:NTH786486 ODD786453:ODD786486 OMZ786453:OMZ786486 OWV786453:OWV786486 PGR786453:PGR786486 PQN786453:PQN786486 QAJ786453:QAJ786486 QKF786453:QKF786486 QUB786453:QUB786486 RDX786453:RDX786486 RNT786453:RNT786486 RXP786453:RXP786486 SHL786453:SHL786486 SRH786453:SRH786486 TBD786453:TBD786486 TKZ786453:TKZ786486 TUV786453:TUV786486 UER786453:UER786486 UON786453:UON786486 UYJ786453:UYJ786486 VIF786453:VIF786486 VSB786453:VSB786486 WBX786453:WBX786486 WLT786453:WLT786486 WVP786453:WVP786486 H851989:H852022 JD851989:JD852022 SZ851989:SZ852022 ACV851989:ACV852022 AMR851989:AMR852022 AWN851989:AWN852022 BGJ851989:BGJ852022 BQF851989:BQF852022 CAB851989:CAB852022 CJX851989:CJX852022 CTT851989:CTT852022 DDP851989:DDP852022 DNL851989:DNL852022 DXH851989:DXH852022 EHD851989:EHD852022 EQZ851989:EQZ852022 FAV851989:FAV852022 FKR851989:FKR852022 FUN851989:FUN852022 GEJ851989:GEJ852022 GOF851989:GOF852022 GYB851989:GYB852022 HHX851989:HHX852022 HRT851989:HRT852022 IBP851989:IBP852022 ILL851989:ILL852022 IVH851989:IVH852022 JFD851989:JFD852022 JOZ851989:JOZ852022 JYV851989:JYV852022 KIR851989:KIR852022 KSN851989:KSN852022 LCJ851989:LCJ852022 LMF851989:LMF852022 LWB851989:LWB852022 MFX851989:MFX852022 MPT851989:MPT852022 MZP851989:MZP852022 NJL851989:NJL852022 NTH851989:NTH852022 ODD851989:ODD852022 OMZ851989:OMZ852022 OWV851989:OWV852022 PGR851989:PGR852022 PQN851989:PQN852022 QAJ851989:QAJ852022 QKF851989:QKF852022 QUB851989:QUB852022 RDX851989:RDX852022 RNT851989:RNT852022 RXP851989:RXP852022 SHL851989:SHL852022 SRH851989:SRH852022 TBD851989:TBD852022 TKZ851989:TKZ852022 TUV851989:TUV852022 UER851989:UER852022 UON851989:UON852022 UYJ851989:UYJ852022 VIF851989:VIF852022 VSB851989:VSB852022 WBX851989:WBX852022 WLT851989:WLT852022 WVP851989:WVP852022 H917525:H917558 JD917525:JD917558 SZ917525:SZ917558 ACV917525:ACV917558 AMR917525:AMR917558 AWN917525:AWN917558 BGJ917525:BGJ917558 BQF917525:BQF917558 CAB917525:CAB917558 CJX917525:CJX917558 CTT917525:CTT917558 DDP917525:DDP917558 DNL917525:DNL917558 DXH917525:DXH917558 EHD917525:EHD917558 EQZ917525:EQZ917558 FAV917525:FAV917558 FKR917525:FKR917558 FUN917525:FUN917558 GEJ917525:GEJ917558 GOF917525:GOF917558 GYB917525:GYB917558 HHX917525:HHX917558 HRT917525:HRT917558 IBP917525:IBP917558 ILL917525:ILL917558 IVH917525:IVH917558 JFD917525:JFD917558 JOZ917525:JOZ917558 JYV917525:JYV917558 KIR917525:KIR917558 KSN917525:KSN917558 LCJ917525:LCJ917558 LMF917525:LMF917558 LWB917525:LWB917558 MFX917525:MFX917558 MPT917525:MPT917558 MZP917525:MZP917558 NJL917525:NJL917558 NTH917525:NTH917558 ODD917525:ODD917558 OMZ917525:OMZ917558 OWV917525:OWV917558 PGR917525:PGR917558 PQN917525:PQN917558 QAJ917525:QAJ917558 QKF917525:QKF917558 QUB917525:QUB917558 RDX917525:RDX917558 RNT917525:RNT917558 RXP917525:RXP917558 SHL917525:SHL917558 SRH917525:SRH917558 TBD917525:TBD917558 TKZ917525:TKZ917558 TUV917525:TUV917558 UER917525:UER917558 UON917525:UON917558 UYJ917525:UYJ917558 VIF917525:VIF917558 VSB917525:VSB917558 WBX917525:WBX917558 WLT917525:WLT917558 WVP917525:WVP917558 H983061:H983094 JD983061:JD983094 SZ983061:SZ983094 ACV983061:ACV983094 AMR983061:AMR983094 AWN983061:AWN983094 BGJ983061:BGJ983094 BQF983061:BQF983094 CAB983061:CAB983094 CJX983061:CJX983094 CTT983061:CTT983094 DDP983061:DDP983094 DNL983061:DNL983094 DXH983061:DXH983094 EHD983061:EHD983094 EQZ983061:EQZ983094 FAV983061:FAV983094 FKR983061:FKR983094 FUN983061:FUN983094 GEJ983061:GEJ983094 GOF983061:GOF983094 GYB983061:GYB983094 HHX983061:HHX983094 HRT983061:HRT983094 IBP983061:IBP983094 ILL983061:ILL983094 IVH983061:IVH983094 JFD983061:JFD983094 JOZ983061:JOZ983094 JYV983061:JYV983094 KIR983061:KIR983094 KSN983061:KSN983094 LCJ983061:LCJ983094 LMF983061:LMF983094 LWB983061:LWB983094 MFX983061:MFX983094 MPT983061:MPT983094 MZP983061:MZP983094 NJL983061:NJL983094 NTH983061:NTH983094 ODD983061:ODD983094 OMZ983061:OMZ983094 OWV983061:OWV983094 PGR983061:PGR983094 PQN983061:PQN983094 QAJ983061:QAJ983094 QKF983061:QKF983094 QUB983061:QUB983094 RDX983061:RDX983094 RNT983061:RNT983094 RXP983061:RXP983094 SHL983061:SHL983094 SRH983061:SRH983094 TBD983061:TBD983094 TKZ983061:TKZ983094 TUV983061:TUV983094 UER983061:UER983094 UON983061:UON983094 UYJ983061:UYJ983094 VIF983061:VIF983094 VSB983061:VSB983094 WBX983061:WBX983094 WLT983061:WLT983094 WVP17:WVP54 WLT17:WLT54 WBX17:WBX54 VSB17:VSB54 VIF17:VIF54 UYJ17:UYJ54 UON17:UON54 UER17:UER54 TUV17:TUV54 TKZ17:TKZ54 TBD17:TBD54 SRH17:SRH54 SHL17:SHL54 RXP17:RXP54 RNT17:RNT54 RDX17:RDX54 QUB17:QUB54 QKF17:QKF54 QAJ17:QAJ54 PQN17:PQN54 PGR17:PGR54 OWV17:OWV54 OMZ17:OMZ54 ODD17:ODD54 NTH17:NTH54 NJL17:NJL54 MZP17:MZP54 MPT17:MPT54 MFX17:MFX54 LWB17:LWB54 LMF17:LMF54 LCJ17:LCJ54 KSN17:KSN54 KIR17:KIR54 JYV17:JYV54 JOZ17:JOZ54 JFD17:JFD54 IVH17:IVH54 ILL17:ILL54 IBP17:IBP54 HRT17:HRT54 HHX17:HHX54 GYB17:GYB54 GOF17:GOF54 GEJ17:GEJ54 FUN17:FUN54 FKR17:FKR54 FAV17:FAV54 EQZ17:EQZ54 EHD17:EHD54 DXH17:DXH54 DNL17:DNL54 DDP17:DDP54 CTT17:CTT54 CJX17:CJX54 CAB17:CAB54 BQF17:BQF54 BGJ17:BGJ54 AWN17:AWN54 AMR17:AMR54 ACV17:ACV54 SZ17:SZ54 JD17:JD54">
      <formula1>Summ</formula1>
    </dataValidation>
    <dataValidation type="list" allowBlank="1" showInputMessage="1" showErrorMessage="1" sqref="M17:O54">
      <formula1>$AP$1:$AP$3</formula1>
    </dataValidation>
  </dataValidations>
  <printOptions horizontalCentered="1"/>
  <pageMargins left="0.75" right="0.25" top="1" bottom="0.4" header="0.5" footer="0.25"/>
  <pageSetup scale="52"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BA3000"/>
  <sheetViews>
    <sheetView view="pageBreakPreview" topLeftCell="B1" zoomScale="85" zoomScaleNormal="85" zoomScaleSheetLayoutView="85" workbookViewId="0">
      <selection activeCell="L46" sqref="L46"/>
    </sheetView>
  </sheetViews>
  <sheetFormatPr defaultRowHeight="12.75"/>
  <cols>
    <col min="1" max="1" width="4.85546875" style="24" customWidth="1"/>
    <col min="2" max="2" width="5.140625" style="24" customWidth="1"/>
    <col min="3" max="3" width="1.5703125" style="24" customWidth="1"/>
    <col min="4" max="4" width="10.140625" style="24" customWidth="1"/>
    <col min="5" max="7" width="6.7109375" style="24" customWidth="1"/>
    <col min="8" max="8" width="7.42578125" style="24" customWidth="1"/>
    <col min="9" max="9" width="18" style="24" customWidth="1"/>
    <col min="10" max="10" width="15.28515625" style="24" customWidth="1"/>
    <col min="11" max="11" width="13.85546875" style="24" customWidth="1"/>
    <col min="12" max="12" width="8.28515625" style="24" customWidth="1"/>
    <col min="13" max="13" width="20.140625" style="24" customWidth="1"/>
    <col min="14" max="15" width="9.42578125" style="24" customWidth="1"/>
    <col min="16" max="16" width="8.85546875" style="24" customWidth="1"/>
    <col min="17" max="17" width="9.42578125" style="24" customWidth="1"/>
    <col min="18" max="18" width="11.85546875" style="24" customWidth="1"/>
    <col min="19" max="19" width="20.42578125" style="250" customWidth="1"/>
    <col min="20" max="20" width="16.28515625" style="250" hidden="1" customWidth="1"/>
    <col min="21" max="21" width="12.42578125" style="250" hidden="1" customWidth="1"/>
    <col min="22" max="22" width="11.42578125" style="250" hidden="1" customWidth="1"/>
    <col min="23" max="23" width="12.42578125" style="250" hidden="1" customWidth="1"/>
    <col min="24" max="24" width="9.140625" style="250" hidden="1" customWidth="1"/>
    <col min="25" max="25" width="20.42578125" style="250" hidden="1" customWidth="1"/>
    <col min="26" max="26" width="9.140625" style="250" hidden="1" customWidth="1"/>
    <col min="27" max="27" width="12.85546875" style="250" hidden="1" customWidth="1"/>
    <col min="28" max="28" width="17.42578125" style="250" hidden="1" customWidth="1"/>
    <col min="29" max="29" width="19.5703125" style="250" hidden="1" customWidth="1"/>
    <col min="30" max="30" width="11.42578125" style="250" hidden="1" customWidth="1"/>
    <col min="31" max="31" width="12.7109375" style="250" hidden="1" customWidth="1"/>
    <col min="32" max="32" width="9.140625" style="250" hidden="1" customWidth="1"/>
    <col min="33" max="41" width="9.140625" style="24" hidden="1" customWidth="1"/>
    <col min="42" max="16384" width="9.140625" style="24"/>
  </cols>
  <sheetData>
    <row r="1" spans="1:53" ht="16.5" customHeight="1" thickBot="1">
      <c r="A1" s="30"/>
      <c r="B1" s="133"/>
      <c r="C1" s="133"/>
      <c r="D1" s="133"/>
      <c r="E1" s="133"/>
      <c r="F1" s="133"/>
      <c r="G1" s="133"/>
      <c r="H1" s="133"/>
      <c r="I1" s="133"/>
      <c r="J1" s="133"/>
      <c r="K1" s="133"/>
      <c r="L1" s="133"/>
      <c r="M1" s="133"/>
      <c r="N1" s="133"/>
      <c r="O1" s="133"/>
      <c r="P1" s="133"/>
      <c r="Q1" s="173" t="s">
        <v>211</v>
      </c>
      <c r="R1" s="174">
        <f>Summary!W1+1</f>
        <v>2</v>
      </c>
      <c r="AD1" s="299"/>
      <c r="AE1" s="299"/>
      <c r="AG1" s="30"/>
      <c r="AH1" s="30"/>
      <c r="AI1" s="30"/>
      <c r="AJ1" s="30"/>
      <c r="AK1" s="30"/>
      <c r="AL1" s="30">
        <v>20</v>
      </c>
      <c r="AM1" s="30">
        <v>21100</v>
      </c>
      <c r="AN1" s="30">
        <v>2</v>
      </c>
      <c r="AO1" s="30">
        <v>608</v>
      </c>
      <c r="AP1" s="30"/>
      <c r="AQ1" s="30"/>
      <c r="AR1" s="30"/>
      <c r="AS1" s="30"/>
      <c r="AT1" s="30"/>
      <c r="AU1" s="30"/>
      <c r="AV1" s="30"/>
      <c r="AW1" s="30"/>
      <c r="AX1" s="30"/>
      <c r="AY1" s="30"/>
      <c r="AZ1" s="30"/>
      <c r="BA1" s="30"/>
    </row>
    <row r="2" spans="1:53" ht="16.5" customHeight="1">
      <c r="A2" s="30"/>
      <c r="B2" s="106"/>
      <c r="C2" s="107"/>
      <c r="D2" s="107"/>
      <c r="E2" s="915" t="s">
        <v>218</v>
      </c>
      <c r="F2" s="915"/>
      <c r="G2" s="915"/>
      <c r="H2" s="915"/>
      <c r="I2" s="915"/>
      <c r="J2" s="915"/>
      <c r="K2" s="915"/>
      <c r="L2" s="915"/>
      <c r="M2" s="915"/>
      <c r="N2" s="915"/>
      <c r="O2" s="915"/>
      <c r="P2" s="918" t="s">
        <v>161</v>
      </c>
      <c r="Q2" s="919"/>
      <c r="R2" s="175" t="str">
        <f>IF(ISBLANK(General!$E$6),"",General!$E$6)</f>
        <v>A</v>
      </c>
      <c r="AG2" s="30"/>
      <c r="AH2" s="30"/>
      <c r="AI2" s="30"/>
      <c r="AJ2" s="30"/>
      <c r="AK2" s="30"/>
      <c r="AL2" s="30">
        <v>21</v>
      </c>
      <c r="AM2" s="133">
        <v>22150.909245198964</v>
      </c>
      <c r="AN2" s="30">
        <v>3</v>
      </c>
      <c r="AO2" s="133">
        <v>913</v>
      </c>
      <c r="AP2" s="30"/>
      <c r="AQ2" s="30"/>
      <c r="AR2" s="30"/>
      <c r="AS2" s="30"/>
      <c r="AT2" s="30"/>
      <c r="AU2" s="30"/>
      <c r="AV2" s="30"/>
      <c r="AW2" s="30"/>
      <c r="AX2" s="30"/>
      <c r="AY2" s="30"/>
      <c r="AZ2" s="30"/>
      <c r="BA2" s="30"/>
    </row>
    <row r="3" spans="1:53" s="25" customFormat="1" ht="16.5" customHeight="1">
      <c r="B3" s="108"/>
      <c r="C3" s="57"/>
      <c r="D3" s="58"/>
      <c r="E3" s="916"/>
      <c r="F3" s="916"/>
      <c r="G3" s="916"/>
      <c r="H3" s="916"/>
      <c r="I3" s="916"/>
      <c r="J3" s="916"/>
      <c r="K3" s="916"/>
      <c r="L3" s="916"/>
      <c r="M3" s="916"/>
      <c r="N3" s="916"/>
      <c r="O3" s="916"/>
      <c r="P3" s="920" t="s">
        <v>212</v>
      </c>
      <c r="Q3" s="921"/>
      <c r="R3" s="176" t="str">
        <f>IF(ISBLANK(General!$E$12),"",General!$E$12)</f>
        <v>NRB</v>
      </c>
      <c r="S3" s="391"/>
      <c r="T3" s="298"/>
      <c r="U3" s="298"/>
      <c r="V3" s="298"/>
      <c r="W3" s="298"/>
      <c r="X3" s="298"/>
      <c r="Y3" s="298"/>
      <c r="Z3" s="298"/>
      <c r="AA3" s="298"/>
      <c r="AB3" s="298"/>
      <c r="AC3" s="298"/>
      <c r="AD3" s="250"/>
      <c r="AE3" s="250"/>
      <c r="AF3" s="250"/>
      <c r="AG3" s="30"/>
      <c r="AH3" s="30"/>
      <c r="AI3" s="30"/>
      <c r="AJ3" s="30"/>
      <c r="AK3" s="30"/>
      <c r="AL3" s="30">
        <v>22</v>
      </c>
      <c r="AM3" s="133">
        <v>23201.763384628295</v>
      </c>
      <c r="AN3" s="30">
        <v>4</v>
      </c>
      <c r="AO3" s="133">
        <v>1217</v>
      </c>
    </row>
    <row r="4" spans="1:53" s="25" customFormat="1" ht="16.5" customHeight="1">
      <c r="B4" s="108"/>
      <c r="C4" s="57"/>
      <c r="D4" s="58"/>
      <c r="E4" s="916"/>
      <c r="F4" s="916"/>
      <c r="G4" s="916"/>
      <c r="H4" s="916"/>
      <c r="I4" s="916"/>
      <c r="J4" s="916"/>
      <c r="K4" s="916"/>
      <c r="L4" s="916"/>
      <c r="M4" s="916"/>
      <c r="N4" s="916"/>
      <c r="O4" s="916"/>
      <c r="P4" s="920" t="s">
        <v>213</v>
      </c>
      <c r="Q4" s="921"/>
      <c r="R4" s="177">
        <f>IF(ISBLANK(General!$E$13),"",General!$E$13)</f>
        <v>42018</v>
      </c>
      <c r="S4" s="392"/>
      <c r="T4" s="298"/>
      <c r="U4" s="298"/>
      <c r="V4" s="298"/>
      <c r="W4" s="298"/>
      <c r="X4" s="298"/>
      <c r="Y4" s="298"/>
      <c r="Z4" s="298"/>
      <c r="AA4" s="298"/>
      <c r="AB4" s="298"/>
      <c r="AC4" s="298"/>
      <c r="AD4" s="250"/>
      <c r="AE4" s="250"/>
      <c r="AF4" s="250"/>
      <c r="AG4" s="30"/>
      <c r="AH4" s="30"/>
      <c r="AI4" s="30"/>
      <c r="AJ4" s="30"/>
      <c r="AK4" s="30"/>
      <c r="AL4" s="30">
        <v>23</v>
      </c>
      <c r="AM4" s="133">
        <v>24252.507312518359</v>
      </c>
      <c r="AN4" s="30">
        <v>5</v>
      </c>
      <c r="AO4" s="133">
        <v>1521</v>
      </c>
    </row>
    <row r="5" spans="1:53" s="25" customFormat="1" ht="16.5" customHeight="1">
      <c r="B5" s="116"/>
      <c r="C5" s="56"/>
      <c r="D5" s="56"/>
      <c r="E5" s="917"/>
      <c r="F5" s="917"/>
      <c r="G5" s="917"/>
      <c r="H5" s="917"/>
      <c r="I5" s="917"/>
      <c r="J5" s="917"/>
      <c r="K5" s="917"/>
      <c r="L5" s="917"/>
      <c r="M5" s="917"/>
      <c r="N5" s="917"/>
      <c r="O5" s="917"/>
      <c r="P5" s="920" t="s">
        <v>214</v>
      </c>
      <c r="Q5" s="921"/>
      <c r="R5" s="178" t="str">
        <f>IF(ISBLANK(General!$E$14),"",General!$E$14)</f>
        <v/>
      </c>
      <c r="S5" s="393"/>
      <c r="T5" s="298"/>
      <c r="U5" s="298"/>
      <c r="V5" s="298"/>
      <c r="W5" s="298"/>
      <c r="X5" s="298"/>
      <c r="Y5" s="298"/>
      <c r="Z5" s="298"/>
      <c r="AA5" s="298"/>
      <c r="AB5" s="298"/>
      <c r="AC5" s="298"/>
      <c r="AD5" s="250"/>
      <c r="AE5" s="250"/>
      <c r="AF5" s="250"/>
      <c r="AG5" s="30"/>
      <c r="AH5" s="30"/>
      <c r="AI5" s="30"/>
      <c r="AJ5" s="30"/>
      <c r="AK5" s="30"/>
      <c r="AL5" s="30">
        <v>24</v>
      </c>
      <c r="AM5" s="133">
        <v>25303.086899662019</v>
      </c>
      <c r="AN5" s="133">
        <v>6</v>
      </c>
      <c r="AO5" s="133">
        <v>1825</v>
      </c>
    </row>
    <row r="6" spans="1:53" s="25" customFormat="1" ht="16.5" customHeight="1">
      <c r="B6" s="1116" t="s">
        <v>165</v>
      </c>
      <c r="C6" s="1117"/>
      <c r="D6" s="1118"/>
      <c r="E6" s="927" t="str">
        <f>IF(ISBLANK(General!$E$8),"",General!$E$8)</f>
        <v>Flint Hills Resources</v>
      </c>
      <c r="F6" s="928"/>
      <c r="G6" s="928"/>
      <c r="H6" s="928"/>
      <c r="I6" s="928"/>
      <c r="J6" s="930" t="s">
        <v>215</v>
      </c>
      <c r="K6" s="1119"/>
      <c r="L6" s="932"/>
      <c r="M6" s="927" t="str">
        <f>IF(ISBLANK(General!$C$30),"",General!$C$30)</f>
        <v>High Pressure KO Drum</v>
      </c>
      <c r="N6" s="928"/>
      <c r="O6" s="928"/>
      <c r="P6" s="928"/>
      <c r="Q6" s="928"/>
      <c r="R6" s="933"/>
      <c r="S6" s="298"/>
      <c r="T6" s="298"/>
      <c r="U6" s="298"/>
      <c r="V6" s="298"/>
      <c r="W6" s="298"/>
      <c r="X6" s="298"/>
      <c r="Y6" s="298"/>
      <c r="Z6" s="298"/>
      <c r="AA6" s="298"/>
      <c r="AB6" s="298"/>
      <c r="AC6" s="298"/>
      <c r="AD6" s="261"/>
      <c r="AE6" s="250"/>
      <c r="AF6" s="250"/>
      <c r="AG6" s="30"/>
      <c r="AH6" s="30"/>
      <c r="AI6" s="30"/>
      <c r="AJ6" s="30"/>
      <c r="AK6" s="30"/>
      <c r="AL6" s="30">
        <v>25</v>
      </c>
      <c r="AM6" s="133">
        <v>26353.44411060214</v>
      </c>
      <c r="AN6" s="133">
        <v>7</v>
      </c>
      <c r="AO6" s="133">
        <v>2130</v>
      </c>
    </row>
    <row r="7" spans="1:53" ht="16.5" customHeight="1">
      <c r="A7" s="30"/>
      <c r="B7" s="1129" t="s">
        <v>216</v>
      </c>
      <c r="C7" s="1130"/>
      <c r="D7" s="1131"/>
      <c r="E7" s="1126" t="str">
        <f>IF(ISBLANK(General!$E$9),"",General!$E$9)</f>
        <v>EDCP</v>
      </c>
      <c r="F7" s="1127"/>
      <c r="G7" s="1127"/>
      <c r="H7" s="1127"/>
      <c r="I7" s="1128"/>
      <c r="J7" s="901" t="s">
        <v>217</v>
      </c>
      <c r="K7" s="902"/>
      <c r="L7" s="903"/>
      <c r="M7" s="1126" t="str">
        <f>IF(ISBLANK(General!$D$30),"",General!$D$30)</f>
        <v>84V-11</v>
      </c>
      <c r="N7" s="1127"/>
      <c r="O7" s="1127"/>
      <c r="P7" s="1127"/>
      <c r="Q7" s="1127"/>
      <c r="R7" s="1132"/>
      <c r="AG7" s="30"/>
      <c r="AH7" s="30"/>
      <c r="AI7" s="30"/>
      <c r="AJ7" s="30"/>
      <c r="AK7" s="30"/>
      <c r="AL7" s="133">
        <v>26</v>
      </c>
      <c r="AM7" s="133">
        <v>27403.52676925659</v>
      </c>
      <c r="AN7" s="133">
        <v>8</v>
      </c>
      <c r="AO7" s="133">
        <v>2434</v>
      </c>
      <c r="AP7" s="30"/>
      <c r="AQ7" s="30"/>
      <c r="AR7" s="30"/>
      <c r="AS7" s="30"/>
      <c r="AT7" s="30"/>
      <c r="AU7" s="30"/>
      <c r="AV7" s="30"/>
      <c r="AW7" s="30"/>
      <c r="AX7" s="30"/>
      <c r="AY7" s="30"/>
      <c r="AZ7" s="30"/>
      <c r="BA7" s="30"/>
    </row>
    <row r="8" spans="1:53" ht="16.5" customHeight="1">
      <c r="A8" s="30"/>
      <c r="B8" s="1123" t="s">
        <v>176</v>
      </c>
      <c r="C8" s="1124"/>
      <c r="D8" s="1125"/>
      <c r="E8" s="908" t="str">
        <f>IF(ISBLANK(General!$E$17),"",General!$E$17)</f>
        <v>Crude #3</v>
      </c>
      <c r="F8" s="909"/>
      <c r="G8" s="909"/>
      <c r="H8" s="909"/>
      <c r="I8" s="910"/>
      <c r="J8" s="911" t="s">
        <v>175</v>
      </c>
      <c r="K8" s="912"/>
      <c r="L8" s="913"/>
      <c r="M8" s="908" t="str">
        <f>IF(ISBLANK(General!$E$16),"",General!$E$16)</f>
        <v>Corpus Christi, TX</v>
      </c>
      <c r="N8" s="909"/>
      <c r="O8" s="909"/>
      <c r="P8" s="909"/>
      <c r="Q8" s="909"/>
      <c r="R8" s="914"/>
      <c r="AG8" s="30"/>
      <c r="AH8" s="30"/>
      <c r="AI8" s="30"/>
      <c r="AJ8" s="30"/>
      <c r="AK8" s="30"/>
      <c r="AL8" s="133">
        <v>27</v>
      </c>
      <c r="AM8" s="133">
        <v>28453.279281574487</v>
      </c>
      <c r="AN8" s="133">
        <v>9</v>
      </c>
      <c r="AO8" s="133">
        <v>2738</v>
      </c>
      <c r="AP8" s="30"/>
      <c r="AQ8" s="30"/>
      <c r="AR8" s="30"/>
      <c r="AS8" s="30"/>
      <c r="AT8" s="30"/>
      <c r="AU8" s="30"/>
      <c r="AV8" s="30"/>
      <c r="AW8" s="30"/>
      <c r="AX8" s="30"/>
      <c r="AY8" s="30"/>
      <c r="AZ8" s="30"/>
      <c r="BA8" s="30"/>
    </row>
    <row r="9" spans="1:53" ht="15" customHeight="1">
      <c r="A9" s="30"/>
      <c r="B9" s="1134" t="s">
        <v>265</v>
      </c>
      <c r="C9" s="1135"/>
      <c r="D9" s="1135"/>
      <c r="E9" s="1135"/>
      <c r="F9" s="1135"/>
      <c r="G9" s="1135"/>
      <c r="H9" s="1135"/>
      <c r="I9" s="1135"/>
      <c r="J9" s="1135"/>
      <c r="K9" s="1135"/>
      <c r="L9" s="1135"/>
      <c r="M9" s="1135"/>
      <c r="N9" s="1135"/>
      <c r="O9" s="1135"/>
      <c r="P9" s="1135"/>
      <c r="Q9" s="1135"/>
      <c r="R9" s="1136"/>
      <c r="AG9" s="30"/>
      <c r="AH9" s="30"/>
      <c r="AI9" s="30"/>
      <c r="AJ9" s="30"/>
      <c r="AK9" s="30"/>
      <c r="AL9" s="133">
        <v>28</v>
      </c>
      <c r="AM9" s="133">
        <v>29502.645076942445</v>
      </c>
      <c r="AN9" s="133">
        <v>10</v>
      </c>
      <c r="AO9" s="133">
        <v>3043</v>
      </c>
      <c r="AP9" s="30"/>
      <c r="AQ9" s="30"/>
      <c r="AR9" s="30"/>
      <c r="AS9" s="30"/>
      <c r="AT9" s="30"/>
      <c r="AU9" s="30"/>
      <c r="AV9" s="30"/>
      <c r="AW9" s="30"/>
      <c r="AX9" s="30"/>
      <c r="AY9" s="30"/>
      <c r="AZ9" s="30"/>
      <c r="BA9" s="30"/>
    </row>
    <row r="10" spans="1:53" ht="15.75">
      <c r="A10" s="30"/>
      <c r="B10" s="1059"/>
      <c r="C10" s="1060"/>
      <c r="D10" s="1120" t="s">
        <v>91</v>
      </c>
      <c r="E10" s="1121"/>
      <c r="F10" s="1121"/>
      <c r="G10" s="1121"/>
      <c r="H10" s="1121"/>
      <c r="I10" s="1121"/>
      <c r="J10" s="1121"/>
      <c r="K10" s="1133"/>
      <c r="L10" s="123"/>
      <c r="M10" s="1120" t="s">
        <v>95</v>
      </c>
      <c r="N10" s="1121"/>
      <c r="O10" s="1121"/>
      <c r="P10" s="1121"/>
      <c r="Q10" s="1121"/>
      <c r="R10" s="1122"/>
      <c r="AD10" s="261"/>
      <c r="AE10" s="261"/>
      <c r="AG10" s="30"/>
      <c r="AH10" s="30"/>
      <c r="AI10" s="30"/>
      <c r="AJ10" s="30"/>
      <c r="AK10" s="30"/>
      <c r="AL10" s="133">
        <v>29</v>
      </c>
      <c r="AM10" s="133">
        <v>30551.570514434577</v>
      </c>
      <c r="AN10" s="133">
        <v>11</v>
      </c>
      <c r="AO10" s="133">
        <v>3347</v>
      </c>
      <c r="AP10" s="30"/>
      <c r="AQ10" s="30"/>
      <c r="AR10" s="30"/>
      <c r="AS10" s="30"/>
      <c r="AT10" s="30"/>
      <c r="AU10" s="30"/>
      <c r="AV10" s="30"/>
      <c r="AW10" s="30"/>
      <c r="AX10" s="30"/>
      <c r="AY10" s="30"/>
      <c r="AZ10" s="30"/>
      <c r="BA10" s="30"/>
    </row>
    <row r="11" spans="1:53" ht="15.75">
      <c r="A11" s="30"/>
      <c r="B11" s="1059"/>
      <c r="C11" s="1060"/>
      <c r="D11" s="214" t="s">
        <v>8</v>
      </c>
      <c r="E11" s="215"/>
      <c r="F11" s="215"/>
      <c r="G11" s="215"/>
      <c r="H11" s="215"/>
      <c r="I11" s="216" t="s">
        <v>184</v>
      </c>
      <c r="J11" s="1146">
        <v>9682.74</v>
      </c>
      <c r="K11" s="1147"/>
      <c r="L11" s="124"/>
      <c r="M11" s="114"/>
      <c r="N11" s="59"/>
      <c r="O11" s="59"/>
      <c r="P11" s="59"/>
      <c r="Q11" s="59"/>
      <c r="R11" s="115"/>
      <c r="AG11" s="30"/>
      <c r="AH11" s="30"/>
      <c r="AI11" s="30"/>
      <c r="AJ11" s="30"/>
      <c r="AK11" s="30"/>
      <c r="AL11" s="133">
        <v>30</v>
      </c>
      <c r="AM11" s="133">
        <v>31600</v>
      </c>
      <c r="AN11" s="133">
        <v>12</v>
      </c>
      <c r="AO11" s="133">
        <v>3651</v>
      </c>
      <c r="AP11" s="30"/>
      <c r="AQ11" s="30"/>
      <c r="AR11" s="30"/>
      <c r="AS11" s="30"/>
      <c r="AT11" s="30"/>
      <c r="AU11" s="30"/>
      <c r="AV11" s="30"/>
      <c r="AW11" s="30"/>
      <c r="AX11" s="30"/>
      <c r="AY11" s="30"/>
      <c r="AZ11" s="30"/>
      <c r="BA11" s="30"/>
    </row>
    <row r="12" spans="1:53" ht="16.5" customHeight="1">
      <c r="A12" s="30"/>
      <c r="B12" s="1059"/>
      <c r="C12" s="1060"/>
      <c r="D12" s="214" t="s">
        <v>9</v>
      </c>
      <c r="E12" s="215"/>
      <c r="F12" s="215"/>
      <c r="G12" s="215"/>
      <c r="H12" s="215"/>
      <c r="I12" s="217" t="s">
        <v>34</v>
      </c>
      <c r="J12" s="1145">
        <v>115</v>
      </c>
      <c r="K12" s="1145"/>
      <c r="L12" s="123"/>
      <c r="M12" s="15"/>
      <c r="N12" s="131"/>
      <c r="O12" s="131"/>
      <c r="P12" s="240"/>
      <c r="Q12" s="131"/>
      <c r="R12" s="109"/>
      <c r="T12" s="261"/>
      <c r="AD12" s="261"/>
      <c r="AG12" s="30"/>
      <c r="AH12" s="30"/>
      <c r="AI12" s="30"/>
      <c r="AJ12" s="30"/>
      <c r="AK12" s="30"/>
      <c r="AL12" s="133">
        <v>31</v>
      </c>
      <c r="AM12" s="133">
        <v>32647.933533951844</v>
      </c>
      <c r="AN12" s="133">
        <v>13</v>
      </c>
      <c r="AO12" s="133">
        <v>3955</v>
      </c>
      <c r="AP12" s="30"/>
      <c r="AQ12" s="30"/>
      <c r="AR12" s="30"/>
      <c r="AS12" s="30"/>
      <c r="AT12" s="30"/>
      <c r="AU12" s="30"/>
      <c r="AV12" s="30"/>
      <c r="AW12" s="30"/>
      <c r="AX12" s="30"/>
      <c r="AY12" s="30"/>
      <c r="AZ12" s="30"/>
      <c r="BA12" s="30"/>
    </row>
    <row r="13" spans="1:53" ht="15.75" customHeight="1">
      <c r="A13" s="30"/>
      <c r="B13" s="1059"/>
      <c r="C13" s="1060"/>
      <c r="D13" s="214" t="s">
        <v>0</v>
      </c>
      <c r="E13" s="215"/>
      <c r="F13" s="215"/>
      <c r="G13" s="215"/>
      <c r="H13" s="215"/>
      <c r="I13" s="215" t="s">
        <v>7</v>
      </c>
      <c r="J13" s="1110">
        <v>30.2</v>
      </c>
      <c r="K13" s="1111"/>
      <c r="L13" s="123"/>
      <c r="M13" s="15"/>
      <c r="N13" s="21"/>
      <c r="O13" s="131"/>
      <c r="P13" s="131"/>
      <c r="Q13" s="131"/>
      <c r="R13" s="109"/>
      <c r="AG13" s="30"/>
      <c r="AH13" s="30"/>
      <c r="AI13" s="30"/>
      <c r="AJ13" s="30"/>
      <c r="AK13" s="30"/>
      <c r="AL13" s="133">
        <v>32</v>
      </c>
      <c r="AM13" s="133">
        <v>33695.591538328532</v>
      </c>
      <c r="AN13" s="133">
        <v>14</v>
      </c>
      <c r="AO13" s="133">
        <v>4260</v>
      </c>
      <c r="AP13" s="30"/>
      <c r="AQ13" s="30"/>
      <c r="AR13" s="30"/>
      <c r="AS13" s="30"/>
      <c r="AT13" s="30"/>
      <c r="AU13" s="30"/>
      <c r="AV13" s="30"/>
      <c r="AW13" s="30"/>
      <c r="AX13" s="30"/>
      <c r="AY13" s="30"/>
      <c r="AZ13" s="30"/>
      <c r="BA13" s="30"/>
    </row>
    <row r="14" spans="1:53" ht="18" customHeight="1">
      <c r="A14" s="30"/>
      <c r="B14" s="1059"/>
      <c r="C14" s="1060"/>
      <c r="D14" s="214" t="s">
        <v>13</v>
      </c>
      <c r="E14" s="215"/>
      <c r="F14" s="215"/>
      <c r="G14" s="215"/>
      <c r="H14" s="215"/>
      <c r="I14" s="217" t="s">
        <v>69</v>
      </c>
      <c r="J14" s="1083">
        <v>122</v>
      </c>
      <c r="K14" s="1084"/>
      <c r="L14" s="123"/>
      <c r="M14" s="15"/>
      <c r="N14" s="131"/>
      <c r="O14" s="131"/>
      <c r="P14" s="131"/>
      <c r="Q14" s="131"/>
      <c r="R14" s="109"/>
      <c r="T14" s="400" t="s">
        <v>131</v>
      </c>
      <c r="U14" s="248"/>
      <c r="V14" s="248"/>
      <c r="W14" s="248"/>
      <c r="X14" s="248"/>
      <c r="Y14" s="249"/>
      <c r="AG14" s="30"/>
      <c r="AH14" s="30"/>
      <c r="AI14" s="30"/>
      <c r="AJ14" s="30"/>
      <c r="AK14" s="30"/>
      <c r="AL14" s="133">
        <v>33</v>
      </c>
      <c r="AM14" s="133">
        <v>34743.24954327126</v>
      </c>
      <c r="AN14" s="133">
        <v>15</v>
      </c>
      <c r="AO14" s="133">
        <v>4563</v>
      </c>
      <c r="AP14" s="30"/>
      <c r="AQ14" s="30"/>
      <c r="AR14" s="30"/>
      <c r="AS14" s="30"/>
      <c r="AT14" s="30"/>
      <c r="AU14" s="30"/>
      <c r="AV14" s="30"/>
      <c r="AW14" s="30"/>
      <c r="AX14" s="30"/>
      <c r="AY14" s="30"/>
      <c r="AZ14" s="30"/>
      <c r="BA14" s="30"/>
    </row>
    <row r="15" spans="1:53" ht="15.75" customHeight="1">
      <c r="A15" s="30"/>
      <c r="B15" s="1059"/>
      <c r="C15" s="1060"/>
      <c r="D15" s="214" t="s">
        <v>15</v>
      </c>
      <c r="E15" s="215"/>
      <c r="F15" s="215"/>
      <c r="G15" s="215"/>
      <c r="H15" s="215"/>
      <c r="I15" s="215"/>
      <c r="J15" s="1097" t="s">
        <v>327</v>
      </c>
      <c r="K15" s="1098"/>
      <c r="L15" s="123"/>
      <c r="M15" s="15"/>
      <c r="N15" s="131"/>
      <c r="O15" s="131"/>
      <c r="P15" s="131"/>
      <c r="Q15" s="131"/>
      <c r="R15" s="109"/>
      <c r="T15" s="251" t="s">
        <v>107</v>
      </c>
      <c r="U15" s="252">
        <f>J36</f>
        <v>677.68999999999994</v>
      </c>
      <c r="V15" s="253" t="s">
        <v>109</v>
      </c>
      <c r="W15" s="252">
        <f>J36</f>
        <v>677.68999999999994</v>
      </c>
      <c r="X15" s="254"/>
      <c r="Y15" s="255"/>
      <c r="AD15" s="256"/>
      <c r="AG15" s="30"/>
      <c r="AH15" s="30"/>
      <c r="AI15" s="30"/>
      <c r="AJ15" s="30"/>
      <c r="AK15" s="30"/>
      <c r="AL15" s="133">
        <v>34</v>
      </c>
      <c r="AM15" s="133">
        <v>35791.183076841</v>
      </c>
      <c r="AN15" s="133">
        <v>16</v>
      </c>
      <c r="AO15" s="133">
        <v>4862</v>
      </c>
      <c r="AP15" s="30"/>
      <c r="AQ15" s="30"/>
      <c r="AR15" s="30"/>
      <c r="AS15" s="30"/>
      <c r="AT15" s="30"/>
      <c r="AU15" s="30"/>
      <c r="AV15" s="30"/>
      <c r="AW15" s="30"/>
      <c r="AX15" s="30"/>
      <c r="AY15" s="30"/>
      <c r="AZ15" s="30"/>
      <c r="BA15" s="30"/>
    </row>
    <row r="16" spans="1:53" ht="26.25" customHeight="1">
      <c r="A16" s="30"/>
      <c r="B16" s="1059"/>
      <c r="C16" s="1060"/>
      <c r="D16" s="214" t="s">
        <v>29</v>
      </c>
      <c r="E16" s="215"/>
      <c r="F16" s="215"/>
      <c r="G16" s="215"/>
      <c r="H16" s="215"/>
      <c r="I16" s="217" t="s">
        <v>148</v>
      </c>
      <c r="J16" s="1075">
        <v>0</v>
      </c>
      <c r="K16" s="1076"/>
      <c r="L16" s="8"/>
      <c r="M16" s="17" t="s">
        <v>152</v>
      </c>
      <c r="N16" s="131"/>
      <c r="O16" s="131"/>
      <c r="P16" s="131"/>
      <c r="Q16" s="131"/>
      <c r="R16" s="109"/>
      <c r="T16" s="251" t="s">
        <v>108</v>
      </c>
      <c r="U16" s="254">
        <f>(General!J34*0.0361273+14.7)*J34/((J14+460)*10.7316)</f>
        <v>0.4627147958452405</v>
      </c>
      <c r="V16" s="253" t="s">
        <v>110</v>
      </c>
      <c r="W16" s="254">
        <f>(General!J34+101.325)*J34/((J14+273)*8.314462)</f>
        <v>6.0655317098559589</v>
      </c>
      <c r="X16" s="254"/>
      <c r="Y16" s="255"/>
      <c r="AG16" s="30"/>
      <c r="AH16" s="30"/>
      <c r="AI16" s="30"/>
      <c r="AJ16" s="30"/>
      <c r="AK16" s="30"/>
      <c r="AL16" s="133">
        <v>35</v>
      </c>
      <c r="AM16" s="133">
        <v>36839.667668193579</v>
      </c>
      <c r="AN16" s="133">
        <v>17</v>
      </c>
      <c r="AO16" s="133">
        <v>5172</v>
      </c>
      <c r="AP16" s="30"/>
      <c r="AQ16" s="30"/>
      <c r="AR16" s="30"/>
      <c r="AS16" s="30"/>
      <c r="AT16" s="30"/>
      <c r="AU16" s="30"/>
      <c r="AV16" s="30"/>
      <c r="AW16" s="30"/>
      <c r="AX16" s="30"/>
      <c r="AY16" s="30"/>
      <c r="AZ16" s="30"/>
      <c r="BA16" s="30"/>
    </row>
    <row r="17" spans="1:53" ht="15.75" customHeight="1">
      <c r="A17" s="30"/>
      <c r="B17" s="1059"/>
      <c r="C17" s="1060"/>
      <c r="D17" s="214" t="s">
        <v>21</v>
      </c>
      <c r="E17" s="215"/>
      <c r="F17" s="215"/>
      <c r="G17" s="215"/>
      <c r="H17" s="215"/>
      <c r="I17" s="215"/>
      <c r="J17" s="1150" t="s">
        <v>17</v>
      </c>
      <c r="K17" s="1151"/>
      <c r="L17" s="123"/>
      <c r="M17" s="1114" t="s">
        <v>150</v>
      </c>
      <c r="N17" s="1112" t="s">
        <v>151</v>
      </c>
      <c r="O17" s="1112"/>
      <c r="P17" s="131"/>
      <c r="Q17" s="131"/>
      <c r="R17" s="109"/>
      <c r="T17" s="251" t="s">
        <v>112</v>
      </c>
      <c r="U17" s="254">
        <f>+U15*U16</f>
        <v>313.57718999636103</v>
      </c>
      <c r="V17" s="253" t="s">
        <v>111</v>
      </c>
      <c r="W17" s="254">
        <f>W16*W15</f>
        <v>4110.5501844522842</v>
      </c>
      <c r="X17" s="254"/>
      <c r="Y17" s="255"/>
      <c r="AG17" s="30"/>
      <c r="AH17" s="30"/>
      <c r="AI17" s="30"/>
      <c r="AJ17" s="30"/>
      <c r="AK17" s="30"/>
      <c r="AL17" s="133">
        <v>36</v>
      </c>
      <c r="AM17" s="133">
        <v>37888.978846101614</v>
      </c>
      <c r="AN17" s="133">
        <v>18</v>
      </c>
      <c r="AO17" s="133">
        <v>5497</v>
      </c>
      <c r="AP17" s="30"/>
      <c r="AQ17" s="30"/>
      <c r="AR17" s="30"/>
      <c r="AS17" s="30"/>
      <c r="AT17" s="30"/>
      <c r="AU17" s="30"/>
      <c r="AV17" s="30"/>
      <c r="AW17" s="30"/>
      <c r="AX17" s="30"/>
      <c r="AY17" s="30"/>
      <c r="AZ17" s="30"/>
      <c r="BA17" s="30"/>
    </row>
    <row r="18" spans="1:53" ht="15.75" customHeight="1">
      <c r="A18" s="30"/>
      <c r="B18" s="1059"/>
      <c r="C18" s="1060"/>
      <c r="D18" s="214" t="s">
        <v>23</v>
      </c>
      <c r="E18" s="215"/>
      <c r="F18" s="215"/>
      <c r="G18" s="215"/>
      <c r="H18" s="215"/>
      <c r="I18" s="215" t="s">
        <v>147</v>
      </c>
      <c r="J18" s="1148" t="s">
        <v>351</v>
      </c>
      <c r="K18" s="1149"/>
      <c r="L18" s="124"/>
      <c r="M18" s="1115"/>
      <c r="N18" s="1113"/>
      <c r="O18" s="1113"/>
      <c r="P18" s="131"/>
      <c r="Q18" s="131"/>
      <c r="R18" s="109"/>
      <c r="T18" s="257" t="s">
        <v>113</v>
      </c>
      <c r="U18" s="401">
        <f>(379.46/29)*U17*(29/(60+460))^0.5*((J14+460)/J34)^0.5</f>
        <v>1667.1686351864498</v>
      </c>
      <c r="V18" s="401"/>
      <c r="W18" s="402">
        <f>(22.414/29)*W17*3600*(29/(0+273.15))^0.5*((J14+273.15)/J34)^0.5</f>
        <v>5283375.2587090852</v>
      </c>
      <c r="X18" s="258"/>
      <c r="Y18" s="259"/>
      <c r="AD18" s="256"/>
      <c r="AG18" s="30"/>
      <c r="AH18" s="30"/>
      <c r="AI18" s="30"/>
      <c r="AJ18" s="30"/>
      <c r="AK18" s="30"/>
      <c r="AL18" s="133">
        <v>37</v>
      </c>
      <c r="AM18" s="133">
        <v>38939.392139425334</v>
      </c>
      <c r="AN18" s="133">
        <v>19</v>
      </c>
      <c r="AO18" s="133">
        <v>5780</v>
      </c>
      <c r="AP18" s="30"/>
      <c r="AQ18" s="30"/>
      <c r="AR18" s="30"/>
      <c r="AS18" s="30"/>
      <c r="AT18" s="30"/>
      <c r="AU18" s="30"/>
      <c r="AV18" s="30"/>
      <c r="AW18" s="30"/>
      <c r="AX18" s="30"/>
      <c r="AY18" s="30"/>
      <c r="AZ18" s="30"/>
      <c r="BA18" s="30"/>
    </row>
    <row r="19" spans="1:53" ht="15.75" customHeight="1">
      <c r="A19" s="30"/>
      <c r="B19" s="1059"/>
      <c r="C19" s="1060"/>
      <c r="D19" s="214" t="s">
        <v>24</v>
      </c>
      <c r="E19" s="215"/>
      <c r="F19" s="215"/>
      <c r="G19" s="215"/>
      <c r="H19" s="215"/>
      <c r="I19" s="215" t="str">
        <f>I18</f>
        <v>Btu/hr-ft-°F</v>
      </c>
      <c r="J19" s="1106" t="s">
        <v>351</v>
      </c>
      <c r="K19" s="1107"/>
      <c r="L19" s="124"/>
      <c r="M19" s="1" t="s">
        <v>17</v>
      </c>
      <c r="N19" s="1104">
        <v>2.8899999999999999E-2</v>
      </c>
      <c r="O19" s="1105"/>
      <c r="P19" s="131"/>
      <c r="Q19" s="131"/>
      <c r="R19" s="109"/>
      <c r="S19" s="394"/>
      <c r="AG19" s="30"/>
      <c r="AH19" s="30"/>
      <c r="AI19" s="30"/>
      <c r="AJ19" s="30"/>
      <c r="AK19" s="30"/>
      <c r="AL19" s="133">
        <v>38</v>
      </c>
      <c r="AM19" s="133">
        <v>39991.183076882604</v>
      </c>
      <c r="AN19" s="133">
        <v>20</v>
      </c>
      <c r="AO19" s="133">
        <v>5972</v>
      </c>
      <c r="AP19" s="30"/>
      <c r="AQ19" s="30"/>
      <c r="AR19" s="30"/>
      <c r="AS19" s="30"/>
      <c r="AT19" s="30"/>
      <c r="AU19" s="30"/>
      <c r="AV19" s="30"/>
      <c r="AW19" s="30"/>
      <c r="AX19" s="30"/>
      <c r="AY19" s="30"/>
      <c r="AZ19" s="30"/>
      <c r="BA19" s="30"/>
    </row>
    <row r="20" spans="1:53" ht="15.75" customHeight="1">
      <c r="A20" s="30"/>
      <c r="B20" s="1059"/>
      <c r="C20" s="1060"/>
      <c r="D20" s="214" t="s">
        <v>27</v>
      </c>
      <c r="E20" s="215"/>
      <c r="F20" s="215"/>
      <c r="G20" s="215"/>
      <c r="H20" s="215"/>
      <c r="I20" s="218" t="s">
        <v>155</v>
      </c>
      <c r="J20" s="1067">
        <v>0.7</v>
      </c>
      <c r="K20" s="1068"/>
      <c r="L20" s="12"/>
      <c r="M20" s="1" t="s">
        <v>18</v>
      </c>
      <c r="N20" s="1065">
        <v>2.3099999999999999E-2</v>
      </c>
      <c r="O20" s="1066"/>
      <c r="P20" s="131"/>
      <c r="Q20" s="131"/>
      <c r="R20" s="109"/>
      <c r="T20" s="260" t="s">
        <v>130</v>
      </c>
      <c r="U20" s="276"/>
      <c r="V20" s="276"/>
      <c r="W20" s="276"/>
      <c r="X20" s="276"/>
      <c r="Y20" s="276"/>
      <c r="Z20" s="276"/>
      <c r="AD20" s="256"/>
      <c r="AG20" s="30"/>
      <c r="AH20" s="30"/>
      <c r="AI20" s="30"/>
      <c r="AJ20" s="30"/>
      <c r="AK20" s="30"/>
      <c r="AL20" s="133">
        <v>39</v>
      </c>
      <c r="AM20" s="133">
        <v>41044.62718747394</v>
      </c>
      <c r="AN20" s="133">
        <v>21</v>
      </c>
      <c r="AO20" s="133">
        <v>6101</v>
      </c>
      <c r="AP20" s="30"/>
      <c r="AQ20" s="30"/>
      <c r="AR20" s="30"/>
      <c r="AS20" s="30"/>
      <c r="AT20" s="30"/>
      <c r="AU20" s="30"/>
      <c r="AV20" s="30"/>
      <c r="AW20" s="30"/>
      <c r="AX20" s="30"/>
      <c r="AY20" s="30"/>
      <c r="AZ20" s="30"/>
      <c r="BA20" s="30"/>
    </row>
    <row r="21" spans="1:53" ht="15.75" customHeight="1">
      <c r="A21" s="30"/>
      <c r="B21" s="1059"/>
      <c r="C21" s="1060"/>
      <c r="D21" s="214" t="s">
        <v>25</v>
      </c>
      <c r="E21" s="215"/>
      <c r="F21" s="215"/>
      <c r="G21" s="215"/>
      <c r="H21" s="215"/>
      <c r="I21" s="217" t="s">
        <v>44</v>
      </c>
      <c r="J21" s="1069">
        <v>1714.2706369519094</v>
      </c>
      <c r="K21" s="1070"/>
      <c r="L21" s="123"/>
      <c r="M21" s="1" t="s">
        <v>19</v>
      </c>
      <c r="N21" s="1065">
        <v>3.4700000000000002E-2</v>
      </c>
      <c r="O21" s="1066"/>
      <c r="P21" s="131"/>
      <c r="Q21" s="131"/>
      <c r="R21" s="109"/>
      <c r="T21" s="261" t="s">
        <v>123</v>
      </c>
      <c r="U21" s="261" t="s">
        <v>124</v>
      </c>
      <c r="AG21" s="30"/>
      <c r="AH21" s="30"/>
      <c r="AI21" s="30"/>
      <c r="AJ21" s="30"/>
      <c r="AK21" s="30"/>
      <c r="AL21" s="133">
        <v>40</v>
      </c>
      <c r="AM21" s="133">
        <v>42100</v>
      </c>
      <c r="AN21" s="133">
        <v>22</v>
      </c>
      <c r="AO21" s="133">
        <v>6217</v>
      </c>
      <c r="AP21" s="30"/>
      <c r="AQ21" s="30"/>
      <c r="AR21" s="30"/>
      <c r="AS21" s="30"/>
      <c r="AT21" s="30"/>
      <c r="AU21" s="30"/>
      <c r="AV21" s="30"/>
      <c r="AW21" s="30"/>
      <c r="AX21" s="30"/>
      <c r="AY21" s="30"/>
      <c r="AZ21" s="30"/>
      <c r="BA21" s="30"/>
    </row>
    <row r="22" spans="1:53" ht="15.75" customHeight="1">
      <c r="A22" s="30"/>
      <c r="B22" s="1059"/>
      <c r="C22" s="1060"/>
      <c r="D22" s="214" t="s">
        <v>326</v>
      </c>
      <c r="E22" s="215"/>
      <c r="F22" s="215"/>
      <c r="G22" s="215"/>
      <c r="H22" s="215"/>
      <c r="I22" s="215" t="s">
        <v>35</v>
      </c>
      <c r="J22" s="1071" t="s">
        <v>351</v>
      </c>
      <c r="K22" s="1072"/>
      <c r="L22" s="8"/>
      <c r="M22" s="2" t="s">
        <v>20</v>
      </c>
      <c r="N22" s="1065">
        <v>4.0399999999999998E-2</v>
      </c>
      <c r="O22" s="1066"/>
      <c r="P22" s="131"/>
      <c r="Q22" s="131"/>
      <c r="R22" s="109"/>
      <c r="T22" s="250">
        <v>20</v>
      </c>
      <c r="U22" s="250">
        <v>21100</v>
      </c>
      <c r="AG22" s="30">
        <v>2</v>
      </c>
      <c r="AH22" s="30">
        <v>608</v>
      </c>
      <c r="AI22" s="30"/>
      <c r="AJ22" s="30"/>
      <c r="AK22" s="30"/>
      <c r="AL22" s="133">
        <v>41</v>
      </c>
      <c r="AM22" s="133">
        <v>43157.456619190358</v>
      </c>
      <c r="AN22" s="133">
        <v>23</v>
      </c>
      <c r="AO22" s="133">
        <v>6358</v>
      </c>
      <c r="AP22" s="30"/>
      <c r="AQ22" s="30"/>
      <c r="AR22" s="30"/>
      <c r="AS22" s="30"/>
      <c r="AT22" s="30"/>
      <c r="AU22" s="30"/>
      <c r="AV22" s="30"/>
      <c r="AW22" s="30"/>
      <c r="AX22" s="30"/>
      <c r="AY22" s="30"/>
      <c r="AZ22" s="30"/>
      <c r="BA22" s="30"/>
    </row>
    <row r="23" spans="1:53" ht="15.75" customHeight="1">
      <c r="A23" s="30"/>
      <c r="B23" s="1059"/>
      <c r="C23" s="1060"/>
      <c r="D23" s="214"/>
      <c r="E23" s="215"/>
      <c r="F23" s="215"/>
      <c r="G23" s="215"/>
      <c r="H23" s="215"/>
      <c r="I23" s="215"/>
      <c r="J23" s="1108" t="s">
        <v>230</v>
      </c>
      <c r="K23" s="1109"/>
      <c r="L23" s="123"/>
      <c r="M23" s="15"/>
      <c r="N23" s="131"/>
      <c r="O23" s="131"/>
      <c r="P23" s="131"/>
      <c r="Q23" s="131"/>
      <c r="R23" s="109"/>
      <c r="T23" s="250">
        <v>30</v>
      </c>
      <c r="U23" s="250">
        <v>31600</v>
      </c>
      <c r="AG23" s="30">
        <v>3</v>
      </c>
      <c r="AH23" s="30">
        <v>913</v>
      </c>
      <c r="AI23" s="30"/>
      <c r="AJ23" s="30"/>
      <c r="AK23" s="30"/>
      <c r="AL23" s="133">
        <v>42</v>
      </c>
      <c r="AM23" s="133">
        <v>44216.67046243904</v>
      </c>
      <c r="AN23" s="133">
        <v>24</v>
      </c>
      <c r="AO23" s="133">
        <v>6518</v>
      </c>
      <c r="AP23" s="30"/>
      <c r="AQ23" s="30"/>
      <c r="AR23" s="30"/>
      <c r="AS23" s="30"/>
      <c r="AT23" s="30"/>
      <c r="AU23" s="30"/>
      <c r="AV23" s="30"/>
      <c r="AW23" s="30"/>
      <c r="AX23" s="30"/>
      <c r="AY23" s="30"/>
      <c r="AZ23" s="30"/>
      <c r="BA23" s="30"/>
    </row>
    <row r="24" spans="1:53" ht="15.75">
      <c r="A24" s="30"/>
      <c r="B24" s="1059"/>
      <c r="C24" s="1060"/>
      <c r="D24" s="1077" t="s">
        <v>92</v>
      </c>
      <c r="E24" s="1078"/>
      <c r="F24" s="1078"/>
      <c r="G24" s="1078"/>
      <c r="H24" s="1078"/>
      <c r="I24" s="1078"/>
      <c r="J24" s="1078"/>
      <c r="K24" s="1079"/>
      <c r="L24" s="123"/>
      <c r="M24" s="17" t="s">
        <v>99</v>
      </c>
      <c r="N24" s="131"/>
      <c r="O24" s="131"/>
      <c r="P24" s="131"/>
      <c r="Q24" s="131"/>
      <c r="R24" s="109"/>
      <c r="T24" s="250">
        <v>40</v>
      </c>
      <c r="U24" s="250">
        <v>42100</v>
      </c>
      <c r="AG24" s="30">
        <v>4</v>
      </c>
      <c r="AH24" s="30">
        <v>1217</v>
      </c>
      <c r="AI24" s="30"/>
      <c r="AJ24" s="30"/>
      <c r="AK24" s="30"/>
      <c r="AL24" s="133">
        <v>43</v>
      </c>
      <c r="AM24" s="133">
        <v>45277.194514938994</v>
      </c>
      <c r="AN24" s="133">
        <v>25</v>
      </c>
      <c r="AO24" s="133">
        <v>6684</v>
      </c>
      <c r="AP24" s="30"/>
      <c r="AQ24" s="30"/>
      <c r="AR24" s="30"/>
      <c r="AS24" s="30"/>
      <c r="AT24" s="30"/>
      <c r="AU24" s="30"/>
      <c r="AV24" s="30"/>
      <c r="AW24" s="30"/>
      <c r="AX24" s="30"/>
      <c r="AY24" s="30"/>
      <c r="AZ24" s="30"/>
      <c r="BA24" s="30"/>
    </row>
    <row r="25" spans="1:53" ht="17.25" customHeight="1">
      <c r="A25" s="30"/>
      <c r="B25" s="1059"/>
      <c r="C25" s="1060"/>
      <c r="D25" s="219" t="s">
        <v>85</v>
      </c>
      <c r="E25" s="215"/>
      <c r="F25" s="215"/>
      <c r="G25" s="215"/>
      <c r="H25" s="215"/>
      <c r="I25" s="217" t="s">
        <v>88</v>
      </c>
      <c r="J25" s="1099">
        <v>922.3</v>
      </c>
      <c r="K25" s="1100"/>
      <c r="L25" s="124"/>
      <c r="M25" s="14"/>
      <c r="N25" s="132"/>
      <c r="O25" s="132"/>
      <c r="P25" s="131"/>
      <c r="Q25" s="131"/>
      <c r="R25" s="109"/>
      <c r="T25" s="250">
        <v>50</v>
      </c>
      <c r="U25" s="250">
        <v>52700</v>
      </c>
      <c r="AG25" s="30">
        <v>5</v>
      </c>
      <c r="AH25" s="30">
        <v>1521</v>
      </c>
      <c r="AI25" s="30"/>
      <c r="AJ25" s="30"/>
      <c r="AK25" s="30"/>
      <c r="AL25" s="133">
        <v>44</v>
      </c>
      <c r="AM25" s="133">
        <v>46338.583723329044</v>
      </c>
      <c r="AN25" s="133">
        <v>26</v>
      </c>
      <c r="AO25" s="133">
        <v>6842</v>
      </c>
      <c r="AP25" s="30"/>
      <c r="AQ25" s="30"/>
      <c r="AR25" s="30"/>
      <c r="AS25" s="30"/>
      <c r="AT25" s="30"/>
      <c r="AU25" s="30"/>
      <c r="AV25" s="30"/>
      <c r="AW25" s="30"/>
      <c r="AX25" s="30"/>
      <c r="AY25" s="30"/>
      <c r="AZ25" s="30"/>
      <c r="BA25" s="30"/>
    </row>
    <row r="26" spans="1:53" ht="16.5" customHeight="1">
      <c r="A26" s="30"/>
      <c r="B26" s="1059"/>
      <c r="C26" s="1060"/>
      <c r="D26" s="1080" t="s">
        <v>106</v>
      </c>
      <c r="E26" s="1081"/>
      <c r="F26" s="1081"/>
      <c r="G26" s="1081"/>
      <c r="H26" s="1081"/>
      <c r="I26" s="1082"/>
      <c r="J26" s="1085">
        <v>6.5</v>
      </c>
      <c r="K26" s="1086"/>
      <c r="L26" s="123"/>
      <c r="M26" s="3"/>
      <c r="N26" s="1073" t="s">
        <v>1</v>
      </c>
      <c r="O26" s="1073"/>
      <c r="P26" s="1073"/>
      <c r="Q26" s="1073"/>
      <c r="R26" s="109"/>
      <c r="T26" s="250">
        <v>60</v>
      </c>
      <c r="U26" s="250">
        <v>63200</v>
      </c>
      <c r="AG26" s="30">
        <v>6</v>
      </c>
      <c r="AH26" s="30">
        <v>1825</v>
      </c>
      <c r="AI26" s="30"/>
      <c r="AJ26" s="30"/>
      <c r="AK26" s="30"/>
      <c r="AL26" s="133">
        <v>45</v>
      </c>
      <c r="AM26" s="133">
        <v>47400.385217368603</v>
      </c>
      <c r="AN26" s="133">
        <v>27</v>
      </c>
      <c r="AO26" s="133">
        <v>6992</v>
      </c>
      <c r="AP26" s="30"/>
      <c r="AQ26" s="30"/>
      <c r="AR26" s="30"/>
      <c r="AS26" s="30"/>
      <c r="AT26" s="30"/>
      <c r="AU26" s="30"/>
      <c r="AV26" s="30"/>
      <c r="AW26" s="30"/>
      <c r="AX26" s="30"/>
      <c r="AY26" s="30"/>
      <c r="AZ26" s="30"/>
      <c r="BA26" s="30"/>
    </row>
    <row r="27" spans="1:53" ht="15.75">
      <c r="A27" s="30"/>
      <c r="B27" s="1059"/>
      <c r="C27" s="1060"/>
      <c r="D27" s="214" t="s">
        <v>31</v>
      </c>
      <c r="E27" s="215"/>
      <c r="F27" s="215"/>
      <c r="G27" s="215"/>
      <c r="H27" s="215"/>
      <c r="I27" s="215"/>
      <c r="J27" s="1101">
        <v>1</v>
      </c>
      <c r="K27" s="1101"/>
      <c r="L27" s="123"/>
      <c r="M27" s="4"/>
      <c r="N27" s="1061" t="s">
        <v>86</v>
      </c>
      <c r="O27" s="1062"/>
      <c r="P27" s="1061" t="s">
        <v>87</v>
      </c>
      <c r="Q27" s="1062"/>
      <c r="R27" s="109"/>
      <c r="T27" s="250">
        <v>70</v>
      </c>
      <c r="U27" s="250">
        <v>73700</v>
      </c>
      <c r="AG27" s="30">
        <v>7</v>
      </c>
      <c r="AH27" s="30">
        <v>2130</v>
      </c>
      <c r="AI27" s="30"/>
      <c r="AJ27" s="30"/>
      <c r="AK27" s="30"/>
      <c r="AL27" s="133">
        <v>46</v>
      </c>
      <c r="AM27" s="133">
        <v>48462.157847099879</v>
      </c>
      <c r="AN27" s="133">
        <v>28</v>
      </c>
      <c r="AO27" s="133">
        <v>7135</v>
      </c>
      <c r="AP27" s="30"/>
      <c r="AQ27" s="30"/>
      <c r="AR27" s="30"/>
      <c r="AS27" s="30"/>
      <c r="AT27" s="30"/>
      <c r="AU27" s="30"/>
      <c r="AV27" s="30"/>
      <c r="AW27" s="30"/>
      <c r="AX27" s="30"/>
      <c r="AY27" s="30"/>
      <c r="AZ27" s="30"/>
      <c r="BA27" s="30"/>
    </row>
    <row r="28" spans="1:53" ht="15.75">
      <c r="A28" s="30"/>
      <c r="B28" s="1059"/>
      <c r="C28" s="1060"/>
      <c r="D28" s="214" t="s">
        <v>33</v>
      </c>
      <c r="E28" s="215"/>
      <c r="F28" s="215"/>
      <c r="G28" s="215"/>
      <c r="H28" s="215"/>
      <c r="I28" s="217" t="s">
        <v>88</v>
      </c>
      <c r="J28" s="1069">
        <v>12349.883545963883</v>
      </c>
      <c r="K28" s="1070"/>
      <c r="L28" s="124"/>
      <c r="M28" s="4" t="s">
        <v>0</v>
      </c>
      <c r="N28" s="1063"/>
      <c r="O28" s="1064"/>
      <c r="P28" s="1063"/>
      <c r="Q28" s="1064"/>
      <c r="R28" s="109"/>
      <c r="T28" s="250">
        <v>80</v>
      </c>
      <c r="U28" s="250">
        <v>84200</v>
      </c>
      <c r="AG28" s="30">
        <v>8</v>
      </c>
      <c r="AH28" s="30">
        <v>2434</v>
      </c>
      <c r="AI28" s="30"/>
      <c r="AJ28" s="30"/>
      <c r="AK28" s="30"/>
      <c r="AL28" s="133">
        <v>47</v>
      </c>
      <c r="AM28" s="133">
        <v>49523.453626277231</v>
      </c>
      <c r="AN28" s="133">
        <v>29</v>
      </c>
      <c r="AO28" s="133">
        <v>7274</v>
      </c>
      <c r="AP28" s="30"/>
      <c r="AQ28" s="30"/>
      <c r="AR28" s="30"/>
      <c r="AS28" s="30"/>
      <c r="AT28" s="30"/>
      <c r="AU28" s="30"/>
      <c r="AV28" s="30"/>
      <c r="AW28" s="30"/>
      <c r="AX28" s="30"/>
      <c r="AY28" s="30"/>
      <c r="AZ28" s="30"/>
      <c r="BA28" s="30"/>
    </row>
    <row r="29" spans="1:53" ht="15.75">
      <c r="A29" s="30"/>
      <c r="B29" s="1059"/>
      <c r="C29" s="1060"/>
      <c r="D29" s="214"/>
      <c r="E29" s="215"/>
      <c r="F29" s="215"/>
      <c r="G29" s="215"/>
      <c r="H29" s="215"/>
      <c r="I29" s="215"/>
      <c r="J29" s="1069"/>
      <c r="K29" s="1070"/>
      <c r="L29" s="123"/>
      <c r="M29" s="5"/>
      <c r="N29" s="1074" t="s">
        <v>22</v>
      </c>
      <c r="O29" s="1074"/>
      <c r="P29" s="1074"/>
      <c r="Q29" s="1074"/>
      <c r="R29" s="109"/>
      <c r="T29" s="250">
        <v>90</v>
      </c>
      <c r="U29" s="250">
        <v>94800</v>
      </c>
      <c r="AG29" s="30">
        <v>9</v>
      </c>
      <c r="AH29" s="30">
        <v>2738</v>
      </c>
      <c r="AI29" s="30"/>
      <c r="AJ29" s="30"/>
      <c r="AK29" s="30"/>
      <c r="AL29" s="133">
        <v>48</v>
      </c>
      <c r="AM29" s="133">
        <v>50583.822616099329</v>
      </c>
      <c r="AN29" s="133">
        <v>30</v>
      </c>
      <c r="AO29" s="133">
        <v>7411</v>
      </c>
      <c r="AP29" s="30"/>
      <c r="AQ29" s="30"/>
      <c r="AR29" s="30"/>
      <c r="AS29" s="30"/>
      <c r="AT29" s="30"/>
      <c r="AU29" s="30"/>
      <c r="AV29" s="30"/>
      <c r="AW29" s="30"/>
      <c r="AX29" s="30"/>
      <c r="AY29" s="30"/>
      <c r="AZ29" s="30"/>
      <c r="BA29" s="30"/>
    </row>
    <row r="30" spans="1:53" ht="15.75">
      <c r="A30" s="30"/>
      <c r="B30" s="1059"/>
      <c r="C30" s="1060"/>
      <c r="D30" s="214" t="s">
        <v>10</v>
      </c>
      <c r="E30" s="215"/>
      <c r="F30" s="215"/>
      <c r="G30" s="215"/>
      <c r="H30" s="215"/>
      <c r="I30" s="217" t="s">
        <v>88</v>
      </c>
      <c r="J30" s="1094">
        <v>13272.183545963882</v>
      </c>
      <c r="K30" s="1094"/>
      <c r="L30" s="124"/>
      <c r="M30" s="6"/>
      <c r="N30" s="125" t="s">
        <v>2</v>
      </c>
      <c r="O30" s="125" t="s">
        <v>3</v>
      </c>
      <c r="P30" s="125" t="s">
        <v>2</v>
      </c>
      <c r="Q30" s="125" t="s">
        <v>3</v>
      </c>
      <c r="R30" s="109"/>
      <c r="T30" s="250">
        <v>100</v>
      </c>
      <c r="U30" s="250">
        <v>105000</v>
      </c>
      <c r="AG30" s="30">
        <v>11</v>
      </c>
      <c r="AH30" s="30">
        <v>3347</v>
      </c>
      <c r="AI30" s="30"/>
      <c r="AJ30" s="30"/>
      <c r="AK30" s="30"/>
      <c r="AL30" s="133">
        <v>49</v>
      </c>
      <c r="AM30" s="133">
        <v>51642.820736009424</v>
      </c>
      <c r="AN30" s="133">
        <v>31</v>
      </c>
      <c r="AO30" s="133">
        <v>7548</v>
      </c>
      <c r="AP30" s="30"/>
      <c r="AQ30" s="30"/>
      <c r="AR30" s="30"/>
      <c r="AS30" s="30"/>
      <c r="AT30" s="30"/>
      <c r="AU30" s="30"/>
      <c r="AV30" s="30"/>
      <c r="AW30" s="30"/>
      <c r="AX30" s="30"/>
      <c r="AY30" s="30"/>
      <c r="AZ30" s="30"/>
      <c r="BA30" s="30"/>
    </row>
    <row r="31" spans="1:53" ht="15.75">
      <c r="A31" s="30"/>
      <c r="B31" s="1059"/>
      <c r="C31" s="1060"/>
      <c r="D31" s="220"/>
      <c r="E31" s="221"/>
      <c r="F31" s="221"/>
      <c r="G31" s="221"/>
      <c r="H31" s="221"/>
      <c r="I31" s="221"/>
      <c r="J31" s="215"/>
      <c r="K31" s="222"/>
      <c r="L31" s="124"/>
      <c r="M31" s="275" t="s">
        <v>4</v>
      </c>
      <c r="N31" s="126">
        <v>4</v>
      </c>
      <c r="O31" s="126">
        <v>6.5</v>
      </c>
      <c r="P31" s="126">
        <v>6.5</v>
      </c>
      <c r="Q31" s="126">
        <v>6.5</v>
      </c>
      <c r="R31" s="109"/>
      <c r="T31" s="250">
        <v>120</v>
      </c>
      <c r="U31" s="250">
        <v>126000</v>
      </c>
      <c r="AG31" s="30">
        <v>13</v>
      </c>
      <c r="AH31" s="30">
        <v>3955</v>
      </c>
      <c r="AI31" s="30"/>
      <c r="AJ31" s="30"/>
      <c r="AK31" s="30"/>
      <c r="AL31" s="133">
        <v>50</v>
      </c>
      <c r="AM31" s="133">
        <v>52700</v>
      </c>
      <c r="AN31" s="133">
        <v>32</v>
      </c>
      <c r="AO31" s="133">
        <v>7684</v>
      </c>
      <c r="AP31" s="30"/>
      <c r="AQ31" s="30"/>
      <c r="AR31" s="30"/>
      <c r="AS31" s="30"/>
      <c r="AT31" s="30"/>
      <c r="AU31" s="30"/>
      <c r="AV31" s="30"/>
      <c r="AW31" s="30"/>
      <c r="AX31" s="30"/>
      <c r="AY31" s="30"/>
      <c r="AZ31" s="30"/>
      <c r="BA31" s="30"/>
    </row>
    <row r="32" spans="1:53" ht="15.75">
      <c r="A32" s="30"/>
      <c r="B32" s="1059"/>
      <c r="C32" s="1060"/>
      <c r="D32" s="1077" t="s">
        <v>93</v>
      </c>
      <c r="E32" s="1078"/>
      <c r="F32" s="1078"/>
      <c r="G32" s="1078"/>
      <c r="H32" s="1078"/>
      <c r="I32" s="1078"/>
      <c r="J32" s="1078"/>
      <c r="K32" s="1079"/>
      <c r="L32" s="124"/>
      <c r="M32" s="275" t="s">
        <v>5</v>
      </c>
      <c r="N32" s="126">
        <v>3</v>
      </c>
      <c r="O32" s="126">
        <v>5</v>
      </c>
      <c r="P32" s="126">
        <v>5</v>
      </c>
      <c r="Q32" s="126">
        <v>5</v>
      </c>
      <c r="R32" s="109"/>
      <c r="T32" s="250">
        <v>140</v>
      </c>
      <c r="U32" s="250">
        <v>147000</v>
      </c>
      <c r="AG32" s="30">
        <v>15</v>
      </c>
      <c r="AH32" s="30">
        <v>4563</v>
      </c>
      <c r="AI32" s="30"/>
      <c r="AJ32" s="30"/>
      <c r="AK32" s="30"/>
      <c r="AL32" s="133">
        <v>51</v>
      </c>
      <c r="AM32" s="133">
        <v>53755.03998484023</v>
      </c>
      <c r="AN32" s="133">
        <v>33</v>
      </c>
      <c r="AO32" s="133">
        <v>7819</v>
      </c>
      <c r="AP32" s="30"/>
      <c r="AQ32" s="30"/>
      <c r="AR32" s="30"/>
      <c r="AS32" s="30"/>
      <c r="AT32" s="30"/>
      <c r="AU32" s="30"/>
      <c r="AV32" s="30"/>
      <c r="AW32" s="30"/>
      <c r="AX32" s="30"/>
      <c r="AY32" s="30"/>
      <c r="AZ32" s="30"/>
      <c r="BA32" s="30"/>
    </row>
    <row r="33" spans="1:53" ht="15.75">
      <c r="A33" s="30"/>
      <c r="B33" s="1059"/>
      <c r="C33" s="1060"/>
      <c r="D33" s="214" t="s">
        <v>30</v>
      </c>
      <c r="E33" s="221"/>
      <c r="F33" s="221"/>
      <c r="G33" s="221"/>
      <c r="H33" s="221"/>
      <c r="I33" s="215" t="s">
        <v>34</v>
      </c>
      <c r="J33" s="1099">
        <v>84.5</v>
      </c>
      <c r="K33" s="1100"/>
      <c r="L33" s="124"/>
      <c r="M33" s="275" t="s">
        <v>6</v>
      </c>
      <c r="N33" s="126">
        <v>2.5</v>
      </c>
      <c r="O33" s="126">
        <v>4</v>
      </c>
      <c r="P33" s="126">
        <v>4</v>
      </c>
      <c r="Q33" s="126">
        <v>4</v>
      </c>
      <c r="R33" s="109"/>
      <c r="T33" s="250">
        <v>160</v>
      </c>
      <c r="U33" s="250">
        <v>168000</v>
      </c>
      <c r="AG33" s="30">
        <v>17</v>
      </c>
      <c r="AH33" s="30">
        <v>5172</v>
      </c>
      <c r="AI33" s="30"/>
      <c r="AJ33" s="30"/>
      <c r="AK33" s="30"/>
      <c r="AL33" s="133">
        <v>52</v>
      </c>
      <c r="AM33" s="133">
        <v>54808.126610913954</v>
      </c>
      <c r="AN33" s="133">
        <v>34</v>
      </c>
      <c r="AO33" s="133">
        <v>7953</v>
      </c>
      <c r="AP33" s="30"/>
      <c r="AQ33" s="30"/>
      <c r="AR33" s="30"/>
      <c r="AS33" s="30"/>
      <c r="AT33" s="30"/>
      <c r="AU33" s="30"/>
      <c r="AV33" s="30"/>
      <c r="AW33" s="30"/>
      <c r="AX33" s="30"/>
      <c r="AY33" s="30"/>
      <c r="AZ33" s="30"/>
      <c r="BA33" s="30"/>
    </row>
    <row r="34" spans="1:53" ht="15.75" customHeight="1">
      <c r="A34" s="30"/>
      <c r="B34" s="1059"/>
      <c r="C34" s="1060"/>
      <c r="D34" s="214" t="s">
        <v>114</v>
      </c>
      <c r="E34" s="221"/>
      <c r="F34" s="221"/>
      <c r="G34" s="221"/>
      <c r="H34" s="221"/>
      <c r="I34" s="215"/>
      <c r="J34" s="1089">
        <v>196.6</v>
      </c>
      <c r="K34" s="1089"/>
      <c r="L34" s="124"/>
      <c r="M34" s="14"/>
      <c r="N34" s="132"/>
      <c r="O34" s="132"/>
      <c r="P34" s="131"/>
      <c r="Q34" s="9" t="s">
        <v>84</v>
      </c>
      <c r="R34" s="109"/>
      <c r="T34" s="250">
        <v>180</v>
      </c>
      <c r="U34" s="250">
        <v>190000</v>
      </c>
      <c r="AG34" s="30">
        <v>19</v>
      </c>
      <c r="AH34" s="30">
        <v>5780</v>
      </c>
      <c r="AI34" s="30"/>
      <c r="AJ34" s="30"/>
      <c r="AK34" s="30"/>
      <c r="AL34" s="133">
        <v>53</v>
      </c>
      <c r="AM34" s="133">
        <v>55859.572393324961</v>
      </c>
      <c r="AN34" s="133">
        <v>35</v>
      </c>
      <c r="AO34" s="133">
        <v>8086</v>
      </c>
      <c r="AP34" s="30"/>
      <c r="AQ34" s="30"/>
      <c r="AR34" s="30"/>
      <c r="AS34" s="30"/>
      <c r="AT34" s="30"/>
      <c r="AU34" s="30"/>
      <c r="AV34" s="30"/>
      <c r="AW34" s="30"/>
      <c r="AX34" s="30"/>
      <c r="AY34" s="30"/>
      <c r="AZ34" s="30"/>
      <c r="BA34" s="30"/>
    </row>
    <row r="35" spans="1:53" ht="15.75">
      <c r="A35" s="30"/>
      <c r="B35" s="1059"/>
      <c r="C35" s="1060"/>
      <c r="D35" s="1077" t="s">
        <v>94</v>
      </c>
      <c r="E35" s="1078"/>
      <c r="F35" s="1078"/>
      <c r="G35" s="1078"/>
      <c r="H35" s="1078"/>
      <c r="I35" s="1078"/>
      <c r="J35" s="1078"/>
      <c r="K35" s="1079"/>
      <c r="L35" s="124"/>
      <c r="M35" s="17" t="s">
        <v>100</v>
      </c>
      <c r="N35" s="132"/>
      <c r="O35" s="132"/>
      <c r="P35" s="131"/>
      <c r="Q35" s="131"/>
      <c r="R35" s="109"/>
      <c r="T35" s="250">
        <v>200</v>
      </c>
      <c r="U35" s="250">
        <v>211000</v>
      </c>
      <c r="AD35" s="117"/>
      <c r="AE35" s="117"/>
      <c r="AF35" s="117"/>
      <c r="AG35" s="117">
        <v>22</v>
      </c>
      <c r="AH35" s="117">
        <v>6217</v>
      </c>
      <c r="AI35" s="117"/>
      <c r="AJ35" s="117"/>
      <c r="AK35" s="30"/>
      <c r="AL35" s="133">
        <v>54</v>
      </c>
      <c r="AM35" s="133">
        <v>56909.691791748497</v>
      </c>
      <c r="AN35" s="133">
        <v>36</v>
      </c>
      <c r="AO35" s="133">
        <v>8217</v>
      </c>
      <c r="AP35" s="30"/>
      <c r="AQ35" s="30"/>
      <c r="AR35" s="30"/>
      <c r="AS35" s="30"/>
      <c r="AT35" s="30"/>
      <c r="AU35" s="30"/>
      <c r="AV35" s="30"/>
      <c r="AW35" s="30"/>
      <c r="AX35" s="30"/>
      <c r="AY35" s="30"/>
      <c r="AZ35" s="30"/>
      <c r="BA35" s="30"/>
    </row>
    <row r="36" spans="1:53" ht="16.5" customHeight="1">
      <c r="A36" s="30"/>
      <c r="B36" s="1059"/>
      <c r="C36" s="1060"/>
      <c r="D36" s="219" t="s">
        <v>89</v>
      </c>
      <c r="E36" s="215"/>
      <c r="F36" s="215"/>
      <c r="G36" s="215"/>
      <c r="H36" s="215"/>
      <c r="I36" s="217" t="s">
        <v>323</v>
      </c>
      <c r="J36" s="1103">
        <v>677.68999999999994</v>
      </c>
      <c r="K36" s="1103"/>
      <c r="L36" s="123"/>
      <c r="M36" s="16"/>
      <c r="N36" s="131"/>
      <c r="O36" s="132"/>
      <c r="P36" s="131"/>
      <c r="Q36" s="131"/>
      <c r="R36" s="109"/>
      <c r="T36" s="250">
        <v>250</v>
      </c>
      <c r="U36" s="250">
        <v>239000</v>
      </c>
      <c r="AD36" s="117"/>
      <c r="AE36" s="117"/>
      <c r="AF36" s="117"/>
      <c r="AG36" s="117">
        <v>25</v>
      </c>
      <c r="AH36" s="117">
        <v>6684</v>
      </c>
      <c r="AI36" s="117"/>
      <c r="AJ36" s="117"/>
      <c r="AK36" s="30"/>
      <c r="AL36" s="133">
        <v>55</v>
      </c>
      <c r="AM36" s="133">
        <v>57958.791457861662</v>
      </c>
      <c r="AN36" s="133">
        <v>37</v>
      </c>
      <c r="AO36" s="133">
        <v>8345</v>
      </c>
      <c r="AP36" s="30"/>
      <c r="AQ36" s="30"/>
      <c r="AR36" s="30"/>
      <c r="AS36" s="30"/>
      <c r="AT36" s="30"/>
      <c r="AU36" s="30"/>
      <c r="AV36" s="30"/>
      <c r="AW36" s="30"/>
      <c r="AX36" s="30"/>
      <c r="AY36" s="30"/>
      <c r="AZ36" s="30"/>
      <c r="BA36" s="30"/>
    </row>
    <row r="37" spans="1:53" ht="15.75" customHeight="1">
      <c r="A37" s="30"/>
      <c r="B37" s="1059"/>
      <c r="C37" s="1060"/>
      <c r="D37" s="214" t="s">
        <v>28</v>
      </c>
      <c r="E37" s="215"/>
      <c r="F37" s="215"/>
      <c r="G37" s="215"/>
      <c r="H37" s="215"/>
      <c r="I37" s="215"/>
      <c r="J37" s="1102">
        <v>0.32</v>
      </c>
      <c r="K37" s="1102"/>
      <c r="L37" s="123"/>
      <c r="M37" s="7" t="s">
        <v>0</v>
      </c>
      <c r="N37" s="274" t="s">
        <v>11</v>
      </c>
      <c r="O37" s="131"/>
      <c r="P37" s="131"/>
      <c r="Q37" s="131"/>
      <c r="R37" s="109"/>
      <c r="T37" s="250">
        <v>300</v>
      </c>
      <c r="U37" s="250">
        <v>265000</v>
      </c>
      <c r="AG37" s="30">
        <v>30</v>
      </c>
      <c r="AH37" s="30">
        <v>7411</v>
      </c>
      <c r="AI37" s="30"/>
      <c r="AJ37" s="30"/>
      <c r="AK37" s="30"/>
      <c r="AL37" s="133">
        <v>56</v>
      </c>
      <c r="AM37" s="133">
        <v>59007.18976051591</v>
      </c>
      <c r="AN37" s="133">
        <v>38</v>
      </c>
      <c r="AO37" s="133">
        <v>8472</v>
      </c>
      <c r="AP37" s="30"/>
      <c r="AQ37" s="30"/>
      <c r="AR37" s="30"/>
      <c r="AS37" s="30"/>
      <c r="AT37" s="30"/>
      <c r="AU37" s="30"/>
      <c r="AV37" s="30"/>
      <c r="AW37" s="30"/>
      <c r="AX37" s="30"/>
      <c r="AY37" s="30"/>
      <c r="AZ37" s="30"/>
      <c r="BA37" s="30"/>
    </row>
    <row r="38" spans="1:53" ht="19.5" customHeight="1">
      <c r="A38" s="30"/>
      <c r="B38" s="1059"/>
      <c r="C38" s="1060"/>
      <c r="D38" s="214" t="s">
        <v>31</v>
      </c>
      <c r="E38" s="215"/>
      <c r="F38" s="215"/>
      <c r="G38" s="215"/>
      <c r="H38" s="215"/>
      <c r="I38" s="215"/>
      <c r="J38" s="1101">
        <v>1</v>
      </c>
      <c r="K38" s="1101"/>
      <c r="L38" s="123"/>
      <c r="M38" s="275" t="s">
        <v>4</v>
      </c>
      <c r="N38" s="126">
        <v>0.32</v>
      </c>
      <c r="O38" s="131"/>
      <c r="P38" s="131"/>
      <c r="Q38" s="131"/>
      <c r="R38" s="109"/>
      <c r="T38" s="250">
        <v>350</v>
      </c>
      <c r="U38" s="250">
        <v>288000</v>
      </c>
      <c r="V38" s="262" t="s">
        <v>125</v>
      </c>
      <c r="W38" s="262" t="s">
        <v>126</v>
      </c>
      <c r="Y38" s="263" t="s">
        <v>132</v>
      </c>
      <c r="Z38" s="963" t="s">
        <v>122</v>
      </c>
      <c r="AA38" s="964"/>
      <c r="AB38" s="965" t="s">
        <v>129</v>
      </c>
      <c r="AC38" s="966"/>
      <c r="AD38" s="949" t="s">
        <v>361</v>
      </c>
      <c r="AE38" s="950"/>
      <c r="AG38" s="30">
        <v>35</v>
      </c>
      <c r="AH38" s="30">
        <v>8086</v>
      </c>
      <c r="AI38" s="30"/>
      <c r="AJ38" s="30"/>
      <c r="AK38" s="30"/>
      <c r="AL38" s="133">
        <v>57</v>
      </c>
      <c r="AM38" s="133">
        <v>60055.198232985356</v>
      </c>
      <c r="AN38" s="133">
        <v>39</v>
      </c>
      <c r="AO38" s="133">
        <v>8597</v>
      </c>
      <c r="AP38" s="30"/>
      <c r="AQ38" s="30"/>
      <c r="AR38" s="30"/>
      <c r="AS38" s="30"/>
      <c r="AT38" s="30"/>
      <c r="AU38" s="30"/>
      <c r="AV38" s="30"/>
      <c r="AW38" s="30"/>
      <c r="AX38" s="30"/>
      <c r="AY38" s="30"/>
      <c r="AZ38" s="30"/>
      <c r="BA38" s="30"/>
    </row>
    <row r="39" spans="1:53" ht="15.75" customHeight="1">
      <c r="A39" s="30"/>
      <c r="B39" s="1059"/>
      <c r="C39" s="1060"/>
      <c r="D39" s="214" t="s">
        <v>32</v>
      </c>
      <c r="E39" s="215"/>
      <c r="F39" s="215"/>
      <c r="G39" s="215"/>
      <c r="H39" s="215"/>
      <c r="I39" s="217" t="s">
        <v>88</v>
      </c>
      <c r="J39" s="1090">
        <v>1868.6388290543068</v>
      </c>
      <c r="K39" s="1090"/>
      <c r="L39" s="123"/>
      <c r="M39" s="275" t="s">
        <v>5</v>
      </c>
      <c r="N39" s="126">
        <v>0.25</v>
      </c>
      <c r="O39" s="132"/>
      <c r="P39" s="131"/>
      <c r="Q39" s="131"/>
      <c r="R39" s="109"/>
      <c r="T39" s="250">
        <v>400</v>
      </c>
      <c r="U39" s="250">
        <v>312000</v>
      </c>
      <c r="V39" s="264">
        <f>J51</f>
        <v>1714.2706369519094</v>
      </c>
      <c r="W39" s="250">
        <f>VLOOKUP(ROUND($V$39,0),AL1:AM2781,2,FALSE)</f>
        <v>628439.17378670117</v>
      </c>
      <c r="Y39" s="265" t="s">
        <v>127</v>
      </c>
      <c r="Z39" s="266" t="s">
        <v>50</v>
      </c>
      <c r="AA39" s="267"/>
      <c r="AB39" s="268">
        <f>W39</f>
        <v>628439.17378670117</v>
      </c>
      <c r="AC39" s="269"/>
      <c r="AD39" s="961" t="e">
        <f>W40</f>
        <v>#N/A</v>
      </c>
      <c r="AE39" s="962"/>
      <c r="AG39" s="30">
        <v>40</v>
      </c>
      <c r="AH39" s="30">
        <v>8721</v>
      </c>
      <c r="AI39" s="30"/>
      <c r="AJ39" s="30"/>
      <c r="AK39" s="30"/>
      <c r="AL39" s="133">
        <v>58</v>
      </c>
      <c r="AM39" s="133">
        <v>61103.126454833844</v>
      </c>
      <c r="AN39" s="133">
        <v>40</v>
      </c>
      <c r="AO39" s="133">
        <v>8721</v>
      </c>
      <c r="AP39" s="30"/>
      <c r="AQ39" s="30"/>
      <c r="AR39" s="30"/>
      <c r="AS39" s="30"/>
      <c r="AT39" s="30"/>
      <c r="AU39" s="30"/>
      <c r="AV39" s="30"/>
      <c r="AW39" s="30"/>
      <c r="AX39" s="30"/>
      <c r="AY39" s="30"/>
      <c r="AZ39" s="30"/>
      <c r="BA39" s="30"/>
    </row>
    <row r="40" spans="1:53" ht="15.75">
      <c r="A40" s="30"/>
      <c r="B40" s="1059"/>
      <c r="C40" s="1060"/>
      <c r="D40" s="219" t="s">
        <v>89</v>
      </c>
      <c r="E40" s="215"/>
      <c r="F40" s="215"/>
      <c r="G40" s="215"/>
      <c r="H40" s="215"/>
      <c r="I40" s="217" t="s">
        <v>88</v>
      </c>
      <c r="J40" s="1087">
        <v>1667.1686351864498</v>
      </c>
      <c r="K40" s="1088"/>
      <c r="L40" s="123"/>
      <c r="M40" s="275" t="s">
        <v>6</v>
      </c>
      <c r="N40" s="126">
        <v>0.2</v>
      </c>
      <c r="O40" s="131"/>
      <c r="P40" s="131"/>
      <c r="Q40" s="131"/>
      <c r="R40" s="109"/>
      <c r="T40" s="250">
        <v>500</v>
      </c>
      <c r="U40" s="250">
        <v>354000</v>
      </c>
      <c r="W40" s="250" t="e">
        <f>VLOOKUP(ROUND($V$39,0),AN1:AO259,2,FALSE)</f>
        <v>#N/A</v>
      </c>
      <c r="Y40" s="265" t="s">
        <v>128</v>
      </c>
      <c r="Z40" s="270" t="s">
        <v>53</v>
      </c>
      <c r="AA40" s="267"/>
      <c r="AB40" s="268">
        <v>742000</v>
      </c>
      <c r="AC40" s="269"/>
      <c r="AD40" s="961">
        <v>19910</v>
      </c>
      <c r="AE40" s="962"/>
      <c r="AG40" s="30">
        <v>45</v>
      </c>
      <c r="AH40" s="30">
        <v>9322</v>
      </c>
      <c r="AI40" s="30"/>
      <c r="AJ40" s="30"/>
      <c r="AK40" s="30"/>
      <c r="AL40" s="133">
        <v>59</v>
      </c>
      <c r="AM40" s="133">
        <v>62151.289866162289</v>
      </c>
      <c r="AN40" s="133">
        <v>41</v>
      </c>
      <c r="AO40" s="133">
        <v>8844</v>
      </c>
      <c r="AP40" s="30"/>
      <c r="AQ40" s="30"/>
      <c r="AR40" s="30"/>
      <c r="AS40" s="30"/>
      <c r="AT40" s="30"/>
      <c r="AU40" s="30"/>
      <c r="AV40" s="30"/>
      <c r="AW40" s="30"/>
      <c r="AX40" s="30"/>
      <c r="AY40" s="30"/>
      <c r="AZ40" s="30"/>
      <c r="BA40" s="30"/>
    </row>
    <row r="41" spans="1:53" ht="15.75">
      <c r="A41" s="30"/>
      <c r="B41" s="1059"/>
      <c r="C41" s="1060"/>
      <c r="D41" s="214" t="s">
        <v>12</v>
      </c>
      <c r="E41" s="215"/>
      <c r="F41" s="215"/>
      <c r="G41" s="215"/>
      <c r="H41" s="215"/>
      <c r="I41" s="217" t="s">
        <v>88</v>
      </c>
      <c r="J41" s="1091">
        <v>3535.8074642407564</v>
      </c>
      <c r="K41" s="1091"/>
      <c r="L41" s="123"/>
      <c r="M41" s="15"/>
      <c r="N41" s="131"/>
      <c r="O41" s="131"/>
      <c r="P41" s="131"/>
      <c r="Q41" s="131"/>
      <c r="R41" s="109"/>
      <c r="T41" s="250">
        <v>600</v>
      </c>
      <c r="U41" s="250">
        <v>392000</v>
      </c>
      <c r="Y41" s="265" t="s">
        <v>128</v>
      </c>
      <c r="Z41" s="270" t="s">
        <v>51</v>
      </c>
      <c r="AA41" s="267"/>
      <c r="AB41" s="268">
        <f>1107*J52*J51^0.82</f>
        <v>496698.35044033278</v>
      </c>
      <c r="AC41" s="269"/>
      <c r="AD41" s="961">
        <f>208.2*J52*J51^0.82</f>
        <v>93416.979730512452</v>
      </c>
      <c r="AE41" s="962"/>
      <c r="AG41" s="30">
        <v>50</v>
      </c>
      <c r="AH41" s="30">
        <v>9895</v>
      </c>
      <c r="AI41" s="30"/>
      <c r="AJ41" s="30"/>
      <c r="AK41" s="30"/>
      <c r="AL41" s="133">
        <v>60</v>
      </c>
      <c r="AM41" s="133">
        <v>63200</v>
      </c>
      <c r="AN41" s="133">
        <v>42</v>
      </c>
      <c r="AO41" s="133">
        <v>8965</v>
      </c>
      <c r="AP41" s="30"/>
      <c r="AQ41" s="30"/>
      <c r="AR41" s="30"/>
      <c r="AS41" s="30"/>
      <c r="AT41" s="30"/>
      <c r="AU41" s="30"/>
      <c r="AV41" s="30"/>
      <c r="AW41" s="30"/>
      <c r="AX41" s="30"/>
      <c r="AY41" s="30"/>
      <c r="AZ41" s="30"/>
      <c r="BA41" s="30"/>
    </row>
    <row r="42" spans="1:53" ht="15.75">
      <c r="A42" s="30"/>
      <c r="B42" s="1059"/>
      <c r="C42" s="1060"/>
      <c r="D42" s="220"/>
      <c r="E42" s="221"/>
      <c r="F42" s="221"/>
      <c r="G42" s="221"/>
      <c r="H42" s="221"/>
      <c r="I42" s="221"/>
      <c r="J42" s="215"/>
      <c r="K42" s="222"/>
      <c r="L42" s="124"/>
      <c r="M42" s="14"/>
      <c r="N42" s="132"/>
      <c r="O42" s="132"/>
      <c r="P42" s="131"/>
      <c r="Q42" s="131"/>
      <c r="R42" s="109"/>
      <c r="T42" s="250">
        <v>700</v>
      </c>
      <c r="U42" s="250">
        <v>428000</v>
      </c>
      <c r="AG42" s="30">
        <v>60</v>
      </c>
      <c r="AH42" s="30">
        <v>10971</v>
      </c>
      <c r="AI42" s="30"/>
      <c r="AJ42" s="30"/>
      <c r="AK42" s="30"/>
      <c r="AL42" s="133">
        <v>61</v>
      </c>
      <c r="AM42" s="133">
        <v>64249.483442283192</v>
      </c>
      <c r="AN42" s="133">
        <v>43</v>
      </c>
      <c r="AO42" s="133">
        <v>9085</v>
      </c>
      <c r="AP42" s="30"/>
      <c r="AQ42" s="30"/>
      <c r="AR42" s="30"/>
      <c r="AS42" s="30"/>
      <c r="AT42" s="30"/>
      <c r="AU42" s="30"/>
      <c r="AV42" s="30"/>
      <c r="AW42" s="30"/>
      <c r="AX42" s="30"/>
      <c r="AY42" s="30"/>
      <c r="AZ42" s="30"/>
      <c r="BA42" s="30"/>
    </row>
    <row r="43" spans="1:53" ht="22.5" customHeight="1">
      <c r="A43" s="30"/>
      <c r="B43" s="120"/>
      <c r="C43" s="121"/>
      <c r="D43" s="220"/>
      <c r="E43" s="221"/>
      <c r="F43" s="221"/>
      <c r="G43" s="221"/>
      <c r="H43" s="221"/>
      <c r="I43" s="221"/>
      <c r="J43" s="215"/>
      <c r="K43" s="222"/>
      <c r="L43" s="124"/>
      <c r="M43" s="17" t="s">
        <v>101</v>
      </c>
      <c r="N43" s="132"/>
      <c r="O43" s="132"/>
      <c r="P43" s="131"/>
      <c r="Q43" s="131"/>
      <c r="R43" s="109"/>
      <c r="T43" s="250">
        <v>800</v>
      </c>
      <c r="U43" s="250">
        <v>462000</v>
      </c>
      <c r="AG43" s="30">
        <v>70</v>
      </c>
      <c r="AH43" s="30">
        <v>11971</v>
      </c>
      <c r="AI43" s="30"/>
      <c r="AJ43" s="30"/>
      <c r="AK43" s="30"/>
      <c r="AL43" s="133">
        <v>62</v>
      </c>
      <c r="AM43" s="133">
        <v>65299.623088421526</v>
      </c>
      <c r="AN43" s="133">
        <v>44</v>
      </c>
      <c r="AO43" s="133">
        <v>9204</v>
      </c>
      <c r="AP43" s="30"/>
      <c r="AQ43" s="30"/>
      <c r="AR43" s="30"/>
      <c r="AS43" s="30"/>
      <c r="AT43" s="30"/>
      <c r="AU43" s="30"/>
      <c r="AV43" s="30"/>
      <c r="AW43" s="30"/>
      <c r="AX43" s="30"/>
      <c r="AY43" s="30"/>
      <c r="AZ43" s="30"/>
      <c r="BA43" s="30"/>
    </row>
    <row r="44" spans="1:53" ht="22.5" customHeight="1">
      <c r="A44" s="30"/>
      <c r="B44" s="120"/>
      <c r="C44" s="121"/>
      <c r="D44" s="1077" t="s">
        <v>96</v>
      </c>
      <c r="E44" s="1078"/>
      <c r="F44" s="1078"/>
      <c r="G44" s="1078"/>
      <c r="H44" s="1078"/>
      <c r="I44" s="1078"/>
      <c r="J44" s="1078"/>
      <c r="K44" s="1079"/>
      <c r="L44" s="124"/>
      <c r="M44" s="360" t="s">
        <v>132</v>
      </c>
      <c r="N44" s="949" t="s">
        <v>122</v>
      </c>
      <c r="O44" s="950"/>
      <c r="P44" s="949" t="s">
        <v>41</v>
      </c>
      <c r="Q44" s="950"/>
      <c r="R44" s="109"/>
      <c r="T44" s="250">
        <v>900</v>
      </c>
      <c r="U44" s="250">
        <v>493000</v>
      </c>
      <c r="W44" s="262"/>
      <c r="Y44" s="262" t="s">
        <v>133</v>
      </c>
      <c r="Z44" s="399">
        <f>IF(AND(J51&lt;2800,J46&lt;=15),AB39,IF(AND(J51&gt;=2800,J46&lt;=1),AB40,IF(AND(J51&gt;=2800,J46&gt;1,J46&lt;=15),AB41)))</f>
        <v>628439.17378670117</v>
      </c>
      <c r="AA44" s="261" t="s">
        <v>134</v>
      </c>
      <c r="AB44" s="399">
        <f>IF(J48&lt;0,3.091*(((J53*J52)/J47)*(((J48*-1)/J49)^0.5)),3.091*(((J53*J52)/J47)*(((J48/J49)^0.5))))</f>
        <v>725014.34300136671</v>
      </c>
      <c r="AG44" s="30">
        <v>80</v>
      </c>
      <c r="AH44" s="30">
        <v>12911</v>
      </c>
      <c r="AI44" s="30"/>
      <c r="AJ44" s="30"/>
      <c r="AK44" s="30"/>
      <c r="AL44" s="133">
        <v>63</v>
      </c>
      <c r="AM44" s="133">
        <v>66350.215906813974</v>
      </c>
      <c r="AN44" s="133">
        <v>45</v>
      </c>
      <c r="AO44" s="133">
        <v>9322</v>
      </c>
      <c r="AP44" s="30"/>
      <c r="AQ44" s="30"/>
      <c r="AR44" s="30"/>
      <c r="AS44" s="30"/>
      <c r="AT44" s="30"/>
      <c r="AU44" s="30"/>
      <c r="AV44" s="30"/>
      <c r="AW44" s="30"/>
      <c r="AX44" s="30"/>
      <c r="AY44" s="30"/>
      <c r="AZ44" s="30"/>
      <c r="BA44" s="30"/>
    </row>
    <row r="45" spans="1:53" ht="16.5">
      <c r="A45" s="30"/>
      <c r="B45" s="120"/>
      <c r="C45" s="121"/>
      <c r="D45" s="973" t="s">
        <v>43</v>
      </c>
      <c r="E45" s="974"/>
      <c r="F45" s="974"/>
      <c r="G45" s="974"/>
      <c r="H45" s="974"/>
      <c r="I45" s="217" t="s">
        <v>35</v>
      </c>
      <c r="J45" s="1092">
        <v>20</v>
      </c>
      <c r="K45" s="1093"/>
      <c r="L45" s="124"/>
      <c r="M45" s="361" t="s">
        <v>47</v>
      </c>
      <c r="N45" s="936" t="s">
        <v>50</v>
      </c>
      <c r="O45" s="935"/>
      <c r="P45" s="955" t="s">
        <v>55</v>
      </c>
      <c r="Q45" s="935"/>
      <c r="R45" s="109"/>
      <c r="T45" s="250">
        <v>1000</v>
      </c>
      <c r="U45" s="250">
        <v>524000</v>
      </c>
      <c r="Z45" s="399">
        <f>IF(AND(J51&lt;260,J46&lt;=103.4),AD39,IF(AND(J51&gt;=260,J46&lt;=7),AD40,IF(AND(J51&gt;=260,J46&gt;7,J46&lt;=103.4),AD41)))</f>
        <v>19910</v>
      </c>
      <c r="AB45" s="432">
        <f>IF(J48&lt;0,906.6*(((J53*J52)/J47)*(((J48*-1)/J49)^0.5)),906.6*(((J53*J52)/J47)*((J48/J49)^0.5)))</f>
        <v>212648982.00098321</v>
      </c>
      <c r="AG45" s="30">
        <v>90</v>
      </c>
      <c r="AH45" s="30">
        <v>13801</v>
      </c>
      <c r="AI45" s="30"/>
      <c r="AJ45" s="30"/>
      <c r="AK45" s="30"/>
      <c r="AL45" s="133">
        <v>64</v>
      </c>
      <c r="AM45" s="133">
        <v>67401.058869103086</v>
      </c>
      <c r="AN45" s="133">
        <v>46</v>
      </c>
      <c r="AO45" s="133">
        <v>9439</v>
      </c>
      <c r="AP45" s="30"/>
      <c r="AQ45" s="30"/>
      <c r="AR45" s="30"/>
      <c r="AS45" s="30"/>
      <c r="AT45" s="30"/>
      <c r="AU45" s="30"/>
      <c r="AV45" s="30"/>
      <c r="AW45" s="30"/>
      <c r="AX45" s="30"/>
      <c r="AY45" s="30"/>
      <c r="AZ45" s="30"/>
      <c r="BA45" s="30"/>
    </row>
    <row r="46" spans="1:53" ht="16.5">
      <c r="A46" s="30"/>
      <c r="B46" s="120"/>
      <c r="C46" s="121"/>
      <c r="D46" s="973" t="s">
        <v>46</v>
      </c>
      <c r="E46" s="974"/>
      <c r="F46" s="974"/>
      <c r="G46" s="974"/>
      <c r="H46" s="974"/>
      <c r="I46" s="223" t="s">
        <v>45</v>
      </c>
      <c r="J46" s="1067">
        <v>1</v>
      </c>
      <c r="K46" s="1068"/>
      <c r="L46" s="285" t="s">
        <v>573</v>
      </c>
      <c r="M46" s="361" t="s">
        <v>48</v>
      </c>
      <c r="N46" s="936" t="s">
        <v>50</v>
      </c>
      <c r="O46" s="935"/>
      <c r="P46" s="936" t="s">
        <v>56</v>
      </c>
      <c r="Q46" s="935"/>
      <c r="R46" s="109"/>
      <c r="T46" s="250">
        <v>1200</v>
      </c>
      <c r="U46" s="250">
        <v>557000</v>
      </c>
      <c r="W46" s="261"/>
      <c r="X46" s="261"/>
      <c r="Y46" s="261"/>
      <c r="AG46" s="30">
        <v>110</v>
      </c>
      <c r="AH46" s="30">
        <v>15461</v>
      </c>
      <c r="AI46" s="30"/>
      <c r="AJ46" s="30"/>
      <c r="AK46" s="30"/>
      <c r="AL46" s="133">
        <v>65</v>
      </c>
      <c r="AM46" s="133">
        <v>68451.948945224285</v>
      </c>
      <c r="AN46" s="133">
        <v>47</v>
      </c>
      <c r="AO46" s="133">
        <v>9554</v>
      </c>
      <c r="AP46" s="30"/>
      <c r="AQ46" s="30"/>
      <c r="AR46" s="30"/>
      <c r="AS46" s="30"/>
      <c r="AT46" s="30"/>
      <c r="AU46" s="30"/>
      <c r="AV46" s="30"/>
      <c r="AW46" s="30"/>
      <c r="AX46" s="30"/>
      <c r="AY46" s="30"/>
      <c r="AZ46" s="30"/>
      <c r="BA46" s="30"/>
    </row>
    <row r="47" spans="1:53" ht="16.5">
      <c r="A47" s="30"/>
      <c r="B47" s="120"/>
      <c r="C47" s="121"/>
      <c r="D47" s="973" t="s">
        <v>61</v>
      </c>
      <c r="E47" s="974"/>
      <c r="F47" s="974"/>
      <c r="G47" s="974"/>
      <c r="H47" s="974"/>
      <c r="I47" s="223" t="s">
        <v>54</v>
      </c>
      <c r="J47" s="1144">
        <v>101.7</v>
      </c>
      <c r="K47" s="1144"/>
      <c r="L47" s="124"/>
      <c r="M47" s="361" t="s">
        <v>49</v>
      </c>
      <c r="N47" s="936" t="s">
        <v>50</v>
      </c>
      <c r="O47" s="935"/>
      <c r="P47" s="936" t="s">
        <v>57</v>
      </c>
      <c r="Q47" s="935"/>
      <c r="R47" s="109"/>
      <c r="T47" s="250">
        <v>1400</v>
      </c>
      <c r="U47" s="250">
        <v>587000</v>
      </c>
      <c r="W47" s="261"/>
      <c r="AG47" s="30">
        <v>130</v>
      </c>
      <c r="AH47" s="30">
        <v>15751</v>
      </c>
      <c r="AI47" s="30"/>
      <c r="AJ47" s="30"/>
      <c r="AK47" s="30"/>
      <c r="AL47" s="133">
        <v>66</v>
      </c>
      <c r="AM47" s="133">
        <v>69502.683105710472</v>
      </c>
      <c r="AN47" s="133">
        <v>48</v>
      </c>
      <c r="AO47" s="133">
        <v>9669</v>
      </c>
      <c r="AP47" s="30"/>
      <c r="AQ47" s="30"/>
      <c r="AR47" s="30"/>
      <c r="AS47" s="30"/>
      <c r="AT47" s="30"/>
      <c r="AU47" s="30"/>
      <c r="AV47" s="30"/>
      <c r="AW47" s="30"/>
      <c r="AX47" s="30"/>
      <c r="AY47" s="30"/>
      <c r="AZ47" s="30"/>
      <c r="BA47" s="30"/>
    </row>
    <row r="48" spans="1:53" ht="16.5">
      <c r="A48" s="30"/>
      <c r="B48" s="1059"/>
      <c r="C48" s="1060"/>
      <c r="D48" s="973" t="s">
        <v>63</v>
      </c>
      <c r="E48" s="974"/>
      <c r="F48" s="974"/>
      <c r="G48" s="974"/>
      <c r="H48" s="974"/>
      <c r="I48" s="223" t="s">
        <v>62</v>
      </c>
      <c r="J48" s="1067">
        <v>785.00000000000011</v>
      </c>
      <c r="K48" s="1068"/>
      <c r="L48" s="124"/>
      <c r="M48" s="364" t="s">
        <v>52</v>
      </c>
      <c r="N48" s="936" t="s">
        <v>51</v>
      </c>
      <c r="O48" s="935"/>
      <c r="P48" s="936" t="s">
        <v>58</v>
      </c>
      <c r="Q48" s="935"/>
      <c r="R48" s="109"/>
      <c r="T48" s="250">
        <v>1600</v>
      </c>
      <c r="U48" s="250">
        <v>614000</v>
      </c>
      <c r="W48" s="261"/>
      <c r="AG48" s="30">
        <v>150</v>
      </c>
      <c r="AH48" s="30">
        <v>16532</v>
      </c>
      <c r="AI48" s="30"/>
      <c r="AJ48" s="30"/>
      <c r="AK48" s="30"/>
      <c r="AL48" s="133">
        <v>67</v>
      </c>
      <c r="AM48" s="133">
        <v>70553.058320957964</v>
      </c>
      <c r="AN48" s="133">
        <v>49</v>
      </c>
      <c r="AO48" s="133">
        <v>9782</v>
      </c>
      <c r="AP48" s="30"/>
      <c r="AQ48" s="30"/>
      <c r="AR48" s="30"/>
      <c r="AS48" s="30"/>
      <c r="AT48" s="30"/>
      <c r="AU48" s="30"/>
      <c r="AV48" s="30"/>
      <c r="AW48" s="30"/>
      <c r="AX48" s="30"/>
      <c r="AY48" s="30"/>
      <c r="AZ48" s="30"/>
      <c r="BA48" s="30"/>
    </row>
    <row r="49" spans="1:53" ht="15.75" customHeight="1">
      <c r="A49" s="30"/>
      <c r="B49" s="1059"/>
      <c r="C49" s="1060"/>
      <c r="D49" s="973" t="s">
        <v>64</v>
      </c>
      <c r="E49" s="974"/>
      <c r="F49" s="974"/>
      <c r="G49" s="974"/>
      <c r="H49" s="974"/>
      <c r="I49" s="223"/>
      <c r="J49" s="971">
        <v>196.6</v>
      </c>
      <c r="K49" s="972"/>
      <c r="L49" s="124"/>
      <c r="M49" s="364" t="s">
        <v>52</v>
      </c>
      <c r="N49" s="936" t="s">
        <v>53</v>
      </c>
      <c r="O49" s="935"/>
      <c r="P49" s="934">
        <v>14090000</v>
      </c>
      <c r="Q49" s="935"/>
      <c r="R49" s="109"/>
      <c r="T49" s="250">
        <v>1800</v>
      </c>
      <c r="U49" s="250">
        <v>639000</v>
      </c>
      <c r="W49" s="260"/>
      <c r="X49" s="260"/>
      <c r="Y49" s="260"/>
      <c r="Z49" s="260"/>
      <c r="AA49" s="260"/>
      <c r="AB49" s="260"/>
      <c r="AG49" s="30">
        <v>175</v>
      </c>
      <c r="AH49" s="30">
        <v>17416</v>
      </c>
      <c r="AI49" s="30"/>
      <c r="AJ49" s="30"/>
      <c r="AK49" s="30"/>
      <c r="AL49" s="133">
        <v>68</v>
      </c>
      <c r="AM49" s="133">
        <v>71602.871561585067</v>
      </c>
      <c r="AN49" s="133">
        <v>50</v>
      </c>
      <c r="AO49" s="133">
        <v>9895</v>
      </c>
      <c r="AP49" s="30"/>
      <c r="AQ49" s="30"/>
      <c r="AR49" s="30"/>
      <c r="AS49" s="30"/>
      <c r="AT49" s="30"/>
      <c r="AU49" s="30"/>
      <c r="AV49" s="30"/>
      <c r="AW49" s="30"/>
      <c r="AX49" s="30"/>
      <c r="AY49" s="30"/>
      <c r="AZ49" s="30"/>
      <c r="BA49" s="30"/>
    </row>
    <row r="50" spans="1:53" ht="15.75">
      <c r="A50" s="30"/>
      <c r="B50" s="1059"/>
      <c r="C50" s="1060"/>
      <c r="D50" s="973" t="s">
        <v>29</v>
      </c>
      <c r="E50" s="974"/>
      <c r="F50" s="974"/>
      <c r="G50" s="974"/>
      <c r="H50" s="974"/>
      <c r="I50" s="217" t="s">
        <v>148</v>
      </c>
      <c r="J50" s="971">
        <v>0</v>
      </c>
      <c r="K50" s="972"/>
      <c r="L50" s="124"/>
      <c r="M50" s="17" t="s">
        <v>102</v>
      </c>
      <c r="N50" s="132"/>
      <c r="O50" s="132"/>
      <c r="P50" s="131"/>
      <c r="Q50" s="131"/>
      <c r="R50" s="109"/>
      <c r="T50" s="250">
        <v>2000</v>
      </c>
      <c r="U50" s="250">
        <v>662000</v>
      </c>
      <c r="AG50" s="30">
        <v>200</v>
      </c>
      <c r="AH50" s="30">
        <v>18220</v>
      </c>
      <c r="AI50" s="30"/>
      <c r="AJ50" s="30"/>
      <c r="AK50" s="30"/>
      <c r="AL50" s="133">
        <v>69</v>
      </c>
      <c r="AM50" s="133">
        <v>72651.919797769355</v>
      </c>
      <c r="AN50" s="133">
        <v>51</v>
      </c>
      <c r="AO50" s="133">
        <v>10007</v>
      </c>
      <c r="AP50" s="30"/>
      <c r="AQ50" s="30"/>
      <c r="AR50" s="30"/>
      <c r="AS50" s="30"/>
      <c r="AT50" s="30"/>
      <c r="AU50" s="30"/>
      <c r="AV50" s="30"/>
      <c r="AW50" s="30"/>
      <c r="AX50" s="30"/>
      <c r="AY50" s="30"/>
      <c r="AZ50" s="30"/>
      <c r="BA50" s="30"/>
    </row>
    <row r="51" spans="1:53" ht="15.75">
      <c r="A51" s="30"/>
      <c r="B51" s="120"/>
      <c r="C51" s="121"/>
      <c r="D51" s="272" t="s">
        <v>42</v>
      </c>
      <c r="E51" s="273"/>
      <c r="F51" s="273"/>
      <c r="G51" s="273"/>
      <c r="H51" s="273"/>
      <c r="I51" s="215" t="s">
        <v>44</v>
      </c>
      <c r="J51" s="1142">
        <v>1714.2706369519094</v>
      </c>
      <c r="K51" s="1143"/>
      <c r="L51" s="124"/>
      <c r="M51" s="975" t="s">
        <v>66</v>
      </c>
      <c r="N51" s="975" t="s">
        <v>65</v>
      </c>
      <c r="O51" s="131"/>
      <c r="P51" s="131"/>
      <c r="Q51" s="131"/>
      <c r="R51" s="109"/>
      <c r="T51" s="250">
        <v>2400</v>
      </c>
      <c r="U51" s="250">
        <v>704000</v>
      </c>
      <c r="AG51" s="30">
        <v>230</v>
      </c>
      <c r="AH51" s="30">
        <v>19102</v>
      </c>
      <c r="AI51" s="30"/>
      <c r="AJ51" s="30"/>
      <c r="AK51" s="30"/>
      <c r="AL51" s="133">
        <v>70</v>
      </c>
      <c r="AM51" s="133">
        <v>73700</v>
      </c>
      <c r="AN51" s="133">
        <v>52</v>
      </c>
      <c r="AO51" s="133">
        <v>10117</v>
      </c>
      <c r="AP51" s="30"/>
      <c r="AQ51" s="30"/>
      <c r="AR51" s="30"/>
      <c r="AS51" s="30"/>
      <c r="AT51" s="30"/>
      <c r="AU51" s="30"/>
      <c r="AV51" s="30"/>
      <c r="AW51" s="30"/>
      <c r="AX51" s="30"/>
      <c r="AY51" s="30"/>
      <c r="AZ51" s="30"/>
      <c r="BA51" s="30"/>
    </row>
    <row r="52" spans="1:53" ht="15.75">
      <c r="A52" s="30"/>
      <c r="B52" s="120"/>
      <c r="C52" s="121"/>
      <c r="D52" s="224" t="s">
        <v>220</v>
      </c>
      <c r="E52" s="273"/>
      <c r="F52" s="273"/>
      <c r="G52" s="273"/>
      <c r="H52" s="273"/>
      <c r="I52" s="398" t="s">
        <v>352</v>
      </c>
      <c r="J52" s="1140">
        <v>1</v>
      </c>
      <c r="K52" s="1141"/>
      <c r="L52" s="124"/>
      <c r="M52" s="975"/>
      <c r="N52" s="975"/>
      <c r="O52" s="131"/>
      <c r="P52" s="131"/>
      <c r="Q52" s="131"/>
      <c r="R52" s="109"/>
      <c r="T52" s="250">
        <v>2800</v>
      </c>
      <c r="U52" s="250">
        <v>742000</v>
      </c>
      <c r="AG52" s="30">
        <v>260</v>
      </c>
      <c r="AH52" s="30">
        <v>19910</v>
      </c>
      <c r="AI52" s="30"/>
      <c r="AJ52" s="30"/>
      <c r="AK52" s="30"/>
      <c r="AL52" s="133">
        <v>71</v>
      </c>
      <c r="AM52" s="133">
        <v>74747.026245883957</v>
      </c>
      <c r="AN52" s="133">
        <v>53</v>
      </c>
      <c r="AO52" s="133">
        <v>10227</v>
      </c>
      <c r="AP52" s="30"/>
      <c r="AQ52" s="30"/>
      <c r="AR52" s="30"/>
      <c r="AS52" s="30"/>
      <c r="AT52" s="30"/>
      <c r="AU52" s="30"/>
      <c r="AV52" s="30"/>
      <c r="AW52" s="30"/>
      <c r="AX52" s="30"/>
      <c r="AY52" s="30"/>
      <c r="AZ52" s="30"/>
      <c r="BA52" s="30"/>
    </row>
    <row r="53" spans="1:53" ht="15.75">
      <c r="A53" s="30"/>
      <c r="B53" s="1059"/>
      <c r="C53" s="1060"/>
      <c r="D53" s="272" t="s">
        <v>60</v>
      </c>
      <c r="E53" s="273"/>
      <c r="F53" s="273"/>
      <c r="G53" s="273"/>
      <c r="H53" s="273"/>
      <c r="I53" s="223" t="s">
        <v>59</v>
      </c>
      <c r="J53" s="1095">
        <v>11937832.323019026</v>
      </c>
      <c r="K53" s="1096"/>
      <c r="L53" s="124"/>
      <c r="M53" s="361">
        <v>0</v>
      </c>
      <c r="N53" s="127">
        <v>1</v>
      </c>
      <c r="O53" s="131"/>
      <c r="P53" s="131"/>
      <c r="Q53" s="131"/>
      <c r="R53" s="109"/>
      <c r="AG53" s="30"/>
      <c r="AH53" s="30"/>
      <c r="AI53" s="30"/>
      <c r="AJ53" s="30"/>
      <c r="AK53" s="30"/>
      <c r="AL53" s="133">
        <v>72</v>
      </c>
      <c r="AM53" s="133">
        <v>75793.381035209226</v>
      </c>
      <c r="AN53" s="133">
        <v>54</v>
      </c>
      <c r="AO53" s="133">
        <v>10336</v>
      </c>
      <c r="AP53" s="30"/>
      <c r="AQ53" s="30"/>
      <c r="AR53" s="30"/>
      <c r="AS53" s="30"/>
      <c r="AT53" s="30"/>
      <c r="AU53" s="30"/>
      <c r="AV53" s="30"/>
      <c r="AW53" s="30"/>
      <c r="AX53" s="30"/>
      <c r="AY53" s="30"/>
      <c r="AZ53" s="30"/>
      <c r="BA53" s="30"/>
    </row>
    <row r="54" spans="1:53" ht="15.75">
      <c r="A54" s="30"/>
      <c r="B54" s="1059"/>
      <c r="C54" s="1060"/>
      <c r="D54" s="1138" t="s">
        <v>67</v>
      </c>
      <c r="E54" s="1139"/>
      <c r="F54" s="1139"/>
      <c r="G54" s="1139"/>
      <c r="H54" s="1139"/>
      <c r="I54" s="217" t="s">
        <v>88</v>
      </c>
      <c r="J54" s="1094">
        <v>725014.34300136671</v>
      </c>
      <c r="K54" s="1094"/>
      <c r="L54" s="124"/>
      <c r="M54" s="361">
        <v>1</v>
      </c>
      <c r="N54" s="127">
        <v>0.3</v>
      </c>
      <c r="O54" s="131"/>
      <c r="P54" s="131"/>
      <c r="Q54" s="131"/>
      <c r="R54" s="109"/>
      <c r="AG54" s="30"/>
      <c r="AH54" s="30"/>
      <c r="AI54" s="30"/>
      <c r="AJ54" s="30"/>
      <c r="AK54" s="30"/>
      <c r="AL54" s="133">
        <v>73</v>
      </c>
      <c r="AM54" s="133">
        <v>76839.563979252256</v>
      </c>
      <c r="AN54" s="133">
        <v>55</v>
      </c>
      <c r="AO54" s="133">
        <v>10444</v>
      </c>
      <c r="AP54" s="30"/>
      <c r="AQ54" s="30"/>
      <c r="AR54" s="30"/>
      <c r="AS54" s="30"/>
      <c r="AT54" s="30"/>
      <c r="AU54" s="30"/>
      <c r="AV54" s="30"/>
      <c r="AW54" s="30"/>
      <c r="AX54" s="30"/>
      <c r="AY54" s="30"/>
      <c r="AZ54" s="30"/>
      <c r="BA54" s="30"/>
    </row>
    <row r="55" spans="1:53" ht="15.75">
      <c r="A55" s="30"/>
      <c r="B55" s="1059"/>
      <c r="C55" s="1137"/>
      <c r="D55" s="1077" t="s">
        <v>135</v>
      </c>
      <c r="E55" s="1078"/>
      <c r="F55" s="1078"/>
      <c r="G55" s="1078"/>
      <c r="H55" s="1078"/>
      <c r="I55" s="1078"/>
      <c r="J55" s="1078"/>
      <c r="K55" s="1079"/>
      <c r="L55" s="124"/>
      <c r="M55" s="361">
        <v>2</v>
      </c>
      <c r="N55" s="127">
        <v>0.15</v>
      </c>
      <c r="O55" s="131"/>
      <c r="P55" s="131"/>
      <c r="Q55" s="131"/>
      <c r="R55" s="109"/>
      <c r="AG55" s="30"/>
      <c r="AH55" s="30"/>
      <c r="AI55" s="30"/>
      <c r="AJ55" s="30"/>
      <c r="AK55" s="30"/>
      <c r="AL55" s="133">
        <v>74</v>
      </c>
      <c r="AM55" s="133">
        <v>77886.074684868785</v>
      </c>
      <c r="AN55" s="133">
        <v>56</v>
      </c>
      <c r="AO55" s="133">
        <v>10551</v>
      </c>
      <c r="AP55" s="30"/>
      <c r="AQ55" s="30"/>
      <c r="AR55" s="30"/>
      <c r="AS55" s="30"/>
      <c r="AT55" s="30"/>
      <c r="AU55" s="30"/>
      <c r="AV55" s="30"/>
      <c r="AW55" s="30"/>
      <c r="AX55" s="30"/>
      <c r="AY55" s="30"/>
      <c r="AZ55" s="30"/>
      <c r="BA55" s="30"/>
    </row>
    <row r="56" spans="1:53" ht="15.75">
      <c r="A56" s="30"/>
      <c r="B56" s="1059"/>
      <c r="C56" s="1137"/>
      <c r="D56" s="214"/>
      <c r="E56" s="215"/>
      <c r="F56" s="215"/>
      <c r="G56" s="215"/>
      <c r="H56" s="215"/>
      <c r="I56" s="215"/>
      <c r="J56" s="225"/>
      <c r="K56" s="226"/>
      <c r="L56" s="123"/>
      <c r="M56" s="361">
        <v>4</v>
      </c>
      <c r="N56" s="127">
        <v>7.4999999999999997E-2</v>
      </c>
      <c r="O56" s="131"/>
      <c r="P56" s="131"/>
      <c r="Q56" s="131"/>
      <c r="R56" s="109"/>
      <c r="AG56" s="30"/>
      <c r="AH56" s="30"/>
      <c r="AI56" s="30"/>
      <c r="AJ56" s="30"/>
      <c r="AK56" s="30"/>
      <c r="AL56" s="133">
        <v>75</v>
      </c>
      <c r="AM56" s="133">
        <v>78933.412761241198</v>
      </c>
      <c r="AN56" s="133">
        <v>57</v>
      </c>
      <c r="AO56" s="133">
        <v>10657</v>
      </c>
      <c r="AP56" s="30"/>
      <c r="AQ56" s="30"/>
      <c r="AR56" s="30"/>
      <c r="AS56" s="30"/>
      <c r="AT56" s="30"/>
      <c r="AU56" s="30"/>
      <c r="AV56" s="30"/>
      <c r="AW56" s="30"/>
      <c r="AX56" s="30"/>
      <c r="AY56" s="30"/>
      <c r="AZ56" s="30"/>
      <c r="BA56" s="30"/>
    </row>
    <row r="57" spans="1:53" ht="15.75">
      <c r="A57" s="30"/>
      <c r="B57" s="120"/>
      <c r="C57" s="122"/>
      <c r="D57" s="227" t="s">
        <v>10</v>
      </c>
      <c r="E57" s="228"/>
      <c r="F57" s="228"/>
      <c r="G57" s="228"/>
      <c r="H57" s="228"/>
      <c r="I57" s="229" t="s">
        <v>88</v>
      </c>
      <c r="J57" s="969">
        <v>13272</v>
      </c>
      <c r="K57" s="970"/>
      <c r="L57" s="123"/>
      <c r="M57" s="361">
        <v>6</v>
      </c>
      <c r="N57" s="127">
        <v>0.05</v>
      </c>
      <c r="O57" s="131"/>
      <c r="P57" s="131"/>
      <c r="Q57" s="131"/>
      <c r="R57" s="109"/>
      <c r="AG57" s="30"/>
      <c r="AH57" s="30"/>
      <c r="AI57" s="30"/>
      <c r="AJ57" s="30"/>
      <c r="AK57" s="30"/>
      <c r="AL57" s="133">
        <v>76</v>
      </c>
      <c r="AM57" s="133">
        <v>79982.077816737583</v>
      </c>
      <c r="AN57" s="133">
        <v>58</v>
      </c>
      <c r="AO57" s="133">
        <v>10763</v>
      </c>
      <c r="AP57" s="30"/>
      <c r="AQ57" s="30"/>
      <c r="AR57" s="30"/>
      <c r="AS57" s="30"/>
      <c r="AT57" s="30"/>
      <c r="AU57" s="30"/>
      <c r="AV57" s="30"/>
      <c r="AW57" s="30"/>
      <c r="AX57" s="30"/>
      <c r="AY57" s="30"/>
      <c r="AZ57" s="30"/>
      <c r="BA57" s="30"/>
    </row>
    <row r="58" spans="1:53" ht="14.25" customHeight="1">
      <c r="A58" s="30"/>
      <c r="B58" s="120"/>
      <c r="C58" s="122"/>
      <c r="D58" s="227" t="s">
        <v>12</v>
      </c>
      <c r="E58" s="228"/>
      <c r="F58" s="228"/>
      <c r="G58" s="228"/>
      <c r="H58" s="228"/>
      <c r="I58" s="229" t="s">
        <v>88</v>
      </c>
      <c r="J58" s="969">
        <v>3536</v>
      </c>
      <c r="K58" s="970"/>
      <c r="L58" s="123"/>
      <c r="M58" s="361">
        <v>8</v>
      </c>
      <c r="N58" s="127">
        <v>3.7499999999999999E-2</v>
      </c>
      <c r="O58" s="131"/>
      <c r="P58" s="131"/>
      <c r="Q58" s="131"/>
      <c r="R58" s="109"/>
      <c r="AG58" s="30"/>
      <c r="AH58" s="30"/>
      <c r="AI58" s="30"/>
      <c r="AJ58" s="30"/>
      <c r="AK58" s="30"/>
      <c r="AL58" s="133">
        <v>77</v>
      </c>
      <c r="AM58" s="133">
        <v>81032.569459912163</v>
      </c>
      <c r="AN58" s="133">
        <v>59</v>
      </c>
      <c r="AO58" s="133">
        <v>10867</v>
      </c>
      <c r="AP58" s="30"/>
      <c r="AQ58" s="30"/>
      <c r="AR58" s="30"/>
      <c r="AS58" s="30"/>
      <c r="AT58" s="30"/>
      <c r="AU58" s="30"/>
      <c r="AV58" s="30"/>
      <c r="AW58" s="30"/>
      <c r="AX58" s="30"/>
      <c r="AY58" s="30"/>
      <c r="AZ58" s="30"/>
      <c r="BA58" s="30"/>
    </row>
    <row r="59" spans="1:53" ht="15.75">
      <c r="A59" s="30"/>
      <c r="B59" s="120"/>
      <c r="C59" s="122"/>
      <c r="D59" s="967" t="s">
        <v>141</v>
      </c>
      <c r="E59" s="968"/>
      <c r="F59" s="968"/>
      <c r="G59" s="968"/>
      <c r="H59" s="968"/>
      <c r="I59" s="229" t="s">
        <v>88</v>
      </c>
      <c r="J59" s="969">
        <v>725014</v>
      </c>
      <c r="K59" s="970"/>
      <c r="L59" s="123"/>
      <c r="M59" s="361">
        <v>10</v>
      </c>
      <c r="N59" s="127">
        <v>0.03</v>
      </c>
      <c r="O59" s="131"/>
      <c r="P59" s="131"/>
      <c r="Q59" s="131"/>
      <c r="R59" s="109"/>
      <c r="AG59" s="30"/>
      <c r="AH59" s="30"/>
      <c r="AI59" s="30"/>
      <c r="AJ59" s="30"/>
      <c r="AK59" s="30"/>
      <c r="AL59" s="133">
        <v>78</v>
      </c>
      <c r="AM59" s="133">
        <v>82085.387299016642</v>
      </c>
      <c r="AN59" s="133">
        <v>60</v>
      </c>
      <c r="AO59" s="133">
        <v>10971</v>
      </c>
      <c r="AP59" s="30"/>
      <c r="AQ59" s="30"/>
      <c r="AR59" s="30"/>
      <c r="AS59" s="30"/>
      <c r="AT59" s="30"/>
      <c r="AU59" s="30"/>
      <c r="AV59" s="30"/>
      <c r="AW59" s="30"/>
      <c r="AX59" s="30"/>
      <c r="AY59" s="30"/>
      <c r="AZ59" s="30"/>
      <c r="BA59" s="30"/>
    </row>
    <row r="60" spans="1:53">
      <c r="A60" s="30"/>
      <c r="B60" s="141"/>
      <c r="C60" s="11"/>
      <c r="D60" s="16"/>
      <c r="E60" s="11"/>
      <c r="F60" s="11"/>
      <c r="G60" s="11"/>
      <c r="H60" s="11"/>
      <c r="I60" s="11"/>
      <c r="J60" s="19"/>
      <c r="K60" s="20"/>
      <c r="L60" s="6"/>
      <c r="M60" s="361">
        <v>12</v>
      </c>
      <c r="N60" s="127">
        <v>2.5000000000000001E-2</v>
      </c>
      <c r="O60" s="11"/>
      <c r="P60" s="11"/>
      <c r="Q60" s="11"/>
      <c r="R60" s="140"/>
      <c r="AG60" s="30"/>
      <c r="AH60" s="30"/>
      <c r="AI60" s="30"/>
      <c r="AJ60" s="30"/>
      <c r="AK60" s="30"/>
      <c r="AL60" s="133">
        <v>79</v>
      </c>
      <c r="AM60" s="133">
        <v>83141.030942903351</v>
      </c>
      <c r="AN60" s="133">
        <v>61</v>
      </c>
      <c r="AO60" s="133">
        <v>11074</v>
      </c>
      <c r="AP60" s="30"/>
      <c r="AQ60" s="30"/>
      <c r="AR60" s="30"/>
      <c r="AS60" s="30"/>
      <c r="AT60" s="30"/>
      <c r="AU60" s="30"/>
      <c r="AV60" s="30"/>
      <c r="AW60" s="30"/>
      <c r="AX60" s="30"/>
      <c r="AY60" s="30"/>
      <c r="AZ60" s="30"/>
      <c r="BA60" s="30"/>
    </row>
    <row r="61" spans="1:53">
      <c r="A61" s="30"/>
      <c r="B61" s="110"/>
      <c r="C61" s="131"/>
      <c r="D61" s="131"/>
      <c r="E61" s="131"/>
      <c r="F61" s="131"/>
      <c r="G61" s="131"/>
      <c r="H61" s="131"/>
      <c r="I61" s="131"/>
      <c r="J61" s="131"/>
      <c r="K61" s="131"/>
      <c r="L61" s="131"/>
      <c r="M61" s="18"/>
      <c r="N61" s="23"/>
      <c r="O61" s="131"/>
      <c r="P61" s="131"/>
      <c r="Q61" s="131"/>
      <c r="R61" s="109"/>
      <c r="AG61" s="30"/>
      <c r="AH61" s="30"/>
      <c r="AI61" s="30"/>
      <c r="AJ61" s="30"/>
      <c r="AK61" s="30"/>
      <c r="AL61" s="133">
        <v>80</v>
      </c>
      <c r="AM61" s="133">
        <v>84200</v>
      </c>
      <c r="AN61" s="133">
        <v>62</v>
      </c>
      <c r="AO61" s="133">
        <v>11176</v>
      </c>
      <c r="AP61" s="30"/>
      <c r="AQ61" s="30"/>
      <c r="AR61" s="30"/>
      <c r="AS61" s="30"/>
      <c r="AT61" s="30"/>
      <c r="AU61" s="30"/>
      <c r="AV61" s="30"/>
      <c r="AW61" s="30"/>
      <c r="AX61" s="30"/>
      <c r="AY61" s="30"/>
      <c r="AZ61" s="30"/>
      <c r="BA61" s="30"/>
    </row>
    <row r="62" spans="1:53">
      <c r="A62" s="30"/>
      <c r="B62" s="110"/>
      <c r="C62" s="131"/>
      <c r="D62" s="131"/>
      <c r="E62" s="131"/>
      <c r="F62" s="131"/>
      <c r="G62" s="131"/>
      <c r="H62" s="131"/>
      <c r="I62" s="131"/>
      <c r="J62" s="131"/>
      <c r="K62" s="131"/>
      <c r="L62" s="131"/>
      <c r="M62" s="131"/>
      <c r="N62" s="131"/>
      <c r="O62" s="131"/>
      <c r="P62" s="131"/>
      <c r="Q62" s="131"/>
      <c r="R62" s="109"/>
      <c r="AG62" s="30"/>
      <c r="AH62" s="30"/>
      <c r="AI62" s="30"/>
      <c r="AJ62" s="30"/>
      <c r="AK62" s="30"/>
      <c r="AL62" s="133">
        <v>81</v>
      </c>
      <c r="AM62" s="133">
        <v>85262.511574717457</v>
      </c>
      <c r="AN62" s="133">
        <v>63</v>
      </c>
      <c r="AO62" s="133">
        <v>11278</v>
      </c>
      <c r="AP62" s="30"/>
      <c r="AQ62" s="30"/>
      <c r="AR62" s="30"/>
      <c r="AS62" s="30"/>
      <c r="AT62" s="30"/>
      <c r="AU62" s="30"/>
      <c r="AV62" s="30"/>
      <c r="AW62" s="30"/>
      <c r="AX62" s="30"/>
      <c r="AY62" s="30"/>
      <c r="AZ62" s="30"/>
      <c r="BA62" s="30"/>
    </row>
    <row r="63" spans="1:53">
      <c r="A63" s="30"/>
      <c r="B63" s="110"/>
      <c r="C63" s="131"/>
      <c r="D63" s="131"/>
      <c r="E63" s="131"/>
      <c r="F63" s="131"/>
      <c r="G63" s="131"/>
      <c r="H63" s="131"/>
      <c r="I63" s="131"/>
      <c r="J63" s="131"/>
      <c r="K63" s="131"/>
      <c r="L63" s="131"/>
      <c r="M63" s="131"/>
      <c r="N63" s="131"/>
      <c r="O63" s="131"/>
      <c r="P63" s="131"/>
      <c r="Q63" s="131"/>
      <c r="R63" s="109"/>
      <c r="AG63" s="30"/>
      <c r="AH63" s="30"/>
      <c r="AI63" s="30"/>
      <c r="AJ63" s="30"/>
      <c r="AK63" s="30"/>
      <c r="AL63" s="133">
        <v>82</v>
      </c>
      <c r="AM63" s="133">
        <v>86327.652771695255</v>
      </c>
      <c r="AN63" s="133">
        <v>64</v>
      </c>
      <c r="AO63" s="133">
        <v>11379</v>
      </c>
      <c r="AP63" s="30"/>
      <c r="AQ63" s="30"/>
      <c r="AR63" s="30"/>
      <c r="AS63" s="30"/>
      <c r="AT63" s="30"/>
      <c r="AU63" s="30"/>
      <c r="AV63" s="30"/>
      <c r="AW63" s="30"/>
      <c r="AX63" s="30"/>
      <c r="AY63" s="30"/>
      <c r="AZ63" s="30"/>
      <c r="BA63" s="30"/>
    </row>
    <row r="64" spans="1:53">
      <c r="A64" s="30"/>
      <c r="B64" s="110"/>
      <c r="C64" s="131"/>
      <c r="D64" s="131"/>
      <c r="E64" s="131"/>
      <c r="F64" s="131"/>
      <c r="G64" s="131"/>
      <c r="H64" s="131"/>
      <c r="I64" s="131"/>
      <c r="J64" s="131"/>
      <c r="K64" s="131"/>
      <c r="L64" s="131"/>
      <c r="M64" s="131"/>
      <c r="N64" s="131"/>
      <c r="O64" s="131"/>
      <c r="P64" s="131"/>
      <c r="Q64" s="131"/>
      <c r="R64" s="109"/>
      <c r="AG64" s="30"/>
      <c r="AH64" s="30"/>
      <c r="AI64" s="30"/>
      <c r="AJ64" s="30"/>
      <c r="AK64" s="30"/>
      <c r="AL64" s="133">
        <v>83</v>
      </c>
      <c r="AM64" s="133">
        <v>87394.228177428697</v>
      </c>
      <c r="AN64" s="133">
        <v>65</v>
      </c>
      <c r="AO64" s="133">
        <v>11479</v>
      </c>
      <c r="AP64" s="30"/>
      <c r="AQ64" s="30"/>
      <c r="AR64" s="30"/>
      <c r="AS64" s="30"/>
      <c r="AT64" s="30"/>
      <c r="AU64" s="30"/>
      <c r="AV64" s="30"/>
      <c r="AW64" s="30"/>
      <c r="AX64" s="30"/>
      <c r="AY64" s="30"/>
      <c r="AZ64" s="30"/>
      <c r="BA64" s="30"/>
    </row>
    <row r="65" spans="1:53">
      <c r="A65" s="30"/>
      <c r="B65" s="110"/>
      <c r="C65" s="131"/>
      <c r="D65" s="131"/>
      <c r="E65" s="131"/>
      <c r="F65" s="131"/>
      <c r="G65" s="131"/>
      <c r="H65" s="131"/>
      <c r="I65" s="131"/>
      <c r="J65" s="131"/>
      <c r="K65" s="131"/>
      <c r="L65" s="131"/>
      <c r="M65" s="131"/>
      <c r="N65" s="118">
        <v>25.199999999999449</v>
      </c>
      <c r="O65" s="13" t="s">
        <v>35</v>
      </c>
      <c r="P65" s="131"/>
      <c r="Q65" s="131"/>
      <c r="R65" s="109"/>
      <c r="AG65" s="30"/>
      <c r="AH65" s="30"/>
      <c r="AI65" s="30"/>
      <c r="AJ65" s="30"/>
      <c r="AK65" s="30"/>
      <c r="AL65" s="133">
        <v>84</v>
      </c>
      <c r="AM65" s="133">
        <v>88461.046299102309</v>
      </c>
      <c r="AN65" s="133">
        <v>66</v>
      </c>
      <c r="AO65" s="133">
        <v>11578</v>
      </c>
      <c r="AP65" s="30"/>
      <c r="AQ65" s="30"/>
      <c r="AR65" s="30"/>
      <c r="AS65" s="30"/>
      <c r="AT65" s="30"/>
      <c r="AU65" s="30"/>
      <c r="AV65" s="30"/>
      <c r="AW65" s="30"/>
      <c r="AX65" s="30"/>
      <c r="AY65" s="30"/>
      <c r="AZ65" s="30"/>
      <c r="BA65" s="30"/>
    </row>
    <row r="66" spans="1:53">
      <c r="A66" s="30"/>
      <c r="B66" s="110"/>
      <c r="C66" s="131"/>
      <c r="D66" s="131"/>
      <c r="E66" s="131"/>
      <c r="F66" s="131"/>
      <c r="G66" s="131"/>
      <c r="H66" s="131"/>
      <c r="I66" s="131"/>
      <c r="J66" s="131"/>
      <c r="K66" s="131"/>
      <c r="L66" s="131"/>
      <c r="M66" s="131"/>
      <c r="N66" s="13"/>
      <c r="O66" s="13"/>
      <c r="P66" s="131"/>
      <c r="Q66" s="131"/>
      <c r="R66" s="109"/>
      <c r="AG66" s="30"/>
      <c r="AH66" s="30"/>
      <c r="AI66" s="30"/>
      <c r="AJ66" s="30"/>
      <c r="AK66" s="30"/>
      <c r="AL66" s="133">
        <v>85</v>
      </c>
      <c r="AM66" s="133">
        <v>89526.900011301041</v>
      </c>
      <c r="AN66" s="133">
        <v>67</v>
      </c>
      <c r="AO66" s="133">
        <v>11677</v>
      </c>
      <c r="AP66" s="30"/>
      <c r="AQ66" s="30"/>
      <c r="AR66" s="30"/>
      <c r="AS66" s="30"/>
      <c r="AT66" s="30"/>
      <c r="AU66" s="30"/>
      <c r="AV66" s="30"/>
      <c r="AW66" s="30"/>
      <c r="AX66" s="30"/>
      <c r="AY66" s="30"/>
      <c r="AZ66" s="30"/>
      <c r="BA66" s="30"/>
    </row>
    <row r="67" spans="1:53">
      <c r="A67" s="30"/>
      <c r="B67" s="110"/>
      <c r="C67" s="131"/>
      <c r="D67" s="131"/>
      <c r="E67" s="131"/>
      <c r="F67" s="131"/>
      <c r="G67" s="131"/>
      <c r="H67" s="131"/>
      <c r="I67" s="131"/>
      <c r="J67" s="131"/>
      <c r="K67" s="131"/>
      <c r="L67" s="131"/>
      <c r="M67" s="131"/>
      <c r="N67" s="118">
        <v>19.999999999999986</v>
      </c>
      <c r="O67" s="13" t="s">
        <v>35</v>
      </c>
      <c r="P67" s="131"/>
      <c r="Q67" s="131"/>
      <c r="R67" s="109"/>
      <c r="AG67" s="30"/>
      <c r="AH67" s="30"/>
      <c r="AI67" s="30"/>
      <c r="AJ67" s="30"/>
      <c r="AK67" s="30"/>
      <c r="AL67" s="133">
        <v>86</v>
      </c>
      <c r="AM67" s="133">
        <v>90590.605628769699</v>
      </c>
      <c r="AN67" s="133">
        <v>68</v>
      </c>
      <c r="AO67" s="133">
        <v>11776</v>
      </c>
      <c r="AP67" s="30"/>
      <c r="AQ67" s="30"/>
      <c r="AR67" s="30"/>
      <c r="AS67" s="30"/>
      <c r="AT67" s="30"/>
      <c r="AU67" s="30"/>
      <c r="AV67" s="30"/>
      <c r="AW67" s="30"/>
      <c r="AX67" s="30"/>
      <c r="AY67" s="30"/>
      <c r="AZ67" s="30"/>
      <c r="BA67" s="30"/>
    </row>
    <row r="68" spans="1:53">
      <c r="A68" s="30"/>
      <c r="B68" s="110"/>
      <c r="C68" s="131"/>
      <c r="D68" s="131"/>
      <c r="E68" s="131"/>
      <c r="F68" s="131"/>
      <c r="G68" s="22">
        <v>552.38145055307848</v>
      </c>
      <c r="H68" s="13" t="s">
        <v>184</v>
      </c>
      <c r="I68" s="131"/>
      <c r="J68" s="131"/>
      <c r="K68" s="131"/>
      <c r="L68" s="131"/>
      <c r="M68" s="131"/>
      <c r="N68" s="13"/>
      <c r="O68" s="13"/>
      <c r="P68" s="131"/>
      <c r="Q68" s="131"/>
      <c r="R68" s="109"/>
      <c r="Y68" s="262"/>
      <c r="Z68" s="937"/>
      <c r="AA68" s="937"/>
      <c r="AB68" s="960"/>
      <c r="AC68" s="960"/>
      <c r="AG68" s="30"/>
      <c r="AH68" s="30"/>
      <c r="AI68" s="30"/>
      <c r="AJ68" s="30"/>
      <c r="AK68" s="30"/>
      <c r="AL68" s="133">
        <v>87</v>
      </c>
      <c r="AM68" s="133">
        <v>91650.965793770098</v>
      </c>
      <c r="AN68" s="133">
        <v>69</v>
      </c>
      <c r="AO68" s="133">
        <v>11874</v>
      </c>
      <c r="AP68" s="30"/>
      <c r="AQ68" s="30"/>
      <c r="AR68" s="30"/>
      <c r="AS68" s="30"/>
      <c r="AT68" s="30"/>
      <c r="AU68" s="30"/>
      <c r="AV68" s="30"/>
      <c r="AW68" s="30"/>
      <c r="AX68" s="30"/>
      <c r="AY68" s="30"/>
      <c r="AZ68" s="30"/>
      <c r="BA68" s="30"/>
    </row>
    <row r="69" spans="1:53">
      <c r="A69" s="30"/>
      <c r="B69" s="110"/>
      <c r="C69" s="131"/>
      <c r="D69" s="131"/>
      <c r="E69" s="131"/>
      <c r="F69" s="131"/>
      <c r="G69" s="131"/>
      <c r="H69" s="131"/>
      <c r="I69" s="131"/>
      <c r="J69" s="131"/>
      <c r="K69" s="131"/>
      <c r="L69" s="131"/>
      <c r="M69" s="131"/>
      <c r="N69" s="118">
        <v>18.499999999999574</v>
      </c>
      <c r="O69" s="13" t="s">
        <v>35</v>
      </c>
      <c r="P69" s="131"/>
      <c r="Q69" s="131"/>
      <c r="R69" s="109"/>
      <c r="Y69" s="262"/>
      <c r="Z69" s="938"/>
      <c r="AA69" s="938"/>
      <c r="AB69" s="960"/>
      <c r="AC69" s="960"/>
      <c r="AG69" s="30"/>
      <c r="AH69" s="30"/>
      <c r="AI69" s="30"/>
      <c r="AJ69" s="30"/>
      <c r="AK69" s="30"/>
      <c r="AL69" s="133">
        <v>88</v>
      </c>
      <c r="AM69" s="133">
        <v>92706.779243302051</v>
      </c>
      <c r="AN69" s="133">
        <v>70</v>
      </c>
      <c r="AO69" s="133">
        <v>11971</v>
      </c>
      <c r="AP69" s="30"/>
      <c r="AQ69" s="30"/>
      <c r="AR69" s="30"/>
      <c r="AS69" s="30"/>
      <c r="AT69" s="30"/>
      <c r="AU69" s="30"/>
      <c r="AV69" s="30"/>
      <c r="AW69" s="30"/>
      <c r="AX69" s="30"/>
      <c r="AY69" s="30"/>
      <c r="AZ69" s="30"/>
      <c r="BA69" s="30"/>
    </row>
    <row r="70" spans="1:53">
      <c r="A70" s="30"/>
      <c r="B70" s="110"/>
      <c r="C70" s="131"/>
      <c r="D70" s="131"/>
      <c r="E70" s="131"/>
      <c r="F70" s="131"/>
      <c r="G70" s="131"/>
      <c r="H70" s="131"/>
      <c r="I70" s="131"/>
      <c r="J70" s="131"/>
      <c r="K70" s="131"/>
      <c r="L70" s="131"/>
      <c r="M70" s="131"/>
      <c r="N70" s="131"/>
      <c r="O70" s="131"/>
      <c r="P70" s="131"/>
      <c r="Q70" s="131"/>
      <c r="R70" s="109"/>
      <c r="AG70" s="30"/>
      <c r="AH70" s="30"/>
      <c r="AI70" s="30"/>
      <c r="AJ70" s="30"/>
      <c r="AK70" s="30"/>
      <c r="AL70" s="133">
        <v>89</v>
      </c>
      <c r="AM70" s="133">
        <v>93756.856431153661</v>
      </c>
      <c r="AN70" s="133">
        <v>71</v>
      </c>
      <c r="AO70" s="133">
        <v>12068</v>
      </c>
      <c r="AP70" s="30"/>
      <c r="AQ70" s="30"/>
      <c r="AR70" s="30"/>
      <c r="AS70" s="30"/>
      <c r="AT70" s="30"/>
      <c r="AU70" s="30"/>
      <c r="AV70" s="30"/>
      <c r="AW70" s="30"/>
      <c r="AX70" s="30"/>
      <c r="AY70" s="30"/>
      <c r="AZ70" s="30"/>
      <c r="BA70" s="30"/>
    </row>
    <row r="71" spans="1:53">
      <c r="A71" s="30"/>
      <c r="B71" s="110"/>
      <c r="C71" s="131"/>
      <c r="D71" s="131"/>
      <c r="E71" s="131"/>
      <c r="F71" s="131"/>
      <c r="G71" s="131"/>
      <c r="H71" s="131"/>
      <c r="I71" s="131"/>
      <c r="J71" s="131"/>
      <c r="K71" s="131"/>
      <c r="L71" s="131"/>
      <c r="M71" s="131"/>
      <c r="N71" s="131"/>
      <c r="O71" s="131"/>
      <c r="P71" s="131"/>
      <c r="Q71" s="131"/>
      <c r="R71" s="109"/>
      <c r="AG71" s="30"/>
      <c r="AH71" s="30"/>
      <c r="AI71" s="30"/>
      <c r="AJ71" s="30"/>
      <c r="AK71" s="30"/>
      <c r="AL71" s="133">
        <v>90</v>
      </c>
      <c r="AM71" s="133">
        <v>94800</v>
      </c>
      <c r="AN71" s="133">
        <v>72</v>
      </c>
      <c r="AO71" s="133">
        <v>12165</v>
      </c>
      <c r="AP71" s="30"/>
      <c r="AQ71" s="30"/>
      <c r="AR71" s="30"/>
      <c r="AS71" s="30"/>
      <c r="AT71" s="30"/>
      <c r="AU71" s="30"/>
      <c r="AV71" s="30"/>
      <c r="AW71" s="30"/>
      <c r="AX71" s="30"/>
      <c r="AY71" s="30"/>
      <c r="AZ71" s="30"/>
      <c r="BA71" s="30"/>
    </row>
    <row r="72" spans="1:53">
      <c r="A72" s="30"/>
      <c r="B72" s="110"/>
      <c r="C72" s="131"/>
      <c r="D72" s="131"/>
      <c r="E72" s="131"/>
      <c r="F72" s="131"/>
      <c r="G72" s="131"/>
      <c r="H72" s="131"/>
      <c r="I72" s="131"/>
      <c r="J72" s="131"/>
      <c r="K72" s="131"/>
      <c r="L72" s="131"/>
      <c r="M72" s="131"/>
      <c r="N72" s="131"/>
      <c r="O72" s="131"/>
      <c r="P72" s="131"/>
      <c r="Q72" s="131"/>
      <c r="R72" s="109"/>
      <c r="AG72" s="30"/>
      <c r="AH72" s="30"/>
      <c r="AI72" s="30"/>
      <c r="AJ72" s="30"/>
      <c r="AK72" s="30"/>
      <c r="AL72" s="133">
        <v>91</v>
      </c>
      <c r="AM72" s="133">
        <v>95835.427447455921</v>
      </c>
      <c r="AN72" s="133">
        <v>73</v>
      </c>
      <c r="AO72" s="133">
        <v>12260</v>
      </c>
      <c r="AP72" s="30"/>
      <c r="AQ72" s="30"/>
      <c r="AR72" s="30"/>
      <c r="AS72" s="30"/>
      <c r="AT72" s="30"/>
      <c r="AU72" s="30"/>
      <c r="AV72" s="30"/>
      <c r="AW72" s="30"/>
      <c r="AX72" s="30"/>
      <c r="AY72" s="30"/>
      <c r="AZ72" s="30"/>
      <c r="BA72" s="30"/>
    </row>
    <row r="73" spans="1:53">
      <c r="A73" s="30"/>
      <c r="B73" s="110"/>
      <c r="C73" s="131"/>
      <c r="D73" s="13" t="s">
        <v>354</v>
      </c>
      <c r="E73" s="131"/>
      <c r="F73" s="131"/>
      <c r="G73" s="131"/>
      <c r="H73" s="131"/>
      <c r="I73" s="13" t="s">
        <v>355</v>
      </c>
      <c r="J73" s="131"/>
      <c r="K73" s="131"/>
      <c r="L73" s="131"/>
      <c r="M73" s="131"/>
      <c r="N73" s="131"/>
      <c r="O73" s="131"/>
      <c r="P73" s="131"/>
      <c r="Q73" s="131"/>
      <c r="R73" s="109"/>
      <c r="AG73" s="30"/>
      <c r="AH73" s="30"/>
      <c r="AI73" s="30"/>
      <c r="AJ73" s="30"/>
      <c r="AK73" s="30"/>
      <c r="AL73" s="133">
        <v>92</v>
      </c>
      <c r="AM73" s="133">
        <v>96864.00787052339</v>
      </c>
      <c r="AN73" s="133">
        <v>74</v>
      </c>
      <c r="AO73" s="133">
        <v>12356</v>
      </c>
      <c r="AP73" s="30"/>
      <c r="AQ73" s="30"/>
      <c r="AR73" s="30"/>
      <c r="AS73" s="30"/>
      <c r="AT73" s="30"/>
      <c r="AU73" s="30"/>
      <c r="AV73" s="30"/>
      <c r="AW73" s="30"/>
      <c r="AX73" s="30"/>
      <c r="AY73" s="30"/>
      <c r="AZ73" s="30"/>
      <c r="BA73" s="30"/>
    </row>
    <row r="74" spans="1:53">
      <c r="A74" s="30"/>
      <c r="B74" s="110"/>
      <c r="C74" s="131"/>
      <c r="D74" s="396">
        <v>7365.0860073723507</v>
      </c>
      <c r="E74" s="31" t="s">
        <v>184</v>
      </c>
      <c r="F74" s="131"/>
      <c r="G74" s="131"/>
      <c r="H74" s="131"/>
      <c r="I74" s="397">
        <v>6812.1153499386828</v>
      </c>
      <c r="J74" s="13" t="s">
        <v>184</v>
      </c>
      <c r="K74" s="131"/>
      <c r="L74" s="131"/>
      <c r="M74" s="131"/>
      <c r="N74" s="131"/>
      <c r="O74" s="131"/>
      <c r="P74" s="131"/>
      <c r="Q74" s="131"/>
      <c r="R74" s="109"/>
      <c r="AG74" s="30"/>
      <c r="AH74" s="30"/>
      <c r="AI74" s="30"/>
      <c r="AJ74" s="30"/>
      <c r="AK74" s="30"/>
      <c r="AL74" s="133">
        <v>93</v>
      </c>
      <c r="AM74" s="133">
        <v>97887.023298164335</v>
      </c>
      <c r="AN74" s="133">
        <v>75</v>
      </c>
      <c r="AO74" s="133">
        <v>12450</v>
      </c>
      <c r="AP74" s="30"/>
      <c r="AQ74" s="30"/>
      <c r="AR74" s="30"/>
      <c r="AS74" s="30"/>
      <c r="AT74" s="30"/>
      <c r="AU74" s="30"/>
      <c r="AV74" s="30"/>
      <c r="AW74" s="30"/>
      <c r="AX74" s="30"/>
      <c r="AY74" s="30"/>
      <c r="AZ74" s="30"/>
      <c r="BA74" s="30"/>
    </row>
    <row r="75" spans="1:53">
      <c r="A75" s="30"/>
      <c r="B75" s="110"/>
      <c r="C75" s="131"/>
      <c r="D75" s="433">
        <v>55094.673179869016</v>
      </c>
      <c r="E75" s="434" t="s">
        <v>38</v>
      </c>
      <c r="F75" s="131"/>
      <c r="G75" s="131"/>
      <c r="H75" s="131"/>
      <c r="I75" s="435">
        <v>50958.16511752332</v>
      </c>
      <c r="J75" s="434" t="s">
        <v>38</v>
      </c>
      <c r="K75" s="131"/>
      <c r="L75" s="131"/>
      <c r="M75" s="131"/>
      <c r="N75" s="131"/>
      <c r="O75" s="131"/>
      <c r="P75" s="131"/>
      <c r="Q75" s="131"/>
      <c r="R75" s="109"/>
      <c r="AG75" s="30"/>
      <c r="AH75" s="30"/>
      <c r="AI75" s="30"/>
      <c r="AJ75" s="30"/>
      <c r="AK75" s="30"/>
      <c r="AL75" s="133">
        <v>94</v>
      </c>
      <c r="AM75" s="133">
        <v>98905.759634903938</v>
      </c>
      <c r="AN75" s="133">
        <v>76</v>
      </c>
      <c r="AO75" s="133">
        <v>12544</v>
      </c>
      <c r="AP75" s="30"/>
      <c r="AQ75" s="30"/>
      <c r="AR75" s="30"/>
      <c r="AS75" s="30"/>
      <c r="AT75" s="30"/>
      <c r="AU75" s="30"/>
      <c r="AV75" s="30"/>
      <c r="AW75" s="30"/>
      <c r="AX75" s="30"/>
      <c r="AY75" s="30"/>
      <c r="AZ75" s="30"/>
      <c r="BA75" s="30"/>
    </row>
    <row r="76" spans="1:53">
      <c r="A76" s="30"/>
      <c r="B76" s="110"/>
      <c r="C76" s="131"/>
      <c r="D76" s="131"/>
      <c r="E76" s="131"/>
      <c r="F76" s="131"/>
      <c r="G76" s="131"/>
      <c r="H76" s="131"/>
      <c r="I76" s="131"/>
      <c r="J76" s="131"/>
      <c r="K76" s="131"/>
      <c r="L76" s="131"/>
      <c r="M76" s="131"/>
      <c r="N76" s="131"/>
      <c r="O76" s="131"/>
      <c r="P76" s="131"/>
      <c r="Q76" s="131"/>
      <c r="R76" s="109"/>
      <c r="AG76" s="30"/>
      <c r="AH76" s="30"/>
      <c r="AI76" s="30"/>
      <c r="AJ76" s="30"/>
      <c r="AK76" s="30"/>
      <c r="AL76" s="133">
        <v>95</v>
      </c>
      <c r="AM76" s="133">
        <v>99921.487176418304</v>
      </c>
      <c r="AN76" s="133">
        <v>77</v>
      </c>
      <c r="AO76" s="133">
        <v>12637</v>
      </c>
      <c r="AP76" s="30"/>
      <c r="AQ76" s="30"/>
      <c r="AR76" s="30"/>
      <c r="AS76" s="30"/>
      <c r="AT76" s="30"/>
      <c r="AU76" s="30"/>
      <c r="AV76" s="30"/>
      <c r="AW76" s="30"/>
      <c r="AX76" s="30"/>
      <c r="AY76" s="30"/>
      <c r="AZ76" s="30"/>
      <c r="BA76" s="30"/>
    </row>
    <row r="77" spans="1:53">
      <c r="A77" s="30"/>
      <c r="B77" s="110"/>
      <c r="C77" s="131"/>
      <c r="D77" s="131"/>
      <c r="E77" s="131"/>
      <c r="F77" s="131"/>
      <c r="G77" s="131"/>
      <c r="H77" s="131"/>
      <c r="I77" s="131"/>
      <c r="J77" s="131"/>
      <c r="K77" s="131"/>
      <c r="L77" s="131"/>
      <c r="M77" s="131"/>
      <c r="N77" s="131"/>
      <c r="O77" s="131"/>
      <c r="P77" s="131"/>
      <c r="Q77" s="131"/>
      <c r="R77" s="109"/>
      <c r="AG77" s="30"/>
      <c r="AH77" s="30"/>
      <c r="AI77" s="30"/>
      <c r="AJ77" s="30"/>
      <c r="AK77" s="30"/>
      <c r="AL77" s="133">
        <v>96</v>
      </c>
      <c r="AM77" s="133">
        <v>100935.49965023072</v>
      </c>
      <c r="AN77" s="133">
        <v>78</v>
      </c>
      <c r="AO77" s="133">
        <v>12730</v>
      </c>
      <c r="AP77" s="30"/>
      <c r="AQ77" s="30"/>
      <c r="AR77" s="30"/>
      <c r="AS77" s="30"/>
      <c r="AT77" s="30"/>
      <c r="AU77" s="30"/>
      <c r="AV77" s="30"/>
      <c r="AW77" s="30"/>
      <c r="AX77" s="30"/>
      <c r="AY77" s="30"/>
      <c r="AZ77" s="30"/>
      <c r="BA77" s="30"/>
    </row>
    <row r="78" spans="1:53">
      <c r="A78" s="30"/>
      <c r="B78" s="110"/>
      <c r="C78" s="131"/>
      <c r="D78" s="131"/>
      <c r="E78" s="131"/>
      <c r="F78" s="131"/>
      <c r="G78" s="131"/>
      <c r="H78" s="131"/>
      <c r="I78" s="131"/>
      <c r="J78" s="131"/>
      <c r="K78" s="131"/>
      <c r="L78" s="131"/>
      <c r="M78" s="131"/>
      <c r="N78" s="131"/>
      <c r="O78" s="131"/>
      <c r="P78" s="131"/>
      <c r="Q78" s="131"/>
      <c r="R78" s="109"/>
      <c r="AG78" s="30"/>
      <c r="AH78" s="30"/>
      <c r="AI78" s="30"/>
      <c r="AJ78" s="30"/>
      <c r="AK78" s="30"/>
      <c r="AL78" s="133">
        <v>97</v>
      </c>
      <c r="AM78" s="133">
        <v>101949.07711328153</v>
      </c>
      <c r="AN78" s="133">
        <v>79</v>
      </c>
      <c r="AO78" s="133">
        <v>12821</v>
      </c>
      <c r="AP78" s="30"/>
      <c r="AQ78" s="30"/>
      <c r="AR78" s="30"/>
      <c r="AS78" s="30"/>
      <c r="AT78" s="30"/>
      <c r="AU78" s="30"/>
      <c r="AV78" s="30"/>
      <c r="AW78" s="30"/>
      <c r="AX78" s="30"/>
      <c r="AY78" s="30"/>
      <c r="AZ78" s="30"/>
      <c r="BA78" s="30"/>
    </row>
    <row r="79" spans="1:53">
      <c r="A79" s="30"/>
      <c r="B79" s="110"/>
      <c r="C79" s="131"/>
      <c r="D79" s="131"/>
      <c r="E79" s="131"/>
      <c r="F79" s="131"/>
      <c r="G79" s="131"/>
      <c r="H79" s="131"/>
      <c r="I79" s="131"/>
      <c r="J79" s="131"/>
      <c r="K79" s="131"/>
      <c r="L79" s="131"/>
      <c r="M79" s="131"/>
      <c r="N79" s="131"/>
      <c r="O79" s="131"/>
      <c r="P79" s="131"/>
      <c r="Q79" s="131"/>
      <c r="R79" s="109"/>
      <c r="AG79" s="30"/>
      <c r="AH79" s="30"/>
      <c r="AI79" s="30"/>
      <c r="AJ79" s="30"/>
      <c r="AK79" s="30"/>
      <c r="AL79" s="133">
        <v>98</v>
      </c>
      <c r="AM79" s="133">
        <v>102963.49571416147</v>
      </c>
      <c r="AN79" s="133">
        <v>80</v>
      </c>
      <c r="AO79" s="133">
        <v>12911</v>
      </c>
      <c r="AP79" s="30"/>
      <c r="AQ79" s="30"/>
      <c r="AR79" s="30"/>
      <c r="AS79" s="30"/>
      <c r="AT79" s="30"/>
      <c r="AU79" s="30"/>
      <c r="AV79" s="30"/>
      <c r="AW79" s="30"/>
      <c r="AX79" s="30"/>
      <c r="AY79" s="30"/>
      <c r="AZ79" s="30"/>
      <c r="BA79" s="30"/>
    </row>
    <row r="80" spans="1:53">
      <c r="A80" s="30"/>
      <c r="B80" s="110"/>
      <c r="C80" s="131"/>
      <c r="D80" s="131"/>
      <c r="E80" s="131"/>
      <c r="F80" s="131"/>
      <c r="G80" s="131"/>
      <c r="H80" s="131"/>
      <c r="I80" s="131"/>
      <c r="J80" s="131"/>
      <c r="K80" s="131"/>
      <c r="L80" s="131"/>
      <c r="M80" s="131"/>
      <c r="N80" s="131"/>
      <c r="O80" s="131"/>
      <c r="P80" s="131"/>
      <c r="Q80" s="131"/>
      <c r="R80" s="109"/>
      <c r="AG80" s="30"/>
      <c r="AH80" s="30"/>
      <c r="AI80" s="30"/>
      <c r="AJ80" s="30"/>
      <c r="AK80" s="30"/>
      <c r="AL80" s="133">
        <v>99</v>
      </c>
      <c r="AM80" s="133">
        <v>103980.04332438025</v>
      </c>
      <c r="AN80" s="133">
        <v>81</v>
      </c>
      <c r="AO80" s="133">
        <v>13000</v>
      </c>
      <c r="AP80" s="30"/>
      <c r="AQ80" s="30"/>
      <c r="AR80" s="30"/>
      <c r="AS80" s="30"/>
      <c r="AT80" s="30"/>
      <c r="AU80" s="30"/>
      <c r="AV80" s="30"/>
      <c r="AW80" s="30"/>
      <c r="AX80" s="30"/>
      <c r="AY80" s="30"/>
      <c r="AZ80" s="30"/>
      <c r="BA80" s="30"/>
    </row>
    <row r="81" spans="1:53">
      <c r="A81" s="30"/>
      <c r="B81" s="110"/>
      <c r="C81" s="131"/>
      <c r="D81" s="131"/>
      <c r="E81" s="131"/>
      <c r="F81" s="131"/>
      <c r="G81" s="131"/>
      <c r="H81" s="131"/>
      <c r="I81" s="131"/>
      <c r="J81" s="131"/>
      <c r="K81" s="131"/>
      <c r="L81" s="131"/>
      <c r="M81" s="131"/>
      <c r="N81" s="131"/>
      <c r="O81" s="131"/>
      <c r="P81" s="131"/>
      <c r="Q81" s="131"/>
      <c r="R81" s="109"/>
      <c r="AG81" s="30"/>
      <c r="AH81" s="30"/>
      <c r="AI81" s="30"/>
      <c r="AJ81" s="30"/>
      <c r="AK81" s="30"/>
      <c r="AL81" s="133">
        <v>100</v>
      </c>
      <c r="AM81" s="133">
        <v>105000</v>
      </c>
      <c r="AN81" s="133">
        <v>82</v>
      </c>
      <c r="AO81" s="133">
        <v>13089</v>
      </c>
      <c r="AP81" s="30"/>
      <c r="AQ81" s="30"/>
      <c r="AR81" s="30"/>
      <c r="AS81" s="30"/>
      <c r="AT81" s="30"/>
      <c r="AU81" s="30"/>
      <c r="AV81" s="30"/>
      <c r="AW81" s="30"/>
      <c r="AX81" s="30"/>
      <c r="AY81" s="30"/>
      <c r="AZ81" s="30"/>
      <c r="BA81" s="30"/>
    </row>
    <row r="82" spans="1:53">
      <c r="A82" s="30"/>
      <c r="B82" s="110"/>
      <c r="C82" s="131"/>
      <c r="D82" s="131"/>
      <c r="E82" s="131"/>
      <c r="F82" s="131"/>
      <c r="G82" s="131"/>
      <c r="H82" s="131"/>
      <c r="I82" s="131"/>
      <c r="J82" s="131"/>
      <c r="K82" s="131"/>
      <c r="L82" s="131"/>
      <c r="M82" s="131"/>
      <c r="N82" s="131"/>
      <c r="O82" s="131"/>
      <c r="P82" s="131"/>
      <c r="Q82" s="131"/>
      <c r="R82" s="109"/>
      <c r="AG82" s="30"/>
      <c r="AH82" s="30"/>
      <c r="AI82" s="30"/>
      <c r="AJ82" s="30"/>
      <c r="AK82" s="30"/>
      <c r="AL82" s="133">
        <v>101</v>
      </c>
      <c r="AM82" s="133">
        <v>106024.38658019602</v>
      </c>
      <c r="AN82" s="133">
        <v>83</v>
      </c>
      <c r="AO82" s="133">
        <v>13176</v>
      </c>
      <c r="AP82" s="30"/>
      <c r="AQ82" s="30"/>
      <c r="AR82" s="30"/>
      <c r="AS82" s="30"/>
      <c r="AT82" s="30"/>
      <c r="AU82" s="30"/>
      <c r="AV82" s="30"/>
      <c r="AW82" s="30"/>
      <c r="AX82" s="30"/>
      <c r="AY82" s="30"/>
      <c r="AZ82" s="30"/>
      <c r="BA82" s="30"/>
    </row>
    <row r="83" spans="1:53">
      <c r="A83" s="30"/>
      <c r="B83" s="110"/>
      <c r="C83" s="131"/>
      <c r="D83" s="131"/>
      <c r="E83" s="131"/>
      <c r="F83" s="131"/>
      <c r="G83" s="131"/>
      <c r="H83" s="131"/>
      <c r="I83" s="131"/>
      <c r="J83" s="131"/>
      <c r="K83" s="131"/>
      <c r="L83" s="131"/>
      <c r="M83" s="131"/>
      <c r="N83" s="131"/>
      <c r="O83" s="131"/>
      <c r="P83" s="131"/>
      <c r="Q83" s="131"/>
      <c r="R83" s="109"/>
      <c r="AG83" s="30"/>
      <c r="AH83" s="30"/>
      <c r="AI83" s="30"/>
      <c r="AJ83" s="30"/>
      <c r="AK83" s="30"/>
      <c r="AL83" s="133">
        <v>102</v>
      </c>
      <c r="AM83" s="133">
        <v>107053.17924828015</v>
      </c>
      <c r="AN83" s="133">
        <v>84</v>
      </c>
      <c r="AO83" s="133">
        <v>13264</v>
      </c>
      <c r="AP83" s="30"/>
      <c r="AQ83" s="30"/>
      <c r="AR83" s="30"/>
      <c r="AS83" s="30"/>
      <c r="AT83" s="30"/>
      <c r="AU83" s="30"/>
      <c r="AV83" s="30"/>
      <c r="AW83" s="30"/>
      <c r="AX83" s="30"/>
      <c r="AY83" s="30"/>
      <c r="AZ83" s="30"/>
      <c r="BA83" s="30"/>
    </row>
    <row r="84" spans="1:53">
      <c r="A84" s="30"/>
      <c r="B84" s="110"/>
      <c r="C84" s="131"/>
      <c r="D84" s="131"/>
      <c r="E84" s="131"/>
      <c r="F84" s="131"/>
      <c r="G84" s="131"/>
      <c r="H84" s="131"/>
      <c r="I84" s="131"/>
      <c r="J84" s="131"/>
      <c r="K84" s="131"/>
      <c r="L84" s="131"/>
      <c r="M84" s="131"/>
      <c r="N84" s="118">
        <v>1.5999999999999699</v>
      </c>
      <c r="O84" s="13" t="s">
        <v>35</v>
      </c>
      <c r="P84" s="131"/>
      <c r="Q84" s="131"/>
      <c r="R84" s="109"/>
      <c r="AG84" s="30"/>
      <c r="AH84" s="30"/>
      <c r="AI84" s="30"/>
      <c r="AJ84" s="30"/>
      <c r="AK84" s="30"/>
      <c r="AL84" s="133">
        <v>103</v>
      </c>
      <c r="AM84" s="133">
        <v>108086.0930363416</v>
      </c>
      <c r="AN84" s="133">
        <v>85</v>
      </c>
      <c r="AO84" s="133">
        <v>13352</v>
      </c>
      <c r="AP84" s="30"/>
      <c r="AQ84" s="30"/>
      <c r="AR84" s="30"/>
      <c r="AS84" s="30"/>
      <c r="AT84" s="30"/>
      <c r="AU84" s="30"/>
      <c r="AV84" s="30"/>
      <c r="AW84" s="30"/>
      <c r="AX84" s="30"/>
      <c r="AY84" s="30"/>
      <c r="AZ84" s="30"/>
      <c r="BA84" s="30"/>
    </row>
    <row r="85" spans="1:53" ht="9" customHeight="1">
      <c r="A85" s="30"/>
      <c r="B85" s="110"/>
      <c r="C85" s="131"/>
      <c r="D85" s="131"/>
      <c r="E85" s="131"/>
      <c r="F85" s="131"/>
      <c r="G85" s="131"/>
      <c r="H85" s="131"/>
      <c r="I85" s="131"/>
      <c r="J85" s="131"/>
      <c r="K85" s="131"/>
      <c r="L85" s="131"/>
      <c r="M85" s="131"/>
      <c r="N85" s="131"/>
      <c r="O85" s="131"/>
      <c r="P85" s="131"/>
      <c r="Q85" s="131"/>
      <c r="R85" s="109"/>
      <c r="AG85" s="30"/>
      <c r="AH85" s="30"/>
      <c r="AI85" s="30"/>
      <c r="AJ85" s="30"/>
      <c r="AK85" s="30"/>
      <c r="AL85" s="133">
        <v>104</v>
      </c>
      <c r="AM85" s="133">
        <v>109122.84290656709</v>
      </c>
      <c r="AN85" s="133">
        <v>86</v>
      </c>
      <c r="AO85" s="133">
        <v>13440</v>
      </c>
      <c r="AP85" s="30"/>
      <c r="AQ85" s="30"/>
      <c r="AR85" s="30"/>
      <c r="AS85" s="30"/>
      <c r="AT85" s="30"/>
      <c r="AU85" s="30"/>
      <c r="AV85" s="30"/>
      <c r="AW85" s="30"/>
      <c r="AX85" s="30"/>
      <c r="AY85" s="30"/>
      <c r="AZ85" s="30"/>
      <c r="BA85" s="30"/>
    </row>
    <row r="86" spans="1:53" ht="3" customHeight="1">
      <c r="A86" s="30"/>
      <c r="B86" s="110"/>
      <c r="C86" s="131"/>
      <c r="D86" s="131"/>
      <c r="E86" s="131"/>
      <c r="F86" s="131"/>
      <c r="G86" s="131"/>
      <c r="H86" s="131"/>
      <c r="I86" s="131" t="s">
        <v>275</v>
      </c>
      <c r="J86" s="131"/>
      <c r="K86" s="131"/>
      <c r="L86" s="131"/>
      <c r="M86" s="131"/>
      <c r="N86" s="131"/>
      <c r="O86" s="131"/>
      <c r="P86" s="131"/>
      <c r="Q86" s="131"/>
      <c r="R86" s="109"/>
      <c r="AG86" s="30"/>
      <c r="AH86" s="30"/>
      <c r="AI86" s="30"/>
      <c r="AJ86" s="30"/>
      <c r="AK86" s="30"/>
      <c r="AL86" s="133">
        <v>105</v>
      </c>
      <c r="AM86" s="133">
        <v>110163.14389593899</v>
      </c>
      <c r="AN86" s="133">
        <v>87</v>
      </c>
      <c r="AO86" s="133">
        <v>13528</v>
      </c>
      <c r="AP86" s="30"/>
      <c r="AQ86" s="30"/>
      <c r="AR86" s="30"/>
      <c r="AS86" s="30"/>
      <c r="AT86" s="30"/>
      <c r="AU86" s="30"/>
      <c r="AV86" s="30"/>
      <c r="AW86" s="30"/>
      <c r="AX86" s="30"/>
      <c r="AY86" s="30"/>
      <c r="AZ86" s="30"/>
      <c r="BA86" s="30"/>
    </row>
    <row r="87" spans="1:53">
      <c r="A87" s="30"/>
      <c r="B87" s="110"/>
      <c r="C87" s="131"/>
      <c r="D87" s="131"/>
      <c r="E87" s="131"/>
      <c r="F87" s="131"/>
      <c r="G87" s="131"/>
      <c r="H87" s="119">
        <v>21.653543306999545</v>
      </c>
      <c r="I87" s="13" t="s">
        <v>39</v>
      </c>
      <c r="J87" s="131"/>
      <c r="K87" s="131"/>
      <c r="L87" s="131"/>
      <c r="M87" s="131"/>
      <c r="N87" s="131"/>
      <c r="O87" s="131"/>
      <c r="P87" s="131"/>
      <c r="Q87" s="131"/>
      <c r="R87" s="109"/>
      <c r="AG87" s="30"/>
      <c r="AH87" s="30"/>
      <c r="AI87" s="30"/>
      <c r="AJ87" s="30"/>
      <c r="AK87" s="30"/>
      <c r="AL87" s="133">
        <v>106</v>
      </c>
      <c r="AM87" s="133">
        <v>111206.71101478353</v>
      </c>
      <c r="AN87" s="133">
        <v>88</v>
      </c>
      <c r="AO87" s="133">
        <v>13618</v>
      </c>
      <c r="AP87" s="30"/>
      <c r="AQ87" s="30"/>
      <c r="AR87" s="30"/>
      <c r="AS87" s="30"/>
      <c r="AT87" s="30"/>
      <c r="AU87" s="30"/>
      <c r="AV87" s="30"/>
      <c r="AW87" s="30"/>
      <c r="AX87" s="30"/>
      <c r="AY87" s="30"/>
      <c r="AZ87" s="30"/>
      <c r="BA87" s="30"/>
    </row>
    <row r="88" spans="1:53" ht="13.5" thickBot="1">
      <c r="A88" s="30"/>
      <c r="B88" s="111"/>
      <c r="C88" s="112"/>
      <c r="D88" s="112"/>
      <c r="E88" s="112"/>
      <c r="F88" s="112"/>
      <c r="G88" s="112"/>
      <c r="H88" s="112"/>
      <c r="I88" s="112"/>
      <c r="J88" s="112"/>
      <c r="K88" s="112"/>
      <c r="L88" s="112"/>
      <c r="M88" s="112"/>
      <c r="N88" s="112"/>
      <c r="O88" s="112"/>
      <c r="P88" s="112"/>
      <c r="Q88" s="112"/>
      <c r="R88" s="113"/>
      <c r="AG88" s="30"/>
      <c r="AH88" s="30"/>
      <c r="AI88" s="30"/>
      <c r="AJ88" s="30"/>
      <c r="AK88" s="30"/>
      <c r="AL88" s="133">
        <v>107</v>
      </c>
      <c r="AM88" s="133">
        <v>112253.25927342696</v>
      </c>
      <c r="AN88" s="133">
        <v>89</v>
      </c>
      <c r="AO88" s="133">
        <v>13709</v>
      </c>
      <c r="AP88" s="30"/>
      <c r="AQ88" s="30"/>
      <c r="AR88" s="30"/>
      <c r="AS88" s="30"/>
      <c r="AT88" s="30"/>
      <c r="AU88" s="30"/>
      <c r="AV88" s="30"/>
      <c r="AW88" s="30"/>
      <c r="AX88" s="30"/>
      <c r="AY88" s="30"/>
      <c r="AZ88" s="30"/>
      <c r="BA88" s="30"/>
    </row>
    <row r="89" spans="1:53" s="250" customFormat="1">
      <c r="AL89" s="133">
        <v>108</v>
      </c>
      <c r="AM89" s="133">
        <v>113302.50758993671</v>
      </c>
      <c r="AN89" s="133">
        <v>90</v>
      </c>
      <c r="AO89" s="133">
        <v>13801</v>
      </c>
    </row>
    <row r="90" spans="1:53" s="250" customFormat="1">
      <c r="AL90" s="133">
        <v>109</v>
      </c>
      <c r="AM90" s="133">
        <v>114354.15924969103</v>
      </c>
      <c r="AN90" s="133">
        <v>91</v>
      </c>
      <c r="AO90" s="133">
        <v>13895</v>
      </c>
    </row>
    <row r="91" spans="1:53" s="250" customFormat="1">
      <c r="AL91" s="133">
        <v>110</v>
      </c>
      <c r="AM91" s="133">
        <v>115407.94098675251</v>
      </c>
      <c r="AN91" s="133">
        <v>92</v>
      </c>
      <c r="AO91" s="133">
        <v>13990</v>
      </c>
    </row>
    <row r="92" spans="1:53" s="250" customFormat="1" ht="15.75">
      <c r="B92" s="286"/>
      <c r="C92" s="286"/>
      <c r="D92" s="286"/>
      <c r="E92" s="286"/>
      <c r="F92" s="286"/>
      <c r="G92" s="286"/>
      <c r="H92" s="286"/>
      <c r="AL92" s="133">
        <v>111</v>
      </c>
      <c r="AM92" s="133">
        <v>116463.56390519738</v>
      </c>
      <c r="AN92" s="133">
        <v>93</v>
      </c>
      <c r="AO92" s="133">
        <v>14086</v>
      </c>
    </row>
    <row r="93" spans="1:53" s="250" customFormat="1">
      <c r="B93" s="287"/>
      <c r="C93" s="287"/>
      <c r="D93" s="287"/>
      <c r="E93" s="287"/>
      <c r="F93" s="287"/>
      <c r="G93" s="287"/>
      <c r="H93" s="287"/>
      <c r="I93" s="287"/>
      <c r="AL93" s="133">
        <v>112</v>
      </c>
      <c r="AM93" s="133">
        <v>117520.74301050529</v>
      </c>
      <c r="AN93" s="133">
        <v>94</v>
      </c>
      <c r="AO93" s="133">
        <v>14183</v>
      </c>
    </row>
    <row r="94" spans="1:53" s="250" customFormat="1">
      <c r="B94" s="288"/>
      <c r="C94" s="288"/>
      <c r="D94" s="288"/>
      <c r="E94" s="288"/>
      <c r="F94" s="288"/>
      <c r="G94" s="288"/>
      <c r="H94" s="288"/>
      <c r="I94" s="288"/>
      <c r="J94" s="288"/>
      <c r="K94" s="288"/>
      <c r="L94" s="288"/>
      <c r="M94" s="288"/>
      <c r="N94" s="288"/>
      <c r="O94" s="288"/>
      <c r="P94" s="288"/>
      <c r="Q94" s="288"/>
      <c r="R94" s="288"/>
      <c r="AL94" s="133">
        <v>113</v>
      </c>
      <c r="AM94" s="133">
        <v>118579.19332164709</v>
      </c>
      <c r="AN94" s="133">
        <v>95</v>
      </c>
      <c r="AO94" s="133">
        <v>14279</v>
      </c>
    </row>
    <row r="95" spans="1:53" s="250" customFormat="1">
      <c r="B95" s="288"/>
      <c r="C95" s="288"/>
      <c r="D95" s="288"/>
      <c r="E95" s="288"/>
      <c r="F95" s="288"/>
      <c r="G95" s="288"/>
      <c r="H95" s="288"/>
      <c r="I95" s="288"/>
      <c r="J95" s="288"/>
      <c r="K95" s="288"/>
      <c r="L95" s="288"/>
      <c r="M95" s="288"/>
      <c r="N95" s="288"/>
      <c r="O95" s="288"/>
      <c r="P95" s="288"/>
      <c r="Q95" s="288"/>
      <c r="R95" s="288"/>
      <c r="AL95" s="133">
        <v>114</v>
      </c>
      <c r="AM95" s="133">
        <v>119638.63179161192</v>
      </c>
      <c r="AN95" s="133">
        <v>96</v>
      </c>
      <c r="AO95" s="133">
        <v>14376</v>
      </c>
    </row>
    <row r="96" spans="1:53" s="250" customFormat="1">
      <c r="B96" s="254"/>
      <c r="C96" s="289"/>
      <c r="D96" s="289"/>
      <c r="E96" s="289"/>
      <c r="F96" s="289"/>
      <c r="G96" s="289"/>
      <c r="H96" s="289"/>
      <c r="I96" s="289"/>
      <c r="M96" s="290"/>
      <c r="N96" s="290"/>
      <c r="O96" s="290"/>
      <c r="P96" s="290"/>
      <c r="Q96" s="290"/>
      <c r="R96" s="290"/>
      <c r="AL96" s="133">
        <v>115</v>
      </c>
      <c r="AM96" s="133">
        <v>120698.76758418977</v>
      </c>
      <c r="AN96" s="133">
        <v>97</v>
      </c>
      <c r="AO96" s="133">
        <v>14472</v>
      </c>
    </row>
    <row r="97" spans="2:41" s="250" customFormat="1">
      <c r="B97" s="254"/>
      <c r="C97" s="289"/>
      <c r="D97" s="289"/>
      <c r="E97" s="289"/>
      <c r="F97" s="289"/>
      <c r="G97" s="289"/>
      <c r="H97" s="289"/>
      <c r="I97" s="289"/>
      <c r="M97" s="290"/>
      <c r="N97" s="290"/>
      <c r="O97" s="290"/>
      <c r="P97" s="290"/>
      <c r="Q97" s="290"/>
      <c r="R97" s="290"/>
      <c r="AL97" s="133">
        <v>116</v>
      </c>
      <c r="AM97" s="133">
        <v>121759.32155908582</v>
      </c>
      <c r="AN97" s="133">
        <v>98</v>
      </c>
      <c r="AO97" s="133">
        <v>14566</v>
      </c>
    </row>
    <row r="98" spans="2:41" s="250" customFormat="1">
      <c r="B98" s="254"/>
      <c r="C98" s="289"/>
      <c r="D98" s="289"/>
      <c r="E98" s="289"/>
      <c r="F98" s="289"/>
      <c r="G98" s="289"/>
      <c r="H98" s="289"/>
      <c r="I98" s="289"/>
      <c r="M98" s="290"/>
      <c r="N98" s="290"/>
      <c r="O98" s="290"/>
      <c r="P98" s="290"/>
      <c r="Q98" s="290"/>
      <c r="R98" s="290"/>
      <c r="AL98" s="133">
        <v>117</v>
      </c>
      <c r="AM98" s="133">
        <v>122820.00775367541</v>
      </c>
      <c r="AN98" s="133">
        <v>99</v>
      </c>
      <c r="AO98" s="133">
        <v>14659</v>
      </c>
    </row>
    <row r="99" spans="2:41" s="250" customFormat="1">
      <c r="B99" s="254"/>
      <c r="C99" s="289"/>
      <c r="D99" s="289"/>
      <c r="E99" s="289"/>
      <c r="F99" s="289"/>
      <c r="G99" s="289"/>
      <c r="H99" s="289"/>
      <c r="I99" s="289"/>
      <c r="M99" s="290"/>
      <c r="N99" s="290"/>
      <c r="O99" s="290"/>
      <c r="P99" s="290"/>
      <c r="Q99" s="290"/>
      <c r="R99" s="290"/>
      <c r="AL99" s="133">
        <v>118</v>
      </c>
      <c r="AM99" s="133">
        <v>123880.53825106716</v>
      </c>
      <c r="AN99" s="133">
        <v>100</v>
      </c>
      <c r="AO99" s="133">
        <v>14750</v>
      </c>
    </row>
    <row r="100" spans="2:41" s="250" customFormat="1">
      <c r="B100" s="254"/>
      <c r="C100" s="289"/>
      <c r="D100" s="289"/>
      <c r="E100" s="289"/>
      <c r="F100" s="289"/>
      <c r="G100" s="289"/>
      <c r="H100" s="289"/>
      <c r="I100" s="289"/>
      <c r="M100" s="290"/>
      <c r="N100" s="290"/>
      <c r="O100" s="290"/>
      <c r="P100" s="290"/>
      <c r="Q100" s="290"/>
      <c r="R100" s="290"/>
      <c r="AL100" s="133">
        <v>119</v>
      </c>
      <c r="AM100" s="133">
        <v>124940.6309881729</v>
      </c>
      <c r="AN100" s="133">
        <v>101</v>
      </c>
      <c r="AO100" s="133">
        <v>14839</v>
      </c>
    </row>
    <row r="101" spans="2:41" s="250" customFormat="1">
      <c r="B101" s="254"/>
      <c r="C101" s="289"/>
      <c r="D101" s="289"/>
      <c r="E101" s="289"/>
      <c r="F101" s="289"/>
      <c r="G101" s="289"/>
      <c r="H101" s="289"/>
      <c r="I101" s="289"/>
      <c r="M101" s="290"/>
      <c r="N101" s="290"/>
      <c r="O101" s="290"/>
      <c r="P101" s="290"/>
      <c r="Q101" s="290"/>
      <c r="R101" s="290"/>
      <c r="AL101" s="133">
        <v>120</v>
      </c>
      <c r="AM101" s="133">
        <v>126000</v>
      </c>
      <c r="AN101" s="133">
        <v>102</v>
      </c>
      <c r="AO101" s="133">
        <v>14924</v>
      </c>
    </row>
    <row r="102" spans="2:41" s="250" customFormat="1">
      <c r="B102" s="254"/>
      <c r="C102" s="289"/>
      <c r="D102" s="289"/>
      <c r="E102" s="289"/>
      <c r="F102" s="289"/>
      <c r="G102" s="289"/>
      <c r="H102" s="289"/>
      <c r="I102" s="289"/>
      <c r="M102" s="290"/>
      <c r="N102" s="290"/>
      <c r="O102" s="290"/>
      <c r="P102" s="290"/>
      <c r="Q102" s="290"/>
      <c r="R102" s="290"/>
      <c r="AL102" s="133">
        <v>121</v>
      </c>
      <c r="AM102" s="133">
        <v>127058.41073390932</v>
      </c>
      <c r="AN102" s="133">
        <v>103</v>
      </c>
      <c r="AO102" s="133">
        <v>15007</v>
      </c>
    </row>
    <row r="103" spans="2:41" s="250" customFormat="1">
      <c r="B103" s="254"/>
      <c r="C103" s="289"/>
      <c r="D103" s="289"/>
      <c r="E103" s="289"/>
      <c r="F103" s="289"/>
      <c r="G103" s="289"/>
      <c r="H103" s="289"/>
      <c r="I103" s="289"/>
      <c r="M103" s="290"/>
      <c r="N103" s="290"/>
      <c r="O103" s="290"/>
      <c r="P103" s="290"/>
      <c r="Q103" s="290"/>
      <c r="R103" s="290"/>
      <c r="AL103" s="133">
        <v>122</v>
      </c>
      <c r="AM103" s="133">
        <v>128115.83037751113</v>
      </c>
      <c r="AN103" s="133">
        <v>104</v>
      </c>
      <c r="AO103" s="133">
        <v>15086</v>
      </c>
    </row>
    <row r="104" spans="2:41" s="250" customFormat="1">
      <c r="B104" s="254"/>
      <c r="C104" s="289"/>
      <c r="D104" s="289"/>
      <c r="E104" s="289"/>
      <c r="F104" s="289"/>
      <c r="G104" s="289"/>
      <c r="H104" s="289"/>
      <c r="I104" s="289"/>
      <c r="M104" s="290"/>
      <c r="N104" s="290"/>
      <c r="O104" s="290"/>
      <c r="P104" s="290"/>
      <c r="Q104" s="290"/>
      <c r="R104" s="290"/>
      <c r="AL104" s="133">
        <v>123</v>
      </c>
      <c r="AM104" s="133">
        <v>129172.27655109437</v>
      </c>
      <c r="AN104" s="133">
        <v>105</v>
      </c>
      <c r="AO104" s="133">
        <v>15161</v>
      </c>
    </row>
    <row r="105" spans="2:41" s="250" customFormat="1">
      <c r="B105" s="289"/>
      <c r="C105" s="289"/>
      <c r="D105" s="289"/>
      <c r="E105" s="289"/>
      <c r="F105" s="289"/>
      <c r="G105" s="289"/>
      <c r="H105" s="289"/>
      <c r="I105" s="289"/>
      <c r="J105" s="254"/>
      <c r="K105" s="254"/>
      <c r="AL105" s="133">
        <v>124</v>
      </c>
      <c r="AM105" s="133">
        <v>130227.76688997903</v>
      </c>
      <c r="AN105" s="133">
        <v>106</v>
      </c>
      <c r="AO105" s="133">
        <v>15232</v>
      </c>
    </row>
    <row r="106" spans="2:41" s="250" customFormat="1">
      <c r="B106" s="291"/>
      <c r="C106" s="291"/>
      <c r="D106" s="291"/>
      <c r="E106" s="291"/>
      <c r="F106" s="291"/>
      <c r="G106" s="291"/>
      <c r="H106" s="291"/>
      <c r="I106" s="291"/>
      <c r="J106" s="254"/>
      <c r="K106" s="254"/>
      <c r="L106" s="292"/>
      <c r="AL106" s="133">
        <v>125</v>
      </c>
      <c r="AM106" s="133">
        <v>131282.31901340187</v>
      </c>
      <c r="AN106" s="133">
        <v>107</v>
      </c>
      <c r="AO106" s="133">
        <v>15297</v>
      </c>
    </row>
    <row r="107" spans="2:41" s="250" customFormat="1">
      <c r="B107" s="291"/>
      <c r="C107" s="291"/>
      <c r="D107" s="291"/>
      <c r="E107" s="291"/>
      <c r="F107" s="291"/>
      <c r="G107" s="291"/>
      <c r="H107" s="291"/>
      <c r="I107" s="291"/>
      <c r="J107" s="254"/>
      <c r="K107" s="254"/>
      <c r="L107" s="292"/>
      <c r="M107" s="293"/>
      <c r="AL107" s="133">
        <v>126</v>
      </c>
      <c r="AM107" s="133">
        <v>132335.95054633147</v>
      </c>
      <c r="AN107" s="133">
        <v>108</v>
      </c>
      <c r="AO107" s="133">
        <v>15358</v>
      </c>
    </row>
    <row r="108" spans="2:41" s="250" customFormat="1">
      <c r="B108" s="294"/>
      <c r="C108" s="294"/>
      <c r="D108" s="294"/>
      <c r="E108" s="294"/>
      <c r="F108" s="294"/>
      <c r="G108" s="294"/>
      <c r="H108" s="294"/>
      <c r="I108" s="295"/>
      <c r="J108" s="254"/>
      <c r="K108" s="254"/>
      <c r="L108" s="292"/>
      <c r="AL108" s="133">
        <v>127</v>
      </c>
      <c r="AM108" s="133">
        <v>133388.67911373649</v>
      </c>
      <c r="AN108" s="133">
        <v>109</v>
      </c>
      <c r="AO108" s="133">
        <v>15412</v>
      </c>
    </row>
    <row r="109" spans="2:41" s="250" customFormat="1">
      <c r="B109" s="292"/>
      <c r="C109" s="292"/>
      <c r="D109" s="292"/>
      <c r="E109" s="292"/>
      <c r="F109" s="292"/>
      <c r="G109" s="292"/>
      <c r="H109" s="292"/>
      <c r="I109" s="296"/>
      <c r="J109" s="254"/>
      <c r="K109" s="254"/>
      <c r="AL109" s="133">
        <v>128</v>
      </c>
      <c r="AM109" s="133">
        <v>134440.52234026481</v>
      </c>
      <c r="AN109" s="133">
        <v>110</v>
      </c>
      <c r="AO109" s="133">
        <v>15461</v>
      </c>
    </row>
    <row r="110" spans="2:41" s="250" customFormat="1">
      <c r="B110" s="292"/>
      <c r="C110" s="292"/>
      <c r="D110" s="292"/>
      <c r="E110" s="292"/>
      <c r="F110" s="292"/>
      <c r="G110" s="292"/>
      <c r="H110" s="292"/>
      <c r="I110" s="296"/>
      <c r="J110" s="254"/>
      <c r="K110" s="254"/>
      <c r="L110" s="293"/>
      <c r="M110" s="292"/>
      <c r="N110" s="292"/>
      <c r="O110" s="292"/>
      <c r="AL110" s="133">
        <v>129</v>
      </c>
      <c r="AM110" s="133">
        <v>135491.49785221778</v>
      </c>
      <c r="AN110" s="133">
        <v>111</v>
      </c>
      <c r="AO110" s="133">
        <v>15503</v>
      </c>
    </row>
    <row r="111" spans="2:41" s="250" customFormat="1">
      <c r="I111" s="254"/>
      <c r="J111" s="254"/>
      <c r="K111" s="254"/>
      <c r="AL111" s="133">
        <v>130</v>
      </c>
      <c r="AM111" s="133">
        <v>136541.62327349186</v>
      </c>
      <c r="AN111" s="133">
        <v>112</v>
      </c>
      <c r="AO111" s="133">
        <v>15540</v>
      </c>
    </row>
    <row r="112" spans="2:41" s="250" customFormat="1">
      <c r="AL112" s="133">
        <v>131</v>
      </c>
      <c r="AM112" s="133">
        <v>137590.91622905558</v>
      </c>
      <c r="AN112" s="133">
        <v>113</v>
      </c>
      <c r="AO112" s="133">
        <v>15570</v>
      </c>
    </row>
    <row r="113" spans="38:41" s="250" customFormat="1">
      <c r="AL113" s="133">
        <v>132</v>
      </c>
      <c r="AM113" s="133">
        <v>138639.39434491974</v>
      </c>
      <c r="AN113" s="133">
        <v>114</v>
      </c>
      <c r="AO113" s="133">
        <v>15596</v>
      </c>
    </row>
    <row r="114" spans="38:41" s="250" customFormat="1">
      <c r="AL114" s="133">
        <v>133</v>
      </c>
      <c r="AM114" s="133">
        <v>139687.07524419407</v>
      </c>
      <c r="AN114" s="133">
        <v>115</v>
      </c>
      <c r="AO114" s="133">
        <v>15617</v>
      </c>
    </row>
    <row r="115" spans="38:41" s="250" customFormat="1">
      <c r="AL115" s="133">
        <v>134</v>
      </c>
      <c r="AM115" s="133">
        <v>140733.97655409682</v>
      </c>
      <c r="AN115" s="133">
        <v>116</v>
      </c>
      <c r="AO115" s="133">
        <v>15635</v>
      </c>
    </row>
    <row r="116" spans="38:41" s="250" customFormat="1">
      <c r="AL116" s="133">
        <v>135</v>
      </c>
      <c r="AM116" s="133">
        <v>141780.11589683592</v>
      </c>
      <c r="AN116" s="133">
        <v>117</v>
      </c>
      <c r="AO116" s="133">
        <v>15649</v>
      </c>
    </row>
    <row r="117" spans="38:41" s="250" customFormat="1">
      <c r="AL117" s="133">
        <v>136</v>
      </c>
      <c r="AM117" s="133">
        <v>142825.51089952938</v>
      </c>
      <c r="AN117" s="133">
        <v>118</v>
      </c>
      <c r="AO117" s="133">
        <v>15660</v>
      </c>
    </row>
    <row r="118" spans="38:41" s="250" customFormat="1">
      <c r="AL118" s="133">
        <v>137</v>
      </c>
      <c r="AM118" s="133">
        <v>143870.17918636923</v>
      </c>
      <c r="AN118" s="133">
        <v>119</v>
      </c>
      <c r="AO118" s="133">
        <v>15668</v>
      </c>
    </row>
    <row r="119" spans="38:41" s="250" customFormat="1">
      <c r="AL119" s="133">
        <v>138</v>
      </c>
      <c r="AM119" s="133">
        <v>144914.13838179296</v>
      </c>
      <c r="AN119" s="133">
        <v>120</v>
      </c>
      <c r="AO119" s="133">
        <v>15675</v>
      </c>
    </row>
    <row r="120" spans="38:41" s="250" customFormat="1">
      <c r="AL120" s="133">
        <v>139</v>
      </c>
      <c r="AM120" s="133">
        <v>145957.40611143614</v>
      </c>
      <c r="AN120" s="133">
        <v>121</v>
      </c>
      <c r="AO120" s="133">
        <v>15680</v>
      </c>
    </row>
    <row r="121" spans="38:41" s="250" customFormat="1">
      <c r="AL121" s="133">
        <v>140</v>
      </c>
      <c r="AM121" s="133">
        <v>147000</v>
      </c>
      <c r="AN121" s="133">
        <v>122</v>
      </c>
      <c r="AO121" s="133">
        <v>15685</v>
      </c>
    </row>
    <row r="122" spans="38:41" s="250" customFormat="1">
      <c r="AL122" s="133">
        <v>141</v>
      </c>
      <c r="AM122" s="133">
        <v>148041.97048456309</v>
      </c>
      <c r="AN122" s="133">
        <v>123</v>
      </c>
      <c r="AO122" s="133">
        <v>15689</v>
      </c>
    </row>
    <row r="123" spans="38:41" s="250" customFormat="1">
      <c r="AL123" s="133">
        <v>142</v>
      </c>
      <c r="AM123" s="133">
        <v>149083.49924246213</v>
      </c>
      <c r="AN123" s="133">
        <v>124</v>
      </c>
      <c r="AO123" s="133">
        <v>15693</v>
      </c>
    </row>
    <row r="124" spans="38:41" s="250" customFormat="1">
      <c r="AL124" s="133">
        <v>143</v>
      </c>
      <c r="AM124" s="133">
        <v>150124.80076044617</v>
      </c>
      <c r="AN124" s="133">
        <v>125</v>
      </c>
      <c r="AO124" s="133">
        <v>15698</v>
      </c>
    </row>
    <row r="125" spans="38:41" s="250" customFormat="1">
      <c r="AL125" s="133">
        <v>144</v>
      </c>
      <c r="AM125" s="133">
        <v>151166.08953504267</v>
      </c>
      <c r="AN125" s="133">
        <v>126</v>
      </c>
      <c r="AO125" s="133">
        <v>15704</v>
      </c>
    </row>
    <row r="126" spans="38:41" s="250" customFormat="1">
      <c r="AL126" s="133">
        <v>145</v>
      </c>
      <c r="AM126" s="133">
        <v>152207.58005231619</v>
      </c>
      <c r="AN126" s="133">
        <v>127</v>
      </c>
      <c r="AO126" s="133">
        <v>15712</v>
      </c>
    </row>
    <row r="127" spans="38:41" s="250" customFormat="1">
      <c r="AL127" s="133">
        <v>146</v>
      </c>
      <c r="AM127" s="133">
        <v>153249.48680206016</v>
      </c>
      <c r="AN127" s="133">
        <v>128</v>
      </c>
      <c r="AO127" s="133">
        <v>15722</v>
      </c>
    </row>
    <row r="128" spans="38:41" s="250" customFormat="1">
      <c r="AL128" s="133">
        <v>147</v>
      </c>
      <c r="AM128" s="133">
        <v>154292.02427406795</v>
      </c>
      <c r="AN128" s="133">
        <v>129</v>
      </c>
      <c r="AO128" s="133">
        <v>15735</v>
      </c>
    </row>
    <row r="129" spans="38:41" s="250" customFormat="1">
      <c r="AL129" s="133">
        <v>148</v>
      </c>
      <c r="AM129" s="133">
        <v>155335.40695792437</v>
      </c>
      <c r="AN129" s="133">
        <v>130</v>
      </c>
      <c r="AO129" s="133">
        <v>15751</v>
      </c>
    </row>
    <row r="130" spans="38:41" s="250" customFormat="1">
      <c r="AL130" s="133">
        <v>149</v>
      </c>
      <c r="AM130" s="133">
        <v>156379.84934428986</v>
      </c>
      <c r="AN130" s="133">
        <v>131</v>
      </c>
      <c r="AO130" s="133">
        <v>15771</v>
      </c>
    </row>
    <row r="131" spans="38:41" s="250" customFormat="1">
      <c r="AL131" s="133">
        <v>150</v>
      </c>
      <c r="AM131" s="133">
        <v>157425.56592226028</v>
      </c>
      <c r="AN131" s="133">
        <v>132</v>
      </c>
      <c r="AO131" s="133">
        <v>15794</v>
      </c>
    </row>
    <row r="132" spans="38:41" s="250" customFormat="1">
      <c r="AL132" s="133">
        <v>151</v>
      </c>
      <c r="AM132" s="133">
        <v>158472.77118162904</v>
      </c>
      <c r="AN132" s="133">
        <v>133</v>
      </c>
      <c r="AO132" s="133">
        <v>15820</v>
      </c>
    </row>
    <row r="133" spans="38:41" s="250" customFormat="1">
      <c r="AL133" s="133">
        <v>152</v>
      </c>
      <c r="AM133" s="133">
        <v>159521.67961286753</v>
      </c>
      <c r="AN133" s="133">
        <v>134</v>
      </c>
      <c r="AO133" s="133">
        <v>15849</v>
      </c>
    </row>
    <row r="134" spans="38:41" s="250" customFormat="1">
      <c r="AL134" s="133">
        <v>153</v>
      </c>
      <c r="AM134" s="133">
        <v>160572.50570455985</v>
      </c>
      <c r="AN134" s="133">
        <v>135</v>
      </c>
      <c r="AO134" s="133">
        <v>15882</v>
      </c>
    </row>
    <row r="135" spans="38:41" s="250" customFormat="1">
      <c r="AL135" s="133">
        <v>154</v>
      </c>
      <c r="AM135" s="133">
        <v>161625.46394796294</v>
      </c>
      <c r="AN135" s="133">
        <v>136</v>
      </c>
      <c r="AO135" s="133">
        <v>15916</v>
      </c>
    </row>
    <row r="136" spans="38:41" s="250" customFormat="1">
      <c r="AL136" s="133">
        <v>155</v>
      </c>
      <c r="AM136" s="133">
        <v>162680.76883107424</v>
      </c>
      <c r="AN136" s="133">
        <v>137</v>
      </c>
      <c r="AO136" s="133">
        <v>15953</v>
      </c>
    </row>
    <row r="137" spans="38:41" s="250" customFormat="1">
      <c r="AL137" s="133">
        <v>156</v>
      </c>
      <c r="AM137" s="133">
        <v>163738.63484508544</v>
      </c>
      <c r="AN137" s="133">
        <v>138</v>
      </c>
      <c r="AO137" s="133">
        <v>15992</v>
      </c>
    </row>
    <row r="138" spans="38:41" s="250" customFormat="1">
      <c r="AL138" s="133">
        <v>157</v>
      </c>
      <c r="AM138" s="133">
        <v>164799.27647928474</v>
      </c>
      <c r="AN138" s="133">
        <v>139</v>
      </c>
      <c r="AO138" s="133">
        <v>16033</v>
      </c>
    </row>
    <row r="139" spans="38:41" s="250" customFormat="1">
      <c r="AL139" s="133">
        <v>158</v>
      </c>
      <c r="AM139" s="133">
        <v>165862.90822312003</v>
      </c>
      <c r="AN139" s="133">
        <v>140</v>
      </c>
      <c r="AO139" s="133">
        <v>16076</v>
      </c>
    </row>
    <row r="140" spans="38:41" s="250" customFormat="1">
      <c r="AL140" s="133">
        <v>159</v>
      </c>
      <c r="AM140" s="133">
        <v>166929.74456681864</v>
      </c>
      <c r="AN140" s="133">
        <v>141</v>
      </c>
      <c r="AO140" s="133">
        <v>16119</v>
      </c>
    </row>
    <row r="141" spans="38:41" s="250" customFormat="1">
      <c r="AL141" s="133">
        <v>160</v>
      </c>
      <c r="AM141" s="133">
        <v>168000</v>
      </c>
      <c r="AN141" s="133">
        <v>142</v>
      </c>
      <c r="AO141" s="133">
        <v>16164</v>
      </c>
    </row>
    <row r="142" spans="38:41" s="250" customFormat="1">
      <c r="AL142" s="133">
        <v>161</v>
      </c>
      <c r="AM142" s="133">
        <v>169073.83232778165</v>
      </c>
      <c r="AN142" s="133">
        <v>143</v>
      </c>
      <c r="AO142" s="133">
        <v>16210</v>
      </c>
    </row>
    <row r="143" spans="38:41" s="250" customFormat="1">
      <c r="AL143" s="133">
        <v>162</v>
      </c>
      <c r="AM143" s="133">
        <v>170151.17265242574</v>
      </c>
      <c r="AN143" s="133">
        <v>144</v>
      </c>
      <c r="AO143" s="133">
        <v>16256</v>
      </c>
    </row>
    <row r="144" spans="38:41" s="250" customFormat="1">
      <c r="AL144" s="133">
        <v>163</v>
      </c>
      <c r="AM144" s="133">
        <v>171231.89540666493</v>
      </c>
      <c r="AN144" s="133">
        <v>145</v>
      </c>
      <c r="AO144" s="133">
        <v>16303</v>
      </c>
    </row>
    <row r="145" spans="38:41" s="250" customFormat="1">
      <c r="AL145" s="133">
        <v>164</v>
      </c>
      <c r="AM145" s="133">
        <v>172315.87496908737</v>
      </c>
      <c r="AN145" s="133">
        <v>146</v>
      </c>
      <c r="AO145" s="133">
        <v>16349</v>
      </c>
    </row>
    <row r="146" spans="38:41" s="250" customFormat="1">
      <c r="AL146" s="133">
        <v>165</v>
      </c>
      <c r="AM146" s="133">
        <v>173402.98577621579</v>
      </c>
      <c r="AN146" s="133">
        <v>147</v>
      </c>
      <c r="AO146" s="133">
        <v>16396</v>
      </c>
    </row>
    <row r="147" spans="38:41" s="250" customFormat="1">
      <c r="AL147" s="133">
        <v>166</v>
      </c>
      <c r="AM147" s="133">
        <v>174493.10224392591</v>
      </c>
      <c r="AN147" s="133">
        <v>148</v>
      </c>
      <c r="AO147" s="133">
        <v>16442</v>
      </c>
    </row>
    <row r="148" spans="38:41" s="250" customFormat="1">
      <c r="AL148" s="133">
        <v>167</v>
      </c>
      <c r="AM148" s="133">
        <v>175586.09097559337</v>
      </c>
      <c r="AN148" s="133">
        <v>149</v>
      </c>
      <c r="AO148" s="133">
        <v>16487</v>
      </c>
    </row>
    <row r="149" spans="38:41" s="250" customFormat="1">
      <c r="AL149" s="133">
        <v>168</v>
      </c>
      <c r="AM149" s="133">
        <v>176681.85763824891</v>
      </c>
      <c r="AN149" s="133">
        <v>150</v>
      </c>
      <c r="AO149" s="133">
        <v>16532</v>
      </c>
    </row>
    <row r="150" spans="38:41" s="250" customFormat="1">
      <c r="AL150" s="133">
        <v>169</v>
      </c>
      <c r="AM150" s="133">
        <v>177780.22976796736</v>
      </c>
      <c r="AN150" s="133">
        <v>151</v>
      </c>
      <c r="AO150" s="133">
        <v>16576</v>
      </c>
    </row>
    <row r="151" spans="38:41" s="250" customFormat="1">
      <c r="AL151" s="133">
        <v>170</v>
      </c>
      <c r="AM151" s="133">
        <v>178881.11303448677</v>
      </c>
      <c r="AN151" s="133">
        <v>152</v>
      </c>
      <c r="AO151" s="133">
        <v>16618</v>
      </c>
    </row>
    <row r="152" spans="38:41" s="250" customFormat="1">
      <c r="AL152" s="133">
        <v>171</v>
      </c>
      <c r="AM152" s="133">
        <v>179984.37404118275</v>
      </c>
      <c r="AN152" s="133">
        <v>153</v>
      </c>
      <c r="AO152" s="133">
        <v>16660</v>
      </c>
    </row>
    <row r="153" spans="38:41" s="250" customFormat="1">
      <c r="AL153" s="133">
        <v>172</v>
      </c>
      <c r="AM153" s="133">
        <v>181089.88720017692</v>
      </c>
      <c r="AN153" s="133">
        <v>154</v>
      </c>
      <c r="AO153" s="133">
        <v>16700</v>
      </c>
    </row>
    <row r="154" spans="38:41" s="250" customFormat="1">
      <c r="AL154" s="133">
        <v>173</v>
      </c>
      <c r="AM154" s="133">
        <v>182197.52693404088</v>
      </c>
      <c r="AN154" s="133">
        <v>155</v>
      </c>
      <c r="AO154" s="133">
        <v>16740</v>
      </c>
    </row>
    <row r="155" spans="38:41" s="250" customFormat="1">
      <c r="AL155" s="133">
        <v>174</v>
      </c>
      <c r="AM155" s="133">
        <v>183307.17155679662</v>
      </c>
      <c r="AN155" s="133">
        <v>156</v>
      </c>
      <c r="AO155" s="133">
        <v>16778</v>
      </c>
    </row>
    <row r="156" spans="38:41" s="250" customFormat="1">
      <c r="AL156" s="133">
        <v>175</v>
      </c>
      <c r="AM156" s="133">
        <v>184418.68377551436</v>
      </c>
      <c r="AN156" s="133">
        <v>157</v>
      </c>
      <c r="AO156" s="133">
        <v>16816</v>
      </c>
    </row>
    <row r="157" spans="38:41" s="250" customFormat="1">
      <c r="AL157" s="133">
        <v>176</v>
      </c>
      <c r="AM157" s="133">
        <v>185531.94971707711</v>
      </c>
      <c r="AN157" s="133">
        <v>158</v>
      </c>
      <c r="AO157" s="133">
        <v>16854</v>
      </c>
    </row>
    <row r="158" spans="38:41" s="250" customFormat="1">
      <c r="AL158" s="133">
        <v>177</v>
      </c>
      <c r="AM158" s="133">
        <v>186646.84184703298</v>
      </c>
      <c r="AN158" s="133">
        <v>159</v>
      </c>
      <c r="AO158" s="133">
        <v>16890</v>
      </c>
    </row>
    <row r="159" spans="38:41" s="250" customFormat="1">
      <c r="AL159" s="133">
        <v>178</v>
      </c>
      <c r="AM159" s="133">
        <v>187763.22872379576</v>
      </c>
      <c r="AN159" s="133">
        <v>160</v>
      </c>
      <c r="AO159" s="133">
        <v>16926</v>
      </c>
    </row>
    <row r="160" spans="38:41" s="250" customFormat="1">
      <c r="AL160" s="133">
        <v>179</v>
      </c>
      <c r="AM160" s="133">
        <v>188880.99062021344</v>
      </c>
      <c r="AN160" s="133">
        <v>161</v>
      </c>
      <c r="AO160" s="133">
        <v>16961</v>
      </c>
    </row>
    <row r="161" spans="38:41" s="250" customFormat="1">
      <c r="AL161" s="133">
        <v>180</v>
      </c>
      <c r="AM161" s="133">
        <v>190000</v>
      </c>
      <c r="AN161" s="133">
        <v>162</v>
      </c>
      <c r="AO161" s="133">
        <v>16996</v>
      </c>
    </row>
    <row r="162" spans="38:41" s="250" customFormat="1">
      <c r="AL162" s="133">
        <v>181</v>
      </c>
      <c r="AM162" s="133">
        <v>191119.95017931212</v>
      </c>
      <c r="AN162" s="133">
        <v>163</v>
      </c>
      <c r="AO162" s="133">
        <v>17030</v>
      </c>
    </row>
    <row r="163" spans="38:41" s="250" customFormat="1">
      <c r="AL163" s="133">
        <v>182</v>
      </c>
      <c r="AM163" s="133">
        <v>192239.81010472882</v>
      </c>
      <c r="AN163" s="133">
        <v>164</v>
      </c>
      <c r="AO163" s="133">
        <v>17063</v>
      </c>
    </row>
    <row r="164" spans="38:41" s="250" customFormat="1">
      <c r="AL164" s="133">
        <v>183</v>
      </c>
      <c r="AM164" s="133">
        <v>193358.36762765815</v>
      </c>
      <c r="AN164" s="133">
        <v>165</v>
      </c>
      <c r="AO164" s="133">
        <v>17096</v>
      </c>
    </row>
    <row r="165" spans="38:41" s="250" customFormat="1">
      <c r="AL165" s="133">
        <v>184</v>
      </c>
      <c r="AM165" s="133">
        <v>194474.4105827905</v>
      </c>
      <c r="AN165" s="133">
        <v>166</v>
      </c>
      <c r="AO165" s="133">
        <v>17129</v>
      </c>
    </row>
    <row r="166" spans="38:41" s="250" customFormat="1">
      <c r="AL166" s="133">
        <v>185</v>
      </c>
      <c r="AM166" s="133">
        <v>195586.72682270408</v>
      </c>
      <c r="AN166" s="133">
        <v>167</v>
      </c>
      <c r="AO166" s="133">
        <v>17162</v>
      </c>
    </row>
    <row r="167" spans="38:41" s="250" customFormat="1">
      <c r="AL167" s="133">
        <v>186</v>
      </c>
      <c r="AM167" s="133">
        <v>196694.10419360216</v>
      </c>
      <c r="AN167" s="133">
        <v>168</v>
      </c>
      <c r="AO167" s="133">
        <v>17194</v>
      </c>
    </row>
    <row r="168" spans="38:41" s="250" customFormat="1">
      <c r="AL168" s="133">
        <v>187</v>
      </c>
      <c r="AM168" s="133">
        <v>197795.32272918802</v>
      </c>
      <c r="AN168" s="133">
        <v>169</v>
      </c>
      <c r="AO168" s="133">
        <v>17226</v>
      </c>
    </row>
    <row r="169" spans="38:41" s="250" customFormat="1">
      <c r="AL169" s="133">
        <v>188</v>
      </c>
      <c r="AM169" s="133">
        <v>198889.20152602156</v>
      </c>
      <c r="AN169" s="133">
        <v>170</v>
      </c>
      <c r="AO169" s="133">
        <v>17258</v>
      </c>
    </row>
    <row r="170" spans="38:41" s="250" customFormat="1">
      <c r="AL170" s="133">
        <v>189</v>
      </c>
      <c r="AM170" s="133">
        <v>199974.48155382372</v>
      </c>
      <c r="AN170" s="133">
        <v>171</v>
      </c>
      <c r="AO170" s="133">
        <v>17289</v>
      </c>
    </row>
    <row r="171" spans="38:41" s="250" customFormat="1">
      <c r="AL171" s="133">
        <v>190</v>
      </c>
      <c r="AM171" s="133">
        <v>201049.98190999031</v>
      </c>
      <c r="AN171" s="133">
        <v>172</v>
      </c>
      <c r="AO171" s="133">
        <v>17321</v>
      </c>
    </row>
    <row r="172" spans="38:41" s="250" customFormat="1">
      <c r="AL172" s="133">
        <v>191</v>
      </c>
      <c r="AM172" s="133">
        <v>202114.48262822456</v>
      </c>
      <c r="AN172" s="133">
        <v>173</v>
      </c>
      <c r="AO172" s="133">
        <v>17353</v>
      </c>
    </row>
    <row r="173" spans="38:41" s="250" customFormat="1">
      <c r="AL173" s="133">
        <v>192</v>
      </c>
      <c r="AM173" s="133">
        <v>203166.77155357067</v>
      </c>
      <c r="AN173" s="133">
        <v>174</v>
      </c>
      <c r="AO173" s="133">
        <v>17384</v>
      </c>
    </row>
    <row r="174" spans="38:41" s="250" customFormat="1">
      <c r="AL174" s="133">
        <v>193</v>
      </c>
      <c r="AM174" s="133">
        <v>204205.63653429929</v>
      </c>
      <c r="AN174" s="133">
        <v>175</v>
      </c>
      <c r="AO174" s="133">
        <v>17416</v>
      </c>
    </row>
    <row r="175" spans="38:41" s="250" customFormat="1">
      <c r="AL175" s="133">
        <v>194</v>
      </c>
      <c r="AM175" s="133">
        <v>205229.86932036161</v>
      </c>
      <c r="AN175" s="133">
        <v>176</v>
      </c>
      <c r="AO175" s="133">
        <v>17448</v>
      </c>
    </row>
    <row r="176" spans="38:41" s="250" customFormat="1">
      <c r="AL176" s="133">
        <v>195</v>
      </c>
      <c r="AM176" s="133">
        <v>206238.24604228139</v>
      </c>
      <c r="AN176" s="133">
        <v>177</v>
      </c>
      <c r="AO176" s="133">
        <v>17480</v>
      </c>
    </row>
    <row r="177" spans="38:41" s="250" customFormat="1">
      <c r="AL177" s="133">
        <v>196</v>
      </c>
      <c r="AM177" s="133">
        <v>207229.56626262123</v>
      </c>
      <c r="AN177" s="133">
        <v>178</v>
      </c>
      <c r="AO177" s="133">
        <v>17512</v>
      </c>
    </row>
    <row r="178" spans="38:41" s="250" customFormat="1">
      <c r="AL178" s="133">
        <v>197</v>
      </c>
      <c r="AM178" s="133">
        <v>208202.61587532316</v>
      </c>
      <c r="AN178" s="133">
        <v>179</v>
      </c>
      <c r="AO178" s="133">
        <v>17544</v>
      </c>
    </row>
    <row r="179" spans="38:41" s="250" customFormat="1">
      <c r="AL179" s="133">
        <v>198</v>
      </c>
      <c r="AM179" s="133">
        <v>209156.17686780609</v>
      </c>
      <c r="AN179" s="133">
        <v>180</v>
      </c>
      <c r="AO179" s="133">
        <v>17576</v>
      </c>
    </row>
    <row r="180" spans="38:41" s="250" customFormat="1">
      <c r="AL180" s="133">
        <v>199</v>
      </c>
      <c r="AM180" s="133">
        <v>210089.04294490648</v>
      </c>
      <c r="AN180" s="133">
        <v>181</v>
      </c>
      <c r="AO180" s="133">
        <v>17608</v>
      </c>
    </row>
    <row r="181" spans="38:41" s="250" customFormat="1">
      <c r="AL181" s="133">
        <v>200</v>
      </c>
      <c r="AM181" s="133">
        <v>211000</v>
      </c>
      <c r="AN181" s="133">
        <v>182</v>
      </c>
      <c r="AO181" s="133">
        <v>17641</v>
      </c>
    </row>
    <row r="182" spans="38:41" s="250" customFormat="1">
      <c r="AL182" s="133">
        <v>201</v>
      </c>
      <c r="AM182" s="133">
        <v>211888.13289583876</v>
      </c>
      <c r="AN182" s="133">
        <v>183</v>
      </c>
      <c r="AO182" s="133">
        <v>17673</v>
      </c>
    </row>
    <row r="183" spans="38:41" s="250" customFormat="1">
      <c r="AL183" s="133">
        <v>202</v>
      </c>
      <c r="AM183" s="133">
        <v>212753.71790632233</v>
      </c>
      <c r="AN183" s="133">
        <v>184</v>
      </c>
      <c r="AO183" s="133">
        <v>17706</v>
      </c>
    </row>
    <row r="184" spans="38:41" s="250" customFormat="1">
      <c r="AL184" s="133">
        <v>203</v>
      </c>
      <c r="AM184" s="133">
        <v>213597.32517214661</v>
      </c>
      <c r="AN184" s="133">
        <v>185</v>
      </c>
      <c r="AO184" s="133">
        <v>17738</v>
      </c>
    </row>
    <row r="185" spans="38:41" s="250" customFormat="1">
      <c r="AL185" s="133">
        <v>204</v>
      </c>
      <c r="AM185" s="133">
        <v>214419.52800646145</v>
      </c>
      <c r="AN185" s="133">
        <v>186</v>
      </c>
      <c r="AO185" s="133">
        <v>17771</v>
      </c>
    </row>
    <row r="186" spans="38:41" s="250" customFormat="1">
      <c r="AL186" s="133">
        <v>205</v>
      </c>
      <c r="AM186" s="133">
        <v>215220.89946332853</v>
      </c>
      <c r="AN186" s="133">
        <v>187</v>
      </c>
      <c r="AO186" s="133">
        <v>17803</v>
      </c>
    </row>
    <row r="187" spans="38:41" s="250" customFormat="1">
      <c r="AL187" s="133">
        <v>206</v>
      </c>
      <c r="AM187" s="133">
        <v>216002.0100720762</v>
      </c>
      <c r="AN187" s="133">
        <v>188</v>
      </c>
      <c r="AO187" s="133">
        <v>17835</v>
      </c>
    </row>
    <row r="188" spans="38:41" s="250" customFormat="1">
      <c r="AL188" s="133">
        <v>207</v>
      </c>
      <c r="AM188" s="133">
        <v>216763.43294947094</v>
      </c>
      <c r="AN188" s="133">
        <v>189</v>
      </c>
      <c r="AO188" s="133">
        <v>17868</v>
      </c>
    </row>
    <row r="189" spans="38:41" s="250" customFormat="1">
      <c r="AL189" s="133">
        <v>208</v>
      </c>
      <c r="AM189" s="133">
        <v>217505.74096972845</v>
      </c>
      <c r="AN189" s="133">
        <v>190</v>
      </c>
      <c r="AO189" s="133">
        <v>17900</v>
      </c>
    </row>
    <row r="190" spans="38:41" s="250" customFormat="1">
      <c r="AL190" s="133">
        <v>209</v>
      </c>
      <c r="AM190" s="133">
        <v>218229.50502600329</v>
      </c>
      <c r="AN190" s="133">
        <v>191</v>
      </c>
      <c r="AO190" s="133">
        <v>17933</v>
      </c>
    </row>
    <row r="191" spans="38:41" s="250" customFormat="1">
      <c r="AL191" s="133">
        <v>210</v>
      </c>
      <c r="AM191" s="133">
        <v>218935.29805108169</v>
      </c>
      <c r="AN191" s="133">
        <v>192</v>
      </c>
      <c r="AO191" s="133">
        <v>17965</v>
      </c>
    </row>
    <row r="192" spans="38:41" s="250" customFormat="1">
      <c r="AL192" s="133">
        <v>211</v>
      </c>
      <c r="AM192" s="133">
        <v>219623.69275173655</v>
      </c>
      <c r="AN192" s="133">
        <v>193</v>
      </c>
      <c r="AO192" s="133">
        <v>17997</v>
      </c>
    </row>
    <row r="193" spans="38:41" s="250" customFormat="1">
      <c r="AL193" s="133">
        <v>212</v>
      </c>
      <c r="AM193" s="133">
        <v>220295.26036014239</v>
      </c>
      <c r="AN193" s="133">
        <v>194</v>
      </c>
      <c r="AO193" s="133">
        <v>18029</v>
      </c>
    </row>
    <row r="194" spans="38:41" s="250" customFormat="1">
      <c r="AL194" s="133">
        <v>213</v>
      </c>
      <c r="AM194" s="133">
        <v>220950.57363750818</v>
      </c>
      <c r="AN194" s="133">
        <v>195</v>
      </c>
      <c r="AO194" s="133">
        <v>18061</v>
      </c>
    </row>
    <row r="195" spans="38:41" s="250" customFormat="1">
      <c r="AL195" s="133">
        <v>214</v>
      </c>
      <c r="AM195" s="133">
        <v>221590.20481676009</v>
      </c>
      <c r="AN195" s="133">
        <v>196</v>
      </c>
      <c r="AO195" s="133">
        <v>18093</v>
      </c>
    </row>
    <row r="196" spans="38:41" s="250" customFormat="1">
      <c r="AL196" s="133">
        <v>215</v>
      </c>
      <c r="AM196" s="133">
        <v>222214.72640070791</v>
      </c>
      <c r="AN196" s="133">
        <v>197</v>
      </c>
      <c r="AO196" s="133">
        <v>18125</v>
      </c>
    </row>
    <row r="197" spans="38:41" s="250" customFormat="1">
      <c r="AL197" s="133">
        <v>216</v>
      </c>
      <c r="AM197" s="133">
        <v>222824.71003496493</v>
      </c>
      <c r="AN197" s="133">
        <v>198</v>
      </c>
      <c r="AO197" s="133">
        <v>18157</v>
      </c>
    </row>
    <row r="198" spans="38:41" s="250" customFormat="1">
      <c r="AL198" s="133">
        <v>217</v>
      </c>
      <c r="AM198" s="133">
        <v>223420.72827126447</v>
      </c>
      <c r="AN198" s="133">
        <v>199</v>
      </c>
      <c r="AO198" s="133">
        <v>18189</v>
      </c>
    </row>
    <row r="199" spans="38:41" s="250" customFormat="1">
      <c r="AL199" s="133">
        <v>218</v>
      </c>
      <c r="AM199" s="133">
        <v>224003.35347391441</v>
      </c>
      <c r="AN199" s="133">
        <v>200</v>
      </c>
      <c r="AO199" s="133">
        <v>18220</v>
      </c>
    </row>
    <row r="200" spans="38:41" s="250" customFormat="1">
      <c r="AL200" s="133">
        <v>219</v>
      </c>
      <c r="AM200" s="133">
        <v>224573.15756966636</v>
      </c>
      <c r="AN200" s="133">
        <v>201</v>
      </c>
      <c r="AO200" s="133">
        <v>18251</v>
      </c>
    </row>
    <row r="201" spans="38:41" s="250" customFormat="1">
      <c r="AL201" s="133">
        <v>220</v>
      </c>
      <c r="AM201" s="133">
        <v>225130.72078011735</v>
      </c>
      <c r="AN201" s="133">
        <v>202</v>
      </c>
      <c r="AO201" s="133">
        <v>18282</v>
      </c>
    </row>
    <row r="202" spans="38:41" s="250" customFormat="1">
      <c r="AL202" s="133">
        <v>221</v>
      </c>
      <c r="AM202" s="133">
        <v>225676.59190597633</v>
      </c>
      <c r="AN202" s="133">
        <v>203</v>
      </c>
      <c r="AO202" s="133">
        <v>18313</v>
      </c>
    </row>
    <row r="203" spans="38:41" s="250" customFormat="1">
      <c r="AL203" s="133">
        <v>222</v>
      </c>
      <c r="AM203" s="133">
        <v>226211.36656782703</v>
      </c>
      <c r="AN203" s="133">
        <v>204</v>
      </c>
      <c r="AO203" s="133">
        <v>18344</v>
      </c>
    </row>
    <row r="204" spans="38:41" s="250" customFormat="1">
      <c r="AL204" s="133">
        <v>223</v>
      </c>
      <c r="AM204" s="133">
        <v>226735.61704453322</v>
      </c>
      <c r="AN204" s="133">
        <v>205</v>
      </c>
      <c r="AO204" s="133">
        <v>18375</v>
      </c>
    </row>
    <row r="205" spans="38:41" s="250" customFormat="1">
      <c r="AL205" s="133">
        <v>224</v>
      </c>
      <c r="AM205" s="133">
        <v>227249.88421060817</v>
      </c>
      <c r="AN205" s="133">
        <v>206</v>
      </c>
      <c r="AO205" s="133">
        <v>18406</v>
      </c>
    </row>
    <row r="206" spans="38:41" s="250" customFormat="1">
      <c r="AL206" s="133">
        <v>225</v>
      </c>
      <c r="AM206" s="133">
        <v>227754.78735566139</v>
      </c>
      <c r="AN206" s="133">
        <v>207</v>
      </c>
      <c r="AO206" s="133">
        <v>18436</v>
      </c>
    </row>
    <row r="207" spans="38:41" s="250" customFormat="1">
      <c r="AL207" s="133">
        <v>226</v>
      </c>
      <c r="AM207" s="133">
        <v>228250.86730206691</v>
      </c>
      <c r="AN207" s="133">
        <v>208</v>
      </c>
      <c r="AO207" s="133">
        <v>18466</v>
      </c>
    </row>
    <row r="208" spans="38:41" s="250" customFormat="1">
      <c r="AL208" s="133">
        <v>227</v>
      </c>
      <c r="AM208" s="133">
        <v>228738.7042563771</v>
      </c>
      <c r="AN208" s="133">
        <v>209</v>
      </c>
      <c r="AO208" s="133">
        <v>18496</v>
      </c>
    </row>
    <row r="209" spans="38:41" s="250" customFormat="1">
      <c r="AL209" s="133">
        <v>228</v>
      </c>
      <c r="AM209" s="133">
        <v>229218.87025938393</v>
      </c>
      <c r="AN209" s="133">
        <v>210</v>
      </c>
      <c r="AO209" s="133">
        <v>18526</v>
      </c>
    </row>
    <row r="210" spans="38:41" s="250" customFormat="1">
      <c r="AL210" s="133">
        <v>229</v>
      </c>
      <c r="AM210" s="133">
        <v>229691.93763474029</v>
      </c>
      <c r="AN210" s="133">
        <v>211</v>
      </c>
      <c r="AO210" s="133">
        <v>18556</v>
      </c>
    </row>
    <row r="211" spans="38:41" s="250" customFormat="1">
      <c r="AL211" s="133">
        <v>230</v>
      </c>
      <c r="AM211" s="133">
        <v>230158.47876673692</v>
      </c>
      <c r="AN211" s="133">
        <v>212</v>
      </c>
      <c r="AO211" s="133">
        <v>18586</v>
      </c>
    </row>
    <row r="212" spans="38:41" s="250" customFormat="1">
      <c r="AL212" s="133">
        <v>231</v>
      </c>
      <c r="AM212" s="133">
        <v>230619.06560520912</v>
      </c>
      <c r="AN212" s="133">
        <v>213</v>
      </c>
      <c r="AO212" s="133">
        <v>18616</v>
      </c>
    </row>
    <row r="213" spans="38:41" s="250" customFormat="1">
      <c r="AL213" s="133">
        <v>232</v>
      </c>
      <c r="AM213" s="133">
        <v>231074.27069580354</v>
      </c>
      <c r="AN213" s="133">
        <v>214</v>
      </c>
      <c r="AO213" s="133">
        <v>18645</v>
      </c>
    </row>
    <row r="214" spans="38:41" s="250" customFormat="1">
      <c r="AL214" s="133">
        <v>233</v>
      </c>
      <c r="AM214" s="133">
        <v>231524.66593460849</v>
      </c>
      <c r="AN214" s="133">
        <v>215</v>
      </c>
      <c r="AO214" s="133">
        <v>18675</v>
      </c>
    </row>
    <row r="215" spans="38:41" s="250" customFormat="1">
      <c r="AL215" s="133">
        <v>234</v>
      </c>
      <c r="AM215" s="133">
        <v>231970.82371935144</v>
      </c>
      <c r="AN215" s="133">
        <v>216</v>
      </c>
      <c r="AO215" s="133">
        <v>18704</v>
      </c>
    </row>
    <row r="216" spans="38:41" s="250" customFormat="1">
      <c r="AL216" s="133">
        <v>235</v>
      </c>
      <c r="AM216" s="133">
        <v>232413.32040086616</v>
      </c>
      <c r="AN216" s="133">
        <v>217</v>
      </c>
      <c r="AO216" s="133">
        <v>18733</v>
      </c>
    </row>
    <row r="217" spans="38:41" s="250" customFormat="1">
      <c r="AL217" s="133">
        <v>236</v>
      </c>
      <c r="AM217" s="133">
        <v>232852.71608620638</v>
      </c>
      <c r="AN217" s="133">
        <v>218</v>
      </c>
      <c r="AO217" s="133">
        <v>18762</v>
      </c>
    </row>
    <row r="218" spans="38:41" s="250" customFormat="1">
      <c r="AL218" s="133">
        <v>237</v>
      </c>
      <c r="AM218" s="133">
        <v>233289.59102177538</v>
      </c>
      <c r="AN218" s="133">
        <v>219</v>
      </c>
      <c r="AO218" s="133">
        <v>18791</v>
      </c>
    </row>
    <row r="219" spans="38:41" s="250" customFormat="1">
      <c r="AL219" s="133">
        <v>238</v>
      </c>
      <c r="AM219" s="133">
        <v>233724.52537381536</v>
      </c>
      <c r="AN219" s="133">
        <v>220</v>
      </c>
      <c r="AO219" s="133">
        <v>18820</v>
      </c>
    </row>
    <row r="220" spans="38:41" s="250" customFormat="1">
      <c r="AL220" s="133">
        <v>239</v>
      </c>
      <c r="AM220" s="133">
        <v>234158.079547745</v>
      </c>
      <c r="AN220" s="133">
        <v>221</v>
      </c>
      <c r="AO220" s="133">
        <v>18848</v>
      </c>
    </row>
    <row r="221" spans="38:41" s="250" customFormat="1">
      <c r="AL221" s="133">
        <v>240</v>
      </c>
      <c r="AM221" s="133">
        <v>234590.82968377401</v>
      </c>
      <c r="AN221" s="133">
        <v>222</v>
      </c>
      <c r="AO221" s="133">
        <v>18877</v>
      </c>
    </row>
    <row r="222" spans="38:41" s="250" customFormat="1">
      <c r="AL222" s="133">
        <v>241</v>
      </c>
      <c r="AM222" s="133">
        <v>235023.34801586211</v>
      </c>
      <c r="AN222" s="133">
        <v>223</v>
      </c>
      <c r="AO222" s="133">
        <v>18905</v>
      </c>
    </row>
    <row r="223" spans="38:41" s="250" customFormat="1">
      <c r="AL223" s="133">
        <v>242</v>
      </c>
      <c r="AM223" s="133">
        <v>235456.20664543886</v>
      </c>
      <c r="AN223" s="133">
        <v>224</v>
      </c>
      <c r="AO223" s="133">
        <v>18934</v>
      </c>
    </row>
    <row r="224" spans="38:41" s="250" customFormat="1">
      <c r="AL224" s="133">
        <v>243</v>
      </c>
      <c r="AM224" s="133">
        <v>235889.97806894025</v>
      </c>
      <c r="AN224" s="133">
        <v>225</v>
      </c>
      <c r="AO224" s="133">
        <v>18962</v>
      </c>
    </row>
    <row r="225" spans="38:41" s="250" customFormat="1">
      <c r="AL225" s="133">
        <v>244</v>
      </c>
      <c r="AM225" s="133">
        <v>236325.23432204759</v>
      </c>
      <c r="AN225" s="133">
        <v>226</v>
      </c>
      <c r="AO225" s="133">
        <v>18990</v>
      </c>
    </row>
    <row r="226" spans="38:41" s="250" customFormat="1">
      <c r="AL226" s="133">
        <v>245</v>
      </c>
      <c r="AM226" s="133">
        <v>236762.5477751267</v>
      </c>
      <c r="AN226" s="133">
        <v>227</v>
      </c>
      <c r="AO226" s="133">
        <v>19018</v>
      </c>
    </row>
    <row r="227" spans="38:41" s="250" customFormat="1">
      <c r="AL227" s="133">
        <v>246</v>
      </c>
      <c r="AM227" s="133">
        <v>237202.49052418079</v>
      </c>
      <c r="AN227" s="133">
        <v>228</v>
      </c>
      <c r="AO227" s="133">
        <v>19046</v>
      </c>
    </row>
    <row r="228" spans="38:41" s="250" customFormat="1">
      <c r="AL228" s="133">
        <v>247</v>
      </c>
      <c r="AM228" s="250">
        <v>237645.63490786433</v>
      </c>
      <c r="AN228" s="133">
        <v>229</v>
      </c>
      <c r="AO228" s="133">
        <v>19074</v>
      </c>
    </row>
    <row r="229" spans="38:41" s="250" customFormat="1">
      <c r="AL229" s="133">
        <v>248</v>
      </c>
      <c r="AM229" s="250">
        <v>238092.5531255833</v>
      </c>
      <c r="AN229" s="133">
        <v>230</v>
      </c>
      <c r="AO229" s="133">
        <v>19102</v>
      </c>
    </row>
    <row r="230" spans="38:41" s="250" customFormat="1">
      <c r="AL230" s="133">
        <v>249</v>
      </c>
      <c r="AM230" s="250">
        <v>238543.81741155582</v>
      </c>
      <c r="AN230" s="133">
        <v>231</v>
      </c>
      <c r="AO230" s="133">
        <v>19130</v>
      </c>
    </row>
    <row r="231" spans="38:41" s="250" customFormat="1">
      <c r="AL231" s="133">
        <v>250</v>
      </c>
      <c r="AM231" s="250">
        <v>239000</v>
      </c>
      <c r="AN231" s="133">
        <v>232</v>
      </c>
      <c r="AO231" s="133">
        <v>19157</v>
      </c>
    </row>
    <row r="232" spans="38:41" s="250" customFormat="1">
      <c r="AL232" s="133">
        <v>251</v>
      </c>
      <c r="AM232" s="250">
        <v>239461.54738185721</v>
      </c>
      <c r="AN232" s="133">
        <v>233</v>
      </c>
      <c r="AO232" s="133">
        <v>19185</v>
      </c>
    </row>
    <row r="233" spans="38:41" s="250" customFormat="1">
      <c r="AL233" s="133">
        <v>252</v>
      </c>
      <c r="AM233" s="250">
        <v>239928.40241947086</v>
      </c>
      <c r="AN233" s="133">
        <v>234</v>
      </c>
      <c r="AO233" s="133">
        <v>19212</v>
      </c>
    </row>
    <row r="234" spans="38:41" s="250" customFormat="1">
      <c r="AL234" s="133">
        <v>253</v>
      </c>
      <c r="AM234" s="250">
        <v>240400.3829798637</v>
      </c>
      <c r="AN234" s="133">
        <v>235</v>
      </c>
      <c r="AO234" s="133">
        <v>19240</v>
      </c>
    </row>
    <row r="235" spans="38:41" s="250" customFormat="1">
      <c r="AL235" s="133">
        <v>254</v>
      </c>
      <c r="AM235" s="250">
        <v>240877.30617670261</v>
      </c>
      <c r="AN235" s="133">
        <v>236</v>
      </c>
      <c r="AO235" s="133">
        <v>19267</v>
      </c>
    </row>
    <row r="236" spans="38:41" s="250" customFormat="1">
      <c r="AL236" s="133">
        <v>255</v>
      </c>
      <c r="AM236" s="250">
        <v>241358.98918517961</v>
      </c>
      <c r="AN236" s="133">
        <v>237</v>
      </c>
      <c r="AO236" s="133">
        <v>19295</v>
      </c>
    </row>
    <row r="237" spans="38:41" s="250" customFormat="1">
      <c r="AL237" s="133">
        <v>256</v>
      </c>
      <c r="AM237" s="250">
        <v>241845.2497800297</v>
      </c>
      <c r="AN237" s="133">
        <v>238</v>
      </c>
      <c r="AO237" s="133">
        <v>19322</v>
      </c>
    </row>
    <row r="238" spans="38:41" s="250" customFormat="1">
      <c r="AL238" s="133">
        <v>257</v>
      </c>
      <c r="AM238" s="250">
        <v>242335.90512155453</v>
      </c>
      <c r="AN238" s="133">
        <v>239</v>
      </c>
      <c r="AO238" s="133">
        <v>19349</v>
      </c>
    </row>
    <row r="239" spans="38:41" s="250" customFormat="1">
      <c r="AL239" s="133">
        <v>258</v>
      </c>
      <c r="AM239" s="250">
        <v>242830.77242765372</v>
      </c>
      <c r="AN239" s="133">
        <v>240</v>
      </c>
      <c r="AO239" s="133">
        <v>19376</v>
      </c>
    </row>
    <row r="240" spans="38:41" s="250" customFormat="1">
      <c r="AL240" s="133">
        <v>259</v>
      </c>
      <c r="AM240" s="250">
        <v>243329.66938666531</v>
      </c>
      <c r="AN240" s="133">
        <v>241</v>
      </c>
      <c r="AO240" s="133">
        <v>19403</v>
      </c>
    </row>
    <row r="241" spans="38:41" s="250" customFormat="1">
      <c r="AL241" s="133">
        <v>260</v>
      </c>
      <c r="AM241" s="250">
        <v>243832.41320258027</v>
      </c>
      <c r="AN241" s="133">
        <v>242</v>
      </c>
      <c r="AO241" s="133">
        <v>19430</v>
      </c>
    </row>
    <row r="242" spans="38:41" s="250" customFormat="1">
      <c r="AL242" s="133">
        <v>261</v>
      </c>
      <c r="AM242" s="250">
        <v>244338.82113306056</v>
      </c>
      <c r="AN242" s="133">
        <v>243</v>
      </c>
      <c r="AO242" s="133">
        <v>19457</v>
      </c>
    </row>
    <row r="243" spans="38:41" s="250" customFormat="1">
      <c r="AL243" s="133">
        <v>262</v>
      </c>
      <c r="AM243" s="250">
        <v>244848.71078593784</v>
      </c>
      <c r="AN243" s="133">
        <v>244</v>
      </c>
      <c r="AO243" s="133">
        <v>19484</v>
      </c>
    </row>
    <row r="244" spans="38:41" s="250" customFormat="1">
      <c r="AL244" s="133">
        <v>263</v>
      </c>
      <c r="AM244" s="250">
        <v>245361.89940594719</v>
      </c>
      <c r="AN244" s="133">
        <v>245</v>
      </c>
      <c r="AO244" s="133">
        <v>19511</v>
      </c>
    </row>
    <row r="245" spans="38:41" s="250" customFormat="1">
      <c r="AL245" s="133">
        <v>264</v>
      </c>
      <c r="AM245" s="250">
        <v>245878.20436327392</v>
      </c>
      <c r="AN245" s="133">
        <v>246</v>
      </c>
      <c r="AO245" s="133">
        <v>19538</v>
      </c>
    </row>
    <row r="246" spans="38:41" s="250" customFormat="1">
      <c r="AL246" s="133">
        <v>265</v>
      </c>
      <c r="AM246" s="250">
        <v>246397.44296401466</v>
      </c>
      <c r="AN246" s="133">
        <v>247</v>
      </c>
      <c r="AO246" s="133">
        <v>19564</v>
      </c>
    </row>
    <row r="247" spans="38:41" s="250" customFormat="1">
      <c r="AL247" s="133">
        <v>266</v>
      </c>
      <c r="AM247" s="250">
        <v>246919.43271782261</v>
      </c>
      <c r="AN247" s="133">
        <v>248</v>
      </c>
      <c r="AO247" s="133">
        <v>19591</v>
      </c>
    </row>
    <row r="248" spans="38:41" s="250" customFormat="1">
      <c r="AL248" s="133">
        <v>267</v>
      </c>
      <c r="AM248" s="250">
        <v>247443.99091917661</v>
      </c>
      <c r="AN248" s="133">
        <v>249</v>
      </c>
      <c r="AO248" s="133">
        <v>19618</v>
      </c>
    </row>
    <row r="249" spans="38:41" s="250" customFormat="1">
      <c r="AL249" s="133">
        <v>268</v>
      </c>
      <c r="AM249" s="250">
        <v>247970.93490706303</v>
      </c>
      <c r="AN249" s="133">
        <v>250</v>
      </c>
      <c r="AO249" s="133">
        <v>19644</v>
      </c>
    </row>
    <row r="250" spans="38:41" s="250" customFormat="1">
      <c r="AL250" s="133">
        <v>269</v>
      </c>
      <c r="AM250" s="250">
        <v>248500.08212437382</v>
      </c>
      <c r="AN250" s="133">
        <v>251</v>
      </c>
      <c r="AO250" s="133">
        <v>19671</v>
      </c>
    </row>
    <row r="251" spans="38:41" s="250" customFormat="1">
      <c r="AL251" s="133">
        <v>270</v>
      </c>
      <c r="AM251" s="250">
        <v>249031.2498994593</v>
      </c>
      <c r="AN251" s="133">
        <v>252</v>
      </c>
      <c r="AO251" s="133">
        <v>19698</v>
      </c>
    </row>
    <row r="252" spans="38:41" s="250" customFormat="1">
      <c r="AL252" s="133">
        <v>271</v>
      </c>
      <c r="AM252" s="250">
        <v>249564.25560125033</v>
      </c>
      <c r="AN252" s="133">
        <v>253</v>
      </c>
      <c r="AO252" s="133">
        <v>19724</v>
      </c>
    </row>
    <row r="253" spans="38:41" s="250" customFormat="1">
      <c r="AL253" s="133">
        <v>272</v>
      </c>
      <c r="AM253" s="250">
        <v>250098.91661176816</v>
      </c>
      <c r="AN253" s="133">
        <v>254</v>
      </c>
      <c r="AO253" s="133">
        <v>19751</v>
      </c>
    </row>
    <row r="254" spans="38:41" s="250" customFormat="1">
      <c r="AL254" s="133">
        <v>273</v>
      </c>
      <c r="AM254" s="250">
        <v>250635.05810278939</v>
      </c>
      <c r="AN254" s="133">
        <v>255</v>
      </c>
      <c r="AO254" s="133">
        <v>19777</v>
      </c>
    </row>
    <row r="255" spans="38:41" s="250" customFormat="1">
      <c r="AL255" s="133">
        <v>274</v>
      </c>
      <c r="AM255" s="250">
        <v>251172.46622024389</v>
      </c>
      <c r="AN255" s="133">
        <v>256</v>
      </c>
      <c r="AO255" s="133">
        <v>19804</v>
      </c>
    </row>
    <row r="256" spans="38:41" s="250" customFormat="1">
      <c r="AL256" s="133">
        <v>275</v>
      </c>
      <c r="AM256" s="250">
        <v>251711.00516617298</v>
      </c>
      <c r="AN256" s="133">
        <v>257</v>
      </c>
      <c r="AO256" s="133">
        <v>19830</v>
      </c>
    </row>
    <row r="257" spans="38:41" s="250" customFormat="1">
      <c r="AL257" s="133">
        <v>276</v>
      </c>
      <c r="AM257" s="250">
        <v>252250.46109888796</v>
      </c>
      <c r="AN257" s="133">
        <v>258</v>
      </c>
      <c r="AO257" s="133">
        <v>19857</v>
      </c>
    </row>
    <row r="258" spans="38:41" s="250" customFormat="1">
      <c r="AL258" s="133">
        <v>277</v>
      </c>
      <c r="AM258" s="250">
        <v>252790.65916281182</v>
      </c>
      <c r="AN258" s="133">
        <v>259</v>
      </c>
      <c r="AO258" s="133">
        <v>19883</v>
      </c>
    </row>
    <row r="259" spans="38:41" s="250" customFormat="1">
      <c r="AL259" s="133">
        <v>278</v>
      </c>
      <c r="AM259" s="250">
        <v>253331.41677375557</v>
      </c>
      <c r="AN259" s="133">
        <v>260</v>
      </c>
      <c r="AO259" s="133">
        <v>19910</v>
      </c>
    </row>
    <row r="260" spans="38:41" s="250" customFormat="1">
      <c r="AL260" s="133">
        <v>279</v>
      </c>
      <c r="AM260" s="250">
        <v>253872.55128035982</v>
      </c>
    </row>
    <row r="261" spans="38:41" s="250" customFormat="1">
      <c r="AL261" s="133">
        <v>280</v>
      </c>
      <c r="AM261" s="250">
        <v>254413.88001686565</v>
      </c>
    </row>
    <row r="262" spans="38:41" s="250" customFormat="1">
      <c r="AL262" s="133">
        <v>281</v>
      </c>
      <c r="AM262" s="250">
        <v>254955.2204206833</v>
      </c>
    </row>
    <row r="263" spans="38:41" s="250" customFormat="1">
      <c r="AL263" s="133">
        <v>282</v>
      </c>
      <c r="AM263" s="250">
        <v>255496.38978773705</v>
      </c>
    </row>
    <row r="264" spans="38:41" s="250" customFormat="1">
      <c r="AL264" s="133">
        <v>283</v>
      </c>
      <c r="AM264" s="250">
        <v>256037.20556820033</v>
      </c>
    </row>
    <row r="265" spans="38:41" s="250" customFormat="1">
      <c r="AL265" s="133">
        <v>284</v>
      </c>
      <c r="AM265" s="250">
        <v>256577.48509312345</v>
      </c>
    </row>
    <row r="266" spans="38:41" s="250" customFormat="1">
      <c r="AL266" s="133">
        <v>285</v>
      </c>
      <c r="AM266" s="250">
        <v>257117.0456824298</v>
      </c>
    </row>
    <row r="267" spans="38:41" s="250" customFormat="1">
      <c r="AL267" s="133">
        <v>286</v>
      </c>
      <c r="AM267" s="250">
        <v>257655.70480298324</v>
      </c>
    </row>
    <row r="268" spans="38:41" s="250" customFormat="1">
      <c r="AL268" s="133">
        <v>287</v>
      </c>
      <c r="AM268" s="250">
        <v>258193.27587099336</v>
      </c>
    </row>
    <row r="269" spans="38:41" s="250" customFormat="1">
      <c r="AL269" s="133">
        <v>288</v>
      </c>
      <c r="AM269" s="250">
        <v>258729.58794670561</v>
      </c>
    </row>
    <row r="270" spans="38:41" s="250" customFormat="1">
      <c r="AL270" s="133">
        <v>289</v>
      </c>
      <c r="AM270" s="250">
        <v>259264.44670738166</v>
      </c>
    </row>
    <row r="271" spans="38:41" s="250" customFormat="1">
      <c r="AL271" s="133">
        <v>290</v>
      </c>
      <c r="AM271" s="250">
        <v>259797.6734292114</v>
      </c>
    </row>
    <row r="272" spans="38:41" s="250" customFormat="1">
      <c r="AL272" s="133">
        <v>291</v>
      </c>
      <c r="AM272" s="250">
        <v>260329.08548213466</v>
      </c>
    </row>
    <row r="273" spans="5:39" s="250" customFormat="1">
      <c r="AL273" s="133">
        <v>292</v>
      </c>
      <c r="AM273" s="250">
        <v>260858.50026756295</v>
      </c>
    </row>
    <row r="274" spans="5:39" s="250" customFormat="1">
      <c r="AL274" s="133">
        <v>293</v>
      </c>
      <c r="AM274" s="250">
        <v>261385.73509310652</v>
      </c>
    </row>
    <row r="275" spans="5:39" s="250" customFormat="1">
      <c r="AL275" s="133">
        <v>294</v>
      </c>
      <c r="AM275" s="250">
        <v>261910.6073757899</v>
      </c>
    </row>
    <row r="276" spans="5:39" s="250" customFormat="1">
      <c r="AL276" s="133">
        <v>295</v>
      </c>
      <c r="AM276" s="250">
        <v>262432.93445316091</v>
      </c>
    </row>
    <row r="277" spans="5:39" s="250" customFormat="1">
      <c r="AL277" s="133">
        <v>296</v>
      </c>
      <c r="AM277" s="250">
        <v>262952.53372791968</v>
      </c>
    </row>
    <row r="278" spans="5:39" s="250" customFormat="1">
      <c r="AL278" s="133">
        <v>297</v>
      </c>
      <c r="AM278" s="250">
        <v>263469.22254514444</v>
      </c>
    </row>
    <row r="279" spans="5:39" s="250" customFormat="1">
      <c r="AL279" s="133">
        <v>298</v>
      </c>
      <c r="AM279" s="250">
        <v>263982.81828298041</v>
      </c>
    </row>
    <row r="280" spans="5:39" s="250" customFormat="1">
      <c r="AL280" s="133">
        <v>299</v>
      </c>
      <c r="AM280" s="250">
        <v>264493.13831130607</v>
      </c>
    </row>
    <row r="281" spans="5:39" s="250" customFormat="1">
      <c r="AL281" s="133">
        <v>300</v>
      </c>
      <c r="AM281" s="250">
        <v>265000</v>
      </c>
    </row>
    <row r="282" spans="5:39" s="250" customFormat="1">
      <c r="AL282" s="133">
        <v>301</v>
      </c>
      <c r="AM282" s="250">
        <v>265503.26948432729</v>
      </c>
    </row>
    <row r="283" spans="5:39" s="250" customFormat="1">
      <c r="AL283" s="133">
        <v>302</v>
      </c>
      <c r="AM283" s="250">
        <v>266003.00845146162</v>
      </c>
    </row>
    <row r="284" spans="5:39" s="250" customFormat="1">
      <c r="AL284" s="133">
        <v>303</v>
      </c>
      <c r="AM284" s="250">
        <v>266499.32685796707</v>
      </c>
    </row>
    <row r="285" spans="5:39" s="250" customFormat="1">
      <c r="E285" s="297"/>
      <c r="AL285" s="133">
        <v>304</v>
      </c>
      <c r="AM285" s="250">
        <v>266992.33515998477</v>
      </c>
    </row>
    <row r="286" spans="5:39" s="250" customFormat="1">
      <c r="E286" s="297"/>
      <c r="AL286" s="133">
        <v>305</v>
      </c>
      <c r="AM286" s="250">
        <v>267482.14377285627</v>
      </c>
    </row>
    <row r="287" spans="5:39" s="250" customFormat="1">
      <c r="AL287" s="133">
        <v>306</v>
      </c>
      <c r="AM287" s="250">
        <v>267968.86271434493</v>
      </c>
    </row>
    <row r="288" spans="5:39" s="250" customFormat="1">
      <c r="AL288" s="133">
        <v>307</v>
      </c>
      <c r="AM288" s="250">
        <v>268452.6024096667</v>
      </c>
    </row>
    <row r="289" spans="1:53" s="250" customFormat="1">
      <c r="AL289" s="133">
        <v>308</v>
      </c>
      <c r="AM289" s="250">
        <v>268933.47324584227</v>
      </c>
    </row>
    <row r="290" spans="1:53" s="250" customFormat="1">
      <c r="AL290" s="133">
        <v>309</v>
      </c>
      <c r="AM290" s="250">
        <v>269411.58529792784</v>
      </c>
    </row>
    <row r="291" spans="1:53" s="250" customFormat="1">
      <c r="AL291" s="133">
        <v>310</v>
      </c>
      <c r="AM291" s="250">
        <v>269887.04896216746</v>
      </c>
    </row>
    <row r="292" spans="1:53" s="250" customFormat="1">
      <c r="AL292" s="133">
        <v>311</v>
      </c>
      <c r="AM292" s="250">
        <v>270359.97459921392</v>
      </c>
    </row>
    <row r="293" spans="1:53" s="250" customFormat="1">
      <c r="AL293" s="133">
        <v>312</v>
      </c>
      <c r="AM293" s="250">
        <v>270830.4723375102</v>
      </c>
    </row>
    <row r="294" spans="1:53" s="250" customFormat="1">
      <c r="AL294" s="133">
        <v>313</v>
      </c>
      <c r="AM294" s="250">
        <v>271298.65254628134</v>
      </c>
    </row>
    <row r="295" spans="1:53" s="250" customFormat="1">
      <c r="AD295" s="298"/>
      <c r="AE295" s="298"/>
      <c r="AF295" s="298"/>
      <c r="AG295" s="298"/>
      <c r="AH295" s="298"/>
      <c r="AI295" s="298"/>
      <c r="AJ295" s="298"/>
      <c r="AK295" s="298"/>
      <c r="AL295" s="133">
        <v>314</v>
      </c>
      <c r="AM295" s="298">
        <v>271764.62551156204</v>
      </c>
      <c r="AN295" s="298"/>
    </row>
    <row r="296" spans="1:53" s="250" customFormat="1">
      <c r="AD296" s="298"/>
      <c r="AE296" s="298"/>
      <c r="AF296" s="298"/>
      <c r="AG296" s="298"/>
      <c r="AH296" s="298"/>
      <c r="AI296" s="298"/>
      <c r="AJ296" s="298"/>
      <c r="AK296" s="298"/>
      <c r="AL296" s="133">
        <v>315</v>
      </c>
      <c r="AM296" s="298">
        <v>272228.50156188634</v>
      </c>
      <c r="AN296" s="298"/>
    </row>
    <row r="297" spans="1:53" s="250" customFormat="1">
      <c r="AD297" s="298"/>
      <c r="AE297" s="298"/>
      <c r="AF297" s="298"/>
      <c r="AG297" s="298"/>
      <c r="AH297" s="298"/>
      <c r="AI297" s="298"/>
      <c r="AJ297" s="298"/>
      <c r="AK297" s="298"/>
      <c r="AL297" s="133">
        <v>316</v>
      </c>
      <c r="AM297" s="298">
        <v>272690.39089080278</v>
      </c>
      <c r="AN297" s="298"/>
    </row>
    <row r="298" spans="1:53" s="250" customFormat="1">
      <c r="AD298" s="298"/>
      <c r="AE298" s="298"/>
      <c r="AF298" s="298"/>
      <c r="AG298" s="298"/>
      <c r="AH298" s="298"/>
      <c r="AI298" s="298"/>
      <c r="AJ298" s="298"/>
      <c r="AK298" s="298"/>
      <c r="AL298" s="133">
        <v>317</v>
      </c>
      <c r="AM298" s="298">
        <v>273150.40383454965</v>
      </c>
      <c r="AN298" s="298"/>
    </row>
    <row r="299" spans="1:53" s="250" customFormat="1">
      <c r="AL299" s="133">
        <v>318</v>
      </c>
      <c r="AM299" s="250">
        <v>273608.65069985064</v>
      </c>
    </row>
    <row r="300" spans="1:53" s="250" customFormat="1">
      <c r="AL300" s="133">
        <v>319</v>
      </c>
      <c r="AM300" s="250">
        <v>274065.2417245261</v>
      </c>
    </row>
    <row r="301" spans="1:53" s="250" customFormat="1" ht="15">
      <c r="AD301" s="299"/>
      <c r="AE301" s="299"/>
      <c r="AL301" s="133">
        <v>320</v>
      </c>
      <c r="AM301" s="250">
        <v>274520.28722235287</v>
      </c>
    </row>
    <row r="302" spans="1:53" s="250" customFormat="1">
      <c r="AE302" s="261"/>
      <c r="AL302" s="133">
        <v>321</v>
      </c>
      <c r="AM302" s="250">
        <v>274973.89748019743</v>
      </c>
    </row>
    <row r="303" spans="1:53" s="250" customFormat="1">
      <c r="A303" s="298"/>
      <c r="S303" s="298"/>
      <c r="T303" s="298"/>
      <c r="U303" s="298"/>
      <c r="V303" s="298"/>
      <c r="W303" s="298"/>
      <c r="X303" s="298"/>
      <c r="Y303" s="298"/>
      <c r="Z303" s="298"/>
      <c r="AA303" s="298"/>
      <c r="AB303" s="298"/>
      <c r="AC303" s="298"/>
      <c r="AL303" s="133">
        <v>322</v>
      </c>
      <c r="AM303" s="250">
        <v>275426.18277624564</v>
      </c>
      <c r="AO303" s="298"/>
      <c r="AP303" s="298"/>
      <c r="AQ303" s="298"/>
      <c r="AR303" s="298"/>
      <c r="AS303" s="298"/>
      <c r="AT303" s="298"/>
      <c r="AU303" s="298"/>
      <c r="AV303" s="298"/>
      <c r="AW303" s="298"/>
      <c r="AX303" s="298"/>
      <c r="AY303" s="298"/>
      <c r="AZ303" s="298"/>
      <c r="BA303" s="298"/>
    </row>
    <row r="304" spans="1:53" s="250" customFormat="1" ht="17.25" hidden="1" customHeight="1" thickTop="1" thickBot="1">
      <c r="A304" s="298"/>
      <c r="B304" s="300" t="s">
        <v>68</v>
      </c>
      <c r="C304" s="301"/>
      <c r="D304" s="301"/>
      <c r="E304" s="301"/>
      <c r="F304" s="301"/>
      <c r="G304" s="301"/>
      <c r="H304" s="301"/>
      <c r="I304" s="301"/>
      <c r="J304" s="301"/>
      <c r="K304" s="301"/>
      <c r="L304" s="301"/>
      <c r="M304" s="301"/>
      <c r="N304" s="301"/>
      <c r="O304" s="301"/>
      <c r="P304" s="301"/>
      <c r="Q304" s="301"/>
      <c r="R304" s="302"/>
      <c r="S304" s="298"/>
      <c r="T304" s="298"/>
      <c r="U304" s="298"/>
      <c r="V304" s="298"/>
      <c r="W304" s="298"/>
      <c r="X304" s="298"/>
      <c r="Y304" s="298"/>
      <c r="Z304" s="298"/>
      <c r="AA304" s="298"/>
      <c r="AB304" s="298"/>
      <c r="AC304" s="298"/>
      <c r="AL304" s="133">
        <v>323</v>
      </c>
      <c r="AM304" s="250">
        <v>275877.25340376602</v>
      </c>
      <c r="AO304" s="298"/>
      <c r="AP304" s="298"/>
      <c r="AQ304" s="298"/>
      <c r="AR304" s="298"/>
      <c r="AS304" s="298"/>
      <c r="AT304" s="298"/>
      <c r="AU304" s="298"/>
      <c r="AV304" s="298"/>
      <c r="AW304" s="298"/>
      <c r="AX304" s="298"/>
      <c r="AY304" s="298"/>
      <c r="AZ304" s="298"/>
      <c r="BA304" s="298"/>
    </row>
    <row r="305" spans="1:53" s="250" customFormat="1" ht="13.5" hidden="1" thickTop="1">
      <c r="A305" s="298"/>
      <c r="B305" s="939"/>
      <c r="C305" s="940"/>
      <c r="D305" s="303" t="s">
        <v>70</v>
      </c>
      <c r="E305" s="941"/>
      <c r="F305" s="941"/>
      <c r="G305" s="941"/>
      <c r="H305" s="304"/>
      <c r="I305" s="305"/>
      <c r="J305" s="306"/>
      <c r="K305" s="306"/>
      <c r="L305" s="307" t="s">
        <v>71</v>
      </c>
      <c r="M305" s="308"/>
      <c r="N305" s="307"/>
      <c r="O305" s="307" t="s">
        <v>72</v>
      </c>
      <c r="P305" s="942"/>
      <c r="Q305" s="942"/>
      <c r="R305" s="943"/>
      <c r="S305" s="298"/>
      <c r="T305" s="298"/>
      <c r="U305" s="298"/>
      <c r="V305" s="298"/>
      <c r="W305" s="298"/>
      <c r="X305" s="298"/>
      <c r="Y305" s="298"/>
      <c r="Z305" s="298"/>
      <c r="AA305" s="298"/>
      <c r="AB305" s="298"/>
      <c r="AC305" s="298"/>
      <c r="AL305" s="133">
        <v>324</v>
      </c>
      <c r="AM305" s="250">
        <v>276327.21963172103</v>
      </c>
      <c r="AO305" s="298"/>
      <c r="AP305" s="298"/>
      <c r="AQ305" s="298"/>
      <c r="AR305" s="298"/>
      <c r="AS305" s="298"/>
      <c r="AT305" s="298"/>
      <c r="AU305" s="298"/>
      <c r="AV305" s="298"/>
      <c r="AW305" s="298"/>
      <c r="AX305" s="298"/>
      <c r="AY305" s="298"/>
      <c r="AZ305" s="298"/>
      <c r="BA305" s="298"/>
    </row>
    <row r="306" spans="1:53" s="250" customFormat="1" hidden="1">
      <c r="A306" s="298"/>
      <c r="B306" s="944" t="s">
        <v>76</v>
      </c>
      <c r="C306" s="945"/>
      <c r="D306" s="309" t="s">
        <v>73</v>
      </c>
      <c r="E306" s="946"/>
      <c r="F306" s="946"/>
      <c r="G306" s="946"/>
      <c r="H306" s="310"/>
      <c r="I306" s="311"/>
      <c r="J306" s="312"/>
      <c r="K306" s="312"/>
      <c r="L306" s="313" t="s">
        <v>74</v>
      </c>
      <c r="M306" s="314"/>
      <c r="N306" s="313"/>
      <c r="O306" s="313" t="s">
        <v>75</v>
      </c>
      <c r="P306" s="947"/>
      <c r="Q306" s="947"/>
      <c r="R306" s="948"/>
      <c r="S306" s="298"/>
      <c r="T306" s="298"/>
      <c r="U306" s="298"/>
      <c r="V306" s="298"/>
      <c r="W306" s="298"/>
      <c r="X306" s="298"/>
      <c r="Y306" s="298"/>
      <c r="Z306" s="298"/>
      <c r="AA306" s="298"/>
      <c r="AB306" s="298"/>
      <c r="AC306" s="298"/>
      <c r="AD306" s="261"/>
      <c r="AL306" s="133">
        <v>325</v>
      </c>
      <c r="AM306" s="250">
        <v>276776.19177475572</v>
      </c>
      <c r="AO306" s="298"/>
      <c r="AP306" s="298"/>
      <c r="AQ306" s="298"/>
      <c r="AR306" s="298"/>
      <c r="AS306" s="298"/>
      <c r="AT306" s="298"/>
      <c r="AU306" s="298"/>
      <c r="AV306" s="298"/>
      <c r="AW306" s="298"/>
      <c r="AX306" s="298"/>
      <c r="AY306" s="298"/>
      <c r="AZ306" s="298"/>
      <c r="BA306" s="298"/>
    </row>
    <row r="307" spans="1:53" s="250" customFormat="1" hidden="1">
      <c r="B307" s="944" t="s">
        <v>79</v>
      </c>
      <c r="C307" s="945"/>
      <c r="D307" s="309" t="s">
        <v>77</v>
      </c>
      <c r="E307" s="946"/>
      <c r="F307" s="946"/>
      <c r="G307" s="946"/>
      <c r="H307" s="310"/>
      <c r="I307" s="315"/>
      <c r="J307" s="315"/>
      <c r="K307" s="312"/>
      <c r="L307" s="313" t="s">
        <v>97</v>
      </c>
      <c r="M307" s="314"/>
      <c r="N307" s="313"/>
      <c r="O307" s="313" t="s">
        <v>78</v>
      </c>
      <c r="P307" s="947"/>
      <c r="Q307" s="947"/>
      <c r="R307" s="948"/>
      <c r="AL307" s="133">
        <v>326</v>
      </c>
      <c r="AM307" s="250">
        <v>277224.28009362193</v>
      </c>
    </row>
    <row r="308" spans="1:53" s="250" customFormat="1" hidden="1">
      <c r="B308" s="1041" t="s">
        <v>83</v>
      </c>
      <c r="C308" s="1042"/>
      <c r="D308" s="316" t="s">
        <v>80</v>
      </c>
      <c r="E308" s="1043"/>
      <c r="F308" s="1043"/>
      <c r="G308" s="1043"/>
      <c r="H308" s="317" t="s">
        <v>81</v>
      </c>
      <c r="I308" s="318" t="str">
        <f ca="1">MID(CELL("filename"), FIND("[", CELL("filename"))+1, FIND("]", CELL("filename"))- FIND("[", CELL("filename")) -1)</f>
        <v>Tank Vent Sizing Calculation_2.2.xlsm</v>
      </c>
      <c r="J308" s="319"/>
      <c r="K308" s="319"/>
      <c r="L308" s="317"/>
      <c r="M308" s="320"/>
      <c r="N308" s="317"/>
      <c r="O308" s="317" t="s">
        <v>82</v>
      </c>
      <c r="P308" s="1044"/>
      <c r="Q308" s="1044"/>
      <c r="R308" s="1045"/>
      <c r="AL308" s="133">
        <v>327</v>
      </c>
      <c r="AM308" s="250">
        <v>277671.59489972738</v>
      </c>
    </row>
    <row r="309" spans="1:53" s="250" customFormat="1" ht="15.75" hidden="1">
      <c r="B309" s="1046"/>
      <c r="C309" s="1047"/>
      <c r="D309" s="321"/>
      <c r="E309" s="321"/>
      <c r="F309" s="321"/>
      <c r="G309" s="321"/>
      <c r="H309" s="321"/>
      <c r="I309" s="322"/>
      <c r="J309" s="322"/>
      <c r="K309" s="322"/>
      <c r="L309" s="322"/>
      <c r="M309" s="322"/>
      <c r="N309" s="322"/>
      <c r="O309" s="322"/>
      <c r="P309" s="322"/>
      <c r="Q309" s="322"/>
      <c r="R309" s="323"/>
      <c r="AL309" s="133">
        <v>328</v>
      </c>
      <c r="AM309" s="250">
        <v>278118.24644885072</v>
      </c>
    </row>
    <row r="310" spans="1:53" s="250" customFormat="1" ht="15.75" hidden="1" customHeight="1">
      <c r="B310" s="958"/>
      <c r="C310" s="959"/>
      <c r="D310" s="1048" t="s">
        <v>91</v>
      </c>
      <c r="E310" s="1049"/>
      <c r="F310" s="1049"/>
      <c r="G310" s="1049"/>
      <c r="H310" s="1049"/>
      <c r="I310" s="1049"/>
      <c r="J310" s="1049"/>
      <c r="K310" s="1050"/>
      <c r="L310" s="322"/>
      <c r="M310" s="1051" t="s">
        <v>95</v>
      </c>
      <c r="N310" s="1052"/>
      <c r="O310" s="1052"/>
      <c r="P310" s="1052"/>
      <c r="Q310" s="1052"/>
      <c r="R310" s="1053"/>
      <c r="AD310" s="261"/>
      <c r="AE310" s="261"/>
      <c r="AL310" s="133">
        <v>329</v>
      </c>
      <c r="AM310" s="250">
        <v>278564.34504131362</v>
      </c>
    </row>
    <row r="311" spans="1:53" s="250" customFormat="1" ht="15.75" hidden="1" customHeight="1">
      <c r="B311" s="958"/>
      <c r="C311" s="959"/>
      <c r="D311" s="324" t="s">
        <v>8</v>
      </c>
      <c r="E311" s="325"/>
      <c r="F311" s="325"/>
      <c r="G311" s="325"/>
      <c r="H311" s="325"/>
      <c r="I311" s="326" t="s">
        <v>184</v>
      </c>
      <c r="J311" s="1057">
        <v>60821</v>
      </c>
      <c r="K311" s="1058"/>
      <c r="L311" s="327"/>
      <c r="M311" s="1054"/>
      <c r="N311" s="1055"/>
      <c r="O311" s="1055"/>
      <c r="P311" s="1055"/>
      <c r="Q311" s="1055"/>
      <c r="R311" s="1056"/>
      <c r="AL311" s="133">
        <v>330</v>
      </c>
      <c r="AM311" s="250">
        <v>279010.00098698662</v>
      </c>
    </row>
    <row r="312" spans="1:53" s="250" customFormat="1" ht="15.75" hidden="1" customHeight="1">
      <c r="B312" s="958"/>
      <c r="C312" s="959"/>
      <c r="D312" s="324" t="s">
        <v>9</v>
      </c>
      <c r="E312" s="325"/>
      <c r="F312" s="325"/>
      <c r="G312" s="325"/>
      <c r="H312" s="325"/>
      <c r="I312" s="328" t="s">
        <v>34</v>
      </c>
      <c r="J312" s="1034">
        <v>250</v>
      </c>
      <c r="K312" s="1034"/>
      <c r="L312" s="322"/>
      <c r="M312" s="329"/>
      <c r="N312" s="322"/>
      <c r="O312" s="322"/>
      <c r="P312" s="322"/>
      <c r="Q312" s="322"/>
      <c r="R312" s="323"/>
      <c r="T312" s="261"/>
      <c r="AD312" s="261"/>
      <c r="AL312" s="133">
        <v>331</v>
      </c>
      <c r="AM312" s="250">
        <v>279455.32452732505</v>
      </c>
    </row>
    <row r="313" spans="1:53" s="250" customFormat="1" ht="15.75" hidden="1" customHeight="1">
      <c r="B313" s="958"/>
      <c r="C313" s="959"/>
      <c r="D313" s="324" t="s">
        <v>0</v>
      </c>
      <c r="E313" s="325"/>
      <c r="F313" s="325"/>
      <c r="G313" s="325"/>
      <c r="H313" s="325"/>
      <c r="I313" s="325" t="s">
        <v>7</v>
      </c>
      <c r="J313" s="1035">
        <v>40</v>
      </c>
      <c r="K313" s="1036"/>
      <c r="L313" s="322"/>
      <c r="M313" s="329"/>
      <c r="N313" s="330"/>
      <c r="O313" s="322"/>
      <c r="P313" s="322"/>
      <c r="Q313" s="322"/>
      <c r="R313" s="323"/>
      <c r="AL313" s="133">
        <v>332</v>
      </c>
      <c r="AM313" s="250">
        <v>279900.42599760869</v>
      </c>
    </row>
    <row r="314" spans="1:53" s="250" customFormat="1" ht="15.75" hidden="1" customHeight="1">
      <c r="B314" s="958"/>
      <c r="C314" s="959"/>
      <c r="D314" s="324" t="s">
        <v>13</v>
      </c>
      <c r="E314" s="325"/>
      <c r="F314" s="325"/>
      <c r="G314" s="325"/>
      <c r="H314" s="325"/>
      <c r="I314" s="328" t="s">
        <v>69</v>
      </c>
      <c r="J314" s="1037">
        <v>104</v>
      </c>
      <c r="K314" s="1038"/>
      <c r="L314" s="322"/>
      <c r="M314" s="329"/>
      <c r="N314" s="322"/>
      <c r="O314" s="322"/>
      <c r="P314" s="322"/>
      <c r="Q314" s="322"/>
      <c r="R314" s="323"/>
      <c r="T314" s="247" t="s">
        <v>131</v>
      </c>
      <c r="U314" s="248"/>
      <c r="V314" s="248"/>
      <c r="W314" s="248"/>
      <c r="X314" s="248"/>
      <c r="Y314" s="249"/>
      <c r="AL314" s="133">
        <v>333</v>
      </c>
      <c r="AM314" s="250">
        <v>280345.41563082917</v>
      </c>
    </row>
    <row r="315" spans="1:53" s="250" customFormat="1" ht="15.75" hidden="1" customHeight="1">
      <c r="B315" s="958"/>
      <c r="C315" s="959"/>
      <c r="D315" s="324" t="s">
        <v>15</v>
      </c>
      <c r="E315" s="325"/>
      <c r="F315" s="325"/>
      <c r="G315" s="325"/>
      <c r="H315" s="325"/>
      <c r="I315" s="325"/>
      <c r="J315" s="1024" t="s">
        <v>90</v>
      </c>
      <c r="K315" s="1025"/>
      <c r="L315" s="322"/>
      <c r="M315" s="329"/>
      <c r="N315" s="322"/>
      <c r="O315" s="322"/>
      <c r="P315" s="322"/>
      <c r="Q315" s="322"/>
      <c r="R315" s="323"/>
      <c r="T315" s="251" t="s">
        <v>107</v>
      </c>
      <c r="U315" s="252">
        <f>J336</f>
        <v>4491.2</v>
      </c>
      <c r="V315" s="253" t="s">
        <v>109</v>
      </c>
      <c r="W315" s="254"/>
      <c r="X315" s="254"/>
      <c r="Y315" s="255"/>
      <c r="AD315" s="331"/>
      <c r="AL315" s="133">
        <v>334</v>
      </c>
      <c r="AM315" s="250">
        <v>280790.40373897296</v>
      </c>
    </row>
    <row r="316" spans="1:53" s="250" customFormat="1" ht="38.25" hidden="1" customHeight="1">
      <c r="B316" s="958"/>
      <c r="C316" s="959"/>
      <c r="D316" s="324" t="s">
        <v>29</v>
      </c>
      <c r="E316" s="325"/>
      <c r="F316" s="325"/>
      <c r="G316" s="325"/>
      <c r="H316" s="325"/>
      <c r="I316" s="328" t="s">
        <v>35</v>
      </c>
      <c r="J316" s="1039">
        <v>0.125</v>
      </c>
      <c r="K316" s="1040"/>
      <c r="L316" s="332"/>
      <c r="M316" s="333" t="s">
        <v>98</v>
      </c>
      <c r="N316" s="322"/>
      <c r="O316" s="322"/>
      <c r="P316" s="322"/>
      <c r="Q316" s="322"/>
      <c r="R316" s="323"/>
      <c r="T316" s="251" t="s">
        <v>108</v>
      </c>
      <c r="U316" s="254">
        <f>(J346+14.7)*J334/((J314+460)*10.7316)</f>
        <v>6.8003579051665403E-2</v>
      </c>
      <c r="V316" s="253" t="s">
        <v>110</v>
      </c>
      <c r="W316" s="254"/>
      <c r="X316" s="254"/>
      <c r="Y316" s="255"/>
      <c r="AL316" s="133">
        <v>335</v>
      </c>
      <c r="AM316" s="250">
        <v>281235.50064140512</v>
      </c>
    </row>
    <row r="317" spans="1:53" s="250" customFormat="1" ht="15.75" hidden="1" customHeight="1">
      <c r="B317" s="958"/>
      <c r="C317" s="959"/>
      <c r="D317" s="324" t="s">
        <v>21</v>
      </c>
      <c r="E317" s="325"/>
      <c r="F317" s="325"/>
      <c r="G317" s="325"/>
      <c r="H317" s="325"/>
      <c r="I317" s="325"/>
      <c r="J317" s="1024" t="s">
        <v>20</v>
      </c>
      <c r="K317" s="1025"/>
      <c r="L317" s="322"/>
      <c r="M317" s="329"/>
      <c r="N317" s="1032" t="s">
        <v>151</v>
      </c>
      <c r="O317" s="1032"/>
      <c r="P317" s="1032" t="s">
        <v>153</v>
      </c>
      <c r="Q317" s="1032"/>
      <c r="R317" s="323"/>
      <c r="T317" s="251" t="s">
        <v>112</v>
      </c>
      <c r="U317" s="254">
        <f>+U315*U316</f>
        <v>305.41767423683962</v>
      </c>
      <c r="V317" s="253" t="s">
        <v>111</v>
      </c>
      <c r="W317" s="254"/>
      <c r="X317" s="254"/>
      <c r="Y317" s="255"/>
      <c r="AL317" s="133">
        <v>336</v>
      </c>
      <c r="AM317" s="250">
        <v>281680.81656004937</v>
      </c>
    </row>
    <row r="318" spans="1:53" s="250" customFormat="1" ht="15.75" hidden="1" customHeight="1">
      <c r="B318" s="958"/>
      <c r="C318" s="959"/>
      <c r="D318" s="324" t="s">
        <v>23</v>
      </c>
      <c r="E318" s="325"/>
      <c r="F318" s="325"/>
      <c r="G318" s="325"/>
      <c r="H318" s="325"/>
      <c r="I318" s="325" t="s">
        <v>147</v>
      </c>
      <c r="J318" s="1026">
        <v>4.0399999999999998E-2</v>
      </c>
      <c r="K318" s="1027"/>
      <c r="L318" s="327"/>
      <c r="M318" s="334" t="s">
        <v>150</v>
      </c>
      <c r="N318" s="1033"/>
      <c r="O318" s="1033"/>
      <c r="P318" s="1033"/>
      <c r="Q318" s="1033"/>
      <c r="R318" s="323"/>
      <c r="T318" s="257"/>
      <c r="U318" s="258">
        <f>(379.46/29)*U317*(29/(60+460))^0.5*((J314+460)/J334)^0.5</f>
        <v>4235.6497536849765</v>
      </c>
      <c r="V318" s="258"/>
      <c r="W318" s="258"/>
      <c r="X318" s="258"/>
      <c r="Y318" s="259"/>
      <c r="AD318" s="256"/>
      <c r="AL318" s="133">
        <v>337</v>
      </c>
      <c r="AM318" s="250">
        <v>282126.46181258885</v>
      </c>
    </row>
    <row r="319" spans="1:53" s="250" customFormat="1" ht="15.75" hidden="1" customHeight="1">
      <c r="B319" s="958"/>
      <c r="C319" s="959"/>
      <c r="D319" s="324" t="s">
        <v>24</v>
      </c>
      <c r="E319" s="325"/>
      <c r="F319" s="325"/>
      <c r="G319" s="325"/>
      <c r="H319" s="325"/>
      <c r="I319" s="325" t="str">
        <f>I318</f>
        <v>Btu/hr-ft-°F</v>
      </c>
      <c r="J319" s="1028">
        <v>4.0399999999999998E-2</v>
      </c>
      <c r="K319" s="1029"/>
      <c r="L319" s="327"/>
      <c r="M319" s="335" t="s">
        <v>17</v>
      </c>
      <c r="N319" s="1030">
        <v>2.8899999999999999E-2</v>
      </c>
      <c r="O319" s="1031"/>
      <c r="P319" s="1030">
        <v>0.05</v>
      </c>
      <c r="Q319" s="1031"/>
      <c r="R319" s="323"/>
      <c r="AL319" s="133">
        <v>338</v>
      </c>
      <c r="AM319" s="250">
        <v>282572.54670408351</v>
      </c>
    </row>
    <row r="320" spans="1:53" s="250" customFormat="1" ht="15.75" hidden="1" customHeight="1">
      <c r="B320" s="958"/>
      <c r="C320" s="959"/>
      <c r="D320" s="324" t="s">
        <v>27</v>
      </c>
      <c r="E320" s="325"/>
      <c r="F320" s="325"/>
      <c r="G320" s="325"/>
      <c r="H320" s="325"/>
      <c r="I320" s="336" t="s">
        <v>155</v>
      </c>
      <c r="J320" s="956">
        <v>0.7</v>
      </c>
      <c r="K320" s="957"/>
      <c r="L320" s="337"/>
      <c r="M320" s="335" t="s">
        <v>18</v>
      </c>
      <c r="N320" s="936">
        <v>2.3099999999999999E-2</v>
      </c>
      <c r="O320" s="935"/>
      <c r="P320" s="936">
        <v>0.04</v>
      </c>
      <c r="Q320" s="935"/>
      <c r="R320" s="323"/>
      <c r="T320" s="260"/>
      <c r="U320" s="276"/>
      <c r="V320" s="276"/>
      <c r="W320" s="276"/>
      <c r="X320" s="276"/>
      <c r="Y320" s="276"/>
      <c r="Z320" s="276"/>
      <c r="AD320" s="256"/>
      <c r="AL320" s="133">
        <v>339</v>
      </c>
      <c r="AM320" s="250">
        <v>283019.18150344159</v>
      </c>
    </row>
    <row r="321" spans="2:39" s="250" customFormat="1" ht="15.75" hidden="1" customHeight="1">
      <c r="B321" s="958"/>
      <c r="C321" s="959"/>
      <c r="D321" s="324" t="s">
        <v>25</v>
      </c>
      <c r="E321" s="325"/>
      <c r="F321" s="325"/>
      <c r="G321" s="325"/>
      <c r="H321" s="325"/>
      <c r="I321" s="328" t="s">
        <v>44</v>
      </c>
      <c r="J321" s="1005">
        <v>7049.7339146559352</v>
      </c>
      <c r="K321" s="1006"/>
      <c r="L321" s="322"/>
      <c r="M321" s="335" t="s">
        <v>19</v>
      </c>
      <c r="N321" s="936">
        <v>3.4700000000000002E-2</v>
      </c>
      <c r="O321" s="935"/>
      <c r="P321" s="936">
        <v>0.06</v>
      </c>
      <c r="Q321" s="935"/>
      <c r="R321" s="323"/>
      <c r="T321" s="261"/>
      <c r="U321" s="261"/>
      <c r="AL321" s="133">
        <v>340</v>
      </c>
      <c r="AM321" s="250">
        <v>283466.47649686044</v>
      </c>
    </row>
    <row r="322" spans="2:39" s="250" customFormat="1" ht="15.75" hidden="1" customHeight="1">
      <c r="B322" s="958"/>
      <c r="C322" s="959"/>
      <c r="D322" s="324" t="s">
        <v>26</v>
      </c>
      <c r="E322" s="325"/>
      <c r="F322" s="325"/>
      <c r="G322" s="325"/>
      <c r="H322" s="325"/>
      <c r="I322" s="325" t="str">
        <f>I321</f>
        <v>ft²</v>
      </c>
      <c r="J322" s="1020">
        <v>7049.7339146559352</v>
      </c>
      <c r="K322" s="1021"/>
      <c r="L322" s="332"/>
      <c r="M322" s="338" t="s">
        <v>20</v>
      </c>
      <c r="N322" s="936">
        <v>4.0399999999999998E-2</v>
      </c>
      <c r="O322" s="935"/>
      <c r="P322" s="936">
        <v>7.0000000000000007E-2</v>
      </c>
      <c r="Q322" s="935"/>
      <c r="R322" s="323"/>
      <c r="AL322" s="133">
        <v>341</v>
      </c>
      <c r="AM322" s="250">
        <v>283914.54197053751</v>
      </c>
    </row>
    <row r="323" spans="2:39" s="250" customFormat="1" ht="15.75" hidden="1" customHeight="1">
      <c r="B323" s="958"/>
      <c r="C323" s="959"/>
      <c r="D323" s="324"/>
      <c r="E323" s="325"/>
      <c r="F323" s="325"/>
      <c r="G323" s="325"/>
      <c r="H323" s="325"/>
      <c r="I323" s="325"/>
      <c r="J323" s="1022" t="s">
        <v>276</v>
      </c>
      <c r="K323" s="1023"/>
      <c r="L323" s="322"/>
      <c r="M323" s="329"/>
      <c r="N323" s="322"/>
      <c r="O323" s="322"/>
      <c r="P323" s="322"/>
      <c r="Q323" s="322"/>
      <c r="R323" s="323"/>
      <c r="AL323" s="133">
        <v>342</v>
      </c>
      <c r="AM323" s="250">
        <v>284363.48818980018</v>
      </c>
    </row>
    <row r="324" spans="2:39" s="250" customFormat="1" ht="15.75" hidden="1" customHeight="1">
      <c r="B324" s="958"/>
      <c r="C324" s="959"/>
      <c r="D324" s="986" t="s">
        <v>92</v>
      </c>
      <c r="E324" s="987"/>
      <c r="F324" s="987"/>
      <c r="G324" s="987"/>
      <c r="H324" s="987"/>
      <c r="I324" s="987"/>
      <c r="J324" s="987"/>
      <c r="K324" s="988"/>
      <c r="L324" s="322"/>
      <c r="M324" s="333" t="s">
        <v>99</v>
      </c>
      <c r="N324" s="322"/>
      <c r="O324" s="322"/>
      <c r="P324" s="322"/>
      <c r="Q324" s="322"/>
      <c r="R324" s="323"/>
      <c r="AL324" s="133">
        <v>343</v>
      </c>
      <c r="AM324" s="250">
        <v>284813.42548217886</v>
      </c>
    </row>
    <row r="325" spans="2:39" s="250" customFormat="1" ht="15.75" hidden="1" customHeight="1">
      <c r="B325" s="958"/>
      <c r="C325" s="959"/>
      <c r="D325" s="339" t="s">
        <v>85</v>
      </c>
      <c r="E325" s="325"/>
      <c r="F325" s="325"/>
      <c r="G325" s="325"/>
      <c r="H325" s="325"/>
      <c r="I325" s="328" t="s">
        <v>88</v>
      </c>
      <c r="J325" s="1008">
        <v>2005</v>
      </c>
      <c r="K325" s="1009"/>
      <c r="L325" s="327"/>
      <c r="M325" s="340"/>
      <c r="N325" s="327"/>
      <c r="O325" s="327"/>
      <c r="P325" s="322"/>
      <c r="Q325" s="322"/>
      <c r="R325" s="323"/>
      <c r="AL325" s="133">
        <v>344</v>
      </c>
      <c r="AM325" s="250">
        <v>285264.46410264738</v>
      </c>
    </row>
    <row r="326" spans="2:39" s="250" customFormat="1" ht="15.75" hidden="1" customHeight="1">
      <c r="B326" s="958"/>
      <c r="C326" s="959"/>
      <c r="D326" s="1010" t="s">
        <v>106</v>
      </c>
      <c r="E326" s="1011"/>
      <c r="F326" s="1011"/>
      <c r="G326" s="1011"/>
      <c r="H326" s="1011"/>
      <c r="I326" s="1012"/>
      <c r="J326" s="1013">
        <v>6.5</v>
      </c>
      <c r="K326" s="1014"/>
      <c r="L326" s="322"/>
      <c r="M326" s="341"/>
      <c r="N326" s="1015" t="s">
        <v>1</v>
      </c>
      <c r="O326" s="1015"/>
      <c r="P326" s="1015"/>
      <c r="Q326" s="1015"/>
      <c r="R326" s="323"/>
      <c r="AL326" s="133">
        <v>345</v>
      </c>
      <c r="AM326" s="250">
        <v>285716.71435888344</v>
      </c>
    </row>
    <row r="327" spans="2:39" s="250" customFormat="1" ht="15.75" hidden="1" customHeight="1">
      <c r="B327" s="958"/>
      <c r="C327" s="959"/>
      <c r="D327" s="324" t="s">
        <v>31</v>
      </c>
      <c r="E327" s="325"/>
      <c r="F327" s="325"/>
      <c r="G327" s="325"/>
      <c r="H327" s="325"/>
      <c r="I327" s="325"/>
      <c r="J327" s="1004">
        <v>0.3158717748240813</v>
      </c>
      <c r="K327" s="1004"/>
      <c r="L327" s="322"/>
      <c r="M327" s="342"/>
      <c r="N327" s="1016" t="s">
        <v>86</v>
      </c>
      <c r="O327" s="1017"/>
      <c r="P327" s="1016" t="s">
        <v>87</v>
      </c>
      <c r="Q327" s="1017"/>
      <c r="R327" s="323"/>
      <c r="AL327" s="133">
        <v>346</v>
      </c>
      <c r="AM327" s="250">
        <v>286170.28651536</v>
      </c>
    </row>
    <row r="328" spans="2:39" s="250" customFormat="1" ht="15.75" hidden="1" customHeight="1">
      <c r="B328" s="958"/>
      <c r="C328" s="959"/>
      <c r="D328" s="324" t="s">
        <v>33</v>
      </c>
      <c r="E328" s="325"/>
      <c r="F328" s="325"/>
      <c r="G328" s="325"/>
      <c r="H328" s="325"/>
      <c r="I328" s="328" t="s">
        <v>88</v>
      </c>
      <c r="J328" s="1005">
        <v>14119.274552259345</v>
      </c>
      <c r="K328" s="1006"/>
      <c r="L328" s="327"/>
      <c r="M328" s="342" t="s">
        <v>0</v>
      </c>
      <c r="N328" s="1018"/>
      <c r="O328" s="1019"/>
      <c r="P328" s="1018"/>
      <c r="Q328" s="1019"/>
      <c r="R328" s="323"/>
      <c r="AL328" s="133">
        <v>347</v>
      </c>
      <c r="AM328" s="250">
        <v>286625.29087476101</v>
      </c>
    </row>
    <row r="329" spans="2:39" s="250" customFormat="1" ht="15.75" hidden="1" customHeight="1">
      <c r="B329" s="958"/>
      <c r="C329" s="959"/>
      <c r="D329" s="324"/>
      <c r="E329" s="325"/>
      <c r="F329" s="325"/>
      <c r="G329" s="325"/>
      <c r="H329" s="325"/>
      <c r="I329" s="325"/>
      <c r="J329" s="1005"/>
      <c r="K329" s="1006"/>
      <c r="L329" s="322"/>
      <c r="M329" s="343"/>
      <c r="N329" s="1007" t="s">
        <v>22</v>
      </c>
      <c r="O329" s="1007"/>
      <c r="P329" s="1007"/>
      <c r="Q329" s="1007"/>
      <c r="R329" s="323"/>
      <c r="AL329" s="133">
        <v>348</v>
      </c>
      <c r="AM329" s="250">
        <v>287081.83771784266</v>
      </c>
    </row>
    <row r="330" spans="2:39" s="250" customFormat="1" ht="15.75" hidden="1" customHeight="1">
      <c r="B330" s="958"/>
      <c r="C330" s="959"/>
      <c r="D330" s="324" t="s">
        <v>10</v>
      </c>
      <c r="E330" s="325"/>
      <c r="F330" s="325"/>
      <c r="G330" s="325"/>
      <c r="H330" s="325"/>
      <c r="I330" s="328" t="s">
        <v>88</v>
      </c>
      <c r="J330" s="984">
        <v>16124.274552259345</v>
      </c>
      <c r="K330" s="984"/>
      <c r="L330" s="327"/>
      <c r="M330" s="344"/>
      <c r="N330" s="345" t="s">
        <v>2</v>
      </c>
      <c r="O330" s="345" t="s">
        <v>3</v>
      </c>
      <c r="P330" s="345" t="s">
        <v>2</v>
      </c>
      <c r="Q330" s="345" t="s">
        <v>3</v>
      </c>
      <c r="R330" s="323"/>
      <c r="AL330" s="133">
        <v>349</v>
      </c>
      <c r="AM330" s="250">
        <v>287540.03733084293</v>
      </c>
    </row>
    <row r="331" spans="2:39" s="250" customFormat="1" ht="15.75" hidden="1" customHeight="1">
      <c r="B331" s="958"/>
      <c r="C331" s="959"/>
      <c r="D331" s="346"/>
      <c r="E331" s="347"/>
      <c r="F331" s="347"/>
      <c r="G331" s="347"/>
      <c r="H331" s="347"/>
      <c r="I331" s="347"/>
      <c r="J331" s="325"/>
      <c r="K331" s="348"/>
      <c r="L331" s="327"/>
      <c r="M331" s="349" t="s">
        <v>4</v>
      </c>
      <c r="N331" s="350">
        <v>4</v>
      </c>
      <c r="O331" s="350">
        <v>6.5</v>
      </c>
      <c r="P331" s="350">
        <v>6.5</v>
      </c>
      <c r="Q331" s="350">
        <v>6.5</v>
      </c>
      <c r="R331" s="323"/>
      <c r="AL331" s="133">
        <v>350</v>
      </c>
      <c r="AM331" s="250">
        <v>288000</v>
      </c>
    </row>
    <row r="332" spans="2:39" s="250" customFormat="1" ht="15.75" hidden="1" customHeight="1">
      <c r="B332" s="958"/>
      <c r="C332" s="959"/>
      <c r="D332" s="986" t="s">
        <v>93</v>
      </c>
      <c r="E332" s="987"/>
      <c r="F332" s="987"/>
      <c r="G332" s="987"/>
      <c r="H332" s="987"/>
      <c r="I332" s="987"/>
      <c r="J332" s="987"/>
      <c r="K332" s="988"/>
      <c r="L332" s="327"/>
      <c r="M332" s="349" t="s">
        <v>5</v>
      </c>
      <c r="N332" s="350">
        <v>3</v>
      </c>
      <c r="O332" s="350">
        <v>5</v>
      </c>
      <c r="P332" s="350">
        <v>5</v>
      </c>
      <c r="Q332" s="350">
        <v>5</v>
      </c>
      <c r="R332" s="323"/>
      <c r="AL332" s="133">
        <v>351</v>
      </c>
      <c r="AM332" s="250">
        <v>288461.80657024647</v>
      </c>
    </row>
    <row r="333" spans="2:39" s="250" customFormat="1" ht="16.5" hidden="1" customHeight="1">
      <c r="B333" s="958"/>
      <c r="C333" s="959"/>
      <c r="D333" s="324" t="s">
        <v>30</v>
      </c>
      <c r="E333" s="347"/>
      <c r="F333" s="347"/>
      <c r="G333" s="347"/>
      <c r="H333" s="347"/>
      <c r="I333" s="325" t="s">
        <v>34</v>
      </c>
      <c r="J333" s="1008">
        <v>280</v>
      </c>
      <c r="K333" s="1009"/>
      <c r="L333" s="327"/>
      <c r="M333" s="349" t="s">
        <v>6</v>
      </c>
      <c r="N333" s="350">
        <v>2.5</v>
      </c>
      <c r="O333" s="350">
        <v>4</v>
      </c>
      <c r="P333" s="350">
        <v>4</v>
      </c>
      <c r="Q333" s="350">
        <v>4</v>
      </c>
      <c r="R333" s="323"/>
      <c r="AL333" s="133">
        <v>352</v>
      </c>
      <c r="AM333" s="250">
        <v>288925.41988247447</v>
      </c>
    </row>
    <row r="334" spans="2:39" s="250" customFormat="1" ht="15.75" hidden="1" customHeight="1">
      <c r="B334" s="958"/>
      <c r="C334" s="959"/>
      <c r="D334" s="324" t="s">
        <v>114</v>
      </c>
      <c r="E334" s="347"/>
      <c r="F334" s="347"/>
      <c r="G334" s="347"/>
      <c r="H334" s="347"/>
      <c r="I334" s="325" t="s">
        <v>115</v>
      </c>
      <c r="J334" s="1001">
        <v>27.999999037298018</v>
      </c>
      <c r="K334" s="1001"/>
      <c r="L334" s="327"/>
      <c r="M334" s="340"/>
      <c r="N334" s="327"/>
      <c r="O334" s="327"/>
      <c r="P334" s="322"/>
      <c r="Q334" s="351" t="s">
        <v>84</v>
      </c>
      <c r="R334" s="323"/>
      <c r="AL334" s="133">
        <v>353</v>
      </c>
      <c r="AM334" s="250">
        <v>289390.77359146939</v>
      </c>
    </row>
    <row r="335" spans="2:39" s="250" customFormat="1" ht="15.75" hidden="1" customHeight="1">
      <c r="B335" s="958"/>
      <c r="C335" s="959"/>
      <c r="D335" s="986" t="s">
        <v>94</v>
      </c>
      <c r="E335" s="987"/>
      <c r="F335" s="987"/>
      <c r="G335" s="987"/>
      <c r="H335" s="987"/>
      <c r="I335" s="987"/>
      <c r="J335" s="987"/>
      <c r="K335" s="988"/>
      <c r="L335" s="327"/>
      <c r="M335" s="333" t="s">
        <v>100</v>
      </c>
      <c r="N335" s="327"/>
      <c r="O335" s="327"/>
      <c r="P335" s="322"/>
      <c r="Q335" s="322"/>
      <c r="R335" s="323"/>
      <c r="AL335" s="133">
        <v>354</v>
      </c>
      <c r="AM335" s="250">
        <v>289857.80109497561</v>
      </c>
    </row>
    <row r="336" spans="2:39" s="250" customFormat="1" ht="15.75" hidden="1" customHeight="1">
      <c r="B336" s="958"/>
      <c r="C336" s="959"/>
      <c r="D336" s="339" t="s">
        <v>89</v>
      </c>
      <c r="E336" s="325"/>
      <c r="F336" s="325"/>
      <c r="G336" s="325"/>
      <c r="H336" s="325"/>
      <c r="I336" s="328" t="s">
        <v>323</v>
      </c>
      <c r="J336" s="1002">
        <v>4491.2</v>
      </c>
      <c r="K336" s="1002"/>
      <c r="L336" s="352"/>
      <c r="M336" s="353"/>
      <c r="N336" s="352"/>
      <c r="O336" s="327"/>
      <c r="P336" s="322"/>
      <c r="Q336" s="322"/>
      <c r="R336" s="323"/>
      <c r="AL336" s="133">
        <v>355</v>
      </c>
      <c r="AM336" s="250">
        <v>290326.43581172946</v>
      </c>
    </row>
    <row r="337" spans="2:39" s="250" customFormat="1" ht="15.75" hidden="1" customHeight="1">
      <c r="B337" s="958"/>
      <c r="C337" s="959"/>
      <c r="D337" s="324" t="s">
        <v>28</v>
      </c>
      <c r="E337" s="325"/>
      <c r="F337" s="325"/>
      <c r="G337" s="325"/>
      <c r="H337" s="325"/>
      <c r="I337" s="325"/>
      <c r="J337" s="1003">
        <v>0.32</v>
      </c>
      <c r="K337" s="1003"/>
      <c r="L337" s="352"/>
      <c r="M337" s="354" t="s">
        <v>0</v>
      </c>
      <c r="N337" s="355" t="s">
        <v>11</v>
      </c>
      <c r="O337" s="322"/>
      <c r="P337" s="322"/>
      <c r="Q337" s="322"/>
      <c r="R337" s="323"/>
      <c r="AL337" s="133">
        <v>356</v>
      </c>
      <c r="AM337" s="250">
        <v>290796.61136502819</v>
      </c>
    </row>
    <row r="338" spans="2:39" s="250" customFormat="1" ht="56.25" hidden="1" customHeight="1">
      <c r="B338" s="958"/>
      <c r="C338" s="959"/>
      <c r="D338" s="324" t="s">
        <v>31</v>
      </c>
      <c r="E338" s="325"/>
      <c r="F338" s="325"/>
      <c r="G338" s="325"/>
      <c r="H338" s="325"/>
      <c r="I338" s="325"/>
      <c r="J338" s="1004">
        <v>0.3158717748240813</v>
      </c>
      <c r="K338" s="1004"/>
      <c r="L338" s="352"/>
      <c r="M338" s="349" t="s">
        <v>4</v>
      </c>
      <c r="N338" s="350">
        <v>0.32</v>
      </c>
      <c r="O338" s="322"/>
      <c r="P338" s="322"/>
      <c r="Q338" s="322"/>
      <c r="R338" s="356"/>
      <c r="S338" s="356"/>
      <c r="V338" s="262"/>
      <c r="W338" s="262" t="s">
        <v>126</v>
      </c>
      <c r="Y338" s="357" t="s">
        <v>132</v>
      </c>
      <c r="Z338" s="277" t="s">
        <v>122</v>
      </c>
      <c r="AA338" s="278"/>
      <c r="AB338" s="279" t="s">
        <v>129</v>
      </c>
      <c r="AC338" s="280"/>
      <c r="AL338" s="133">
        <v>357</v>
      </c>
      <c r="AM338" s="250">
        <v>291268.26116852777</v>
      </c>
    </row>
    <row r="339" spans="2:39" s="250" customFormat="1" ht="15.75" hidden="1" customHeight="1">
      <c r="B339" s="958"/>
      <c r="C339" s="959"/>
      <c r="D339" s="324" t="s">
        <v>32</v>
      </c>
      <c r="E339" s="325"/>
      <c r="F339" s="325"/>
      <c r="G339" s="325"/>
      <c r="H339" s="325"/>
      <c r="I339" s="328" t="s">
        <v>88</v>
      </c>
      <c r="J339" s="997">
        <v>3085.218643029521</v>
      </c>
      <c r="K339" s="997"/>
      <c r="L339" s="352"/>
      <c r="M339" s="349" t="s">
        <v>5</v>
      </c>
      <c r="N339" s="350">
        <v>0.25</v>
      </c>
      <c r="O339" s="327"/>
      <c r="P339" s="322"/>
      <c r="Q339" s="322"/>
      <c r="R339" s="356"/>
      <c r="S339" s="356"/>
      <c r="V339" s="264"/>
      <c r="W339" s="250">
        <f>-0.00000004*V339^4 + 0.0003*V339^3 - 0.7838*V339^2 + 1033.9*V339 + 9769.1</f>
        <v>9769.1</v>
      </c>
      <c r="Y339" s="265" t="s">
        <v>127</v>
      </c>
      <c r="Z339" s="266" t="s">
        <v>50</v>
      </c>
      <c r="AA339" s="267"/>
      <c r="AB339" s="268">
        <f>W339</f>
        <v>9769.1</v>
      </c>
      <c r="AC339" s="269"/>
      <c r="AL339" s="133">
        <v>358</v>
      </c>
      <c r="AM339" s="250">
        <v>291741.31865553616</v>
      </c>
    </row>
    <row r="340" spans="2:39" s="250" customFormat="1" ht="15.75" hidden="1" customHeight="1">
      <c r="B340" s="958"/>
      <c r="C340" s="959"/>
      <c r="D340" s="339" t="s">
        <v>89</v>
      </c>
      <c r="E340" s="325"/>
      <c r="F340" s="325"/>
      <c r="G340" s="325"/>
      <c r="H340" s="325"/>
      <c r="I340" s="328" t="s">
        <v>88</v>
      </c>
      <c r="J340" s="998">
        <v>4491</v>
      </c>
      <c r="K340" s="999"/>
      <c r="L340" s="352"/>
      <c r="M340" s="349" t="s">
        <v>6</v>
      </c>
      <c r="N340" s="350">
        <v>0.2</v>
      </c>
      <c r="O340" s="322"/>
      <c r="P340" s="322"/>
      <c r="Q340" s="322"/>
      <c r="R340" s="356"/>
      <c r="S340" s="356"/>
      <c r="Y340" s="265" t="s">
        <v>128</v>
      </c>
      <c r="Z340" s="270" t="s">
        <v>53</v>
      </c>
      <c r="AA340" s="267"/>
      <c r="AB340" s="268">
        <v>742000</v>
      </c>
      <c r="AC340" s="269"/>
      <c r="AL340" s="133">
        <v>359</v>
      </c>
      <c r="AM340" s="250">
        <v>292215.71741987241</v>
      </c>
    </row>
    <row r="341" spans="2:39" s="250" customFormat="1" ht="15.75" hidden="1" customHeight="1">
      <c r="B341" s="958"/>
      <c r="C341" s="959"/>
      <c r="D341" s="324" t="s">
        <v>12</v>
      </c>
      <c r="E341" s="325"/>
      <c r="F341" s="325"/>
      <c r="G341" s="325"/>
      <c r="H341" s="325"/>
      <c r="I341" s="328" t="s">
        <v>88</v>
      </c>
      <c r="J341" s="1000">
        <v>7576.2186430295205</v>
      </c>
      <c r="K341" s="1000"/>
      <c r="L341" s="352"/>
      <c r="M341" s="329"/>
      <c r="N341" s="322"/>
      <c r="O341" s="322"/>
      <c r="P341" s="322"/>
      <c r="Q341" s="322"/>
      <c r="R341" s="356"/>
      <c r="S341" s="356"/>
      <c r="Y341" s="265" t="s">
        <v>128</v>
      </c>
      <c r="Z341" s="270" t="s">
        <v>51</v>
      </c>
      <c r="AA341" s="267"/>
      <c r="AB341" s="268">
        <f>1107*J352*J351^0.82</f>
        <v>317718.74171409325</v>
      </c>
      <c r="AC341" s="269"/>
      <c r="AL341" s="133">
        <v>360</v>
      </c>
      <c r="AM341" s="250">
        <v>292691.39089009899</v>
      </c>
    </row>
    <row r="342" spans="2:39" s="250" customFormat="1" ht="15.75" hidden="1" customHeight="1">
      <c r="B342" s="958"/>
      <c r="C342" s="959"/>
      <c r="D342" s="346"/>
      <c r="E342" s="347"/>
      <c r="F342" s="347"/>
      <c r="G342" s="347"/>
      <c r="H342" s="347"/>
      <c r="I342" s="347"/>
      <c r="J342" s="325"/>
      <c r="K342" s="348"/>
      <c r="L342" s="327"/>
      <c r="M342" s="340"/>
      <c r="N342" s="327"/>
      <c r="O342" s="327"/>
      <c r="P342" s="322"/>
      <c r="Q342" s="322"/>
      <c r="R342" s="356"/>
      <c r="S342" s="356"/>
      <c r="AL342" s="133">
        <v>361</v>
      </c>
      <c r="AM342" s="250">
        <v>293168.25688809057</v>
      </c>
    </row>
    <row r="343" spans="2:39" s="250" customFormat="1" ht="22.5" hidden="1" customHeight="1">
      <c r="B343" s="358"/>
      <c r="C343" s="359"/>
      <c r="D343" s="346"/>
      <c r="E343" s="347"/>
      <c r="F343" s="347"/>
      <c r="G343" s="347"/>
      <c r="H343" s="347"/>
      <c r="I343" s="347"/>
      <c r="J343" s="325"/>
      <c r="K343" s="348"/>
      <c r="L343" s="327"/>
      <c r="M343" s="333" t="s">
        <v>101</v>
      </c>
      <c r="N343" s="327"/>
      <c r="O343" s="327"/>
      <c r="P343" s="322"/>
      <c r="Q343" s="322"/>
      <c r="R343" s="356"/>
      <c r="S343" s="356"/>
      <c r="AL343" s="133">
        <v>362</v>
      </c>
      <c r="AM343" s="250">
        <v>293646.29585519794</v>
      </c>
    </row>
    <row r="344" spans="2:39" s="250" customFormat="1" ht="16.5" hidden="1" customHeight="1">
      <c r="B344" s="358"/>
      <c r="C344" s="359"/>
      <c r="D344" s="986" t="s">
        <v>96</v>
      </c>
      <c r="E344" s="987"/>
      <c r="F344" s="987"/>
      <c r="G344" s="987"/>
      <c r="H344" s="987"/>
      <c r="I344" s="987"/>
      <c r="J344" s="987"/>
      <c r="K344" s="988"/>
      <c r="L344" s="327"/>
      <c r="M344" s="360" t="s">
        <v>132</v>
      </c>
      <c r="N344" s="949" t="s">
        <v>122</v>
      </c>
      <c r="O344" s="950"/>
      <c r="P344" s="949" t="s">
        <v>41</v>
      </c>
      <c r="Q344" s="950"/>
      <c r="R344" s="360" t="s">
        <v>308</v>
      </c>
      <c r="S344" s="949" t="s">
        <v>332</v>
      </c>
      <c r="T344" s="950"/>
      <c r="U344" s="949" t="s">
        <v>121</v>
      </c>
      <c r="V344" s="950"/>
      <c r="W344" s="262"/>
      <c r="X344" s="262"/>
      <c r="Y344" s="262"/>
      <c r="Z344" s="271">
        <f>IF(AND(J351&lt;2800,J346&lt;=15),AB339,IF(AND(J351&gt;=2800,J346&lt;=1),AB340,IF(AND(J351&gt;=2800,J346&gt;1,J346&lt;=15),AB341)))</f>
        <v>742000</v>
      </c>
      <c r="AA344" s="261" t="s">
        <v>134</v>
      </c>
      <c r="AL344" s="133">
        <v>363</v>
      </c>
      <c r="AM344" s="250">
        <v>294125.39435888524</v>
      </c>
    </row>
    <row r="345" spans="2:39" s="250" customFormat="1" ht="16.5" hidden="1" customHeight="1">
      <c r="B345" s="358"/>
      <c r="C345" s="359"/>
      <c r="D345" s="951" t="s">
        <v>43</v>
      </c>
      <c r="E345" s="952"/>
      <c r="F345" s="952"/>
      <c r="G345" s="952"/>
      <c r="H345" s="952"/>
      <c r="I345" s="328" t="s">
        <v>35</v>
      </c>
      <c r="J345" s="953">
        <v>30</v>
      </c>
      <c r="K345" s="954"/>
      <c r="L345" s="327"/>
      <c r="M345" s="361" t="s">
        <v>47</v>
      </c>
      <c r="N345" s="936" t="s">
        <v>50</v>
      </c>
      <c r="O345" s="935"/>
      <c r="P345" s="955" t="s">
        <v>55</v>
      </c>
      <c r="Q345" s="935"/>
      <c r="R345" s="361" t="s">
        <v>309</v>
      </c>
      <c r="S345" s="936" t="s">
        <v>310</v>
      </c>
      <c r="T345" s="935"/>
      <c r="U345" s="955" t="s">
        <v>316</v>
      </c>
      <c r="V345" s="935"/>
      <c r="AL345" s="133">
        <v>364</v>
      </c>
      <c r="AM345" s="250">
        <v>294605.51713441947</v>
      </c>
    </row>
    <row r="346" spans="2:39" s="250" customFormat="1" ht="16.5" hidden="1" customHeight="1">
      <c r="B346" s="358"/>
      <c r="C346" s="359"/>
      <c r="D346" s="951" t="s">
        <v>46</v>
      </c>
      <c r="E346" s="952"/>
      <c r="F346" s="952"/>
      <c r="G346" s="952"/>
      <c r="H346" s="952"/>
      <c r="I346" s="362" t="s">
        <v>45</v>
      </c>
      <c r="J346" s="956">
        <v>0</v>
      </c>
      <c r="K346" s="957"/>
      <c r="L346" s="363" t="str">
        <f>IF(J346&lt;=1,"&lt;= 1",IF(J346&gt;15,"NOT API 2000","&gt; 1 &lt;= 15"))</f>
        <v>&lt;= 1</v>
      </c>
      <c r="M346" s="361" t="s">
        <v>48</v>
      </c>
      <c r="N346" s="936" t="s">
        <v>50</v>
      </c>
      <c r="O346" s="935"/>
      <c r="P346" s="936" t="s">
        <v>56</v>
      </c>
      <c r="Q346" s="935"/>
      <c r="R346" s="361" t="s">
        <v>311</v>
      </c>
      <c r="S346" s="936" t="s">
        <v>310</v>
      </c>
      <c r="T346" s="935"/>
      <c r="U346" s="955" t="s">
        <v>317</v>
      </c>
      <c r="V346" s="935"/>
      <c r="W346" s="261"/>
      <c r="X346" s="261"/>
      <c r="Y346" s="261"/>
      <c r="AL346" s="133">
        <v>365</v>
      </c>
      <c r="AM346" s="250">
        <v>295086.55077020091</v>
      </c>
    </row>
    <row r="347" spans="2:39" s="250" customFormat="1" ht="16.5" hidden="1" customHeight="1">
      <c r="B347" s="358"/>
      <c r="C347" s="359"/>
      <c r="D347" s="951" t="s">
        <v>61</v>
      </c>
      <c r="E347" s="952"/>
      <c r="F347" s="952"/>
      <c r="G347" s="952"/>
      <c r="H347" s="952"/>
      <c r="I347" s="362" t="s">
        <v>54</v>
      </c>
      <c r="J347" s="996">
        <v>156.69999999999999</v>
      </c>
      <c r="K347" s="996"/>
      <c r="L347" s="327"/>
      <c r="M347" s="361" t="s">
        <v>49</v>
      </c>
      <c r="N347" s="936" t="s">
        <v>50</v>
      </c>
      <c r="O347" s="935"/>
      <c r="P347" s="936" t="s">
        <v>57</v>
      </c>
      <c r="Q347" s="935"/>
      <c r="R347" s="361" t="s">
        <v>312</v>
      </c>
      <c r="S347" s="936" t="s">
        <v>310</v>
      </c>
      <c r="T347" s="935"/>
      <c r="U347" s="955" t="s">
        <v>318</v>
      </c>
      <c r="V347" s="935"/>
      <c r="W347" s="261"/>
      <c r="AL347" s="133">
        <v>366</v>
      </c>
      <c r="AM347" s="250">
        <v>295568.47567408253</v>
      </c>
    </row>
    <row r="348" spans="2:39" s="250" customFormat="1" ht="15.75" hidden="1" customHeight="1">
      <c r="B348" s="958"/>
      <c r="C348" s="959"/>
      <c r="D348" s="951" t="s">
        <v>63</v>
      </c>
      <c r="E348" s="952"/>
      <c r="F348" s="952"/>
      <c r="G348" s="952"/>
      <c r="H348" s="952"/>
      <c r="I348" s="362" t="s">
        <v>62</v>
      </c>
      <c r="J348" s="956">
        <v>784.9995604001233</v>
      </c>
      <c r="K348" s="957"/>
      <c r="L348" s="327"/>
      <c r="M348" s="364" t="s">
        <v>52</v>
      </c>
      <c r="N348" s="936" t="s">
        <v>51</v>
      </c>
      <c r="O348" s="935"/>
      <c r="P348" s="936" t="s">
        <v>58</v>
      </c>
      <c r="Q348" s="935"/>
      <c r="R348" s="364" t="s">
        <v>313</v>
      </c>
      <c r="S348" s="936" t="s">
        <v>314</v>
      </c>
      <c r="T348" s="935"/>
      <c r="U348" s="955" t="s">
        <v>319</v>
      </c>
      <c r="V348" s="935"/>
      <c r="W348" s="261"/>
      <c r="AL348" s="133">
        <v>367</v>
      </c>
      <c r="AM348" s="250">
        <v>296051.20968050056</v>
      </c>
    </row>
    <row r="349" spans="2:39" s="250" customFormat="1" ht="15.75" hidden="1" customHeight="1">
      <c r="B349" s="958"/>
      <c r="C349" s="959"/>
      <c r="D349" s="951" t="s">
        <v>64</v>
      </c>
      <c r="E349" s="952"/>
      <c r="F349" s="952"/>
      <c r="G349" s="952"/>
      <c r="H349" s="952"/>
      <c r="I349" s="362"/>
      <c r="J349" s="989">
        <v>86.1</v>
      </c>
      <c r="K349" s="990"/>
      <c r="L349" s="327"/>
      <c r="M349" s="364" t="s">
        <v>52</v>
      </c>
      <c r="N349" s="936" t="s">
        <v>53</v>
      </c>
      <c r="O349" s="935"/>
      <c r="P349" s="934">
        <v>14090000</v>
      </c>
      <c r="Q349" s="935"/>
      <c r="R349" s="364" t="s">
        <v>313</v>
      </c>
      <c r="S349" s="936" t="s">
        <v>315</v>
      </c>
      <c r="T349" s="935"/>
      <c r="U349" s="934">
        <v>4129700</v>
      </c>
      <c r="V349" s="935"/>
      <c r="W349" s="260"/>
      <c r="X349" s="260"/>
      <c r="Y349" s="260"/>
      <c r="Z349" s="260"/>
      <c r="AA349" s="260"/>
      <c r="AB349" s="260"/>
      <c r="AL349" s="133">
        <v>368</v>
      </c>
      <c r="AM349" s="250">
        <v>296534.68626407732</v>
      </c>
    </row>
    <row r="350" spans="2:39" s="250" customFormat="1" ht="15.75" hidden="1" customHeight="1">
      <c r="B350" s="958"/>
      <c r="C350" s="959"/>
      <c r="D350" s="951" t="s">
        <v>29</v>
      </c>
      <c r="E350" s="952"/>
      <c r="F350" s="952"/>
      <c r="G350" s="952"/>
      <c r="H350" s="952"/>
      <c r="I350" s="328" t="s">
        <v>148</v>
      </c>
      <c r="J350" s="989">
        <v>0</v>
      </c>
      <c r="K350" s="990"/>
      <c r="L350" s="327"/>
      <c r="M350" s="333" t="s">
        <v>102</v>
      </c>
      <c r="N350" s="327"/>
      <c r="O350" s="327"/>
      <c r="P350" s="322"/>
      <c r="Q350" s="322"/>
      <c r="R350" s="323"/>
      <c r="AL350" s="133">
        <v>369</v>
      </c>
      <c r="AM350" s="250">
        <v>297018.83893488685</v>
      </c>
    </row>
    <row r="351" spans="2:39" s="250" customFormat="1" ht="15.75" hidden="1" customHeight="1">
      <c r="B351" s="358"/>
      <c r="C351" s="359"/>
      <c r="D351" s="365" t="s">
        <v>42</v>
      </c>
      <c r="E351" s="366"/>
      <c r="F351" s="366"/>
      <c r="G351" s="366"/>
      <c r="H351" s="366"/>
      <c r="I351" s="325" t="s">
        <v>44</v>
      </c>
      <c r="J351" s="991">
        <v>4146.9023027387975</v>
      </c>
      <c r="K351" s="992"/>
      <c r="L351" s="327"/>
      <c r="M351" s="993" t="s">
        <v>66</v>
      </c>
      <c r="N351" s="993" t="s">
        <v>65</v>
      </c>
      <c r="O351" s="322"/>
      <c r="P351" s="322"/>
      <c r="Q351" s="322"/>
      <c r="R351" s="323"/>
      <c r="AL351" s="133">
        <v>370</v>
      </c>
      <c r="AM351" s="250">
        <v>297503.6011639224</v>
      </c>
    </row>
    <row r="352" spans="2:39" s="250" customFormat="1" ht="15.75" hidden="1" customHeight="1">
      <c r="B352" s="358"/>
      <c r="C352" s="359"/>
      <c r="D352" s="367" t="s">
        <v>220</v>
      </c>
      <c r="E352" s="366"/>
      <c r="F352" s="366"/>
      <c r="G352" s="366"/>
      <c r="H352" s="366"/>
      <c r="I352" s="362" t="s">
        <v>352</v>
      </c>
      <c r="J352" s="994">
        <v>0.31</v>
      </c>
      <c r="K352" s="995"/>
      <c r="L352" s="327"/>
      <c r="M352" s="993"/>
      <c r="N352" s="993"/>
      <c r="O352" s="322"/>
      <c r="P352" s="322"/>
      <c r="Q352" s="322"/>
      <c r="R352" s="323"/>
      <c r="AL352" s="133">
        <v>371</v>
      </c>
      <c r="AM352" s="250">
        <v>297988.90643602307</v>
      </c>
    </row>
    <row r="353" spans="2:39" s="250" customFormat="1" ht="15.75" hidden="1" customHeight="1">
      <c r="B353" s="958"/>
      <c r="C353" s="959"/>
      <c r="D353" s="365" t="s">
        <v>60</v>
      </c>
      <c r="E353" s="366"/>
      <c r="F353" s="366"/>
      <c r="G353" s="366"/>
      <c r="H353" s="366"/>
      <c r="I353" s="362" t="s">
        <v>59</v>
      </c>
      <c r="J353" s="980">
        <v>14090000</v>
      </c>
      <c r="K353" s="981"/>
      <c r="L353" s="327"/>
      <c r="M353" s="361">
        <v>0</v>
      </c>
      <c r="N353" s="368">
        <v>1</v>
      </c>
      <c r="O353" s="369">
        <v>0</v>
      </c>
      <c r="P353" s="322"/>
      <c r="Q353" s="322"/>
      <c r="R353" s="323"/>
      <c r="AL353" s="133">
        <v>372</v>
      </c>
      <c r="AM353" s="250">
        <v>298474.68824049423</v>
      </c>
    </row>
    <row r="354" spans="2:39" s="250" customFormat="1" ht="15.75" hidden="1" customHeight="1">
      <c r="B354" s="958"/>
      <c r="C354" s="959"/>
      <c r="D354" s="982" t="s">
        <v>67</v>
      </c>
      <c r="E354" s="983"/>
      <c r="F354" s="983"/>
      <c r="G354" s="983"/>
      <c r="H354" s="983"/>
      <c r="I354" s="328" t="s">
        <v>88</v>
      </c>
      <c r="J354" s="984">
        <v>742000</v>
      </c>
      <c r="K354" s="984"/>
      <c r="L354" s="327"/>
      <c r="M354" s="361">
        <v>1</v>
      </c>
      <c r="N354" s="368">
        <v>0.3</v>
      </c>
      <c r="O354" s="369">
        <v>2.5</v>
      </c>
      <c r="P354" s="322"/>
      <c r="Q354" s="322"/>
      <c r="R354" s="323"/>
      <c r="AL354" s="133">
        <v>373</v>
      </c>
      <c r="AM354" s="250">
        <v>298960.88005888095</v>
      </c>
    </row>
    <row r="355" spans="2:39" s="250" customFormat="1" ht="15.75" hidden="1" customHeight="1">
      <c r="B355" s="958"/>
      <c r="C355" s="985"/>
      <c r="D355" s="986" t="s">
        <v>135</v>
      </c>
      <c r="E355" s="987"/>
      <c r="F355" s="987"/>
      <c r="G355" s="987"/>
      <c r="H355" s="987"/>
      <c r="I355" s="987"/>
      <c r="J355" s="987"/>
      <c r="K355" s="988"/>
      <c r="L355" s="327"/>
      <c r="M355" s="361">
        <v>2</v>
      </c>
      <c r="N355" s="368">
        <v>0.15</v>
      </c>
      <c r="O355" s="369">
        <v>5.0999999999999996</v>
      </c>
      <c r="P355" s="322"/>
      <c r="Q355" s="322"/>
      <c r="R355" s="323"/>
      <c r="AL355" s="133">
        <v>374</v>
      </c>
      <c r="AM355" s="250">
        <v>299447.41538523423</v>
      </c>
    </row>
    <row r="356" spans="2:39" s="250" customFormat="1" ht="15.75" hidden="1" customHeight="1">
      <c r="B356" s="958"/>
      <c r="C356" s="985"/>
      <c r="D356" s="324"/>
      <c r="E356" s="325"/>
      <c r="F356" s="325"/>
      <c r="G356" s="325"/>
      <c r="H356" s="325"/>
      <c r="I356" s="325"/>
      <c r="J356" s="370"/>
      <c r="K356" s="371"/>
      <c r="L356" s="322"/>
      <c r="M356" s="361">
        <v>4</v>
      </c>
      <c r="N356" s="368">
        <v>7.4999999999999997E-2</v>
      </c>
      <c r="O356" s="369">
        <v>10.199999999999999</v>
      </c>
      <c r="P356" s="322"/>
      <c r="Q356" s="322"/>
      <c r="R356" s="323"/>
      <c r="AL356" s="133">
        <v>375</v>
      </c>
      <c r="AM356" s="250">
        <v>299934.22769010067</v>
      </c>
    </row>
    <row r="357" spans="2:39" s="250" customFormat="1" ht="15.75" hidden="1" customHeight="1">
      <c r="B357" s="358"/>
      <c r="C357" s="372"/>
      <c r="D357" s="373" t="s">
        <v>10</v>
      </c>
      <c r="E357" s="374"/>
      <c r="F357" s="374"/>
      <c r="G357" s="374"/>
      <c r="H357" s="374"/>
      <c r="I357" s="375" t="s">
        <v>88</v>
      </c>
      <c r="J357" s="976">
        <v>16124</v>
      </c>
      <c r="K357" s="977"/>
      <c r="L357" s="322"/>
      <c r="M357" s="361">
        <v>6</v>
      </c>
      <c r="N357" s="368">
        <v>0.05</v>
      </c>
      <c r="O357" s="369">
        <v>15.2</v>
      </c>
      <c r="P357" s="322"/>
      <c r="Q357" s="322"/>
      <c r="R357" s="323"/>
      <c r="AL357" s="133">
        <v>376</v>
      </c>
      <c r="AM357" s="250">
        <v>300421.25047175569</v>
      </c>
    </row>
    <row r="358" spans="2:39" s="250" customFormat="1" ht="15.75" hidden="1" customHeight="1">
      <c r="B358" s="358"/>
      <c r="C358" s="372"/>
      <c r="D358" s="373" t="s">
        <v>12</v>
      </c>
      <c r="E358" s="374"/>
      <c r="F358" s="374"/>
      <c r="G358" s="374"/>
      <c r="H358" s="374"/>
      <c r="I358" s="375" t="s">
        <v>88</v>
      </c>
      <c r="J358" s="976">
        <v>7576</v>
      </c>
      <c r="K358" s="977"/>
      <c r="L358" s="322"/>
      <c r="M358" s="361">
        <v>8</v>
      </c>
      <c r="N358" s="368">
        <v>3.7499999999999999E-2</v>
      </c>
      <c r="O358" s="369">
        <v>20.3</v>
      </c>
      <c r="P358" s="322"/>
      <c r="Q358" s="322"/>
      <c r="R358" s="323"/>
      <c r="AL358" s="133">
        <v>377</v>
      </c>
      <c r="AM358" s="250">
        <v>300908.41720241139</v>
      </c>
    </row>
    <row r="359" spans="2:39" s="250" customFormat="1" ht="15.75" hidden="1" customHeight="1">
      <c r="B359" s="358"/>
      <c r="C359" s="372"/>
      <c r="D359" s="978" t="s">
        <v>141</v>
      </c>
      <c r="E359" s="979"/>
      <c r="F359" s="979"/>
      <c r="G359" s="979"/>
      <c r="H359" s="979"/>
      <c r="I359" s="375" t="s">
        <v>88</v>
      </c>
      <c r="J359" s="976">
        <v>742000</v>
      </c>
      <c r="K359" s="977"/>
      <c r="L359" s="322"/>
      <c r="M359" s="361">
        <v>10</v>
      </c>
      <c r="N359" s="368">
        <v>0.03</v>
      </c>
      <c r="O359" s="369">
        <v>25.4</v>
      </c>
      <c r="P359" s="322"/>
      <c r="Q359" s="322"/>
      <c r="R359" s="323"/>
      <c r="AL359" s="133">
        <v>378</v>
      </c>
      <c r="AM359" s="250">
        <v>301395.66138290218</v>
      </c>
    </row>
    <row r="360" spans="2:39" s="250" customFormat="1" ht="12.75" hidden="1" customHeight="1">
      <c r="B360" s="376"/>
      <c r="C360" s="322"/>
      <c r="D360" s="353"/>
      <c r="E360" s="377"/>
      <c r="F360" s="377"/>
      <c r="G360" s="377"/>
      <c r="H360" s="377"/>
      <c r="I360" s="377"/>
      <c r="J360" s="378"/>
      <c r="K360" s="379"/>
      <c r="L360" s="322"/>
      <c r="M360" s="361">
        <v>12</v>
      </c>
      <c r="N360" s="368">
        <v>2.5000000000000001E-2</v>
      </c>
      <c r="O360" s="369">
        <v>30.5</v>
      </c>
      <c r="P360" s="322"/>
      <c r="Q360" s="322"/>
      <c r="R360" s="323"/>
      <c r="AL360" s="133">
        <v>379</v>
      </c>
      <c r="AM360" s="250">
        <v>301882.91649114416</v>
      </c>
    </row>
    <row r="361" spans="2:39" s="250" customFormat="1" hidden="1">
      <c r="B361" s="376"/>
      <c r="C361" s="322"/>
      <c r="D361" s="322"/>
      <c r="E361" s="322"/>
      <c r="F361" s="322"/>
      <c r="G361" s="322"/>
      <c r="H361" s="322"/>
      <c r="I361" s="322"/>
      <c r="J361" s="322"/>
      <c r="K361" s="322"/>
      <c r="L361" s="322"/>
      <c r="M361" s="380"/>
      <c r="N361" s="381"/>
      <c r="O361" s="322"/>
      <c r="P361" s="322"/>
      <c r="Q361" s="322"/>
      <c r="R361" s="323"/>
      <c r="AL361" s="133">
        <v>380</v>
      </c>
      <c r="AM361" s="250">
        <v>302370.11600014038</v>
      </c>
    </row>
    <row r="362" spans="2:39" s="250" customFormat="1" hidden="1">
      <c r="B362" s="376"/>
      <c r="C362" s="322"/>
      <c r="D362" s="322"/>
      <c r="E362" s="322"/>
      <c r="F362" s="322"/>
      <c r="G362" s="322"/>
      <c r="H362" s="322"/>
      <c r="I362" s="322"/>
      <c r="J362" s="322"/>
      <c r="K362" s="322"/>
      <c r="L362" s="322"/>
      <c r="M362" s="352"/>
      <c r="N362" s="352"/>
      <c r="O362" s="322"/>
      <c r="P362" s="322"/>
      <c r="Q362" s="322"/>
      <c r="R362" s="323"/>
      <c r="AL362" s="133">
        <v>381</v>
      </c>
      <c r="AM362" s="250">
        <v>302857.19341809471</v>
      </c>
    </row>
    <row r="363" spans="2:39" s="250" customFormat="1" hidden="1">
      <c r="B363" s="376"/>
      <c r="C363" s="322"/>
      <c r="D363" s="322"/>
      <c r="E363" s="322"/>
      <c r="F363" s="322"/>
      <c r="G363" s="322"/>
      <c r="H363" s="322"/>
      <c r="I363" s="322"/>
      <c r="J363" s="322"/>
      <c r="K363" s="322"/>
      <c r="L363" s="322"/>
      <c r="M363" s="352"/>
      <c r="N363" s="352"/>
      <c r="O363" s="322"/>
      <c r="P363" s="322"/>
      <c r="Q363" s="322"/>
      <c r="R363" s="323"/>
      <c r="AL363" s="133">
        <v>382</v>
      </c>
      <c r="AM363" s="250">
        <v>303344.09001743683</v>
      </c>
    </row>
    <row r="364" spans="2:39" s="250" customFormat="1" hidden="1">
      <c r="B364" s="376"/>
      <c r="C364" s="322"/>
      <c r="D364" s="322"/>
      <c r="E364" s="322"/>
      <c r="F364" s="322"/>
      <c r="G364" s="322"/>
      <c r="H364" s="322"/>
      <c r="I364" s="322"/>
      <c r="J364" s="322"/>
      <c r="K364" s="322"/>
      <c r="L364" s="322"/>
      <c r="M364" s="352"/>
      <c r="N364" s="352"/>
      <c r="O364" s="322"/>
      <c r="P364" s="322"/>
      <c r="Q364" s="322"/>
      <c r="R364" s="323"/>
      <c r="AL364" s="133">
        <v>383</v>
      </c>
      <c r="AM364" s="250">
        <v>303830.71587322524</v>
      </c>
    </row>
    <row r="365" spans="2:39" s="250" customFormat="1" hidden="1">
      <c r="B365" s="376"/>
      <c r="C365" s="322"/>
      <c r="D365" s="322"/>
      <c r="E365" s="322"/>
      <c r="F365" s="322"/>
      <c r="G365" s="322"/>
      <c r="H365" s="322"/>
      <c r="I365" s="322"/>
      <c r="J365" s="322"/>
      <c r="K365" s="322"/>
      <c r="L365" s="322"/>
      <c r="M365" s="322"/>
      <c r="N365" s="382">
        <v>40</v>
      </c>
      <c r="O365" s="383" t="s">
        <v>35</v>
      </c>
      <c r="P365" s="322"/>
      <c r="Q365" s="352"/>
      <c r="R365" s="323"/>
      <c r="AL365" s="133">
        <v>384</v>
      </c>
      <c r="AM365" s="250">
        <v>304317.02789487439</v>
      </c>
    </row>
    <row r="366" spans="2:39" s="250" customFormat="1" hidden="1">
      <c r="B366" s="376"/>
      <c r="C366" s="322"/>
      <c r="D366" s="322"/>
      <c r="E366" s="322"/>
      <c r="F366" s="322"/>
      <c r="G366" s="322"/>
      <c r="H366" s="322"/>
      <c r="I366" s="322"/>
      <c r="J366" s="322"/>
      <c r="K366" s="322"/>
      <c r="L366" s="322"/>
      <c r="M366" s="322"/>
      <c r="N366" s="383"/>
      <c r="O366" s="383"/>
      <c r="P366" s="322"/>
      <c r="Q366" s="352"/>
      <c r="R366" s="323"/>
      <c r="AL366" s="133">
        <v>385</v>
      </c>
      <c r="AM366" s="250">
        <v>304802.95173800219</v>
      </c>
    </row>
    <row r="367" spans="2:39" s="250" customFormat="1" hidden="1">
      <c r="B367" s="376"/>
      <c r="C367" s="322"/>
      <c r="D367" s="322"/>
      <c r="E367" s="322"/>
      <c r="F367" s="322"/>
      <c r="G367" s="322"/>
      <c r="H367" s="322"/>
      <c r="I367" s="322"/>
      <c r="J367" s="322"/>
      <c r="K367" s="322"/>
      <c r="L367" s="322"/>
      <c r="M367" s="322"/>
      <c r="N367" s="382">
        <v>40</v>
      </c>
      <c r="O367" s="383" t="s">
        <v>35</v>
      </c>
      <c r="P367" s="322"/>
      <c r="Q367" s="352"/>
      <c r="R367" s="323"/>
      <c r="Z367" s="250" t="s">
        <v>204</v>
      </c>
      <c r="AA367" s="250" t="s">
        <v>219</v>
      </c>
      <c r="AL367" s="133">
        <v>386</v>
      </c>
      <c r="AM367" s="250">
        <v>305288.420920862</v>
      </c>
    </row>
    <row r="368" spans="2:39" s="250" customFormat="1" hidden="1">
      <c r="B368" s="376"/>
      <c r="C368" s="322"/>
      <c r="D368" s="322"/>
      <c r="E368" s="322"/>
      <c r="F368" s="322"/>
      <c r="G368" s="384">
        <f>PI()*(H386/2)^2*(N367-N369)</f>
        <v>3041.0616886749199</v>
      </c>
      <c r="H368" s="383" t="s">
        <v>36</v>
      </c>
      <c r="I368" s="322"/>
      <c r="J368" s="322"/>
      <c r="K368" s="322"/>
      <c r="L368" s="322"/>
      <c r="M368" s="322"/>
      <c r="N368" s="383"/>
      <c r="O368" s="383"/>
      <c r="P368" s="322"/>
      <c r="Q368" s="352"/>
      <c r="R368" s="323"/>
      <c r="Y368" s="262" t="s">
        <v>140</v>
      </c>
      <c r="Z368" s="385">
        <f>IF($I$50="cm","",$J$50)</f>
        <v>0</v>
      </c>
      <c r="AA368" s="250" t="str">
        <f>IF($I$50="inches","",$J$50)</f>
        <v/>
      </c>
      <c r="AL368" s="133">
        <v>387</v>
      </c>
      <c r="AM368" s="250">
        <v>305773.36891243706</v>
      </c>
    </row>
    <row r="369" spans="2:39" s="250" customFormat="1" hidden="1">
      <c r="B369" s="376"/>
      <c r="C369" s="322"/>
      <c r="D369" s="322"/>
      <c r="E369" s="322"/>
      <c r="F369" s="322"/>
      <c r="G369" s="322"/>
      <c r="H369" s="322"/>
      <c r="I369" s="322"/>
      <c r="J369" s="322"/>
      <c r="K369" s="322"/>
      <c r="L369" s="322"/>
      <c r="M369" s="322"/>
      <c r="N369" s="382">
        <v>38</v>
      </c>
      <c r="O369" s="383" t="s">
        <v>35</v>
      </c>
      <c r="P369" s="322"/>
      <c r="Q369" s="352"/>
      <c r="R369" s="323"/>
      <c r="Y369" s="262" t="s">
        <v>65</v>
      </c>
      <c r="Z369" s="386">
        <f>0.00003*Z368^6 - 0.0012*Z368^5 + 0.0181*Z368^4 - 0.1389*Z368^3 + 0.556*Z368^2 - 1.1165*Z368 + 0.9968</f>
        <v>0.99680000000000002</v>
      </c>
      <c r="AA369" s="250" t="e">
        <f>0.0000001*$AA$368^6  - 0.00001*$AA$368^5 + 0.0005*$AA$368^4 -0.0088*$AA$368^3 + 0.0885*$AA$368^2 - 0.4454*$AA$368 + 0.9965</f>
        <v>#VALUE!</v>
      </c>
      <c r="AL369" s="133">
        <v>388</v>
      </c>
      <c r="AM369" s="250">
        <v>306257.72918820567</v>
      </c>
    </row>
    <row r="370" spans="2:39" s="250" customFormat="1" hidden="1">
      <c r="B370" s="376"/>
      <c r="C370" s="322"/>
      <c r="D370" s="322"/>
      <c r="E370" s="322"/>
      <c r="F370" s="322"/>
      <c r="G370" s="322"/>
      <c r="H370" s="322"/>
      <c r="I370" s="322"/>
      <c r="J370" s="322"/>
      <c r="K370" s="322"/>
      <c r="L370" s="322"/>
      <c r="M370" s="322"/>
      <c r="N370" s="322"/>
      <c r="O370" s="322"/>
      <c r="P370" s="322"/>
      <c r="Q370" s="352"/>
      <c r="R370" s="323"/>
      <c r="AL370" s="133">
        <v>389</v>
      </c>
      <c r="AM370" s="250">
        <v>306741.43524224666</v>
      </c>
    </row>
    <row r="371" spans="2:39" s="250" customFormat="1" hidden="1">
      <c r="B371" s="376"/>
      <c r="C371" s="322"/>
      <c r="D371" s="322"/>
      <c r="E371" s="322"/>
      <c r="F371" s="322"/>
      <c r="G371" s="322"/>
      <c r="H371" s="322"/>
      <c r="I371" s="322"/>
      <c r="J371" s="322"/>
      <c r="K371" s="322"/>
      <c r="L371" s="322"/>
      <c r="M371" s="322"/>
      <c r="N371" s="322"/>
      <c r="O371" s="322"/>
      <c r="P371" s="322"/>
      <c r="Q371" s="352"/>
      <c r="R371" s="323"/>
      <c r="AL371" s="133">
        <v>390</v>
      </c>
      <c r="AM371" s="250">
        <v>307224.42055974336</v>
      </c>
    </row>
    <row r="372" spans="2:39" s="250" customFormat="1" hidden="1">
      <c r="B372" s="376"/>
      <c r="C372" s="322"/>
      <c r="D372" s="322"/>
      <c r="E372" s="322"/>
      <c r="F372" s="322"/>
      <c r="G372" s="322"/>
      <c r="H372" s="322"/>
      <c r="I372" s="322"/>
      <c r="J372" s="322"/>
      <c r="K372" s="322"/>
      <c r="L372" s="322"/>
      <c r="M372" s="322"/>
      <c r="N372" s="322"/>
      <c r="O372" s="322"/>
      <c r="P372" s="322"/>
      <c r="Q372" s="352"/>
      <c r="R372" s="323"/>
      <c r="AL372" s="133">
        <v>391</v>
      </c>
      <c r="AM372" s="250">
        <v>307706.62253212911</v>
      </c>
    </row>
    <row r="373" spans="2:39" s="250" customFormat="1" hidden="1">
      <c r="B373" s="376"/>
      <c r="C373" s="322"/>
      <c r="D373" s="383" t="s">
        <v>37</v>
      </c>
      <c r="E373" s="322"/>
      <c r="F373" s="322"/>
      <c r="G373" s="322"/>
      <c r="H373" s="322"/>
      <c r="I373" s="383" t="s">
        <v>40</v>
      </c>
      <c r="J373" s="322"/>
      <c r="K373" s="322"/>
      <c r="L373" s="322"/>
      <c r="M373" s="322"/>
      <c r="N373" s="322"/>
      <c r="O373" s="322"/>
      <c r="P373" s="322"/>
      <c r="Q373" s="352"/>
      <c r="R373" s="323"/>
      <c r="AL373" s="133">
        <v>392</v>
      </c>
      <c r="AM373" s="250">
        <v>308187.96293657523</v>
      </c>
    </row>
    <row r="374" spans="2:39" s="250" customFormat="1" hidden="1">
      <c r="B374" s="376"/>
      <c r="C374" s="322"/>
      <c r="D374" s="384">
        <f>PI()*(H386/2)^2*N367</f>
        <v>60821.233773498396</v>
      </c>
      <c r="E374" s="383" t="s">
        <v>36</v>
      </c>
      <c r="F374" s="322"/>
      <c r="G374" s="322"/>
      <c r="H374" s="322"/>
      <c r="I374" s="387">
        <f>D374-G368-(PI()*(H386/2)^2*N384)</f>
        <v>54739.110396148557</v>
      </c>
      <c r="J374" s="383" t="s">
        <v>36</v>
      </c>
      <c r="K374" s="322"/>
      <c r="L374" s="322"/>
      <c r="M374" s="322"/>
      <c r="N374" s="322"/>
      <c r="O374" s="322"/>
      <c r="P374" s="322"/>
      <c r="Q374" s="352"/>
      <c r="R374" s="323"/>
      <c r="AL374" s="133">
        <v>393</v>
      </c>
      <c r="AM374" s="250">
        <v>308668.38695574843</v>
      </c>
    </row>
    <row r="375" spans="2:39" s="250" customFormat="1" hidden="1">
      <c r="B375" s="376"/>
      <c r="C375" s="322"/>
      <c r="D375" s="384">
        <f>D374*7.48</f>
        <v>454942.82862576802</v>
      </c>
      <c r="E375" s="383" t="s">
        <v>38</v>
      </c>
      <c r="F375" s="322"/>
      <c r="G375" s="322"/>
      <c r="H375" s="322"/>
      <c r="I375" s="387">
        <f>I374*7.48</f>
        <v>409448.54576319124</v>
      </c>
      <c r="J375" s="383" t="s">
        <v>38</v>
      </c>
      <c r="K375" s="322"/>
      <c r="L375" s="322"/>
      <c r="M375" s="322"/>
      <c r="N375" s="322"/>
      <c r="O375" s="322"/>
      <c r="P375" s="322"/>
      <c r="Q375" s="352"/>
      <c r="R375" s="323"/>
      <c r="AL375" s="133">
        <v>394</v>
      </c>
      <c r="AM375" s="250">
        <v>309147.82418464706</v>
      </c>
    </row>
    <row r="376" spans="2:39" s="250" customFormat="1" hidden="1">
      <c r="B376" s="376"/>
      <c r="C376" s="322"/>
      <c r="D376" s="322"/>
      <c r="E376" s="322"/>
      <c r="F376" s="322"/>
      <c r="G376" s="322"/>
      <c r="H376" s="322"/>
      <c r="I376" s="322"/>
      <c r="J376" s="322"/>
      <c r="K376" s="322"/>
      <c r="L376" s="322"/>
      <c r="M376" s="322"/>
      <c r="N376" s="322"/>
      <c r="O376" s="322"/>
      <c r="P376" s="322"/>
      <c r="Q376" s="352"/>
      <c r="R376" s="323"/>
      <c r="AL376" s="133">
        <v>395</v>
      </c>
      <c r="AM376" s="250">
        <v>309626.20809740253</v>
      </c>
    </row>
    <row r="377" spans="2:39" s="250" customFormat="1" hidden="1">
      <c r="B377" s="376"/>
      <c r="C377" s="322"/>
      <c r="D377" s="322"/>
      <c r="E377" s="322"/>
      <c r="F377" s="322"/>
      <c r="G377" s="322"/>
      <c r="H377" s="322"/>
      <c r="I377" s="322"/>
      <c r="J377" s="322"/>
      <c r="K377" s="322"/>
      <c r="L377" s="322"/>
      <c r="M377" s="322"/>
      <c r="N377" s="322"/>
      <c r="O377" s="322"/>
      <c r="P377" s="322"/>
      <c r="Q377" s="352"/>
      <c r="R377" s="323"/>
      <c r="AL377" s="133">
        <v>396</v>
      </c>
      <c r="AM377" s="250">
        <v>310103.47219037573</v>
      </c>
    </row>
    <row r="378" spans="2:39" s="250" customFormat="1" hidden="1">
      <c r="B378" s="376"/>
      <c r="C378" s="322"/>
      <c r="D378" s="322"/>
      <c r="E378" s="322"/>
      <c r="F378" s="322"/>
      <c r="G378" s="322"/>
      <c r="H378" s="322"/>
      <c r="I378" s="322"/>
      <c r="J378" s="322"/>
      <c r="K378" s="322"/>
      <c r="L378" s="322"/>
      <c r="M378" s="322"/>
      <c r="N378" s="322"/>
      <c r="O378" s="322"/>
      <c r="P378" s="322"/>
      <c r="Q378" s="352"/>
      <c r="R378" s="323"/>
      <c r="AL378" s="133">
        <v>397</v>
      </c>
      <c r="AM378" s="250">
        <v>310579.5499402674</v>
      </c>
    </row>
    <row r="379" spans="2:39" s="250" customFormat="1" hidden="1">
      <c r="B379" s="376"/>
      <c r="C379" s="322"/>
      <c r="D379" s="322"/>
      <c r="E379" s="322"/>
      <c r="F379" s="322"/>
      <c r="G379" s="322"/>
      <c r="H379" s="322"/>
      <c r="I379" s="322"/>
      <c r="J379" s="322"/>
      <c r="K379" s="322"/>
      <c r="L379" s="322"/>
      <c r="M379" s="322"/>
      <c r="N379" s="322"/>
      <c r="O379" s="322"/>
      <c r="P379" s="322"/>
      <c r="Q379" s="352"/>
      <c r="R379" s="323"/>
      <c r="AL379" s="133">
        <v>398</v>
      </c>
      <c r="AM379" s="250">
        <v>311054.37483506039</v>
      </c>
    </row>
    <row r="380" spans="2:39" s="250" customFormat="1" hidden="1">
      <c r="B380" s="376"/>
      <c r="C380" s="322"/>
      <c r="D380" s="322"/>
      <c r="E380" s="322"/>
      <c r="F380" s="322"/>
      <c r="G380" s="322"/>
      <c r="H380" s="322"/>
      <c r="I380" s="322"/>
      <c r="J380" s="322"/>
      <c r="K380" s="322"/>
      <c r="L380" s="322"/>
      <c r="M380" s="322"/>
      <c r="N380" s="322"/>
      <c r="O380" s="322"/>
      <c r="P380" s="322"/>
      <c r="Q380" s="352"/>
      <c r="R380" s="323"/>
      <c r="AL380" s="133">
        <v>399</v>
      </c>
      <c r="AM380" s="250">
        <v>311527.88035991712</v>
      </c>
    </row>
    <row r="381" spans="2:39" s="250" customFormat="1" hidden="1">
      <c r="B381" s="376"/>
      <c r="C381" s="322"/>
      <c r="D381" s="322"/>
      <c r="E381" s="322"/>
      <c r="F381" s="322"/>
      <c r="G381" s="322"/>
      <c r="H381" s="322"/>
      <c r="I381" s="322"/>
      <c r="J381" s="322"/>
      <c r="K381" s="322"/>
      <c r="L381" s="322"/>
      <c r="M381" s="322"/>
      <c r="N381" s="322"/>
      <c r="O381" s="322"/>
      <c r="P381" s="322"/>
      <c r="Q381" s="352"/>
      <c r="R381" s="323"/>
      <c r="AL381" s="133">
        <v>400</v>
      </c>
      <c r="AM381" s="250">
        <v>312000</v>
      </c>
    </row>
    <row r="382" spans="2:39" s="250" customFormat="1" hidden="1">
      <c r="B382" s="376"/>
      <c r="C382" s="322"/>
      <c r="D382" s="322"/>
      <c r="E382" s="322"/>
      <c r="F382" s="322"/>
      <c r="G382" s="322"/>
      <c r="H382" s="322"/>
      <c r="I382" s="322"/>
      <c r="J382" s="322"/>
      <c r="K382" s="322"/>
      <c r="L382" s="322"/>
      <c r="M382" s="322"/>
      <c r="N382" s="322"/>
      <c r="O382" s="322"/>
      <c r="P382" s="322"/>
      <c r="Q382" s="352"/>
      <c r="R382" s="323"/>
      <c r="AL382" s="133">
        <v>401</v>
      </c>
      <c r="AM382" s="250">
        <v>312470.6804047703</v>
      </c>
    </row>
    <row r="383" spans="2:39" s="250" customFormat="1" hidden="1">
      <c r="B383" s="376"/>
      <c r="C383" s="322"/>
      <c r="D383" s="322"/>
      <c r="E383" s="322"/>
      <c r="F383" s="322"/>
      <c r="G383" s="322"/>
      <c r="H383" s="322"/>
      <c r="I383" s="322"/>
      <c r="J383" s="322"/>
      <c r="K383" s="322"/>
      <c r="L383" s="322"/>
      <c r="M383" s="322"/>
      <c r="N383" s="322"/>
      <c r="O383" s="322"/>
      <c r="P383" s="322"/>
      <c r="Q383" s="352"/>
      <c r="R383" s="323"/>
      <c r="AL383" s="133">
        <v>402</v>
      </c>
      <c r="AM383" s="250">
        <v>312939.92114192952</v>
      </c>
    </row>
    <row r="384" spans="2:39" s="250" customFormat="1" hidden="1">
      <c r="B384" s="376"/>
      <c r="C384" s="322"/>
      <c r="D384" s="322"/>
      <c r="E384" s="322"/>
      <c r="F384" s="322"/>
      <c r="G384" s="322"/>
      <c r="H384" s="322"/>
      <c r="I384" s="322"/>
      <c r="J384" s="322"/>
      <c r="K384" s="322"/>
      <c r="L384" s="322"/>
      <c r="M384" s="322"/>
      <c r="N384" s="382">
        <v>2</v>
      </c>
      <c r="O384" s="383" t="s">
        <v>35</v>
      </c>
      <c r="P384" s="322"/>
      <c r="Q384" s="352"/>
      <c r="R384" s="323"/>
      <c r="AL384" s="133">
        <v>403</v>
      </c>
      <c r="AM384" s="250">
        <v>313407.73494070763</v>
      </c>
    </row>
    <row r="385" spans="2:39" s="250" customFormat="1" hidden="1">
      <c r="B385" s="376"/>
      <c r="C385" s="322"/>
      <c r="D385" s="322"/>
      <c r="E385" s="322"/>
      <c r="F385" s="322"/>
      <c r="G385" s="322"/>
      <c r="H385" s="322"/>
      <c r="I385" s="322"/>
      <c r="J385" s="322"/>
      <c r="K385" s="322"/>
      <c r="L385" s="322"/>
      <c r="M385" s="322"/>
      <c r="N385" s="322"/>
      <c r="O385" s="322"/>
      <c r="P385" s="322"/>
      <c r="Q385" s="352"/>
      <c r="R385" s="323"/>
      <c r="AL385" s="133">
        <v>404</v>
      </c>
      <c r="AM385" s="250">
        <v>313874.13478496531</v>
      </c>
    </row>
    <row r="386" spans="2:39" s="250" customFormat="1" hidden="1">
      <c r="B386" s="376"/>
      <c r="C386" s="322"/>
      <c r="D386" s="322"/>
      <c r="E386" s="322"/>
      <c r="F386" s="322"/>
      <c r="G386" s="322"/>
      <c r="H386" s="382">
        <v>44</v>
      </c>
      <c r="I386" s="383" t="s">
        <v>39</v>
      </c>
      <c r="J386" s="322"/>
      <c r="K386" s="322"/>
      <c r="L386" s="322"/>
      <c r="M386" s="322"/>
      <c r="N386" s="322"/>
      <c r="O386" s="322"/>
      <c r="P386" s="322"/>
      <c r="Q386" s="322"/>
      <c r="R386" s="323"/>
      <c r="AL386" s="133">
        <v>405</v>
      </c>
      <c r="AM386" s="250">
        <v>314339.13288640423</v>
      </c>
    </row>
    <row r="387" spans="2:39" s="250" customFormat="1" hidden="1">
      <c r="B387" s="376"/>
      <c r="C387" s="322"/>
      <c r="D387" s="322"/>
      <c r="E387" s="322"/>
      <c r="F387" s="322"/>
      <c r="G387" s="322"/>
      <c r="H387" s="322"/>
      <c r="I387" s="322"/>
      <c r="J387" s="322"/>
      <c r="K387" s="322"/>
      <c r="L387" s="322"/>
      <c r="M387" s="322"/>
      <c r="N387" s="322"/>
      <c r="O387" s="322"/>
      <c r="P387" s="322"/>
      <c r="Q387" s="322"/>
      <c r="R387" s="323"/>
      <c r="AL387" s="133">
        <v>406</v>
      </c>
      <c r="AM387" s="250">
        <v>314802.74223723897</v>
      </c>
    </row>
    <row r="388" spans="2:39" s="250" customFormat="1" ht="13.5" hidden="1" thickBot="1">
      <c r="B388" s="388"/>
      <c r="C388" s="389"/>
      <c r="D388" s="389"/>
      <c r="E388" s="389"/>
      <c r="F388" s="389"/>
      <c r="G388" s="389"/>
      <c r="H388" s="389"/>
      <c r="I388" s="389"/>
      <c r="J388" s="389"/>
      <c r="K388" s="389"/>
      <c r="L388" s="389"/>
      <c r="M388" s="389"/>
      <c r="N388" s="389"/>
      <c r="O388" s="389"/>
      <c r="P388" s="389"/>
      <c r="Q388" s="389"/>
      <c r="R388" s="390"/>
      <c r="AL388" s="133">
        <v>407</v>
      </c>
      <c r="AM388" s="250">
        <v>315264.97556669958</v>
      </c>
    </row>
    <row r="389" spans="2:39" s="250" customFormat="1">
      <c r="AL389" s="133">
        <v>408</v>
      </c>
      <c r="AM389" s="250">
        <v>315725.84560401627</v>
      </c>
    </row>
    <row r="390" spans="2:39" s="250" customFormat="1">
      <c r="AL390" s="133">
        <v>409</v>
      </c>
      <c r="AM390" s="250">
        <v>316185.36507841898</v>
      </c>
    </row>
    <row r="391" spans="2:39" s="250" customFormat="1">
      <c r="AL391" s="133">
        <v>410</v>
      </c>
      <c r="AM391" s="250">
        <v>316643.54692546255</v>
      </c>
    </row>
    <row r="392" spans="2:39" s="250" customFormat="1" ht="15.75">
      <c r="B392" s="286"/>
      <c r="C392" s="286"/>
      <c r="D392" s="286"/>
      <c r="E392" s="286"/>
      <c r="F392" s="286"/>
      <c r="G392" s="286"/>
      <c r="H392" s="286"/>
      <c r="AL392" s="133">
        <v>411</v>
      </c>
      <c r="AM392" s="250">
        <v>317100.40345397982</v>
      </c>
    </row>
    <row r="393" spans="2:39" s="250" customFormat="1">
      <c r="B393" s="287"/>
      <c r="C393" s="287"/>
      <c r="D393" s="287"/>
      <c r="E393" s="287"/>
      <c r="F393" s="287"/>
      <c r="G393" s="287"/>
      <c r="H393" s="287"/>
      <c r="I393" s="287"/>
      <c r="AL393" s="133">
        <v>412</v>
      </c>
      <c r="AM393" s="250">
        <v>317555.94760736002</v>
      </c>
    </row>
    <row r="394" spans="2:39" s="250" customFormat="1">
      <c r="B394" s="254"/>
      <c r="C394" s="296"/>
      <c r="D394" s="296"/>
      <c r="E394" s="296"/>
      <c r="F394" s="296"/>
      <c r="G394" s="296"/>
      <c r="H394" s="296"/>
      <c r="I394" s="296"/>
      <c r="M394" s="290"/>
      <c r="N394" s="290"/>
      <c r="O394" s="290"/>
      <c r="P394" s="290"/>
      <c r="Q394" s="290"/>
      <c r="R394" s="290"/>
      <c r="AL394" s="133">
        <v>413</v>
      </c>
      <c r="AM394" s="250">
        <v>318010.19211483328</v>
      </c>
    </row>
    <row r="395" spans="2:39" s="250" customFormat="1">
      <c r="B395" s="254"/>
      <c r="C395" s="296"/>
      <c r="D395" s="296"/>
      <c r="E395" s="296"/>
      <c r="F395" s="296"/>
      <c r="G395" s="296"/>
      <c r="H395" s="296"/>
      <c r="I395" s="296"/>
      <c r="M395" s="290"/>
      <c r="N395" s="290"/>
      <c r="O395" s="290"/>
      <c r="P395" s="290"/>
      <c r="Q395" s="290"/>
      <c r="R395" s="290"/>
      <c r="AL395" s="133">
        <v>414</v>
      </c>
      <c r="AM395" s="250">
        <v>318463.14970562974</v>
      </c>
    </row>
    <row r="396" spans="2:39" s="250" customFormat="1">
      <c r="B396" s="254"/>
      <c r="C396" s="289"/>
      <c r="D396" s="289"/>
      <c r="E396" s="289"/>
      <c r="F396" s="289"/>
      <c r="G396" s="289"/>
      <c r="H396" s="289"/>
      <c r="I396" s="289"/>
      <c r="M396" s="290"/>
      <c r="N396" s="290"/>
      <c r="O396" s="290"/>
      <c r="P396" s="290"/>
      <c r="Q396" s="290"/>
      <c r="R396" s="290"/>
      <c r="AL396" s="133">
        <v>415</v>
      </c>
      <c r="AM396" s="250">
        <v>318914.83310897939</v>
      </c>
    </row>
    <row r="397" spans="2:39" s="250" customFormat="1">
      <c r="B397" s="254"/>
      <c r="C397" s="289"/>
      <c r="D397" s="289"/>
      <c r="E397" s="289"/>
      <c r="F397" s="289"/>
      <c r="G397" s="289"/>
      <c r="H397" s="289"/>
      <c r="I397" s="289"/>
      <c r="M397" s="290"/>
      <c r="N397" s="290"/>
      <c r="O397" s="290"/>
      <c r="P397" s="290"/>
      <c r="Q397" s="290"/>
      <c r="R397" s="290"/>
      <c r="AL397" s="133">
        <v>416</v>
      </c>
      <c r="AM397" s="250">
        <v>319365.23959024763</v>
      </c>
    </row>
    <row r="398" spans="2:39" s="250" customFormat="1">
      <c r="B398" s="254"/>
      <c r="C398" s="289"/>
      <c r="D398" s="289"/>
      <c r="E398" s="289"/>
      <c r="F398" s="289"/>
      <c r="G398" s="289"/>
      <c r="H398" s="289"/>
      <c r="I398" s="289"/>
      <c r="M398" s="290"/>
      <c r="N398" s="290"/>
      <c r="O398" s="290"/>
      <c r="P398" s="290"/>
      <c r="Q398" s="290"/>
      <c r="R398" s="290"/>
      <c r="AL398" s="133">
        <v>417</v>
      </c>
      <c r="AM398" s="250">
        <v>319814.42842416553</v>
      </c>
    </row>
    <row r="399" spans="2:39" s="250" customFormat="1">
      <c r="B399" s="254"/>
      <c r="C399" s="289"/>
      <c r="D399" s="289"/>
      <c r="E399" s="289"/>
      <c r="F399" s="289"/>
      <c r="G399" s="289"/>
      <c r="H399" s="289"/>
      <c r="I399" s="289"/>
      <c r="M399" s="290"/>
      <c r="N399" s="290"/>
      <c r="O399" s="290"/>
      <c r="P399" s="290"/>
      <c r="Q399" s="290"/>
      <c r="R399" s="290"/>
      <c r="AL399" s="133">
        <v>418</v>
      </c>
      <c r="AM399" s="250">
        <v>320262.36563341354</v>
      </c>
    </row>
    <row r="400" spans="2:39" s="250" customFormat="1">
      <c r="B400" s="254"/>
      <c r="C400" s="289"/>
      <c r="D400" s="289"/>
      <c r="E400" s="289"/>
      <c r="F400" s="289"/>
      <c r="G400" s="289"/>
      <c r="H400" s="289"/>
      <c r="I400" s="289"/>
      <c r="M400" s="290"/>
      <c r="N400" s="290"/>
      <c r="O400" s="290"/>
      <c r="P400" s="290"/>
      <c r="Q400" s="290"/>
      <c r="R400" s="290"/>
      <c r="AL400" s="133">
        <v>419</v>
      </c>
      <c r="AM400" s="250">
        <v>320709.07957222179</v>
      </c>
    </row>
    <row r="401" spans="2:39" s="250" customFormat="1">
      <c r="B401" s="254"/>
      <c r="C401" s="289"/>
      <c r="D401" s="289"/>
      <c r="E401" s="289"/>
      <c r="F401" s="289"/>
      <c r="G401" s="289"/>
      <c r="H401" s="289"/>
      <c r="I401" s="289"/>
      <c r="M401" s="290"/>
      <c r="N401" s="290"/>
      <c r="O401" s="290"/>
      <c r="P401" s="290"/>
      <c r="Q401" s="290"/>
      <c r="R401" s="290"/>
      <c r="AL401" s="133">
        <v>420</v>
      </c>
      <c r="AM401" s="250">
        <v>321154.58296982036</v>
      </c>
    </row>
    <row r="402" spans="2:39" s="250" customFormat="1">
      <c r="B402" s="254"/>
      <c r="C402" s="289"/>
      <c r="D402" s="289"/>
      <c r="E402" s="289"/>
      <c r="F402" s="289"/>
      <c r="G402" s="289"/>
      <c r="H402" s="289"/>
      <c r="I402" s="289"/>
      <c r="M402" s="290"/>
      <c r="N402" s="290"/>
      <c r="O402" s="290"/>
      <c r="P402" s="290"/>
      <c r="Q402" s="290"/>
      <c r="R402" s="290"/>
      <c r="AL402" s="133">
        <v>421</v>
      </c>
      <c r="AM402" s="250">
        <v>321598.88855543931</v>
      </c>
    </row>
    <row r="403" spans="2:39" s="250" customFormat="1">
      <c r="B403" s="254"/>
      <c r="C403" s="289"/>
      <c r="D403" s="289"/>
      <c r="E403" s="289"/>
      <c r="F403" s="289"/>
      <c r="G403" s="289"/>
      <c r="H403" s="289"/>
      <c r="I403" s="289"/>
      <c r="M403" s="290"/>
      <c r="N403" s="290"/>
      <c r="O403" s="290"/>
      <c r="P403" s="290"/>
      <c r="Q403" s="290"/>
      <c r="R403" s="290"/>
      <c r="AL403" s="133">
        <v>422</v>
      </c>
      <c r="AM403" s="250">
        <v>322041.99355237104</v>
      </c>
    </row>
    <row r="404" spans="2:39" s="250" customFormat="1">
      <c r="B404" s="254"/>
      <c r="C404" s="289"/>
      <c r="D404" s="289"/>
      <c r="E404" s="289"/>
      <c r="F404" s="289"/>
      <c r="G404" s="289"/>
      <c r="H404" s="289"/>
      <c r="I404" s="289"/>
      <c r="M404" s="290"/>
      <c r="N404" s="290"/>
      <c r="O404" s="290"/>
      <c r="P404" s="290"/>
      <c r="Q404" s="290"/>
      <c r="R404" s="290"/>
      <c r="AL404" s="133">
        <v>423</v>
      </c>
      <c r="AM404" s="250">
        <v>322483.95732001192</v>
      </c>
    </row>
    <row r="405" spans="2:39" s="250" customFormat="1">
      <c r="B405" s="289"/>
      <c r="C405" s="289"/>
      <c r="D405" s="289"/>
      <c r="E405" s="289"/>
      <c r="F405" s="289"/>
      <c r="G405" s="289"/>
      <c r="H405" s="289"/>
      <c r="I405" s="289"/>
      <c r="J405" s="254"/>
      <c r="K405" s="254"/>
      <c r="AL405" s="133">
        <v>424</v>
      </c>
      <c r="AM405" s="250">
        <v>322924.74583845009</v>
      </c>
    </row>
    <row r="406" spans="2:39" s="250" customFormat="1">
      <c r="B406" s="291"/>
      <c r="C406" s="291"/>
      <c r="D406" s="291"/>
      <c r="E406" s="291"/>
      <c r="F406" s="291"/>
      <c r="G406" s="291"/>
      <c r="H406" s="291"/>
      <c r="I406" s="291"/>
      <c r="J406" s="254"/>
      <c r="K406" s="254"/>
      <c r="L406" s="292"/>
      <c r="AL406" s="133">
        <v>425</v>
      </c>
      <c r="AM406" s="250">
        <v>323364.38746191561</v>
      </c>
    </row>
    <row r="407" spans="2:39" s="250" customFormat="1">
      <c r="B407" s="291"/>
      <c r="C407" s="291"/>
      <c r="D407" s="291"/>
      <c r="E407" s="291"/>
      <c r="F407" s="291"/>
      <c r="G407" s="291"/>
      <c r="H407" s="291"/>
      <c r="I407" s="291"/>
      <c r="J407" s="254"/>
      <c r="K407" s="254"/>
      <c r="L407" s="292"/>
      <c r="M407" s="293"/>
      <c r="AL407" s="133">
        <v>426</v>
      </c>
      <c r="AM407" s="250">
        <v>323802.89491963858</v>
      </c>
    </row>
    <row r="408" spans="2:39" s="250" customFormat="1">
      <c r="B408" s="294"/>
      <c r="C408" s="294"/>
      <c r="D408" s="294"/>
      <c r="E408" s="294"/>
      <c r="F408" s="294"/>
      <c r="G408" s="294"/>
      <c r="H408" s="294"/>
      <c r="I408" s="295"/>
      <c r="J408" s="254"/>
      <c r="K408" s="254"/>
      <c r="L408" s="292"/>
      <c r="AL408" s="133">
        <v>427</v>
      </c>
      <c r="AM408" s="250">
        <v>324240.28094084916</v>
      </c>
    </row>
    <row r="409" spans="2:39" s="250" customFormat="1">
      <c r="B409" s="292"/>
      <c r="C409" s="292"/>
      <c r="D409" s="292"/>
      <c r="E409" s="292"/>
      <c r="F409" s="292"/>
      <c r="G409" s="292"/>
      <c r="H409" s="292"/>
      <c r="I409" s="296"/>
      <c r="J409" s="254"/>
      <c r="K409" s="254"/>
      <c r="AL409" s="133">
        <v>428</v>
      </c>
      <c r="AM409" s="250">
        <v>324676.57387977734</v>
      </c>
    </row>
    <row r="410" spans="2:39" s="250" customFormat="1">
      <c r="B410" s="292"/>
      <c r="C410" s="292"/>
      <c r="D410" s="292"/>
      <c r="E410" s="292"/>
      <c r="F410" s="292"/>
      <c r="G410" s="292"/>
      <c r="H410" s="292"/>
      <c r="I410" s="296"/>
      <c r="J410" s="254"/>
      <c r="K410" s="254"/>
      <c r="L410" s="293"/>
      <c r="M410" s="292"/>
      <c r="N410" s="292"/>
      <c r="O410" s="292"/>
      <c r="AL410" s="133">
        <v>429</v>
      </c>
      <c r="AM410" s="250">
        <v>325111.73966456944</v>
      </c>
    </row>
    <row r="411" spans="2:39" s="250" customFormat="1">
      <c r="I411" s="254"/>
      <c r="J411" s="254"/>
      <c r="K411" s="254"/>
      <c r="AL411" s="133">
        <v>430</v>
      </c>
      <c r="AM411" s="250">
        <v>325545.83774552005</v>
      </c>
    </row>
    <row r="412" spans="2:39" s="250" customFormat="1">
      <c r="AL412" s="133">
        <v>431</v>
      </c>
      <c r="AM412" s="250">
        <v>325978.86530696519</v>
      </c>
    </row>
    <row r="413" spans="2:39" s="250" customFormat="1">
      <c r="AL413" s="133">
        <v>432</v>
      </c>
      <c r="AM413" s="250">
        <v>326410.8350781349</v>
      </c>
    </row>
    <row r="414" spans="2:39" s="250" customFormat="1">
      <c r="AL414" s="133">
        <v>433</v>
      </c>
      <c r="AM414" s="250">
        <v>326841.75978825934</v>
      </c>
    </row>
    <row r="415" spans="2:39" s="250" customFormat="1">
      <c r="AL415" s="133">
        <v>434</v>
      </c>
      <c r="AM415" s="250">
        <v>327271.66779156862</v>
      </c>
    </row>
    <row r="416" spans="2:39" s="250" customFormat="1">
      <c r="AL416" s="133">
        <v>435</v>
      </c>
      <c r="AM416" s="250">
        <v>327700.52498088841</v>
      </c>
    </row>
    <row r="417" spans="38:39" s="250" customFormat="1">
      <c r="AL417" s="133">
        <v>436</v>
      </c>
      <c r="AM417" s="250">
        <v>328128.39087767387</v>
      </c>
    </row>
    <row r="418" spans="38:39" s="250" customFormat="1">
      <c r="AL418" s="133">
        <v>437</v>
      </c>
      <c r="AM418" s="250">
        <v>328555.26263042091</v>
      </c>
    </row>
    <row r="419" spans="38:39" s="250" customFormat="1">
      <c r="AL419" s="133">
        <v>438</v>
      </c>
      <c r="AM419" s="250">
        <v>328981.1529683597</v>
      </c>
    </row>
    <row r="420" spans="38:39" s="250" customFormat="1">
      <c r="AL420" s="133">
        <v>439</v>
      </c>
      <c r="AM420" s="250">
        <v>329406.07462072041</v>
      </c>
    </row>
    <row r="421" spans="38:39" s="250" customFormat="1">
      <c r="AL421" s="133">
        <v>440</v>
      </c>
      <c r="AM421" s="250">
        <v>329830.04031673307</v>
      </c>
    </row>
    <row r="422" spans="38:39" s="250" customFormat="1">
      <c r="AL422" s="133">
        <v>441</v>
      </c>
      <c r="AM422" s="250">
        <v>330253.04716701945</v>
      </c>
    </row>
    <row r="423" spans="38:39" s="250" customFormat="1">
      <c r="AL423" s="133">
        <v>442</v>
      </c>
      <c r="AM423" s="250">
        <v>330675.15475796198</v>
      </c>
    </row>
    <row r="424" spans="38:39" s="250" customFormat="1">
      <c r="AL424" s="133">
        <v>443</v>
      </c>
      <c r="AM424" s="250">
        <v>331096.32895533327</v>
      </c>
    </row>
    <row r="425" spans="38:39" s="250" customFormat="1">
      <c r="AL425" s="133">
        <v>444</v>
      </c>
      <c r="AM425" s="250">
        <v>331516.59811336349</v>
      </c>
    </row>
    <row r="426" spans="38:39" s="250" customFormat="1">
      <c r="AL426" s="133">
        <v>445</v>
      </c>
      <c r="AM426" s="250">
        <v>331935.97496128274</v>
      </c>
    </row>
    <row r="427" spans="38:39" s="250" customFormat="1">
      <c r="AL427" s="133">
        <v>446</v>
      </c>
      <c r="AM427" s="250">
        <v>332354.47222832107</v>
      </c>
    </row>
    <row r="428" spans="38:39" s="250" customFormat="1">
      <c r="AL428" s="133">
        <v>447</v>
      </c>
      <c r="AM428" s="250">
        <v>332772.08699601295</v>
      </c>
    </row>
    <row r="429" spans="38:39" s="250" customFormat="1">
      <c r="AL429" s="133">
        <v>448</v>
      </c>
      <c r="AM429" s="250">
        <v>333188.87890943483</v>
      </c>
    </row>
    <row r="430" spans="38:39" s="250" customFormat="1">
      <c r="AL430" s="133">
        <v>449</v>
      </c>
      <c r="AM430" s="250">
        <v>333604.81380475278</v>
      </c>
    </row>
    <row r="431" spans="38:39" s="250" customFormat="1">
      <c r="AL431" s="133">
        <v>450</v>
      </c>
      <c r="AM431" s="250">
        <v>334019.92003619671</v>
      </c>
    </row>
    <row r="432" spans="38:39" s="250" customFormat="1">
      <c r="AL432" s="133">
        <v>451</v>
      </c>
      <c r="AM432" s="250">
        <v>334434.21033299685</v>
      </c>
    </row>
    <row r="433" spans="38:39" s="250" customFormat="1">
      <c r="AL433" s="133">
        <v>452</v>
      </c>
      <c r="AM433" s="250">
        <v>334847.6974021059</v>
      </c>
    </row>
    <row r="434" spans="38:39" s="250" customFormat="1">
      <c r="AL434" s="133">
        <v>453</v>
      </c>
      <c r="AM434" s="250">
        <v>335260.39401525259</v>
      </c>
    </row>
    <row r="435" spans="38:39" s="250" customFormat="1">
      <c r="AL435" s="133">
        <v>454</v>
      </c>
      <c r="AM435" s="250">
        <v>335672.31288148905</v>
      </c>
    </row>
    <row r="436" spans="38:39" s="250" customFormat="1">
      <c r="AL436" s="133">
        <v>455</v>
      </c>
      <c r="AM436" s="250">
        <v>336083.46670172975</v>
      </c>
    </row>
    <row r="437" spans="38:39" s="250" customFormat="1">
      <c r="AL437" s="133">
        <v>456</v>
      </c>
      <c r="AM437" s="250">
        <v>336493.86825990974</v>
      </c>
    </row>
    <row r="438" spans="38:39" s="250" customFormat="1">
      <c r="AL438" s="133">
        <v>457</v>
      </c>
      <c r="AM438" s="250">
        <v>336903.53025891306</v>
      </c>
    </row>
    <row r="439" spans="38:39" s="250" customFormat="1">
      <c r="AL439" s="133">
        <v>458</v>
      </c>
      <c r="AM439" s="250">
        <v>337312.45758150559</v>
      </c>
    </row>
    <row r="440" spans="38:39" s="250" customFormat="1">
      <c r="AL440" s="133">
        <v>459</v>
      </c>
      <c r="AM440" s="250">
        <v>337720.68646054948</v>
      </c>
    </row>
    <row r="441" spans="38:39" s="250" customFormat="1">
      <c r="AL441" s="133">
        <v>460</v>
      </c>
      <c r="AM441" s="250">
        <v>338128.20615565032</v>
      </c>
    </row>
    <row r="442" spans="38:39" s="250" customFormat="1">
      <c r="AL442" s="133">
        <v>461</v>
      </c>
      <c r="AM442" s="250">
        <v>338535.02935681475</v>
      </c>
    </row>
    <row r="443" spans="38:39" s="250" customFormat="1">
      <c r="AL443" s="133">
        <v>462</v>
      </c>
      <c r="AM443" s="250">
        <v>338941.19230755314</v>
      </c>
    </row>
    <row r="444" spans="38:39" s="250" customFormat="1">
      <c r="AL444" s="133">
        <v>463</v>
      </c>
      <c r="AM444" s="250">
        <v>339346.68426208198</v>
      </c>
    </row>
    <row r="445" spans="38:39" s="250" customFormat="1">
      <c r="AL445" s="133">
        <v>464</v>
      </c>
      <c r="AM445" s="250">
        <v>339751.53357463138</v>
      </c>
    </row>
    <row r="446" spans="38:39" s="250" customFormat="1">
      <c r="AL446" s="133">
        <v>465</v>
      </c>
      <c r="AM446" s="250">
        <v>340155.72949130193</v>
      </c>
    </row>
    <row r="447" spans="38:39" s="250" customFormat="1">
      <c r="AL447" s="133">
        <v>466</v>
      </c>
      <c r="AM447" s="250">
        <v>340559.30826858943</v>
      </c>
    </row>
    <row r="448" spans="38:39" s="250" customFormat="1">
      <c r="AL448" s="133">
        <v>467</v>
      </c>
      <c r="AM448" s="250">
        <v>340962.28259163105</v>
      </c>
    </row>
    <row r="449" spans="38:39" s="250" customFormat="1">
      <c r="AL449" s="133">
        <v>468</v>
      </c>
      <c r="AM449" s="250">
        <v>341364.64170217724</v>
      </c>
    </row>
    <row r="450" spans="38:39" s="250" customFormat="1">
      <c r="AL450" s="133">
        <v>469</v>
      </c>
      <c r="AM450" s="250">
        <v>341766.42186555394</v>
      </c>
    </row>
    <row r="451" spans="38:39" s="250" customFormat="1">
      <c r="AL451" s="133">
        <v>470</v>
      </c>
      <c r="AM451" s="250">
        <v>342167.62794991833</v>
      </c>
    </row>
    <row r="452" spans="38:39" s="250" customFormat="1">
      <c r="AL452" s="133">
        <v>471</v>
      </c>
      <c r="AM452" s="250">
        <v>342568.27263056039</v>
      </c>
    </row>
    <row r="453" spans="38:39" s="250" customFormat="1">
      <c r="AL453" s="133">
        <v>472</v>
      </c>
      <c r="AM453" s="250">
        <v>342968.36874335684</v>
      </c>
    </row>
    <row r="454" spans="38:39" s="250" customFormat="1">
      <c r="AL454" s="133">
        <v>473</v>
      </c>
      <c r="AM454" s="250">
        <v>343367.92896487465</v>
      </c>
    </row>
    <row r="455" spans="38:39" s="250" customFormat="1">
      <c r="AL455" s="133">
        <v>474</v>
      </c>
      <c r="AM455" s="250">
        <v>343766.96596683259</v>
      </c>
    </row>
    <row r="456" spans="38:39" s="250" customFormat="1">
      <c r="AL456" s="133">
        <v>475</v>
      </c>
      <c r="AM456" s="250">
        <v>344165.49259237945</v>
      </c>
    </row>
    <row r="457" spans="38:39" s="250" customFormat="1">
      <c r="AL457" s="133">
        <v>476</v>
      </c>
      <c r="AM457" s="250">
        <v>344563.52148454345</v>
      </c>
    </row>
    <row r="458" spans="38:39" s="250" customFormat="1">
      <c r="AL458" s="133">
        <v>477</v>
      </c>
      <c r="AM458" s="250">
        <v>344961.06543172151</v>
      </c>
    </row>
    <row r="459" spans="38:39" s="250" customFormat="1">
      <c r="AL459" s="133">
        <v>478</v>
      </c>
      <c r="AM459" s="250">
        <v>345358.13710300304</v>
      </c>
    </row>
    <row r="460" spans="38:39" s="250" customFormat="1">
      <c r="AL460" s="133">
        <v>479</v>
      </c>
      <c r="AM460" s="250">
        <v>345754.74535127071</v>
      </c>
    </row>
    <row r="461" spans="38:39" s="250" customFormat="1">
      <c r="AL461" s="133">
        <v>480</v>
      </c>
      <c r="AM461" s="250">
        <v>346150.91465631186</v>
      </c>
    </row>
    <row r="462" spans="38:39" s="250" customFormat="1">
      <c r="AL462" s="133">
        <v>481</v>
      </c>
      <c r="AM462" s="250">
        <v>346546.64596560894</v>
      </c>
    </row>
    <row r="463" spans="38:39" s="250" customFormat="1">
      <c r="AL463" s="133">
        <v>482</v>
      </c>
      <c r="AM463" s="250">
        <v>346941.95988482027</v>
      </c>
    </row>
    <row r="464" spans="38:39" s="250" customFormat="1">
      <c r="AL464" s="133">
        <v>483</v>
      </c>
      <c r="AM464" s="250">
        <v>347336.85735974036</v>
      </c>
    </row>
    <row r="465" spans="38:39" s="250" customFormat="1">
      <c r="AL465" s="133">
        <v>484</v>
      </c>
      <c r="AM465" s="250">
        <v>347731.36287057842</v>
      </c>
    </row>
    <row r="466" spans="38:39" s="250" customFormat="1">
      <c r="AL466" s="133">
        <v>485</v>
      </c>
      <c r="AM466" s="250">
        <v>348125.48527401552</v>
      </c>
    </row>
    <row r="467" spans="38:39" s="250" customFormat="1">
      <c r="AL467" s="133">
        <v>486</v>
      </c>
      <c r="AM467" s="250">
        <v>348519.23723238846</v>
      </c>
    </row>
    <row r="468" spans="38:39" s="250" customFormat="1">
      <c r="AL468" s="133">
        <v>487</v>
      </c>
      <c r="AM468" s="250">
        <v>348912.63150829286</v>
      </c>
    </row>
    <row r="469" spans="38:39" s="250" customFormat="1">
      <c r="AL469" s="133">
        <v>488</v>
      </c>
      <c r="AM469" s="250">
        <v>349305.68084827997</v>
      </c>
    </row>
    <row r="470" spans="38:39" s="250" customFormat="1">
      <c r="AL470" s="133">
        <v>489</v>
      </c>
      <c r="AM470" s="250">
        <v>349698.39796463738</v>
      </c>
    </row>
    <row r="471" spans="38:39" s="250" customFormat="1">
      <c r="AL471" s="133">
        <v>490</v>
      </c>
      <c r="AM471" s="250">
        <v>350090.79558662779</v>
      </c>
    </row>
    <row r="472" spans="38:39" s="250" customFormat="1">
      <c r="AL472" s="133">
        <v>491</v>
      </c>
      <c r="AM472" s="250">
        <v>350482.88839663868</v>
      </c>
    </row>
    <row r="473" spans="38:39" s="250" customFormat="1">
      <c r="AL473" s="133">
        <v>492</v>
      </c>
      <c r="AM473" s="250">
        <v>350874.68324686849</v>
      </c>
    </row>
    <row r="474" spans="38:39" s="250" customFormat="1">
      <c r="AL474" s="133">
        <v>493</v>
      </c>
      <c r="AM474" s="250">
        <v>351266.19876125187</v>
      </c>
    </row>
    <row r="475" spans="38:39" s="250" customFormat="1">
      <c r="AL475" s="133">
        <v>494</v>
      </c>
      <c r="AM475" s="250">
        <v>351657.44568940898</v>
      </c>
    </row>
    <row r="476" spans="38:39" s="250" customFormat="1">
      <c r="AL476" s="133">
        <v>495</v>
      </c>
      <c r="AM476" s="250">
        <v>352048.43677841313</v>
      </c>
    </row>
    <row r="477" spans="38:39" s="250" customFormat="1">
      <c r="AL477" s="133">
        <v>496</v>
      </c>
      <c r="AM477" s="250">
        <v>352439.18473966746</v>
      </c>
    </row>
    <row r="478" spans="38:39" s="250" customFormat="1">
      <c r="AL478" s="133">
        <v>497</v>
      </c>
      <c r="AM478" s="250">
        <v>352829.70231586759</v>
      </c>
    </row>
    <row r="479" spans="38:39" s="250" customFormat="1">
      <c r="AL479" s="133">
        <v>498</v>
      </c>
      <c r="AM479" s="250">
        <v>353220.00223180931</v>
      </c>
    </row>
    <row r="480" spans="38:39" s="250" customFormat="1">
      <c r="AL480" s="133">
        <v>499</v>
      </c>
      <c r="AM480" s="250">
        <v>353610.09721676318</v>
      </c>
    </row>
    <row r="481" spans="38:39" s="250" customFormat="1">
      <c r="AL481" s="133">
        <v>500</v>
      </c>
      <c r="AM481" s="250">
        <v>354000</v>
      </c>
    </row>
    <row r="482" spans="38:39" s="250" customFormat="1">
      <c r="AL482" s="133">
        <v>501</v>
      </c>
      <c r="AM482" s="250">
        <v>354389.7211017732</v>
      </c>
    </row>
    <row r="483" spans="38:39" s="250" customFormat="1">
      <c r="AL483" s="133">
        <v>502</v>
      </c>
      <c r="AM483" s="250">
        <v>354779.26222905423</v>
      </c>
    </row>
    <row r="484" spans="38:39" s="250" customFormat="1">
      <c r="AL484" s="133">
        <v>503</v>
      </c>
      <c r="AM484" s="250">
        <v>355168.62287945487</v>
      </c>
    </row>
    <row r="485" spans="38:39" s="250" customFormat="1">
      <c r="AL485" s="133">
        <v>504</v>
      </c>
      <c r="AM485" s="250">
        <v>355557.80258205172</v>
      </c>
    </row>
    <row r="486" spans="38:39" s="250" customFormat="1">
      <c r="AL486" s="133">
        <v>505</v>
      </c>
      <c r="AM486" s="250">
        <v>355946.80077050586</v>
      </c>
    </row>
    <row r="487" spans="38:39" s="250" customFormat="1">
      <c r="AL487" s="133">
        <v>506</v>
      </c>
      <c r="AM487" s="250">
        <v>356335.61697492609</v>
      </c>
    </row>
    <row r="488" spans="38:39" s="250" customFormat="1">
      <c r="AL488" s="133">
        <v>507</v>
      </c>
      <c r="AM488" s="250">
        <v>356724.25069292425</v>
      </c>
    </row>
    <row r="489" spans="38:39" s="250" customFormat="1">
      <c r="AL489" s="133">
        <v>508</v>
      </c>
      <c r="AM489" s="250">
        <v>357112.70142211235</v>
      </c>
    </row>
    <row r="490" spans="38:39" s="250" customFormat="1">
      <c r="AL490" s="133">
        <v>509</v>
      </c>
      <c r="AM490" s="250">
        <v>357500.96866010223</v>
      </c>
    </row>
    <row r="491" spans="38:39" s="250" customFormat="1">
      <c r="AL491" s="133">
        <v>510</v>
      </c>
      <c r="AM491" s="250">
        <v>357889.05193000118</v>
      </c>
    </row>
    <row r="492" spans="38:39" s="250" customFormat="1">
      <c r="AL492" s="133">
        <v>511</v>
      </c>
      <c r="AM492" s="250">
        <v>358276.95067747292</v>
      </c>
    </row>
    <row r="493" spans="38:39" s="250" customFormat="1">
      <c r="AL493" s="133">
        <v>512</v>
      </c>
      <c r="AM493" s="250">
        <v>358664.66442659282</v>
      </c>
    </row>
    <row r="494" spans="38:39" s="250" customFormat="1">
      <c r="AL494" s="133">
        <v>513</v>
      </c>
      <c r="AM494" s="250">
        <v>359052.19267497282</v>
      </c>
    </row>
    <row r="495" spans="38:39" s="250" customFormat="1">
      <c r="AL495" s="133">
        <v>514</v>
      </c>
      <c r="AM495" s="250">
        <v>359439.53492022475</v>
      </c>
    </row>
    <row r="496" spans="38:39" s="250" customFormat="1">
      <c r="AL496" s="133">
        <v>515</v>
      </c>
      <c r="AM496" s="250">
        <v>359826.69065996062</v>
      </c>
    </row>
    <row r="497" spans="38:39" s="250" customFormat="1">
      <c r="AL497" s="133">
        <v>516</v>
      </c>
      <c r="AM497" s="250">
        <v>360213.6594117037</v>
      </c>
    </row>
    <row r="498" spans="38:39" s="250" customFormat="1">
      <c r="AL498" s="133">
        <v>517</v>
      </c>
      <c r="AM498" s="250">
        <v>360600.44063234981</v>
      </c>
    </row>
    <row r="499" spans="38:39" s="250" customFormat="1">
      <c r="AL499" s="133">
        <v>518</v>
      </c>
      <c r="AM499" s="250">
        <v>360987.03384032618</v>
      </c>
    </row>
    <row r="500" spans="38:39" s="250" customFormat="1">
      <c r="AL500" s="133">
        <v>519</v>
      </c>
      <c r="AM500" s="250">
        <v>361373.43853324477</v>
      </c>
    </row>
    <row r="501" spans="38:39" s="250" customFormat="1">
      <c r="AL501" s="133">
        <v>520</v>
      </c>
      <c r="AM501" s="250">
        <v>361759.65420871746</v>
      </c>
    </row>
    <row r="502" spans="38:39" s="250" customFormat="1">
      <c r="AL502" s="133">
        <v>521</v>
      </c>
      <c r="AM502" s="250">
        <v>362145.68036435614</v>
      </c>
    </row>
    <row r="503" spans="38:39" s="250" customFormat="1">
      <c r="AL503" s="133">
        <v>522</v>
      </c>
      <c r="AM503" s="250">
        <v>362531.51651248516</v>
      </c>
    </row>
    <row r="504" spans="38:39" s="250" customFormat="1">
      <c r="AL504" s="133">
        <v>523</v>
      </c>
      <c r="AM504" s="250">
        <v>362917.16212046251</v>
      </c>
    </row>
    <row r="505" spans="38:39" s="250" customFormat="1">
      <c r="AL505" s="133">
        <v>524</v>
      </c>
      <c r="AM505" s="250">
        <v>363302.61670145224</v>
      </c>
    </row>
    <row r="506" spans="38:39" s="250" customFormat="1">
      <c r="AL506" s="133">
        <v>525</v>
      </c>
      <c r="AM506" s="250">
        <v>363687.87975306623</v>
      </c>
    </row>
    <row r="507" spans="38:39" s="250" customFormat="1">
      <c r="AL507" s="133">
        <v>526</v>
      </c>
      <c r="AM507" s="250">
        <v>364072.95077291643</v>
      </c>
    </row>
    <row r="508" spans="38:39" s="250" customFormat="1">
      <c r="AL508" s="133">
        <v>527</v>
      </c>
      <c r="AM508" s="250">
        <v>364457.82925861474</v>
      </c>
    </row>
    <row r="509" spans="38:39" s="250" customFormat="1">
      <c r="AL509" s="133">
        <v>528</v>
      </c>
      <c r="AM509" s="250">
        <v>364842.53033277305</v>
      </c>
    </row>
    <row r="510" spans="38:39" s="250" customFormat="1">
      <c r="AL510" s="133">
        <v>529</v>
      </c>
      <c r="AM510" s="250">
        <v>365227.00662713707</v>
      </c>
    </row>
    <row r="511" spans="38:39" s="250" customFormat="1">
      <c r="AL511" s="133">
        <v>530</v>
      </c>
      <c r="AM511" s="250">
        <v>365611.30449529691</v>
      </c>
    </row>
    <row r="512" spans="38:39" s="250" customFormat="1">
      <c r="AL512" s="133">
        <v>531</v>
      </c>
      <c r="AM512" s="250">
        <v>365995.40781976318</v>
      </c>
    </row>
    <row r="513" spans="38:39" s="250" customFormat="1">
      <c r="AL513" s="133">
        <v>532</v>
      </c>
      <c r="AM513" s="250">
        <v>366379.31609814771</v>
      </c>
    </row>
    <row r="514" spans="38:39" s="250" customFormat="1">
      <c r="AL514" s="133">
        <v>533</v>
      </c>
      <c r="AM514" s="250">
        <v>366763.02882806247</v>
      </c>
    </row>
    <row r="515" spans="38:39" s="250" customFormat="1">
      <c r="AL515" s="133">
        <v>534</v>
      </c>
      <c r="AM515" s="250">
        <v>367146.56113211939</v>
      </c>
    </row>
    <row r="516" spans="38:39" s="250" customFormat="1">
      <c r="AL516" s="133">
        <v>535</v>
      </c>
      <c r="AM516" s="250">
        <v>367529.85001269949</v>
      </c>
    </row>
    <row r="517" spans="38:39" s="250" customFormat="1">
      <c r="AL517" s="133">
        <v>536</v>
      </c>
      <c r="AM517" s="250">
        <v>367912.9887071863</v>
      </c>
    </row>
    <row r="518" spans="38:39" s="250" customFormat="1">
      <c r="AL518" s="133">
        <v>537</v>
      </c>
      <c r="AM518" s="250">
        <v>368295.91421866161</v>
      </c>
    </row>
    <row r="519" spans="38:39" s="250" customFormat="1">
      <c r="AL519" s="133">
        <v>538</v>
      </c>
      <c r="AM519" s="250">
        <v>368678.64166973735</v>
      </c>
    </row>
    <row r="520" spans="38:39" s="250" customFormat="1">
      <c r="AL520" s="133">
        <v>539</v>
      </c>
      <c r="AM520" s="250">
        <v>369061.17055802536</v>
      </c>
    </row>
    <row r="521" spans="38:39" s="250" customFormat="1">
      <c r="AL521" s="133">
        <v>540</v>
      </c>
      <c r="AM521" s="250">
        <v>369443.51600613759</v>
      </c>
    </row>
    <row r="522" spans="38:39" s="250" customFormat="1">
      <c r="AL522" s="133">
        <v>541</v>
      </c>
      <c r="AM522" s="250">
        <v>369825.61501247581</v>
      </c>
    </row>
    <row r="523" spans="38:39" s="250" customFormat="1">
      <c r="AL523" s="133">
        <v>542</v>
      </c>
      <c r="AM523" s="250">
        <v>370207.56082244636</v>
      </c>
    </row>
    <row r="524" spans="38:39" s="250" customFormat="1">
      <c r="AL524" s="133">
        <v>543</v>
      </c>
      <c r="AM524" s="250">
        <v>370589.29043508758</v>
      </c>
    </row>
    <row r="525" spans="38:39" s="250" customFormat="1">
      <c r="AL525" s="133">
        <v>544</v>
      </c>
      <c r="AM525" s="250">
        <v>370970.81897301128</v>
      </c>
    </row>
    <row r="526" spans="38:39" s="250" customFormat="1">
      <c r="AL526" s="133">
        <v>545</v>
      </c>
      <c r="AM526" s="250">
        <v>371352.14593382942</v>
      </c>
    </row>
    <row r="527" spans="38:39" s="250" customFormat="1">
      <c r="AL527" s="133">
        <v>546</v>
      </c>
      <c r="AM527" s="250">
        <v>371733.27081515384</v>
      </c>
    </row>
    <row r="528" spans="38:39" s="250" customFormat="1">
      <c r="AL528" s="133">
        <v>547</v>
      </c>
      <c r="AM528" s="250">
        <v>372114.17748679197</v>
      </c>
    </row>
    <row r="529" spans="38:39" s="250" customFormat="1">
      <c r="AL529" s="133">
        <v>548</v>
      </c>
      <c r="AM529" s="250">
        <v>372494.91232640314</v>
      </c>
    </row>
    <row r="530" spans="38:39" s="250" customFormat="1">
      <c r="AL530" s="133">
        <v>549</v>
      </c>
      <c r="AM530" s="250">
        <v>372875.42795436707</v>
      </c>
    </row>
    <row r="531" spans="38:39" s="250" customFormat="1">
      <c r="AL531" s="133">
        <v>550</v>
      </c>
      <c r="AM531" s="250">
        <v>373255.73949329555</v>
      </c>
    </row>
    <row r="532" spans="38:39" s="250" customFormat="1">
      <c r="AL532" s="133">
        <v>551</v>
      </c>
      <c r="AM532" s="250">
        <v>373635.84644080058</v>
      </c>
    </row>
    <row r="533" spans="38:39" s="250" customFormat="1">
      <c r="AL533" s="133">
        <v>552</v>
      </c>
      <c r="AM533" s="250">
        <v>374015.74829174124</v>
      </c>
    </row>
    <row r="534" spans="38:39" s="250" customFormat="1">
      <c r="AL534" s="133">
        <v>553</v>
      </c>
      <c r="AM534" s="250">
        <v>374395.44454898097</v>
      </c>
    </row>
    <row r="535" spans="38:39" s="250" customFormat="1">
      <c r="AL535" s="133">
        <v>554</v>
      </c>
      <c r="AM535" s="250">
        <v>374774.93470763823</v>
      </c>
    </row>
    <row r="536" spans="38:39" s="250" customFormat="1">
      <c r="AL536" s="133">
        <v>555</v>
      </c>
      <c r="AM536" s="250">
        <v>375154.21826182603</v>
      </c>
    </row>
    <row r="537" spans="38:39" s="250" customFormat="1">
      <c r="AL537" s="133">
        <v>556</v>
      </c>
      <c r="AM537" s="250">
        <v>375533.29471591616</v>
      </c>
    </row>
    <row r="538" spans="38:39" s="250" customFormat="1">
      <c r="AL538" s="133">
        <v>557</v>
      </c>
      <c r="AM538" s="250">
        <v>375912.16356426495</v>
      </c>
    </row>
    <row r="539" spans="38:39" s="250" customFormat="1">
      <c r="AL539" s="133">
        <v>558</v>
      </c>
      <c r="AM539" s="250">
        <v>376290.82430028729</v>
      </c>
    </row>
    <row r="540" spans="38:39" s="250" customFormat="1">
      <c r="AL540" s="133">
        <v>559</v>
      </c>
      <c r="AM540" s="250">
        <v>376669.27642976702</v>
      </c>
    </row>
    <row r="541" spans="38:39" s="250" customFormat="1">
      <c r="AL541" s="133">
        <v>560</v>
      </c>
      <c r="AM541" s="250">
        <v>377047.51944634644</v>
      </c>
    </row>
    <row r="542" spans="38:39" s="250" customFormat="1">
      <c r="AL542" s="133">
        <v>561</v>
      </c>
      <c r="AM542" s="250">
        <v>377425.55284279061</v>
      </c>
    </row>
    <row r="543" spans="38:39" s="250" customFormat="1">
      <c r="AL543" s="133">
        <v>562</v>
      </c>
      <c r="AM543" s="250">
        <v>377803.37612619915</v>
      </c>
    </row>
    <row r="544" spans="38:39" s="250" customFormat="1">
      <c r="AL544" s="133">
        <v>563</v>
      </c>
      <c r="AM544" s="250">
        <v>378180.98878954846</v>
      </c>
    </row>
    <row r="545" spans="38:39" s="250" customFormat="1">
      <c r="AL545" s="133">
        <v>564</v>
      </c>
      <c r="AM545" s="250">
        <v>378558.39814295038</v>
      </c>
    </row>
    <row r="546" spans="38:39" s="250" customFormat="1">
      <c r="AL546" s="133">
        <v>565</v>
      </c>
      <c r="AM546" s="250">
        <v>378935.58024087845</v>
      </c>
    </row>
    <row r="547" spans="38:39" s="250" customFormat="1">
      <c r="AL547" s="133">
        <v>566</v>
      </c>
      <c r="AM547" s="250">
        <v>379312.5580295368</v>
      </c>
    </row>
    <row r="548" spans="38:39" s="250" customFormat="1">
      <c r="AL548" s="133">
        <v>567</v>
      </c>
      <c r="AM548" s="250">
        <v>379689.33100108884</v>
      </c>
    </row>
    <row r="549" spans="38:39" s="250" customFormat="1">
      <c r="AL549" s="133">
        <v>568</v>
      </c>
      <c r="AM549" s="250">
        <v>380065.87520947051</v>
      </c>
    </row>
    <row r="550" spans="38:39" s="250" customFormat="1">
      <c r="AL550" s="133">
        <v>569</v>
      </c>
      <c r="AM550" s="250">
        <v>380442.21360197716</v>
      </c>
    </row>
    <row r="551" spans="38:39" s="250" customFormat="1">
      <c r="AL551" s="133">
        <v>570</v>
      </c>
      <c r="AM551" s="250">
        <v>380818.34567021858</v>
      </c>
    </row>
    <row r="552" spans="38:39" s="250" customFormat="1">
      <c r="AL552" s="133">
        <v>571</v>
      </c>
      <c r="AM552" s="250">
        <v>381194.24746764125</v>
      </c>
    </row>
    <row r="553" spans="38:39" s="250" customFormat="1">
      <c r="AL553" s="133">
        <v>572</v>
      </c>
      <c r="AM553" s="250">
        <v>381569.94194253534</v>
      </c>
    </row>
    <row r="554" spans="38:39" s="250" customFormat="1">
      <c r="AL554" s="133">
        <v>573</v>
      </c>
      <c r="AM554" s="250">
        <v>381945.42077350529</v>
      </c>
    </row>
    <row r="555" spans="38:39" s="250" customFormat="1">
      <c r="AL555" s="133">
        <v>574</v>
      </c>
      <c r="AM555" s="250">
        <v>382320.68345105625</v>
      </c>
    </row>
    <row r="556" spans="38:39" s="250" customFormat="1">
      <c r="AL556" s="133">
        <v>575</v>
      </c>
      <c r="AM556" s="250">
        <v>382695.7294868771</v>
      </c>
    </row>
    <row r="557" spans="38:39" s="250" customFormat="1">
      <c r="AL557" s="133">
        <v>576</v>
      </c>
      <c r="AM557" s="250">
        <v>383070.55836792773</v>
      </c>
    </row>
    <row r="558" spans="38:39" s="250" customFormat="1">
      <c r="AL558" s="133">
        <v>577</v>
      </c>
      <c r="AM558" s="250">
        <v>383445.16959913127</v>
      </c>
    </row>
    <row r="559" spans="38:39" s="250" customFormat="1">
      <c r="AL559" s="133">
        <v>578</v>
      </c>
      <c r="AM559" s="250">
        <v>383819.56267066812</v>
      </c>
    </row>
    <row r="560" spans="38:39" s="250" customFormat="1">
      <c r="AL560" s="133">
        <v>579</v>
      </c>
      <c r="AM560" s="250">
        <v>384193.73708384519</v>
      </c>
    </row>
    <row r="561" spans="38:39" s="250" customFormat="1">
      <c r="AL561" s="133">
        <v>580</v>
      </c>
      <c r="AM561" s="250">
        <v>384567.69234020478</v>
      </c>
    </row>
    <row r="562" spans="38:39" s="250" customFormat="1">
      <c r="AL562" s="133">
        <v>581</v>
      </c>
      <c r="AM562" s="250">
        <v>384941.42792957422</v>
      </c>
    </row>
    <row r="563" spans="38:39" s="250" customFormat="1">
      <c r="AL563" s="133">
        <v>582</v>
      </c>
      <c r="AM563" s="250">
        <v>385314.94726371497</v>
      </c>
    </row>
    <row r="564" spans="38:39" s="250" customFormat="1">
      <c r="AL564" s="133">
        <v>583</v>
      </c>
      <c r="AM564" s="250">
        <v>385688.23811349581</v>
      </c>
    </row>
    <row r="565" spans="38:39" s="250" customFormat="1">
      <c r="AL565" s="133">
        <v>584</v>
      </c>
      <c r="AM565" s="250">
        <v>386061.31169926113</v>
      </c>
    </row>
    <row r="566" spans="38:39" s="250" customFormat="1">
      <c r="AL566" s="133">
        <v>585</v>
      </c>
      <c r="AM566" s="250">
        <v>386434.16752278723</v>
      </c>
    </row>
    <row r="567" spans="38:39" s="250" customFormat="1">
      <c r="AL567" s="133">
        <v>586</v>
      </c>
      <c r="AM567" s="250">
        <v>386806.79335467011</v>
      </c>
    </row>
    <row r="568" spans="38:39" s="250" customFormat="1">
      <c r="AL568" s="133">
        <v>587</v>
      </c>
      <c r="AM568" s="250">
        <v>387179.20041539462</v>
      </c>
    </row>
    <row r="569" spans="38:39" s="250" customFormat="1">
      <c r="AL569" s="133">
        <v>588</v>
      </c>
      <c r="AM569" s="250">
        <v>387551.38429846294</v>
      </c>
    </row>
    <row r="570" spans="38:39" s="250" customFormat="1">
      <c r="AL570" s="133">
        <v>589</v>
      </c>
      <c r="AM570" s="250">
        <v>387923.34449939348</v>
      </c>
    </row>
    <row r="571" spans="38:39" s="250" customFormat="1">
      <c r="AL571" s="133">
        <v>590</v>
      </c>
      <c r="AM571" s="250">
        <v>388295.08051580214</v>
      </c>
    </row>
    <row r="572" spans="38:39" s="250" customFormat="1">
      <c r="AL572" s="133">
        <v>591</v>
      </c>
      <c r="AM572" s="250">
        <v>388666.59379842982</v>
      </c>
    </row>
    <row r="573" spans="38:39" s="250" customFormat="1">
      <c r="AL573" s="133">
        <v>592</v>
      </c>
      <c r="AM573" s="250">
        <v>389037.87798333162</v>
      </c>
    </row>
    <row r="574" spans="38:39" s="250" customFormat="1">
      <c r="AL574" s="133">
        <v>593</v>
      </c>
      <c r="AM574" s="250">
        <v>389408.93843186006</v>
      </c>
    </row>
    <row r="575" spans="38:39" s="250" customFormat="1">
      <c r="AL575" s="133">
        <v>594</v>
      </c>
      <c r="AM575" s="250">
        <v>389779.77268522931</v>
      </c>
    </row>
    <row r="576" spans="38:39" s="250" customFormat="1">
      <c r="AL576" s="133">
        <v>595</v>
      </c>
      <c r="AM576" s="250">
        <v>390150.38024325622</v>
      </c>
    </row>
    <row r="577" spans="38:39" s="250" customFormat="1">
      <c r="AL577" s="133">
        <v>596</v>
      </c>
      <c r="AM577" s="250">
        <v>390520.76060134976</v>
      </c>
    </row>
    <row r="578" spans="38:39" s="250" customFormat="1">
      <c r="AL578" s="133">
        <v>597</v>
      </c>
      <c r="AM578" s="250">
        <v>390890.91325878579</v>
      </c>
    </row>
    <row r="579" spans="38:39" s="250" customFormat="1">
      <c r="AL579" s="133">
        <v>598</v>
      </c>
      <c r="AM579" s="250">
        <v>391260.83771262818</v>
      </c>
    </row>
    <row r="580" spans="38:39" s="250" customFormat="1">
      <c r="AL580" s="133">
        <v>599</v>
      </c>
      <c r="AM580" s="250">
        <v>391630.53346049396</v>
      </c>
    </row>
    <row r="581" spans="38:39" s="250" customFormat="1">
      <c r="AL581" s="133">
        <v>600</v>
      </c>
      <c r="AM581" s="250">
        <v>392000</v>
      </c>
    </row>
    <row r="582" spans="38:39" s="250" customFormat="1">
      <c r="AL582" s="133">
        <v>601</v>
      </c>
      <c r="AM582" s="250">
        <v>392369.23711901746</v>
      </c>
    </row>
    <row r="583" spans="38:39" s="250" customFormat="1">
      <c r="AL583" s="133">
        <v>602</v>
      </c>
      <c r="AM583" s="250">
        <v>392738.24580798508</v>
      </c>
    </row>
    <row r="584" spans="38:39" s="250" customFormat="1">
      <c r="AL584" s="133">
        <v>603</v>
      </c>
      <c r="AM584" s="250">
        <v>393107.02734715765</v>
      </c>
    </row>
    <row r="585" spans="38:39" s="250" customFormat="1">
      <c r="AL585" s="133">
        <v>604</v>
      </c>
      <c r="AM585" s="250">
        <v>393475.58305706241</v>
      </c>
    </row>
    <row r="586" spans="38:39" s="250" customFormat="1">
      <c r="AL586" s="133">
        <v>605</v>
      </c>
      <c r="AM586" s="250">
        <v>393843.91413610207</v>
      </c>
    </row>
    <row r="587" spans="38:39" s="250" customFormat="1">
      <c r="AL587" s="133">
        <v>606</v>
      </c>
      <c r="AM587" s="250">
        <v>394212.02190612495</v>
      </c>
    </row>
    <row r="588" spans="38:39" s="250" customFormat="1">
      <c r="AL588" s="133">
        <v>607</v>
      </c>
      <c r="AM588" s="250">
        <v>394579.90764738602</v>
      </c>
    </row>
    <row r="589" spans="38:39" s="250" customFormat="1">
      <c r="AL589" s="133">
        <v>608</v>
      </c>
      <c r="AM589" s="250">
        <v>394947.57264014008</v>
      </c>
    </row>
    <row r="590" spans="38:39" s="250" customFormat="1">
      <c r="AL590" s="133">
        <v>609</v>
      </c>
      <c r="AM590" s="250">
        <v>395315.01816464198</v>
      </c>
    </row>
    <row r="591" spans="38:39" s="250" customFormat="1">
      <c r="AL591" s="133">
        <v>610</v>
      </c>
      <c r="AM591" s="250">
        <v>395682.24553377874</v>
      </c>
    </row>
    <row r="592" spans="38:39" s="250" customFormat="1">
      <c r="AL592" s="133">
        <v>611</v>
      </c>
      <c r="AM592" s="250">
        <v>396049.25596131542</v>
      </c>
    </row>
    <row r="593" spans="1:53" s="250" customFormat="1">
      <c r="AL593" s="133">
        <v>612</v>
      </c>
      <c r="AM593" s="250">
        <v>396416.05076137825</v>
      </c>
    </row>
    <row r="594" spans="1:53" s="250" customFormat="1">
      <c r="AL594" s="133">
        <v>613</v>
      </c>
      <c r="AM594" s="250">
        <v>396782.631214222</v>
      </c>
    </row>
    <row r="595" spans="1:53" s="250" customFormat="1">
      <c r="AL595" s="133">
        <v>614</v>
      </c>
      <c r="AM595" s="250">
        <v>397148.99860010156</v>
      </c>
    </row>
    <row r="596" spans="1:53">
      <c r="A596" s="30"/>
      <c r="B596" s="30"/>
      <c r="C596" s="30"/>
      <c r="D596" s="30"/>
      <c r="E596" s="30"/>
      <c r="F596" s="30"/>
      <c r="G596" s="30"/>
      <c r="H596" s="30"/>
      <c r="I596" s="30"/>
      <c r="J596" s="30"/>
      <c r="K596" s="30"/>
      <c r="L596" s="30"/>
      <c r="M596" s="30"/>
      <c r="N596" s="30"/>
      <c r="O596" s="30"/>
      <c r="P596" s="30"/>
      <c r="Q596" s="30"/>
      <c r="R596" s="30"/>
      <c r="AL596" s="133">
        <v>615</v>
      </c>
      <c r="AM596" s="24">
        <v>397515.15419927175</v>
      </c>
      <c r="AO596" s="30"/>
      <c r="AP596" s="30"/>
      <c r="AQ596" s="30"/>
      <c r="AR596" s="30"/>
      <c r="AS596" s="30"/>
      <c r="AT596" s="30"/>
      <c r="AU596" s="30"/>
      <c r="AV596" s="30"/>
      <c r="AW596" s="30"/>
      <c r="AX596" s="30"/>
      <c r="AY596" s="30"/>
      <c r="AZ596" s="30"/>
      <c r="BA596" s="30"/>
    </row>
    <row r="597" spans="1:53">
      <c r="A597" s="30"/>
      <c r="B597" s="30"/>
      <c r="C597" s="30"/>
      <c r="D597" s="30"/>
      <c r="E597" s="30"/>
      <c r="F597" s="30"/>
      <c r="G597" s="30"/>
      <c r="H597" s="30"/>
      <c r="I597" s="30"/>
      <c r="J597" s="30"/>
      <c r="K597" s="30"/>
      <c r="L597" s="30"/>
      <c r="M597" s="30"/>
      <c r="N597" s="30"/>
      <c r="O597" s="30"/>
      <c r="P597" s="30"/>
      <c r="Q597" s="30"/>
      <c r="R597" s="30"/>
      <c r="AL597" s="133">
        <v>616</v>
      </c>
      <c r="AM597" s="24">
        <v>397881.0993174726</v>
      </c>
      <c r="AO597" s="30"/>
      <c r="AP597" s="30"/>
      <c r="AQ597" s="30"/>
      <c r="AR597" s="30"/>
      <c r="AS597" s="30"/>
      <c r="AT597" s="30"/>
      <c r="AU597" s="30"/>
      <c r="AV597" s="30"/>
      <c r="AW597" s="30"/>
      <c r="AX597" s="30"/>
      <c r="AY597" s="30"/>
      <c r="AZ597" s="30"/>
      <c r="BA597" s="30"/>
    </row>
    <row r="598" spans="1:53">
      <c r="A598" s="30"/>
      <c r="B598" s="30"/>
      <c r="C598" s="30"/>
      <c r="D598" s="30"/>
      <c r="E598" s="30"/>
      <c r="F598" s="30"/>
      <c r="G598" s="30"/>
      <c r="H598" s="30"/>
      <c r="I598" s="30"/>
      <c r="J598" s="30"/>
      <c r="K598" s="30"/>
      <c r="L598" s="30"/>
      <c r="M598" s="30"/>
      <c r="N598" s="30"/>
      <c r="O598" s="30"/>
      <c r="P598" s="30"/>
      <c r="Q598" s="30"/>
      <c r="R598" s="30"/>
      <c r="AL598" s="133">
        <v>617</v>
      </c>
      <c r="AM598" s="24">
        <v>398246.83518284542</v>
      </c>
      <c r="AO598" s="30"/>
      <c r="AP598" s="30"/>
      <c r="AQ598" s="30"/>
      <c r="AR598" s="30"/>
      <c r="AS598" s="30"/>
      <c r="AT598" s="30"/>
      <c r="AU598" s="30"/>
      <c r="AV598" s="30"/>
      <c r="AW598" s="30"/>
      <c r="AX598" s="30"/>
      <c r="AY598" s="30"/>
      <c r="AZ598" s="30"/>
      <c r="BA598" s="30"/>
    </row>
    <row r="599" spans="1:53">
      <c r="A599" s="30"/>
      <c r="B599" s="30"/>
      <c r="C599" s="30"/>
      <c r="D599" s="30"/>
      <c r="E599" s="30"/>
      <c r="F599" s="30"/>
      <c r="G599" s="30"/>
      <c r="H599" s="30"/>
      <c r="I599" s="30"/>
      <c r="J599" s="30"/>
      <c r="K599" s="30"/>
      <c r="L599" s="30"/>
      <c r="M599" s="30"/>
      <c r="N599" s="30"/>
      <c r="O599" s="30"/>
      <c r="P599" s="30"/>
      <c r="Q599" s="30"/>
      <c r="R599" s="30"/>
      <c r="AL599" s="133">
        <v>618</v>
      </c>
      <c r="AM599" s="24">
        <v>398612.36310228717</v>
      </c>
      <c r="AO599" s="30"/>
      <c r="AP599" s="30"/>
      <c r="AQ599" s="30"/>
      <c r="AR599" s="30"/>
      <c r="AS599" s="30"/>
      <c r="AT599" s="30"/>
      <c r="AU599" s="30"/>
      <c r="AV599" s="30"/>
      <c r="AW599" s="30"/>
      <c r="AX599" s="30"/>
      <c r="AY599" s="30"/>
      <c r="AZ599" s="30"/>
      <c r="BA599" s="30"/>
    </row>
    <row r="600" spans="1:53">
      <c r="A600" s="30"/>
      <c r="B600" s="30"/>
      <c r="C600" s="30"/>
      <c r="D600" s="30"/>
      <c r="E600" s="30"/>
      <c r="F600" s="30"/>
      <c r="G600" s="30"/>
      <c r="H600" s="30"/>
      <c r="I600" s="30"/>
      <c r="J600" s="30"/>
      <c r="K600" s="30"/>
      <c r="L600" s="30"/>
      <c r="M600" s="30"/>
      <c r="N600" s="30"/>
      <c r="O600" s="30"/>
      <c r="P600" s="30"/>
      <c r="Q600" s="30"/>
      <c r="R600" s="30"/>
      <c r="AL600" s="133">
        <v>619</v>
      </c>
      <c r="AM600" s="24">
        <v>398977.68435605272</v>
      </c>
      <c r="AO600" s="30"/>
      <c r="AP600" s="30"/>
      <c r="AQ600" s="30"/>
      <c r="AR600" s="30"/>
      <c r="AS600" s="30"/>
      <c r="AT600" s="30"/>
      <c r="AU600" s="30"/>
      <c r="AV600" s="30"/>
      <c r="AW600" s="30"/>
      <c r="AX600" s="30"/>
      <c r="AY600" s="30"/>
      <c r="AZ600" s="30"/>
      <c r="BA600" s="30"/>
    </row>
    <row r="601" spans="1:53">
      <c r="B601" s="30"/>
      <c r="C601" s="30"/>
      <c r="D601" s="30"/>
      <c r="E601" s="30"/>
      <c r="F601" s="30"/>
      <c r="G601" s="30"/>
      <c r="H601" s="30"/>
      <c r="I601" s="30"/>
      <c r="J601" s="30"/>
      <c r="K601" s="30"/>
      <c r="L601" s="30"/>
      <c r="M601" s="30"/>
      <c r="N601" s="30"/>
      <c r="O601" s="30"/>
      <c r="P601" s="30"/>
      <c r="Q601" s="30"/>
      <c r="R601" s="30"/>
      <c r="AL601" s="133">
        <v>620</v>
      </c>
      <c r="AM601" s="24">
        <v>399342.80022439692</v>
      </c>
    </row>
    <row r="602" spans="1:53">
      <c r="B602" s="30"/>
      <c r="C602" s="30"/>
      <c r="D602" s="30"/>
      <c r="E602" s="30"/>
      <c r="F602" s="30"/>
      <c r="G602" s="30"/>
      <c r="H602" s="30"/>
      <c r="I602" s="30"/>
      <c r="J602" s="30"/>
      <c r="K602" s="30"/>
      <c r="L602" s="30"/>
      <c r="M602" s="30"/>
      <c r="N602" s="30"/>
      <c r="O602" s="30"/>
      <c r="P602" s="30"/>
      <c r="Q602" s="30"/>
      <c r="R602" s="30"/>
      <c r="AL602" s="133">
        <v>621</v>
      </c>
      <c r="AM602" s="24">
        <v>399707.71198757458</v>
      </c>
    </row>
    <row r="603" spans="1:53">
      <c r="AL603" s="133">
        <v>622</v>
      </c>
      <c r="AM603" s="24">
        <v>400072.42094467138</v>
      </c>
    </row>
    <row r="604" spans="1:53">
      <c r="AL604" s="133">
        <v>623</v>
      </c>
      <c r="AM604" s="24">
        <v>400436.92833721946</v>
      </c>
    </row>
    <row r="605" spans="1:53">
      <c r="AL605" s="133">
        <v>624</v>
      </c>
      <c r="AM605" s="24">
        <v>400801.23546537926</v>
      </c>
    </row>
    <row r="606" spans="1:53">
      <c r="AL606" s="133">
        <v>625</v>
      </c>
      <c r="AM606" s="24">
        <v>401165.34360940568</v>
      </c>
    </row>
    <row r="607" spans="1:53">
      <c r="AL607" s="133">
        <v>626</v>
      </c>
      <c r="AM607" s="24">
        <v>401529.25404955354</v>
      </c>
    </row>
    <row r="608" spans="1:53">
      <c r="AL608" s="133">
        <v>627</v>
      </c>
      <c r="AM608" s="24">
        <v>401892.96806607774</v>
      </c>
    </row>
    <row r="609" spans="38:39">
      <c r="AL609" s="133">
        <v>628</v>
      </c>
      <c r="AM609" s="24">
        <v>402256.48693923303</v>
      </c>
    </row>
    <row r="610" spans="38:39">
      <c r="AL610" s="133">
        <v>629</v>
      </c>
      <c r="AM610" s="24">
        <v>402619.81196096493</v>
      </c>
    </row>
    <row r="611" spans="38:39">
      <c r="AL611" s="133">
        <v>630</v>
      </c>
      <c r="AM611" s="24">
        <v>402982.94438718189</v>
      </c>
    </row>
    <row r="612" spans="38:39">
      <c r="AL612" s="133">
        <v>631</v>
      </c>
      <c r="AM612" s="24">
        <v>403345.88551080826</v>
      </c>
    </row>
    <row r="613" spans="38:39">
      <c r="AL613" s="133">
        <v>632</v>
      </c>
      <c r="AM613" s="24">
        <v>403708.6366120989</v>
      </c>
    </row>
    <row r="614" spans="38:39">
      <c r="AL614" s="133">
        <v>633</v>
      </c>
      <c r="AM614" s="24">
        <v>404071.19897130865</v>
      </c>
    </row>
    <row r="615" spans="38:39">
      <c r="AL615" s="133">
        <v>634</v>
      </c>
      <c r="AM615" s="24">
        <v>404433.58949369239</v>
      </c>
    </row>
    <row r="616" spans="38:39">
      <c r="AL616" s="133">
        <v>635</v>
      </c>
      <c r="AM616" s="24">
        <v>404795.74696560926</v>
      </c>
    </row>
    <row r="617" spans="38:39">
      <c r="AL617" s="133">
        <v>636</v>
      </c>
      <c r="AM617" s="24">
        <v>405157.76640422246</v>
      </c>
    </row>
    <row r="618" spans="38:39">
      <c r="AL618" s="133">
        <v>637</v>
      </c>
      <c r="AM618" s="24">
        <v>405519.58659678785</v>
      </c>
    </row>
    <row r="619" spans="38:39">
      <c r="AL619" s="133">
        <v>638</v>
      </c>
      <c r="AM619" s="24">
        <v>405881.22444856033</v>
      </c>
    </row>
    <row r="620" spans="38:39">
      <c r="AL620" s="133">
        <v>639</v>
      </c>
      <c r="AM620" s="24">
        <v>406242.68123979482</v>
      </c>
    </row>
    <row r="621" spans="38:39">
      <c r="AL621" s="133">
        <v>640</v>
      </c>
      <c r="AM621" s="24">
        <v>406603.97387574607</v>
      </c>
    </row>
    <row r="622" spans="38:39">
      <c r="AL622" s="133">
        <v>641</v>
      </c>
      <c r="AM622" s="24">
        <v>406965.04113767989</v>
      </c>
    </row>
    <row r="623" spans="38:39">
      <c r="AL623" s="133">
        <v>642</v>
      </c>
      <c r="AM623" s="24">
        <v>407325.97805302835</v>
      </c>
    </row>
    <row r="624" spans="38:39">
      <c r="AL624" s="133">
        <v>643</v>
      </c>
      <c r="AM624" s="24">
        <v>407686.72340387187</v>
      </c>
    </row>
    <row r="625" spans="38:39">
      <c r="AL625" s="133">
        <v>644</v>
      </c>
      <c r="AM625" s="24">
        <v>408047.29409546533</v>
      </c>
    </row>
    <row r="626" spans="38:39">
      <c r="AL626" s="133">
        <v>645</v>
      </c>
      <c r="AM626" s="24">
        <v>408407.69140806358</v>
      </c>
    </row>
    <row r="627" spans="38:39">
      <c r="AL627" s="133">
        <v>646</v>
      </c>
      <c r="AM627" s="24">
        <v>408767.93224692141</v>
      </c>
    </row>
    <row r="628" spans="38:39">
      <c r="AL628" s="133">
        <v>647</v>
      </c>
      <c r="AM628" s="24">
        <v>409127.9553887042</v>
      </c>
    </row>
    <row r="629" spans="38:39">
      <c r="AL629" s="133">
        <v>648</v>
      </c>
      <c r="AM629" s="24">
        <v>409487.85587012704</v>
      </c>
    </row>
    <row r="630" spans="38:39">
      <c r="AL630" s="133">
        <v>649</v>
      </c>
      <c r="AM630" s="24">
        <v>409847.57246858778</v>
      </c>
    </row>
    <row r="631" spans="38:39">
      <c r="AL631" s="133">
        <v>650</v>
      </c>
      <c r="AM631" s="24">
        <v>410207.12208934128</v>
      </c>
    </row>
    <row r="632" spans="38:39">
      <c r="AL632" s="133">
        <v>651</v>
      </c>
      <c r="AM632" s="24">
        <v>410566.50601264235</v>
      </c>
    </row>
    <row r="633" spans="38:39">
      <c r="AL633" s="133">
        <v>652</v>
      </c>
      <c r="AM633" s="24">
        <v>410925.72551522253</v>
      </c>
    </row>
    <row r="634" spans="38:39">
      <c r="AL634" s="133">
        <v>653</v>
      </c>
      <c r="AM634" s="24">
        <v>411284.7818840582</v>
      </c>
    </row>
    <row r="635" spans="38:39">
      <c r="AL635" s="133">
        <v>654</v>
      </c>
      <c r="AM635" s="24">
        <v>411643.67639621283</v>
      </c>
    </row>
    <row r="636" spans="38:39">
      <c r="AL636" s="133">
        <v>655</v>
      </c>
      <c r="AM636" s="24">
        <v>412002.410327463</v>
      </c>
    </row>
    <row r="637" spans="38:39">
      <c r="AL637" s="133">
        <v>656</v>
      </c>
      <c r="AM637" s="24">
        <v>412360.98496671562</v>
      </c>
    </row>
    <row r="638" spans="38:39">
      <c r="AL638" s="133">
        <v>657</v>
      </c>
      <c r="AM638" s="24">
        <v>412719.40159005864</v>
      </c>
    </row>
    <row r="639" spans="38:39">
      <c r="AL639" s="133">
        <v>658</v>
      </c>
      <c r="AM639" s="24">
        <v>413077.66147237516</v>
      </c>
    </row>
    <row r="640" spans="38:39">
      <c r="AL640" s="133">
        <v>659</v>
      </c>
      <c r="AM640" s="24">
        <v>413435.76590437948</v>
      </c>
    </row>
    <row r="641" spans="38:39">
      <c r="AL641" s="133">
        <v>660</v>
      </c>
      <c r="AM641" s="24">
        <v>413793.7161612456</v>
      </c>
    </row>
    <row r="642" spans="38:39">
      <c r="AL642" s="133">
        <v>661</v>
      </c>
      <c r="AM642" s="24">
        <v>414151.51351702487</v>
      </c>
    </row>
    <row r="643" spans="38:39">
      <c r="AL643" s="133">
        <v>662</v>
      </c>
      <c r="AM643" s="24">
        <v>414509.15926411567</v>
      </c>
    </row>
    <row r="644" spans="38:39">
      <c r="AL644" s="133">
        <v>663</v>
      </c>
      <c r="AM644" s="24">
        <v>414866.65467683971</v>
      </c>
    </row>
    <row r="645" spans="38:39">
      <c r="AL645" s="133">
        <v>664</v>
      </c>
      <c r="AM645" s="24">
        <v>415224.00103545189</v>
      </c>
    </row>
    <row r="646" spans="38:39">
      <c r="AL646" s="133">
        <v>665</v>
      </c>
      <c r="AM646" s="24">
        <v>415581.1996129902</v>
      </c>
    </row>
    <row r="647" spans="38:39">
      <c r="AL647" s="133">
        <v>666</v>
      </c>
      <c r="AM647" s="24">
        <v>415938.25170390692</v>
      </c>
    </row>
    <row r="648" spans="38:39">
      <c r="AL648" s="133">
        <v>667</v>
      </c>
      <c r="AM648" s="24">
        <v>416295.16639398318</v>
      </c>
    </row>
    <row r="649" spans="38:39">
      <c r="AL649" s="133">
        <v>668</v>
      </c>
      <c r="AM649" s="24">
        <v>416651.92151806899</v>
      </c>
    </row>
    <row r="650" spans="38:39">
      <c r="AL650" s="133">
        <v>669</v>
      </c>
      <c r="AM650" s="24">
        <v>417008.54180951312</v>
      </c>
    </row>
    <row r="651" spans="38:39">
      <c r="AL651" s="133">
        <v>670</v>
      </c>
      <c r="AM651" s="24">
        <v>417365.02854088822</v>
      </c>
    </row>
    <row r="652" spans="38:39">
      <c r="AL652" s="133">
        <v>671</v>
      </c>
      <c r="AM652" s="24">
        <v>417721.35954641789</v>
      </c>
    </row>
    <row r="653" spans="38:39">
      <c r="AL653" s="133">
        <v>672</v>
      </c>
      <c r="AM653" s="24">
        <v>418077.55956072424</v>
      </c>
    </row>
    <row r="654" spans="38:39">
      <c r="AL654" s="133">
        <v>673</v>
      </c>
      <c r="AM654" s="24">
        <v>418433.62985573296</v>
      </c>
    </row>
    <row r="655" spans="38:39">
      <c r="AL655" s="133">
        <v>674</v>
      </c>
      <c r="AM655" s="24">
        <v>418789.5482651029</v>
      </c>
    </row>
    <row r="656" spans="38:39">
      <c r="AL656" s="133">
        <v>675</v>
      </c>
      <c r="AM656" s="24">
        <v>419145.33952460624</v>
      </c>
    </row>
    <row r="657" spans="38:39">
      <c r="AL657" s="133">
        <v>676</v>
      </c>
      <c r="AM657" s="24">
        <v>419500.99708836421</v>
      </c>
    </row>
    <row r="658" spans="38:39">
      <c r="AL658" s="133">
        <v>677</v>
      </c>
      <c r="AM658" s="24">
        <v>419856.52224598947</v>
      </c>
    </row>
    <row r="659" spans="38:39">
      <c r="AL659" s="133">
        <v>678</v>
      </c>
      <c r="AM659" s="24">
        <v>420211.916268225</v>
      </c>
    </row>
    <row r="660" spans="38:39">
      <c r="AL660" s="133">
        <v>679</v>
      </c>
      <c r="AM660" s="24">
        <v>420567.18044005509</v>
      </c>
    </row>
    <row r="661" spans="38:39">
      <c r="AL661" s="133">
        <v>680</v>
      </c>
      <c r="AM661" s="24">
        <v>420922.31604676519</v>
      </c>
    </row>
    <row r="662" spans="38:39">
      <c r="AL662" s="133">
        <v>681</v>
      </c>
      <c r="AM662" s="24">
        <v>421277.32435864647</v>
      </c>
    </row>
    <row r="663" spans="38:39">
      <c r="AL663" s="133">
        <v>682</v>
      </c>
      <c r="AM663" s="24">
        <v>421632.20666606468</v>
      </c>
    </row>
    <row r="664" spans="38:39">
      <c r="AL664" s="133">
        <v>683</v>
      </c>
      <c r="AM664" s="24">
        <v>421986.96423904394</v>
      </c>
    </row>
    <row r="665" spans="38:39">
      <c r="AL665" s="133">
        <v>684</v>
      </c>
      <c r="AM665" s="24">
        <v>422341.59836293658</v>
      </c>
    </row>
    <row r="666" spans="38:39">
      <c r="AL666" s="133">
        <v>685</v>
      </c>
      <c r="AM666" s="24">
        <v>422696.11422957748</v>
      </c>
    </row>
    <row r="667" spans="38:39">
      <c r="AL667" s="133">
        <v>686</v>
      </c>
      <c r="AM667" s="24">
        <v>423050.50138989172</v>
      </c>
    </row>
    <row r="668" spans="38:39">
      <c r="AL668" s="133">
        <v>687</v>
      </c>
      <c r="AM668" s="24">
        <v>423404.77284816123</v>
      </c>
    </row>
    <row r="669" spans="38:39">
      <c r="AL669" s="133">
        <v>688</v>
      </c>
      <c r="AM669" s="24">
        <v>423758.92598113033</v>
      </c>
    </row>
    <row r="670" spans="38:39">
      <c r="AL670" s="133">
        <v>689</v>
      </c>
      <c r="AM670" s="24">
        <v>424112.96206637437</v>
      </c>
    </row>
    <row r="671" spans="38:39">
      <c r="AL671" s="133">
        <v>690</v>
      </c>
      <c r="AM671" s="24">
        <v>424466.88238415326</v>
      </c>
    </row>
    <row r="672" spans="38:39">
      <c r="AL672" s="133">
        <v>691</v>
      </c>
      <c r="AM672" s="24">
        <v>424820.68821472698</v>
      </c>
    </row>
    <row r="673" spans="38:39">
      <c r="AL673" s="133">
        <v>692</v>
      </c>
      <c r="AM673" s="24">
        <v>425174.38083555788</v>
      </c>
    </row>
    <row r="674" spans="38:39">
      <c r="AL674" s="133">
        <v>693</v>
      </c>
      <c r="AM674" s="24">
        <v>425527.96153248847</v>
      </c>
    </row>
    <row r="675" spans="38:39">
      <c r="AL675" s="133">
        <v>694</v>
      </c>
      <c r="AM675" s="24">
        <v>425881.43158158474</v>
      </c>
    </row>
    <row r="676" spans="38:39">
      <c r="AL676" s="133">
        <v>695</v>
      </c>
      <c r="AM676" s="24">
        <v>426234.79226592369</v>
      </c>
    </row>
    <row r="677" spans="38:39">
      <c r="AL677" s="133">
        <v>696</v>
      </c>
      <c r="AM677" s="24">
        <v>426588.04486294062</v>
      </c>
    </row>
    <row r="678" spans="38:39">
      <c r="AL678" s="133">
        <v>697</v>
      </c>
      <c r="AM678" s="24">
        <v>426941.19065502007</v>
      </c>
    </row>
    <row r="679" spans="38:39">
      <c r="AL679" s="133">
        <v>698</v>
      </c>
      <c r="AM679" s="24">
        <v>427294.23092171561</v>
      </c>
    </row>
    <row r="680" spans="38:39">
      <c r="AL680" s="133">
        <v>699</v>
      </c>
      <c r="AM680" s="24">
        <v>427647.16694328852</v>
      </c>
    </row>
    <row r="681" spans="38:39">
      <c r="AL681" s="133">
        <v>700</v>
      </c>
      <c r="AM681" s="24">
        <v>428000</v>
      </c>
    </row>
    <row r="682" spans="38:39">
      <c r="AL682" s="133">
        <v>701</v>
      </c>
      <c r="AM682" s="24">
        <v>428352.73038727551</v>
      </c>
    </row>
    <row r="683" spans="38:39">
      <c r="AL683" s="133">
        <v>702</v>
      </c>
      <c r="AM683" s="24">
        <v>428705.35447147844</v>
      </c>
    </row>
    <row r="684" spans="38:39">
      <c r="AL684" s="133">
        <v>703</v>
      </c>
      <c r="AM684" s="24">
        <v>429057.8676339424</v>
      </c>
    </row>
    <row r="685" spans="38:39">
      <c r="AL685" s="133">
        <v>704</v>
      </c>
      <c r="AM685" s="24">
        <v>429410.265273828</v>
      </c>
    </row>
    <row r="686" spans="38:39">
      <c r="AL686" s="133">
        <v>705</v>
      </c>
      <c r="AM686" s="24">
        <v>429762.54273623601</v>
      </c>
    </row>
    <row r="687" spans="38:39">
      <c r="AL687" s="133">
        <v>706</v>
      </c>
      <c r="AM687" s="24">
        <v>430114.69542091194</v>
      </c>
    </row>
    <row r="688" spans="38:39">
      <c r="AL688" s="133">
        <v>707</v>
      </c>
      <c r="AM688" s="24">
        <v>430466.71870918939</v>
      </c>
    </row>
    <row r="689" spans="38:39">
      <c r="AL689" s="133">
        <v>708</v>
      </c>
      <c r="AM689" s="24">
        <v>430818.60798240191</v>
      </c>
    </row>
    <row r="690" spans="38:39">
      <c r="AL690" s="133">
        <v>709</v>
      </c>
      <c r="AM690" s="24">
        <v>431170.35862188309</v>
      </c>
    </row>
    <row r="691" spans="38:39">
      <c r="AL691" s="133">
        <v>710</v>
      </c>
      <c r="AM691" s="24">
        <v>431521.96602341172</v>
      </c>
    </row>
    <row r="692" spans="38:39">
      <c r="AL692" s="133">
        <v>711</v>
      </c>
      <c r="AM692" s="24">
        <v>431873.42553888867</v>
      </c>
    </row>
    <row r="693" spans="38:39">
      <c r="AL693" s="133">
        <v>712</v>
      </c>
      <c r="AM693" s="24">
        <v>432224.73256464122</v>
      </c>
    </row>
    <row r="694" spans="38:39">
      <c r="AL694" s="133">
        <v>713</v>
      </c>
      <c r="AM694" s="24">
        <v>432575.88248200295</v>
      </c>
    </row>
    <row r="695" spans="38:39">
      <c r="AL695" s="133">
        <v>714</v>
      </c>
      <c r="AM695" s="24">
        <v>432926.87067230744</v>
      </c>
    </row>
    <row r="696" spans="38:39">
      <c r="AL696" s="133">
        <v>715</v>
      </c>
      <c r="AM696" s="24">
        <v>433277.69251688826</v>
      </c>
    </row>
    <row r="697" spans="38:39">
      <c r="AL697" s="133">
        <v>716</v>
      </c>
      <c r="AM697" s="24">
        <v>433628.34340836038</v>
      </c>
    </row>
    <row r="698" spans="38:39">
      <c r="AL698" s="133">
        <v>717</v>
      </c>
      <c r="AM698" s="24">
        <v>433978.81870498869</v>
      </c>
    </row>
    <row r="699" spans="38:39">
      <c r="AL699" s="133">
        <v>718</v>
      </c>
      <c r="AM699" s="24">
        <v>434329.11379990022</v>
      </c>
    </row>
    <row r="700" spans="38:39">
      <c r="AL700" s="133">
        <v>719</v>
      </c>
      <c r="AM700" s="24">
        <v>434679.22407442861</v>
      </c>
    </row>
    <row r="701" spans="38:39">
      <c r="AL701" s="133">
        <v>720</v>
      </c>
      <c r="AM701" s="24">
        <v>435029.14490990737</v>
      </c>
    </row>
    <row r="702" spans="38:39">
      <c r="AL702" s="133">
        <v>721</v>
      </c>
      <c r="AM702" s="24">
        <v>435378.87168767024</v>
      </c>
    </row>
    <row r="703" spans="38:39">
      <c r="AL703" s="133">
        <v>722</v>
      </c>
      <c r="AM703" s="24">
        <v>435728.39979738643</v>
      </c>
    </row>
    <row r="704" spans="38:39">
      <c r="AL704" s="133">
        <v>723</v>
      </c>
      <c r="AM704" s="24">
        <v>436077.72460324841</v>
      </c>
    </row>
    <row r="705" spans="38:39">
      <c r="AL705" s="133">
        <v>724</v>
      </c>
      <c r="AM705" s="24">
        <v>436426.84149540128</v>
      </c>
    </row>
    <row r="706" spans="38:39">
      <c r="AL706" s="133">
        <v>725</v>
      </c>
      <c r="AM706" s="24">
        <v>436775.74585517868</v>
      </c>
    </row>
    <row r="707" spans="38:39">
      <c r="AL707" s="133">
        <v>726</v>
      </c>
      <c r="AM707" s="24">
        <v>437124.43306391418</v>
      </c>
    </row>
    <row r="708" spans="38:39">
      <c r="AL708" s="133">
        <v>727</v>
      </c>
      <c r="AM708" s="24">
        <v>437472.89850294136</v>
      </c>
    </row>
    <row r="709" spans="38:39">
      <c r="AL709" s="133">
        <v>728</v>
      </c>
      <c r="AM709" s="24">
        <v>437821.13755359384</v>
      </c>
    </row>
    <row r="710" spans="38:39">
      <c r="AL710" s="133">
        <v>729</v>
      </c>
      <c r="AM710" s="24">
        <v>438169.14560238022</v>
      </c>
    </row>
    <row r="711" spans="38:39">
      <c r="AL711" s="133">
        <v>730</v>
      </c>
      <c r="AM711" s="24">
        <v>438516.91801985685</v>
      </c>
    </row>
    <row r="712" spans="38:39">
      <c r="AL712" s="133">
        <v>731</v>
      </c>
      <c r="AM712" s="24">
        <v>438864.45019296563</v>
      </c>
    </row>
    <row r="713" spans="38:39">
      <c r="AL713" s="133">
        <v>732</v>
      </c>
      <c r="AM713" s="24">
        <v>439211.73750304017</v>
      </c>
    </row>
    <row r="714" spans="38:39">
      <c r="AL714" s="133">
        <v>733</v>
      </c>
      <c r="AM714" s="24">
        <v>439558.77533141407</v>
      </c>
    </row>
    <row r="715" spans="38:39">
      <c r="AL715" s="133">
        <v>734</v>
      </c>
      <c r="AM715" s="24">
        <v>439905.55905942095</v>
      </c>
    </row>
    <row r="716" spans="38:39">
      <c r="AL716" s="133">
        <v>735</v>
      </c>
      <c r="AM716" s="24">
        <v>440252.08407109656</v>
      </c>
    </row>
    <row r="717" spans="38:39">
      <c r="AL717" s="133">
        <v>736</v>
      </c>
      <c r="AM717" s="24">
        <v>440598.34574197925</v>
      </c>
    </row>
    <row r="718" spans="38:39">
      <c r="AL718" s="133">
        <v>737</v>
      </c>
      <c r="AM718" s="24">
        <v>440944.33945650177</v>
      </c>
    </row>
    <row r="719" spans="38:39">
      <c r="AL719" s="133">
        <v>738</v>
      </c>
      <c r="AM719" s="24">
        <v>441290.06059599773</v>
      </c>
    </row>
    <row r="720" spans="38:39">
      <c r="AL720" s="133">
        <v>739</v>
      </c>
      <c r="AM720" s="24">
        <v>441635.50454180076</v>
      </c>
    </row>
    <row r="721" spans="38:39">
      <c r="AL721" s="133">
        <v>740</v>
      </c>
      <c r="AM721" s="24">
        <v>441980.6823002444</v>
      </c>
    </row>
    <row r="722" spans="38:39">
      <c r="AL722" s="133">
        <v>741</v>
      </c>
      <c r="AM722" s="24">
        <v>442325.52675310976</v>
      </c>
    </row>
    <row r="723" spans="38:39">
      <c r="AL723" s="133">
        <v>742</v>
      </c>
      <c r="AM723" s="24">
        <v>442670.12703048089</v>
      </c>
    </row>
    <row r="724" spans="38:39">
      <c r="AL724" s="133">
        <v>743</v>
      </c>
      <c r="AM724" s="24">
        <v>443014.41601449955</v>
      </c>
    </row>
    <row r="725" spans="38:39">
      <c r="AL725" s="133">
        <v>744</v>
      </c>
      <c r="AM725" s="24">
        <v>443358.40471149929</v>
      </c>
    </row>
    <row r="726" spans="38:39">
      <c r="AL726" s="133">
        <v>745</v>
      </c>
      <c r="AM726" s="24">
        <v>443702.08850281377</v>
      </c>
    </row>
    <row r="727" spans="38:39">
      <c r="AL727" s="133">
        <v>746</v>
      </c>
      <c r="AM727" s="24">
        <v>444045.47839477652</v>
      </c>
    </row>
    <row r="728" spans="38:39">
      <c r="AL728" s="133">
        <v>747</v>
      </c>
      <c r="AM728" s="24">
        <v>444388.50726713217</v>
      </c>
    </row>
    <row r="729" spans="38:39">
      <c r="AL729" s="133">
        <v>748</v>
      </c>
      <c r="AM729" s="24">
        <v>444731.24862907414</v>
      </c>
    </row>
    <row r="730" spans="38:39">
      <c r="AL730" s="133">
        <v>749</v>
      </c>
      <c r="AM730" s="24">
        <v>445073.68223567127</v>
      </c>
    </row>
    <row r="731" spans="38:39">
      <c r="AL731" s="133">
        <v>750</v>
      </c>
      <c r="AM731" s="24">
        <v>445415.77221825719</v>
      </c>
    </row>
    <row r="732" spans="38:39">
      <c r="AL732" s="133">
        <v>751</v>
      </c>
      <c r="AM732" s="24">
        <v>445757.52958316548</v>
      </c>
    </row>
    <row r="733" spans="38:39">
      <c r="AL733" s="133">
        <v>752</v>
      </c>
      <c r="AM733" s="24">
        <v>446098.94971017004</v>
      </c>
    </row>
    <row r="734" spans="38:39">
      <c r="AL734" s="133">
        <v>753</v>
      </c>
      <c r="AM734" s="24">
        <v>446440.0279835799</v>
      </c>
    </row>
    <row r="735" spans="38:39">
      <c r="AL735" s="133">
        <v>754</v>
      </c>
      <c r="AM735" s="24">
        <v>446780.75978331594</v>
      </c>
    </row>
    <row r="736" spans="38:39">
      <c r="AL736" s="133">
        <v>755</v>
      </c>
      <c r="AM736" s="24">
        <v>447121.1404887294</v>
      </c>
    </row>
    <row r="737" spans="38:39">
      <c r="AL737" s="133">
        <v>756</v>
      </c>
      <c r="AM737" s="24">
        <v>447461.16548498382</v>
      </c>
    </row>
    <row r="738" spans="38:39">
      <c r="AL738" s="133">
        <v>757</v>
      </c>
      <c r="AM738" s="24">
        <v>447800.83015156828</v>
      </c>
    </row>
    <row r="739" spans="38:39">
      <c r="AL739" s="133">
        <v>758</v>
      </c>
      <c r="AM739" s="24">
        <v>448140.12986743846</v>
      </c>
    </row>
    <row r="740" spans="38:39">
      <c r="AL740" s="133">
        <v>759</v>
      </c>
      <c r="AM740" s="24">
        <v>448479.060018558</v>
      </c>
    </row>
    <row r="741" spans="38:39">
      <c r="AL741" s="133">
        <v>760</v>
      </c>
      <c r="AM741" s="24">
        <v>448817.61598401144</v>
      </c>
    </row>
    <row r="742" spans="38:39">
      <c r="AL742" s="133">
        <v>761</v>
      </c>
      <c r="AM742" s="24">
        <v>449155.79314238625</v>
      </c>
    </row>
    <row r="743" spans="38:39">
      <c r="AL743" s="133">
        <v>762</v>
      </c>
      <c r="AM743" s="24">
        <v>449493.58688039158</v>
      </c>
    </row>
    <row r="744" spans="38:39">
      <c r="AL744" s="133">
        <v>763</v>
      </c>
      <c r="AM744" s="24">
        <v>449830.99257673457</v>
      </c>
    </row>
    <row r="745" spans="38:39">
      <c r="AL745" s="133">
        <v>764</v>
      </c>
      <c r="AM745" s="24">
        <v>450168.00561274885</v>
      </c>
    </row>
    <row r="746" spans="38:39">
      <c r="AL746" s="133">
        <v>765</v>
      </c>
      <c r="AM746" s="24">
        <v>450504.62136657344</v>
      </c>
    </row>
    <row r="747" spans="38:39">
      <c r="AL747" s="133">
        <v>766</v>
      </c>
      <c r="AM747" s="24">
        <v>450840.83522582659</v>
      </c>
    </row>
    <row r="748" spans="38:39">
      <c r="AL748" s="133">
        <v>767</v>
      </c>
      <c r="AM748" s="24">
        <v>451176.64256875491</v>
      </c>
    </row>
    <row r="749" spans="38:39">
      <c r="AL749" s="133">
        <v>768</v>
      </c>
      <c r="AM749" s="24">
        <v>451512.03877319279</v>
      </c>
    </row>
    <row r="750" spans="38:39">
      <c r="AL750" s="133">
        <v>769</v>
      </c>
      <c r="AM750" s="24">
        <v>451847.01922737673</v>
      </c>
    </row>
    <row r="751" spans="38:39">
      <c r="AL751" s="133">
        <v>770</v>
      </c>
      <c r="AM751" s="24">
        <v>452181.58712173958</v>
      </c>
    </row>
    <row r="752" spans="38:39">
      <c r="AL752" s="133">
        <v>771</v>
      </c>
      <c r="AM752" s="24">
        <v>452515.71439633862</v>
      </c>
    </row>
    <row r="753" spans="38:39">
      <c r="AL753" s="133">
        <v>772</v>
      </c>
      <c r="AM753" s="24">
        <v>452849.41987747385</v>
      </c>
    </row>
    <row r="754" spans="38:39">
      <c r="AL754" s="133">
        <v>773</v>
      </c>
      <c r="AM754" s="24">
        <v>453182.6989427919</v>
      </c>
    </row>
    <row r="755" spans="38:39">
      <c r="AL755" s="133">
        <v>774</v>
      </c>
      <c r="AM755" s="24">
        <v>453515.51571959991</v>
      </c>
    </row>
    <row r="756" spans="38:39">
      <c r="AL756" s="133">
        <v>775</v>
      </c>
      <c r="AM756" s="24">
        <v>453847.9124722071</v>
      </c>
    </row>
    <row r="757" spans="38:39">
      <c r="AL757" s="133">
        <v>776</v>
      </c>
      <c r="AM757" s="24">
        <v>454179.85332591191</v>
      </c>
    </row>
    <row r="758" spans="38:39">
      <c r="AL758" s="133">
        <v>777</v>
      </c>
      <c r="AM758" s="24">
        <v>454511.34147869039</v>
      </c>
    </row>
    <row r="759" spans="38:39">
      <c r="AL759" s="133">
        <v>778</v>
      </c>
      <c r="AM759" s="24">
        <v>454842.37230766553</v>
      </c>
    </row>
    <row r="760" spans="38:39">
      <c r="AL760" s="133">
        <v>779</v>
      </c>
      <c r="AM760" s="24">
        <v>455172.94119626441</v>
      </c>
    </row>
    <row r="761" spans="38:39">
      <c r="AL761" s="133">
        <v>780</v>
      </c>
      <c r="AM761" s="24">
        <v>455503.04352804762</v>
      </c>
    </row>
    <row r="762" spans="38:39">
      <c r="AL762" s="133">
        <v>781</v>
      </c>
      <c r="AM762" s="24">
        <v>455832.67467993812</v>
      </c>
    </row>
    <row r="763" spans="38:39">
      <c r="AL763" s="133">
        <v>782</v>
      </c>
      <c r="AM763" s="24">
        <v>456161.83003774524</v>
      </c>
    </row>
    <row r="764" spans="38:39">
      <c r="AL764" s="133">
        <v>783</v>
      </c>
      <c r="AM764" s="24">
        <v>456490.50497827388</v>
      </c>
    </row>
    <row r="765" spans="38:39">
      <c r="AL765" s="133">
        <v>784</v>
      </c>
      <c r="AM765" s="24">
        <v>456818.69488511398</v>
      </c>
    </row>
    <row r="766" spans="38:39">
      <c r="AL766" s="133">
        <v>785</v>
      </c>
      <c r="AM766" s="24">
        <v>457146.39904820867</v>
      </c>
    </row>
    <row r="767" spans="38:39">
      <c r="AL767" s="133">
        <v>786</v>
      </c>
      <c r="AM767" s="24">
        <v>457473.6011254582</v>
      </c>
    </row>
    <row r="768" spans="38:39">
      <c r="AL768" s="133">
        <v>787</v>
      </c>
      <c r="AM768" s="24">
        <v>457800.30431303213</v>
      </c>
    </row>
    <row r="769" spans="38:39">
      <c r="AL769" s="133">
        <v>788</v>
      </c>
      <c r="AM769" s="24">
        <v>458126.5118059768</v>
      </c>
    </row>
    <row r="770" spans="38:39">
      <c r="AL770" s="133">
        <v>789</v>
      </c>
      <c r="AM770" s="24">
        <v>458452.20726568962</v>
      </c>
    </row>
    <row r="771" spans="38:39">
      <c r="AL771" s="133">
        <v>790</v>
      </c>
      <c r="AM771" s="24">
        <v>458777.38997975644</v>
      </c>
    </row>
    <row r="772" spans="38:39">
      <c r="AL772" s="133">
        <v>791</v>
      </c>
      <c r="AM772" s="24">
        <v>459102.05532951321</v>
      </c>
    </row>
    <row r="773" spans="38:39">
      <c r="AL773" s="133">
        <v>792</v>
      </c>
      <c r="AM773" s="24">
        <v>459426.19869505725</v>
      </c>
    </row>
    <row r="774" spans="38:39">
      <c r="AL774" s="133">
        <v>793</v>
      </c>
      <c r="AM774" s="24">
        <v>459749.81546019571</v>
      </c>
    </row>
    <row r="775" spans="38:39">
      <c r="AL775" s="133">
        <v>794</v>
      </c>
      <c r="AM775" s="24">
        <v>460072.9010044079</v>
      </c>
    </row>
    <row r="776" spans="38:39">
      <c r="AL776" s="133">
        <v>795</v>
      </c>
      <c r="AM776" s="24">
        <v>460395.45071027667</v>
      </c>
    </row>
    <row r="777" spans="38:39">
      <c r="AL777" s="133">
        <v>796</v>
      </c>
      <c r="AM777" s="24">
        <v>460717.45995788753</v>
      </c>
    </row>
    <row r="778" spans="38:39">
      <c r="AL778" s="133">
        <v>797</v>
      </c>
      <c r="AM778" s="24">
        <v>461038.92412951682</v>
      </c>
    </row>
    <row r="779" spans="38:39">
      <c r="AL779" s="133">
        <v>798</v>
      </c>
      <c r="AM779" s="24">
        <v>461359.83860618772</v>
      </c>
    </row>
    <row r="780" spans="38:39">
      <c r="AL780" s="133">
        <v>799</v>
      </c>
      <c r="AM780" s="24">
        <v>461680.19876923662</v>
      </c>
    </row>
    <row r="781" spans="38:39">
      <c r="AL781" s="133">
        <v>800</v>
      </c>
      <c r="AM781" s="24">
        <v>462000</v>
      </c>
    </row>
    <row r="782" spans="38:39">
      <c r="AL782" s="133">
        <v>801</v>
      </c>
      <c r="AM782" s="24">
        <v>462319.24029860116</v>
      </c>
    </row>
    <row r="783" spans="38:39">
      <c r="AL783" s="133">
        <v>802</v>
      </c>
      <c r="AM783" s="24">
        <v>462637.92824170506</v>
      </c>
    </row>
    <row r="784" spans="38:39">
      <c r="AL784" s="133">
        <v>803</v>
      </c>
      <c r="AM784" s="24">
        <v>462956.07502368855</v>
      </c>
    </row>
    <row r="785" spans="38:39">
      <c r="AL785" s="133">
        <v>804</v>
      </c>
      <c r="AM785" s="24">
        <v>463273.69193772867</v>
      </c>
    </row>
    <row r="786" spans="38:39">
      <c r="AL786" s="133">
        <v>805</v>
      </c>
      <c r="AM786" s="24">
        <v>463590.78997739434</v>
      </c>
    </row>
    <row r="787" spans="38:39">
      <c r="AL787" s="133">
        <v>806</v>
      </c>
      <c r="AM787" s="24">
        <v>463907.38043910387</v>
      </c>
    </row>
    <row r="788" spans="38:39">
      <c r="AL788" s="133">
        <v>807</v>
      </c>
      <c r="AM788" s="24">
        <v>464223.47451723431</v>
      </c>
    </row>
    <row r="789" spans="38:39">
      <c r="AL789" s="133">
        <v>808</v>
      </c>
      <c r="AM789" s="24">
        <v>464539.08340616256</v>
      </c>
    </row>
    <row r="790" spans="38:39">
      <c r="AL790" s="133">
        <v>809</v>
      </c>
      <c r="AM790" s="24">
        <v>464854.21830026549</v>
      </c>
    </row>
    <row r="791" spans="38:39">
      <c r="AL791" s="133">
        <v>810</v>
      </c>
      <c r="AM791" s="24">
        <v>465168.89047397685</v>
      </c>
    </row>
    <row r="792" spans="38:39">
      <c r="AL792" s="133">
        <v>811</v>
      </c>
      <c r="AM792" s="24">
        <v>465483.11095855362</v>
      </c>
    </row>
    <row r="793" spans="38:39">
      <c r="AL793" s="133">
        <v>812</v>
      </c>
      <c r="AM793" s="24">
        <v>465796.89103146945</v>
      </c>
    </row>
    <row r="794" spans="38:39">
      <c r="AL794" s="133">
        <v>813</v>
      </c>
      <c r="AM794" s="24">
        <v>466110.24188710121</v>
      </c>
    </row>
    <row r="795" spans="38:39">
      <c r="AL795" s="133">
        <v>814</v>
      </c>
      <c r="AM795" s="24">
        <v>466423.17471982585</v>
      </c>
    </row>
    <row r="796" spans="38:39">
      <c r="AL796" s="133">
        <v>815</v>
      </c>
      <c r="AM796" s="24">
        <v>466735.70072402025</v>
      </c>
    </row>
    <row r="797" spans="38:39">
      <c r="AL797" s="133">
        <v>816</v>
      </c>
      <c r="AM797" s="24">
        <v>467047.83115658408</v>
      </c>
    </row>
    <row r="798" spans="38:39">
      <c r="AL798" s="133">
        <v>817</v>
      </c>
      <c r="AM798" s="24">
        <v>467359.57708404405</v>
      </c>
    </row>
    <row r="799" spans="38:39">
      <c r="AL799" s="133">
        <v>818</v>
      </c>
      <c r="AM799" s="24">
        <v>467670.9497661381</v>
      </c>
    </row>
    <row r="800" spans="38:39">
      <c r="AL800" s="133">
        <v>819</v>
      </c>
      <c r="AM800" s="24">
        <v>467981.96039724327</v>
      </c>
    </row>
    <row r="801" spans="38:39">
      <c r="AL801" s="133">
        <v>820</v>
      </c>
      <c r="AM801" s="24">
        <v>468292.62017173634</v>
      </c>
    </row>
    <row r="802" spans="38:39">
      <c r="AL802" s="133">
        <v>821</v>
      </c>
      <c r="AM802" s="24">
        <v>468602.94028399431</v>
      </c>
    </row>
    <row r="803" spans="38:39">
      <c r="AL803" s="133">
        <v>822</v>
      </c>
      <c r="AM803" s="24">
        <v>468912.93197459186</v>
      </c>
    </row>
    <row r="804" spans="38:39">
      <c r="AL804" s="133">
        <v>823</v>
      </c>
      <c r="AM804" s="24">
        <v>469222.60634290706</v>
      </c>
    </row>
    <row r="805" spans="38:39">
      <c r="AL805" s="133">
        <v>824</v>
      </c>
      <c r="AM805" s="24">
        <v>469531.97463215142</v>
      </c>
    </row>
    <row r="806" spans="38:39">
      <c r="AL806" s="133">
        <v>825</v>
      </c>
      <c r="AM806" s="24">
        <v>469841.04803670198</v>
      </c>
    </row>
    <row r="807" spans="38:39">
      <c r="AL807" s="133">
        <v>826</v>
      </c>
      <c r="AM807" s="24">
        <v>470149.83775093552</v>
      </c>
    </row>
    <row r="808" spans="38:39">
      <c r="AL808" s="133">
        <v>827</v>
      </c>
      <c r="AM808" s="24">
        <v>470458.35496922908</v>
      </c>
    </row>
    <row r="809" spans="38:39">
      <c r="AL809" s="133">
        <v>828</v>
      </c>
      <c r="AM809" s="24">
        <v>470766.61088595947</v>
      </c>
    </row>
    <row r="810" spans="38:39">
      <c r="AL810" s="133">
        <v>829</v>
      </c>
      <c r="AM810" s="24">
        <v>471074.61672418413</v>
      </c>
    </row>
    <row r="811" spans="38:39">
      <c r="AL811" s="133">
        <v>830</v>
      </c>
      <c r="AM811" s="24">
        <v>471382.3836185509</v>
      </c>
    </row>
    <row r="812" spans="38:39">
      <c r="AL812" s="133">
        <v>831</v>
      </c>
      <c r="AM812" s="24">
        <v>471689.92279451882</v>
      </c>
    </row>
    <row r="813" spans="38:39">
      <c r="AL813" s="133">
        <v>832</v>
      </c>
      <c r="AM813" s="24">
        <v>471997.24544646492</v>
      </c>
    </row>
    <row r="814" spans="38:39">
      <c r="AL814" s="133">
        <v>833</v>
      </c>
      <c r="AM814" s="24">
        <v>472304.36276876606</v>
      </c>
    </row>
    <row r="815" spans="38:39">
      <c r="AL815" s="133">
        <v>834</v>
      </c>
      <c r="AM815" s="24">
        <v>472611.28595579916</v>
      </c>
    </row>
    <row r="816" spans="38:39">
      <c r="AL816" s="133">
        <v>835</v>
      </c>
      <c r="AM816" s="24">
        <v>472918.02621691674</v>
      </c>
    </row>
    <row r="817" spans="38:39">
      <c r="AL817" s="133">
        <v>836</v>
      </c>
      <c r="AM817" s="24">
        <v>473224.59471437789</v>
      </c>
    </row>
    <row r="818" spans="38:39">
      <c r="AL818" s="133">
        <v>837</v>
      </c>
      <c r="AM818" s="24">
        <v>473531.00265973533</v>
      </c>
    </row>
    <row r="819" spans="38:39">
      <c r="AL819" s="133">
        <v>838</v>
      </c>
      <c r="AM819" s="24">
        <v>473837.26124736597</v>
      </c>
    </row>
    <row r="820" spans="38:39">
      <c r="AL820" s="133">
        <v>839</v>
      </c>
      <c r="AM820" s="24">
        <v>474143.38167164673</v>
      </c>
    </row>
    <row r="821" spans="38:39">
      <c r="AL821" s="133">
        <v>840</v>
      </c>
      <c r="AM821" s="24">
        <v>474449.37512695458</v>
      </c>
    </row>
    <row r="822" spans="38:39">
      <c r="AL822" s="133">
        <v>841</v>
      </c>
      <c r="AM822" s="24">
        <v>474755.25281014637</v>
      </c>
    </row>
    <row r="823" spans="38:39">
      <c r="AL823" s="133">
        <v>842</v>
      </c>
      <c r="AM823" s="24">
        <v>475061.025908674</v>
      </c>
    </row>
    <row r="824" spans="38:39">
      <c r="AL824" s="133">
        <v>843</v>
      </c>
      <c r="AM824" s="24">
        <v>475366.70562139293</v>
      </c>
    </row>
    <row r="825" spans="38:39">
      <c r="AL825" s="133">
        <v>844</v>
      </c>
      <c r="AM825" s="24">
        <v>475672.3031426802</v>
      </c>
    </row>
    <row r="826" spans="38:39">
      <c r="AL826" s="133">
        <v>845</v>
      </c>
      <c r="AM826" s="24">
        <v>475977.82966691261</v>
      </c>
    </row>
    <row r="827" spans="38:39">
      <c r="AL827" s="133">
        <v>846</v>
      </c>
      <c r="AM827" s="24">
        <v>476283.31201346719</v>
      </c>
    </row>
    <row r="828" spans="38:39">
      <c r="AL828" s="133">
        <v>847</v>
      </c>
      <c r="AM828" s="24">
        <v>476588.69886791456</v>
      </c>
    </row>
    <row r="829" spans="38:39">
      <c r="AL829" s="133">
        <v>848</v>
      </c>
      <c r="AM829" s="24">
        <v>476894.07956548058</v>
      </c>
    </row>
    <row r="830" spans="38:39">
      <c r="AL830" s="133">
        <v>849</v>
      </c>
      <c r="AM830" s="24">
        <v>477199.44966853311</v>
      </c>
    </row>
    <row r="831" spans="38:39">
      <c r="AL831" s="133">
        <v>850</v>
      </c>
      <c r="AM831" s="24">
        <v>477504.78912144899</v>
      </c>
    </row>
    <row r="832" spans="38:39">
      <c r="AL832" s="133">
        <v>851</v>
      </c>
      <c r="AM832" s="24">
        <v>477810.12474360515</v>
      </c>
    </row>
    <row r="833" spans="38:39">
      <c r="AL833" s="133">
        <v>852</v>
      </c>
      <c r="AM833" s="24">
        <v>478115.46772073465</v>
      </c>
    </row>
    <row r="834" spans="38:39">
      <c r="AL834" s="133">
        <v>853</v>
      </c>
      <c r="AM834" s="24">
        <v>478420.82926370436</v>
      </c>
    </row>
    <row r="835" spans="38:39">
      <c r="AL835" s="133">
        <v>854</v>
      </c>
      <c r="AM835" s="24">
        <v>478726.22055906191</v>
      </c>
    </row>
    <row r="836" spans="38:39">
      <c r="AL836" s="133">
        <v>855</v>
      </c>
      <c r="AM836" s="24">
        <v>479031.65279019735</v>
      </c>
    </row>
    <row r="837" spans="38:39">
      <c r="AL837" s="133">
        <v>856</v>
      </c>
      <c r="AM837" s="24">
        <v>479337.13717271393</v>
      </c>
    </row>
    <row r="838" spans="38:39">
      <c r="AL838" s="133">
        <v>857</v>
      </c>
      <c r="AM838" s="24">
        <v>479642.68489076581</v>
      </c>
    </row>
    <row r="839" spans="38:39">
      <c r="AL839" s="133">
        <v>858</v>
      </c>
      <c r="AM839" s="24">
        <v>479948.30712555145</v>
      </c>
    </row>
    <row r="840" spans="38:39">
      <c r="AL840" s="133">
        <v>859</v>
      </c>
      <c r="AM840" s="24">
        <v>480254.01509710785</v>
      </c>
    </row>
    <row r="841" spans="38:39">
      <c r="AL841" s="133">
        <v>860</v>
      </c>
      <c r="AM841" s="24">
        <v>480559.81998734717</v>
      </c>
    </row>
    <row r="842" spans="38:39">
      <c r="AL842" s="133">
        <v>861</v>
      </c>
      <c r="AM842" s="24">
        <v>480865.73297542712</v>
      </c>
    </row>
    <row r="843" spans="38:39">
      <c r="AL843" s="133">
        <v>862</v>
      </c>
      <c r="AM843" s="24">
        <v>481171.76528551639</v>
      </c>
    </row>
    <row r="844" spans="38:39">
      <c r="AL844" s="133">
        <v>863</v>
      </c>
      <c r="AM844" s="24">
        <v>481477.92809743615</v>
      </c>
    </row>
    <row r="845" spans="38:39">
      <c r="AL845" s="133">
        <v>864</v>
      </c>
      <c r="AM845" s="24">
        <v>481784.23260556324</v>
      </c>
    </row>
    <row r="846" spans="38:39">
      <c r="AL846" s="133">
        <v>865</v>
      </c>
      <c r="AM846" s="24">
        <v>482090.68998656975</v>
      </c>
    </row>
    <row r="847" spans="38:39">
      <c r="AL847" s="133">
        <v>866</v>
      </c>
      <c r="AM847" s="24">
        <v>482397.31146966288</v>
      </c>
    </row>
    <row r="848" spans="38:39">
      <c r="AL848" s="133">
        <v>867</v>
      </c>
      <c r="AM848" s="24">
        <v>482704.10823211091</v>
      </c>
    </row>
    <row r="849" spans="38:39">
      <c r="AL849" s="133">
        <v>868</v>
      </c>
      <c r="AM849" s="24">
        <v>483011.09144889796</v>
      </c>
    </row>
    <row r="850" spans="38:39">
      <c r="AL850" s="133">
        <v>869</v>
      </c>
      <c r="AM850" s="24">
        <v>483318.27235265751</v>
      </c>
    </row>
    <row r="851" spans="38:39">
      <c r="AL851" s="133">
        <v>870</v>
      </c>
      <c r="AM851" s="24">
        <v>483625.66211891954</v>
      </c>
    </row>
    <row r="852" spans="38:39">
      <c r="AL852" s="133">
        <v>871</v>
      </c>
      <c r="AM852" s="24">
        <v>483933.27192113135</v>
      </c>
    </row>
    <row r="853" spans="38:39">
      <c r="AL853" s="133">
        <v>872</v>
      </c>
      <c r="AM853" s="24">
        <v>484241.11299505038</v>
      </c>
    </row>
    <row r="854" spans="38:39">
      <c r="AL854" s="133">
        <v>873</v>
      </c>
      <c r="AM854" s="24">
        <v>484549.20432711934</v>
      </c>
    </row>
    <row r="855" spans="38:39">
      <c r="AL855" s="133">
        <v>874</v>
      </c>
      <c r="AM855" s="24">
        <v>484857.52583940007</v>
      </c>
    </row>
    <row r="856" spans="38:39">
      <c r="AL856" s="133">
        <v>875</v>
      </c>
      <c r="AM856" s="24">
        <v>485166.13564547151</v>
      </c>
    </row>
    <row r="857" spans="38:39">
      <c r="AL857" s="133">
        <v>876</v>
      </c>
      <c r="AM857" s="24">
        <v>485475.01365626301</v>
      </c>
    </row>
    <row r="858" spans="38:39">
      <c r="AL858" s="133">
        <v>877</v>
      </c>
      <c r="AM858" s="24">
        <v>485784.17890160909</v>
      </c>
    </row>
    <row r="859" spans="38:39">
      <c r="AL859" s="133">
        <v>878</v>
      </c>
      <c r="AM859" s="24">
        <v>486093.64255255117</v>
      </c>
    </row>
    <row r="860" spans="38:39">
      <c r="AL860" s="133">
        <v>879</v>
      </c>
      <c r="AM860" s="24">
        <v>486403.41581506887</v>
      </c>
    </row>
    <row r="861" spans="38:39">
      <c r="AL861" s="133">
        <v>880</v>
      </c>
      <c r="AM861" s="24">
        <v>486713.50989588065</v>
      </c>
    </row>
    <row r="862" spans="38:39">
      <c r="AL862" s="133">
        <v>881</v>
      </c>
      <c r="AM862" s="24">
        <v>487023.93596491957</v>
      </c>
    </row>
    <row r="863" spans="38:39">
      <c r="AL863" s="133">
        <v>882</v>
      </c>
      <c r="AM863" s="24">
        <v>487334.70524136751</v>
      </c>
    </row>
    <row r="864" spans="38:39">
      <c r="AL864" s="133">
        <v>883</v>
      </c>
      <c r="AM864" s="24">
        <v>487645.82889450248</v>
      </c>
    </row>
    <row r="865" spans="38:39">
      <c r="AL865" s="133">
        <v>884</v>
      </c>
      <c r="AM865" s="24">
        <v>487957.31813120679</v>
      </c>
    </row>
    <row r="866" spans="38:39">
      <c r="AL866" s="133">
        <v>885</v>
      </c>
      <c r="AM866" s="24">
        <v>488269.18415893376</v>
      </c>
    </row>
    <row r="867" spans="38:39">
      <c r="AL867" s="133">
        <v>886</v>
      </c>
      <c r="AM867" s="24">
        <v>488581.4381461048</v>
      </c>
    </row>
    <row r="868" spans="38:39">
      <c r="AL868" s="133">
        <v>887</v>
      </c>
      <c r="AM868" s="24">
        <v>488894.08739379316</v>
      </c>
    </row>
    <row r="869" spans="38:39">
      <c r="AL869" s="133">
        <v>888</v>
      </c>
      <c r="AM869" s="24">
        <v>489207.15482184646</v>
      </c>
    </row>
    <row r="870" spans="38:39">
      <c r="AL870" s="133">
        <v>889</v>
      </c>
      <c r="AM870" s="24">
        <v>489520.63989931782</v>
      </c>
    </row>
    <row r="871" spans="38:39">
      <c r="AL871" s="133">
        <v>890</v>
      </c>
      <c r="AM871" s="24">
        <v>489834.55772684672</v>
      </c>
    </row>
    <row r="872" spans="38:39">
      <c r="AL872" s="133">
        <v>891</v>
      </c>
      <c r="AM872" s="24">
        <v>490148.91949882271</v>
      </c>
    </row>
    <row r="873" spans="38:39">
      <c r="AL873" s="133">
        <v>892</v>
      </c>
      <c r="AM873" s="24">
        <v>490463.73640277167</v>
      </c>
    </row>
    <row r="874" spans="38:39">
      <c r="AL874" s="133">
        <v>893</v>
      </c>
      <c r="AM874" s="24">
        <v>490779.01964677882</v>
      </c>
    </row>
    <row r="875" spans="38:39">
      <c r="AL875" s="133">
        <v>894</v>
      </c>
      <c r="AM875" s="24">
        <v>491094.78041494457</v>
      </c>
    </row>
    <row r="876" spans="38:39">
      <c r="AL876" s="133">
        <v>895</v>
      </c>
      <c r="AM876" s="24">
        <v>491411.0299085693</v>
      </c>
    </row>
    <row r="877" spans="38:39">
      <c r="AL877" s="133">
        <v>896</v>
      </c>
      <c r="AM877" s="24">
        <v>491727.77931511274</v>
      </c>
    </row>
    <row r="878" spans="38:39">
      <c r="AL878" s="133">
        <v>897</v>
      </c>
      <c r="AM878" s="24">
        <v>492045.03983417671</v>
      </c>
    </row>
    <row r="879" spans="38:39">
      <c r="AL879" s="133">
        <v>898</v>
      </c>
      <c r="AM879" s="24">
        <v>492362.82265841746</v>
      </c>
    </row>
    <row r="880" spans="38:39">
      <c r="AL880" s="133">
        <v>899</v>
      </c>
      <c r="AM880" s="24">
        <v>492681.13898222765</v>
      </c>
    </row>
    <row r="881" spans="38:39">
      <c r="AL881" s="133">
        <v>900</v>
      </c>
      <c r="AM881" s="24">
        <v>493000</v>
      </c>
    </row>
    <row r="882" spans="38:39">
      <c r="AL882" s="133">
        <v>901</v>
      </c>
      <c r="AM882" s="24">
        <v>493319.41136616404</v>
      </c>
    </row>
    <row r="883" spans="38:39">
      <c r="AL883" s="133">
        <v>902</v>
      </c>
      <c r="AM883" s="24">
        <v>493639.35646072903</v>
      </c>
    </row>
    <row r="884" spans="38:39">
      <c r="AL884" s="133">
        <v>903</v>
      </c>
      <c r="AM884" s="24">
        <v>493959.8131248015</v>
      </c>
    </row>
    <row r="885" spans="38:39">
      <c r="AL885" s="133">
        <v>904</v>
      </c>
      <c r="AM885" s="24">
        <v>494280.75910203106</v>
      </c>
    </row>
    <row r="886" spans="38:39">
      <c r="AL886" s="133">
        <v>905</v>
      </c>
      <c r="AM886" s="24">
        <v>494602.17243160197</v>
      </c>
    </row>
    <row r="887" spans="38:39">
      <c r="AL887" s="133">
        <v>906</v>
      </c>
      <c r="AM887" s="24">
        <v>494924.03085396666</v>
      </c>
    </row>
    <row r="888" spans="38:39">
      <c r="AL888" s="133">
        <v>907</v>
      </c>
      <c r="AM888" s="24">
        <v>495246.31221023144</v>
      </c>
    </row>
    <row r="889" spans="38:39">
      <c r="AL889" s="133">
        <v>908</v>
      </c>
      <c r="AM889" s="24">
        <v>495568.99434150284</v>
      </c>
    </row>
    <row r="890" spans="38:39">
      <c r="AL890" s="133">
        <v>909</v>
      </c>
      <c r="AM890" s="24">
        <v>495892.05508888734</v>
      </c>
    </row>
    <row r="891" spans="38:39">
      <c r="AL891" s="133">
        <v>910</v>
      </c>
      <c r="AM891" s="24">
        <v>496215.47221452312</v>
      </c>
    </row>
    <row r="892" spans="38:39">
      <c r="AL892" s="133">
        <v>911</v>
      </c>
      <c r="AM892" s="24">
        <v>496539.22372041864</v>
      </c>
    </row>
    <row r="893" spans="38:39">
      <c r="AL893" s="133">
        <v>912</v>
      </c>
      <c r="AM893" s="24">
        <v>496863.28736571351</v>
      </c>
    </row>
    <row r="894" spans="38:39">
      <c r="AL894" s="133">
        <v>913</v>
      </c>
      <c r="AM894" s="24">
        <v>497187.64099151414</v>
      </c>
    </row>
    <row r="895" spans="38:39">
      <c r="AL895" s="133">
        <v>914</v>
      </c>
      <c r="AM895" s="24">
        <v>497512.26243892708</v>
      </c>
    </row>
    <row r="896" spans="38:39">
      <c r="AL896" s="133">
        <v>915</v>
      </c>
      <c r="AM896" s="24">
        <v>497837.12954905874</v>
      </c>
    </row>
    <row r="897" spans="38:39">
      <c r="AL897" s="133">
        <v>916</v>
      </c>
      <c r="AM897" s="24">
        <v>498162.22010134306</v>
      </c>
    </row>
    <row r="898" spans="38:39">
      <c r="AL898" s="133">
        <v>917</v>
      </c>
      <c r="AM898" s="24">
        <v>498487.51206299826</v>
      </c>
    </row>
    <row r="899" spans="38:39">
      <c r="AL899" s="133">
        <v>918</v>
      </c>
      <c r="AM899" s="24">
        <v>498812.98321065842</v>
      </c>
    </row>
    <row r="900" spans="38:39">
      <c r="AL900" s="133">
        <v>919</v>
      </c>
      <c r="AM900" s="24">
        <v>499138.61138543009</v>
      </c>
    </row>
    <row r="901" spans="38:39">
      <c r="AL901" s="133">
        <v>920</v>
      </c>
      <c r="AM901" s="24">
        <v>499464.37442841963</v>
      </c>
    </row>
    <row r="902" spans="38:39">
      <c r="AL902" s="133">
        <v>921</v>
      </c>
      <c r="AM902" s="24">
        <v>499790.25018073356</v>
      </c>
    </row>
    <row r="903" spans="38:39">
      <c r="AL903" s="133">
        <v>922</v>
      </c>
      <c r="AM903" s="24">
        <v>500116.2164379087</v>
      </c>
    </row>
    <row r="904" spans="38:39">
      <c r="AL904" s="133">
        <v>923</v>
      </c>
      <c r="AM904" s="24">
        <v>500442.25113475864</v>
      </c>
    </row>
    <row r="905" spans="38:39">
      <c r="AL905" s="133">
        <v>924</v>
      </c>
      <c r="AM905" s="24">
        <v>500768.33206421923</v>
      </c>
    </row>
    <row r="906" spans="38:39">
      <c r="AL906" s="133">
        <v>925</v>
      </c>
      <c r="AM906" s="24">
        <v>501094.43706739694</v>
      </c>
    </row>
    <row r="907" spans="38:39">
      <c r="AL907" s="133">
        <v>926</v>
      </c>
      <c r="AM907" s="24">
        <v>501420.5439853982</v>
      </c>
    </row>
    <row r="908" spans="38:39">
      <c r="AL908" s="133">
        <v>927</v>
      </c>
      <c r="AM908" s="24">
        <v>501746.63065932953</v>
      </c>
    </row>
    <row r="909" spans="38:39">
      <c r="AL909" s="133">
        <v>928</v>
      </c>
      <c r="AM909" s="24">
        <v>502072.67493029736</v>
      </c>
    </row>
    <row r="910" spans="38:39">
      <c r="AL910" s="133">
        <v>929</v>
      </c>
      <c r="AM910" s="24">
        <v>502398.65461111761</v>
      </c>
    </row>
    <row r="911" spans="38:39">
      <c r="AL911" s="133">
        <v>930</v>
      </c>
      <c r="AM911" s="24">
        <v>502724.54760181374</v>
      </c>
    </row>
    <row r="912" spans="38:39">
      <c r="AL912" s="133">
        <v>931</v>
      </c>
      <c r="AM912" s="24">
        <v>503050.33171283262</v>
      </c>
    </row>
    <row r="913" spans="38:39">
      <c r="AL913" s="133">
        <v>932</v>
      </c>
      <c r="AM913" s="24">
        <v>503375.98478528071</v>
      </c>
    </row>
    <row r="914" spans="38:39">
      <c r="AL914" s="133">
        <v>933</v>
      </c>
      <c r="AM914" s="24">
        <v>503701.48466026451</v>
      </c>
    </row>
    <row r="915" spans="38:39">
      <c r="AL915" s="133">
        <v>934</v>
      </c>
      <c r="AM915" s="24">
        <v>504026.80917889043</v>
      </c>
    </row>
    <row r="916" spans="38:39">
      <c r="AL916" s="133">
        <v>935</v>
      </c>
      <c r="AM916" s="24">
        <v>504351.93616749294</v>
      </c>
    </row>
    <row r="917" spans="38:39">
      <c r="AL917" s="133">
        <v>936</v>
      </c>
      <c r="AM917" s="24">
        <v>504676.84349885973</v>
      </c>
    </row>
    <row r="918" spans="38:39">
      <c r="AL918" s="133">
        <v>937</v>
      </c>
      <c r="AM918" s="24">
        <v>505001.50899715489</v>
      </c>
    </row>
    <row r="919" spans="38:39">
      <c r="AL919" s="133">
        <v>938</v>
      </c>
      <c r="AM919" s="24">
        <v>505325.91050348489</v>
      </c>
    </row>
    <row r="920" spans="38:39">
      <c r="AL920" s="133">
        <v>939</v>
      </c>
      <c r="AM920" s="24">
        <v>505650.02585895627</v>
      </c>
    </row>
    <row r="921" spans="38:39">
      <c r="AL921" s="133">
        <v>940</v>
      </c>
      <c r="AM921" s="24">
        <v>505973.83290467545</v>
      </c>
    </row>
    <row r="922" spans="38:39">
      <c r="AL922" s="133">
        <v>941</v>
      </c>
      <c r="AM922" s="24">
        <v>506297.30947930255</v>
      </c>
    </row>
    <row r="923" spans="38:39">
      <c r="AL923" s="133">
        <v>942</v>
      </c>
      <c r="AM923" s="24">
        <v>506620.43343077501</v>
      </c>
    </row>
    <row r="924" spans="38:39">
      <c r="AL924" s="133">
        <v>943</v>
      </c>
      <c r="AM924" s="24">
        <v>506943.18259578157</v>
      </c>
    </row>
    <row r="925" spans="38:39">
      <c r="AL925" s="133">
        <v>944</v>
      </c>
      <c r="AM925" s="24">
        <v>507265.5348154286</v>
      </c>
    </row>
    <row r="926" spans="38:39">
      <c r="AL926" s="133">
        <v>945</v>
      </c>
      <c r="AM926" s="24">
        <v>507587.46793082269</v>
      </c>
    </row>
    <row r="927" spans="38:39">
      <c r="AL927" s="133">
        <v>946</v>
      </c>
      <c r="AM927" s="24">
        <v>507908.9597830702</v>
      </c>
    </row>
    <row r="928" spans="38:39">
      <c r="AL928" s="133">
        <v>947</v>
      </c>
      <c r="AM928" s="24">
        <v>508229.9725969641</v>
      </c>
    </row>
    <row r="929" spans="38:39">
      <c r="AL929" s="133">
        <v>948</v>
      </c>
      <c r="AM929" s="24">
        <v>508550.51544797746</v>
      </c>
    </row>
    <row r="930" spans="38:39">
      <c r="AL930" s="133">
        <v>949</v>
      </c>
      <c r="AM930" s="24">
        <v>508870.5661841305</v>
      </c>
    </row>
    <row r="931" spans="38:39">
      <c r="AL931" s="133">
        <v>950</v>
      </c>
      <c r="AM931" s="24">
        <v>509190.07139652967</v>
      </c>
    </row>
    <row r="932" spans="38:39">
      <c r="AL932" s="133">
        <v>951</v>
      </c>
      <c r="AM932" s="24">
        <v>509509.02455128153</v>
      </c>
    </row>
    <row r="933" spans="38:39">
      <c r="AL933" s="133">
        <v>952</v>
      </c>
      <c r="AM933" s="24">
        <v>509827.40349801886</v>
      </c>
    </row>
    <row r="934" spans="38:39">
      <c r="AL934" s="133">
        <v>953</v>
      </c>
      <c r="AM934" s="24">
        <v>510145.1860615823</v>
      </c>
    </row>
    <row r="935" spans="38:39">
      <c r="AL935" s="133">
        <v>954</v>
      </c>
      <c r="AM935" s="24">
        <v>510462.35009080119</v>
      </c>
    </row>
    <row r="936" spans="38:39">
      <c r="AL936" s="133">
        <v>955</v>
      </c>
      <c r="AM936" s="24">
        <v>510778.87343761942</v>
      </c>
    </row>
    <row r="937" spans="38:39">
      <c r="AL937" s="133">
        <v>956</v>
      </c>
      <c r="AM937" s="24">
        <v>511094.73392220587</v>
      </c>
    </row>
    <row r="938" spans="38:39">
      <c r="AL938" s="133">
        <v>957</v>
      </c>
      <c r="AM938" s="24">
        <v>511409.90939575061</v>
      </c>
    </row>
    <row r="939" spans="38:39">
      <c r="AL939" s="133">
        <v>958</v>
      </c>
      <c r="AM939" s="24">
        <v>511724.37771235948</v>
      </c>
    </row>
    <row r="940" spans="38:39">
      <c r="AL940" s="133">
        <v>959</v>
      </c>
      <c r="AM940" s="24">
        <v>512038.11668782774</v>
      </c>
    </row>
    <row r="941" spans="38:39">
      <c r="AL941" s="133">
        <v>960</v>
      </c>
      <c r="AM941" s="24">
        <v>512351.10417555709</v>
      </c>
    </row>
    <row r="942" spans="38:39">
      <c r="AL942" s="133">
        <v>961</v>
      </c>
      <c r="AM942" s="24">
        <v>512663.31803166628</v>
      </c>
    </row>
    <row r="943" spans="38:39">
      <c r="AL943" s="133">
        <v>962</v>
      </c>
      <c r="AM943" s="24">
        <v>512974.73606787506</v>
      </c>
    </row>
    <row r="944" spans="38:39">
      <c r="AL944" s="133">
        <v>963</v>
      </c>
      <c r="AM944" s="24">
        <v>513285.33613964776</v>
      </c>
    </row>
    <row r="945" spans="38:39">
      <c r="AL945" s="133">
        <v>964</v>
      </c>
      <c r="AM945" s="24">
        <v>513595.09608809091</v>
      </c>
    </row>
    <row r="946" spans="38:39">
      <c r="AL946" s="133">
        <v>965</v>
      </c>
      <c r="AM946" s="24">
        <v>513903.99377177504</v>
      </c>
    </row>
    <row r="947" spans="38:39">
      <c r="AL947" s="133">
        <v>966</v>
      </c>
      <c r="AM947" s="24">
        <v>514212.00699744996</v>
      </c>
    </row>
    <row r="948" spans="38:39">
      <c r="AL948" s="133">
        <v>967</v>
      </c>
      <c r="AM948" s="24">
        <v>514519.11362309806</v>
      </c>
    </row>
    <row r="949" spans="38:39">
      <c r="AL949" s="133">
        <v>968</v>
      </c>
      <c r="AM949" s="24">
        <v>514825.29150895501</v>
      </c>
    </row>
    <row r="950" spans="38:39">
      <c r="AL950" s="133">
        <v>969</v>
      </c>
      <c r="AM950" s="24">
        <v>515130.51845839084</v>
      </c>
    </row>
    <row r="951" spans="38:39">
      <c r="AL951" s="133">
        <v>970</v>
      </c>
      <c r="AM951" s="24">
        <v>515434.77233110269</v>
      </c>
    </row>
    <row r="952" spans="38:39">
      <c r="AL952" s="133">
        <v>971</v>
      </c>
      <c r="AM952" s="24">
        <v>515738.03098884207</v>
      </c>
    </row>
    <row r="953" spans="38:39">
      <c r="AL953" s="133">
        <v>972</v>
      </c>
      <c r="AM953" s="24">
        <v>516040.27223189763</v>
      </c>
    </row>
    <row r="954" spans="38:39">
      <c r="AL954" s="133">
        <v>973</v>
      </c>
      <c r="AM954" s="24">
        <v>516341.47392153204</v>
      </c>
    </row>
    <row r="955" spans="38:39">
      <c r="AL955" s="133">
        <v>974</v>
      </c>
      <c r="AM955" s="24">
        <v>516641.60610836354</v>
      </c>
    </row>
    <row r="956" spans="38:39">
      <c r="AL956" s="133">
        <v>975</v>
      </c>
      <c r="AM956" s="24">
        <v>516940.67002739757</v>
      </c>
    </row>
    <row r="957" spans="38:39">
      <c r="AL957" s="133">
        <v>976</v>
      </c>
      <c r="AM957" s="24">
        <v>517238.62011523335</v>
      </c>
    </row>
    <row r="958" spans="38:39">
      <c r="AL958" s="133">
        <v>977</v>
      </c>
      <c r="AM958" s="24">
        <v>517535.4420028319</v>
      </c>
    </row>
    <row r="959" spans="38:39">
      <c r="AL959" s="133">
        <v>978</v>
      </c>
      <c r="AM959" s="24">
        <v>517831.11355431791</v>
      </c>
    </row>
    <row r="960" spans="38:39">
      <c r="AL960" s="133">
        <v>979</v>
      </c>
      <c r="AM960" s="24">
        <v>518125.6125993529</v>
      </c>
    </row>
    <row r="961" spans="38:39">
      <c r="AL961" s="133">
        <v>980</v>
      </c>
      <c r="AM961" s="24">
        <v>518418.9169668695</v>
      </c>
    </row>
    <row r="962" spans="38:39">
      <c r="AL962" s="133">
        <v>981</v>
      </c>
      <c r="AM962" s="24">
        <v>518711.00452208583</v>
      </c>
    </row>
    <row r="963" spans="38:39">
      <c r="AL963" s="133">
        <v>982</v>
      </c>
      <c r="AM963" s="24">
        <v>519001.85308164055</v>
      </c>
    </row>
    <row r="964" spans="38:39">
      <c r="AL964" s="133">
        <v>983</v>
      </c>
      <c r="AM964" s="24">
        <v>519291.44051139773</v>
      </c>
    </row>
    <row r="965" spans="38:39">
      <c r="AL965" s="133">
        <v>984</v>
      </c>
      <c r="AM965" s="24">
        <v>519579.74464012857</v>
      </c>
    </row>
    <row r="966" spans="38:39">
      <c r="AL966" s="133">
        <v>985</v>
      </c>
      <c r="AM966" s="24">
        <v>519866.74329604092</v>
      </c>
    </row>
    <row r="967" spans="38:39">
      <c r="AL967" s="133">
        <v>986</v>
      </c>
      <c r="AM967" s="24">
        <v>520152.41434584378</v>
      </c>
    </row>
    <row r="968" spans="38:39">
      <c r="AL968" s="133">
        <v>987</v>
      </c>
      <c r="AM968" s="24">
        <v>520436.73171162343</v>
      </c>
    </row>
    <row r="969" spans="38:39">
      <c r="AL969" s="133">
        <v>988</v>
      </c>
      <c r="AM969" s="24">
        <v>520719.68494660681</v>
      </c>
    </row>
    <row r="970" spans="38:39">
      <c r="AL970" s="133">
        <v>989</v>
      </c>
      <c r="AM970" s="24">
        <v>521001.24017963489</v>
      </c>
    </row>
    <row r="971" spans="38:39">
      <c r="AL971" s="133">
        <v>990</v>
      </c>
      <c r="AM971" s="24">
        <v>521281.3791580518</v>
      </c>
    </row>
    <row r="972" spans="38:39">
      <c r="AL972" s="133">
        <v>991</v>
      </c>
      <c r="AM972" s="24">
        <v>521560.07972295146</v>
      </c>
    </row>
    <row r="973" spans="38:39">
      <c r="AL973" s="133">
        <v>992</v>
      </c>
      <c r="AM973" s="24">
        <v>521837.3197221983</v>
      </c>
    </row>
    <row r="974" spans="38:39">
      <c r="AL974" s="133">
        <v>993</v>
      </c>
      <c r="AM974" s="24">
        <v>522113.07698337676</v>
      </c>
    </row>
    <row r="975" spans="38:39">
      <c r="AL975" s="133">
        <v>994</v>
      </c>
      <c r="AM975" s="24">
        <v>522387.32935773017</v>
      </c>
    </row>
    <row r="976" spans="38:39">
      <c r="AL976" s="133">
        <v>995</v>
      </c>
      <c r="AM976" s="24">
        <v>522660.05467953568</v>
      </c>
    </row>
    <row r="977" spans="38:39">
      <c r="AL977" s="133">
        <v>996</v>
      </c>
      <c r="AM977" s="24">
        <v>522931.23079672281</v>
      </c>
    </row>
    <row r="978" spans="38:39">
      <c r="AL978" s="133">
        <v>997</v>
      </c>
      <c r="AM978" s="24">
        <v>523200.83554524422</v>
      </c>
    </row>
    <row r="979" spans="38:39">
      <c r="AL979" s="133">
        <v>998</v>
      </c>
      <c r="AM979" s="24">
        <v>523468.8467679036</v>
      </c>
    </row>
    <row r="980" spans="38:39">
      <c r="AL980" s="133">
        <v>999</v>
      </c>
      <c r="AM980" s="24">
        <v>523735.24230579188</v>
      </c>
    </row>
    <row r="981" spans="38:39">
      <c r="AL981" s="133">
        <v>1000</v>
      </c>
      <c r="AM981" s="24">
        <v>524000</v>
      </c>
    </row>
    <row r="982" spans="38:39">
      <c r="AL982" s="133">
        <v>1001</v>
      </c>
      <c r="AM982" s="24">
        <v>524263.10298138094</v>
      </c>
    </row>
    <row r="983" spans="38:39">
      <c r="AL983" s="133">
        <v>1002</v>
      </c>
      <c r="AM983" s="24">
        <v>524524.55602364242</v>
      </c>
    </row>
    <row r="984" spans="38:39">
      <c r="AL984" s="133">
        <v>1003</v>
      </c>
      <c r="AM984" s="24">
        <v>524784.3691870881</v>
      </c>
    </row>
    <row r="985" spans="38:39">
      <c r="AL985" s="133">
        <v>1004</v>
      </c>
      <c r="AM985" s="24">
        <v>525042.55253202154</v>
      </c>
    </row>
    <row r="986" spans="38:39">
      <c r="AL986" s="133">
        <v>1005</v>
      </c>
      <c r="AM986" s="24">
        <v>525299.11611874646</v>
      </c>
    </row>
    <row r="987" spans="38:39">
      <c r="AL987" s="133">
        <v>1006</v>
      </c>
      <c r="AM987" s="24">
        <v>525554.07000756636</v>
      </c>
    </row>
    <row r="988" spans="38:39">
      <c r="AL988" s="133">
        <v>1007</v>
      </c>
      <c r="AM988" s="24">
        <v>525807.42544193903</v>
      </c>
    </row>
    <row r="989" spans="38:39">
      <c r="AL989" s="133">
        <v>1008</v>
      </c>
      <c r="AM989" s="24">
        <v>526059.19009681302</v>
      </c>
    </row>
    <row r="990" spans="38:39">
      <c r="AL990" s="133">
        <v>1009</v>
      </c>
      <c r="AM990" s="24">
        <v>526309.37523479189</v>
      </c>
    </row>
    <row r="991" spans="38:39">
      <c r="AL991" s="133">
        <v>1010</v>
      </c>
      <c r="AM991" s="24">
        <v>526557.99091617903</v>
      </c>
    </row>
    <row r="992" spans="38:39">
      <c r="AL992" s="133">
        <v>1011</v>
      </c>
      <c r="AM992" s="24">
        <v>526805.04720127804</v>
      </c>
    </row>
    <row r="993" spans="38:39">
      <c r="AL993" s="133">
        <v>1012</v>
      </c>
      <c r="AM993" s="24">
        <v>527050.55415039277</v>
      </c>
    </row>
    <row r="994" spans="38:39">
      <c r="AL994" s="133">
        <v>1013</v>
      </c>
      <c r="AM994" s="24">
        <v>527294.5218238266</v>
      </c>
    </row>
    <row r="995" spans="38:39">
      <c r="AL995" s="133">
        <v>1014</v>
      </c>
      <c r="AM995" s="24">
        <v>527536.96028188313</v>
      </c>
    </row>
    <row r="996" spans="38:39">
      <c r="AL996" s="133">
        <v>1015</v>
      </c>
      <c r="AM996" s="24">
        <v>527777.87958486623</v>
      </c>
    </row>
    <row r="997" spans="38:39">
      <c r="AL997" s="133">
        <v>1016</v>
      </c>
      <c r="AM997" s="24">
        <v>528017.28979307914</v>
      </c>
    </row>
    <row r="998" spans="38:39">
      <c r="AL998" s="133">
        <v>1017</v>
      </c>
      <c r="AM998" s="24">
        <v>528255.20096682571</v>
      </c>
    </row>
    <row r="999" spans="38:39">
      <c r="AL999" s="133">
        <v>1018</v>
      </c>
      <c r="AM999" s="24">
        <v>528491.62316640955</v>
      </c>
    </row>
    <row r="1000" spans="38:39">
      <c r="AL1000" s="133">
        <v>1019</v>
      </c>
      <c r="AM1000" s="24">
        <v>528726.56741325837</v>
      </c>
    </row>
    <row r="1001" spans="38:39">
      <c r="AL1001" s="133">
        <v>1020</v>
      </c>
      <c r="AM1001" s="24">
        <v>528960.04182756797</v>
      </c>
    </row>
    <row r="1002" spans="38:39">
      <c r="AL1002" s="133">
        <v>1021</v>
      </c>
      <c r="AM1002" s="24">
        <v>529192.05744872463</v>
      </c>
    </row>
    <row r="1003" spans="38:39">
      <c r="AL1003" s="133">
        <v>1022</v>
      </c>
      <c r="AM1003" s="24">
        <v>529422.62433703174</v>
      </c>
    </row>
    <row r="1004" spans="38:39">
      <c r="AL1004" s="133">
        <v>1023</v>
      </c>
      <c r="AM1004" s="24">
        <v>529651.75255279301</v>
      </c>
    </row>
    <row r="1005" spans="38:39">
      <c r="AL1005" s="133">
        <v>1024</v>
      </c>
      <c r="AM1005" s="24">
        <v>529879.45215631218</v>
      </c>
    </row>
    <row r="1006" spans="38:39">
      <c r="AL1006" s="133">
        <v>1025</v>
      </c>
      <c r="AM1006" s="24">
        <v>530105.73320789263</v>
      </c>
    </row>
    <row r="1007" spans="38:39">
      <c r="AL1007" s="133">
        <v>1026</v>
      </c>
      <c r="AM1007" s="24">
        <v>530330.60576783807</v>
      </c>
    </row>
    <row r="1008" spans="38:39">
      <c r="AL1008" s="133">
        <v>1027</v>
      </c>
      <c r="AM1008" s="24">
        <v>530554.07989645214</v>
      </c>
    </row>
    <row r="1009" spans="38:39">
      <c r="AL1009" s="133">
        <v>1028</v>
      </c>
      <c r="AM1009" s="24">
        <v>530776.16565403831</v>
      </c>
    </row>
    <row r="1010" spans="38:39">
      <c r="AL1010" s="133">
        <v>1029</v>
      </c>
      <c r="AM1010" s="24">
        <v>530996.87310090032</v>
      </c>
    </row>
    <row r="1011" spans="38:39">
      <c r="AL1011" s="133">
        <v>1030</v>
      </c>
      <c r="AM1011" s="24">
        <v>531216.21229734167</v>
      </c>
    </row>
    <row r="1012" spans="38:39">
      <c r="AL1012" s="133">
        <v>1031</v>
      </c>
      <c r="AM1012" s="24">
        <v>531434.19330366608</v>
      </c>
    </row>
    <row r="1013" spans="38:39">
      <c r="AL1013" s="133">
        <v>1032</v>
      </c>
      <c r="AM1013" s="24">
        <v>531650.82691684726</v>
      </c>
    </row>
    <row r="1014" spans="38:39">
      <c r="AL1014" s="133">
        <v>1033</v>
      </c>
      <c r="AM1014" s="24">
        <v>531866.12170727539</v>
      </c>
    </row>
    <row r="1015" spans="38:39">
      <c r="AL1015" s="133">
        <v>1034</v>
      </c>
      <c r="AM1015" s="24">
        <v>532080.08848859626</v>
      </c>
    </row>
    <row r="1016" spans="38:39">
      <c r="AL1016" s="133">
        <v>1035</v>
      </c>
      <c r="AM1016" s="24">
        <v>532292.73732111347</v>
      </c>
    </row>
    <row r="1017" spans="38:39">
      <c r="AL1017" s="133">
        <v>1036</v>
      </c>
      <c r="AM1017" s="24">
        <v>532504.07826513075</v>
      </c>
    </row>
    <row r="1018" spans="38:39">
      <c r="AL1018" s="133">
        <v>1037</v>
      </c>
      <c r="AM1018" s="24">
        <v>532714.12138095149</v>
      </c>
    </row>
    <row r="1019" spans="38:39">
      <c r="AL1019" s="133">
        <v>1038</v>
      </c>
      <c r="AM1019" s="24">
        <v>532922.87672887952</v>
      </c>
    </row>
    <row r="1020" spans="38:39">
      <c r="AL1020" s="133">
        <v>1039</v>
      </c>
      <c r="AM1020" s="24">
        <v>533130.35436921823</v>
      </c>
    </row>
    <row r="1021" spans="38:39">
      <c r="AL1021" s="133">
        <v>1040</v>
      </c>
      <c r="AM1021" s="24">
        <v>533336.56436227146</v>
      </c>
    </row>
    <row r="1022" spans="38:39">
      <c r="AL1022" s="133">
        <v>1041</v>
      </c>
      <c r="AM1022" s="24">
        <v>533541.51676834258</v>
      </c>
    </row>
    <row r="1023" spans="38:39">
      <c r="AL1023" s="133">
        <v>1042</v>
      </c>
      <c r="AM1023" s="24">
        <v>533745.22164773534</v>
      </c>
    </row>
    <row r="1024" spans="38:39">
      <c r="AL1024" s="133">
        <v>1043</v>
      </c>
      <c r="AM1024" s="24">
        <v>533947.68906075321</v>
      </c>
    </row>
    <row r="1025" spans="38:39">
      <c r="AL1025" s="133">
        <v>1044</v>
      </c>
      <c r="AM1025" s="24">
        <v>534148.92961202317</v>
      </c>
    </row>
    <row r="1026" spans="38:39">
      <c r="AL1026" s="133">
        <v>1045</v>
      </c>
      <c r="AM1026" s="24">
        <v>534348.95225781656</v>
      </c>
    </row>
    <row r="1027" spans="38:39">
      <c r="AL1027" s="133">
        <v>1046</v>
      </c>
      <c r="AM1027" s="24">
        <v>534547.76761824486</v>
      </c>
    </row>
    <row r="1028" spans="38:39">
      <c r="AL1028" s="133">
        <v>1047</v>
      </c>
      <c r="AM1028" s="24">
        <v>534745.3857536118</v>
      </c>
    </row>
    <row r="1029" spans="38:39">
      <c r="AL1029" s="133">
        <v>1048</v>
      </c>
      <c r="AM1029" s="24">
        <v>534941.81672422087</v>
      </c>
    </row>
    <row r="1030" spans="38:39">
      <c r="AL1030" s="133">
        <v>1049</v>
      </c>
      <c r="AM1030" s="24">
        <v>535137.07059037581</v>
      </c>
    </row>
    <row r="1031" spans="38:39">
      <c r="AL1031" s="133">
        <v>1050</v>
      </c>
      <c r="AM1031" s="24">
        <v>535331.15741237998</v>
      </c>
    </row>
    <row r="1032" spans="38:39">
      <c r="AL1032" s="133">
        <v>1051</v>
      </c>
      <c r="AM1032" s="24">
        <v>535524.08725053724</v>
      </c>
    </row>
    <row r="1033" spans="38:39">
      <c r="AL1033" s="133">
        <v>1052</v>
      </c>
      <c r="AM1033" s="24">
        <v>535715.87016515096</v>
      </c>
    </row>
    <row r="1034" spans="38:39">
      <c r="AL1034" s="133">
        <v>1053</v>
      </c>
      <c r="AM1034" s="24">
        <v>535906.51621652499</v>
      </c>
    </row>
    <row r="1035" spans="38:39">
      <c r="AL1035" s="133">
        <v>1054</v>
      </c>
      <c r="AM1035" s="24">
        <v>536096.03546496271</v>
      </c>
    </row>
    <row r="1036" spans="38:39">
      <c r="AL1036" s="133">
        <v>1055</v>
      </c>
      <c r="AM1036" s="24">
        <v>536284.43797076796</v>
      </c>
    </row>
    <row r="1037" spans="38:39">
      <c r="AL1037" s="133">
        <v>1056</v>
      </c>
      <c r="AM1037" s="24">
        <v>536471.73379424412</v>
      </c>
    </row>
    <row r="1038" spans="38:39">
      <c r="AL1038" s="133">
        <v>1057</v>
      </c>
      <c r="AM1038" s="24">
        <v>536657.93334772065</v>
      </c>
    </row>
    <row r="1039" spans="38:39">
      <c r="AL1039" s="133">
        <v>1058</v>
      </c>
      <c r="AM1039" s="24">
        <v>536843.04597335018</v>
      </c>
    </row>
    <row r="1040" spans="38:39">
      <c r="AL1040" s="133">
        <v>1059</v>
      </c>
      <c r="AM1040" s="24">
        <v>537027.0820976604</v>
      </c>
    </row>
    <row r="1041" spans="38:39">
      <c r="AL1041" s="133">
        <v>1060</v>
      </c>
      <c r="AM1041" s="24">
        <v>537210.05178095505</v>
      </c>
    </row>
    <row r="1042" spans="38:39">
      <c r="AL1042" s="133">
        <v>1061</v>
      </c>
      <c r="AM1042" s="24">
        <v>537391.96508353774</v>
      </c>
    </row>
    <row r="1043" spans="38:39">
      <c r="AL1043" s="133">
        <v>1062</v>
      </c>
      <c r="AM1043" s="24">
        <v>537572.83206571185</v>
      </c>
    </row>
    <row r="1044" spans="38:39">
      <c r="AL1044" s="133">
        <v>1063</v>
      </c>
      <c r="AM1044" s="24">
        <v>537752.66278778121</v>
      </c>
    </row>
    <row r="1045" spans="38:39">
      <c r="AL1045" s="133">
        <v>1064</v>
      </c>
      <c r="AM1045" s="24">
        <v>537931.46731004934</v>
      </c>
    </row>
    <row r="1046" spans="38:39">
      <c r="AL1046" s="133">
        <v>1065</v>
      </c>
      <c r="AM1046" s="24">
        <v>538109.25569281995</v>
      </c>
    </row>
    <row r="1047" spans="38:39">
      <c r="AL1047" s="133">
        <v>1066</v>
      </c>
      <c r="AM1047" s="24">
        <v>538286.03799639642</v>
      </c>
    </row>
    <row r="1048" spans="38:39">
      <c r="AL1048" s="133">
        <v>1067</v>
      </c>
      <c r="AM1048" s="24">
        <v>538461.82428108261</v>
      </c>
    </row>
    <row r="1049" spans="38:39">
      <c r="AL1049" s="133">
        <v>1068</v>
      </c>
      <c r="AM1049" s="24">
        <v>538636.62460718188</v>
      </c>
    </row>
    <row r="1050" spans="38:39">
      <c r="AL1050" s="133">
        <v>1069</v>
      </c>
      <c r="AM1050" s="24">
        <v>538810.44922436005</v>
      </c>
    </row>
    <row r="1051" spans="38:39">
      <c r="AL1051" s="133">
        <v>1070</v>
      </c>
      <c r="AM1051" s="24">
        <v>538983.30780128448</v>
      </c>
    </row>
    <row r="1052" spans="38:39">
      <c r="AL1052" s="133">
        <v>1071</v>
      </c>
      <c r="AM1052" s="24">
        <v>539155.21060063178</v>
      </c>
    </row>
    <row r="1053" spans="38:39">
      <c r="AL1053" s="133">
        <v>1072</v>
      </c>
      <c r="AM1053" s="24">
        <v>539326.1676827058</v>
      </c>
    </row>
    <row r="1054" spans="38:39">
      <c r="AL1054" s="133">
        <v>1073</v>
      </c>
      <c r="AM1054" s="24">
        <v>539496.1891078098</v>
      </c>
    </row>
    <row r="1055" spans="38:39">
      <c r="AL1055" s="133">
        <v>1074</v>
      </c>
      <c r="AM1055" s="24">
        <v>539665.28493624763</v>
      </c>
    </row>
    <row r="1056" spans="38:39">
      <c r="AL1056" s="133">
        <v>1075</v>
      </c>
      <c r="AM1056" s="24">
        <v>539833.46522832289</v>
      </c>
    </row>
    <row r="1057" spans="38:39">
      <c r="AL1057" s="133">
        <v>1076</v>
      </c>
      <c r="AM1057" s="24">
        <v>540000.74004433909</v>
      </c>
    </row>
    <row r="1058" spans="38:39">
      <c r="AL1058" s="133">
        <v>1077</v>
      </c>
      <c r="AM1058" s="24">
        <v>540167.11944459996</v>
      </c>
    </row>
    <row r="1059" spans="38:39">
      <c r="AL1059" s="133">
        <v>1078</v>
      </c>
      <c r="AM1059" s="24">
        <v>540332.61348940886</v>
      </c>
    </row>
    <row r="1060" spans="38:39">
      <c r="AL1060" s="133">
        <v>1079</v>
      </c>
      <c r="AM1060" s="24">
        <v>540497.23223906965</v>
      </c>
    </row>
    <row r="1061" spans="38:39">
      <c r="AL1061" s="133">
        <v>1080</v>
      </c>
      <c r="AM1061" s="24">
        <v>540660.98575388582</v>
      </c>
    </row>
    <row r="1062" spans="38:39">
      <c r="AL1062" s="133">
        <v>1081</v>
      </c>
      <c r="AM1062" s="24">
        <v>540823.8840941611</v>
      </c>
    </row>
    <row r="1063" spans="38:39">
      <c r="AL1063" s="133">
        <v>1082</v>
      </c>
      <c r="AM1063" s="24">
        <v>540985.93734942027</v>
      </c>
    </row>
    <row r="1064" spans="38:39">
      <c r="AL1064" s="133">
        <v>1083</v>
      </c>
      <c r="AM1064" s="24">
        <v>541147.15550989844</v>
      </c>
    </row>
    <row r="1065" spans="38:39">
      <c r="AL1065" s="133">
        <v>1084</v>
      </c>
      <c r="AM1065" s="24">
        <v>541307.54867684527</v>
      </c>
    </row>
    <row r="1066" spans="38:39">
      <c r="AL1066" s="133">
        <v>1085</v>
      </c>
      <c r="AM1066" s="24">
        <v>541467.12691056449</v>
      </c>
    </row>
    <row r="1067" spans="38:39">
      <c r="AL1067" s="133">
        <v>1086</v>
      </c>
      <c r="AM1067" s="24">
        <v>541625.90027135983</v>
      </c>
    </row>
    <row r="1068" spans="38:39">
      <c r="AL1068" s="133">
        <v>1087</v>
      </c>
      <c r="AM1068" s="24">
        <v>541783.87881953456</v>
      </c>
    </row>
    <row r="1069" spans="38:39">
      <c r="AL1069" s="133">
        <v>1088</v>
      </c>
      <c r="AM1069" s="24">
        <v>541941.07261539251</v>
      </c>
    </row>
    <row r="1070" spans="38:39">
      <c r="AL1070" s="133">
        <v>1089</v>
      </c>
      <c r="AM1070" s="24">
        <v>542097.4917192373</v>
      </c>
    </row>
    <row r="1071" spans="38:39">
      <c r="AL1071" s="133">
        <v>1090</v>
      </c>
      <c r="AM1071" s="24">
        <v>542253.14619137254</v>
      </c>
    </row>
    <row r="1072" spans="38:39">
      <c r="AL1072" s="133">
        <v>1091</v>
      </c>
      <c r="AM1072" s="24">
        <v>542408.04609210161</v>
      </c>
    </row>
    <row r="1073" spans="38:39">
      <c r="AL1073" s="133">
        <v>1092</v>
      </c>
      <c r="AM1073" s="24">
        <v>542562.20148172835</v>
      </c>
    </row>
    <row r="1074" spans="38:39">
      <c r="AL1074" s="133">
        <v>1093</v>
      </c>
      <c r="AM1074" s="24">
        <v>542715.62242055638</v>
      </c>
    </row>
    <row r="1075" spans="38:39">
      <c r="AL1075" s="133">
        <v>1094</v>
      </c>
      <c r="AM1075" s="24">
        <v>542868.31886512996</v>
      </c>
    </row>
    <row r="1076" spans="38:39">
      <c r="AL1076" s="133">
        <v>1095</v>
      </c>
      <c r="AM1076" s="24">
        <v>543020.30107283266</v>
      </c>
    </row>
    <row r="1077" spans="38:39">
      <c r="AL1077" s="133">
        <v>1096</v>
      </c>
      <c r="AM1077" s="24">
        <v>543171.57901074621</v>
      </c>
    </row>
    <row r="1078" spans="38:39">
      <c r="AL1078" s="133">
        <v>1097</v>
      </c>
      <c r="AM1078" s="24">
        <v>543322.16273917432</v>
      </c>
    </row>
    <row r="1079" spans="38:39">
      <c r="AL1079" s="133">
        <v>1098</v>
      </c>
      <c r="AM1079" s="24">
        <v>543472.06231842062</v>
      </c>
    </row>
    <row r="1080" spans="38:39">
      <c r="AL1080" s="133">
        <v>1099</v>
      </c>
      <c r="AM1080" s="24">
        <v>543621.28780878871</v>
      </c>
    </row>
    <row r="1081" spans="38:39">
      <c r="AL1081" s="133">
        <v>1100</v>
      </c>
      <c r="AM1081" s="24">
        <v>543769.8492705822</v>
      </c>
    </row>
    <row r="1082" spans="38:39">
      <c r="AL1082" s="133">
        <v>1101</v>
      </c>
      <c r="AM1082" s="24">
        <v>543917.75676410471</v>
      </c>
    </row>
    <row r="1083" spans="38:39">
      <c r="AL1083" s="133">
        <v>1102</v>
      </c>
      <c r="AM1083" s="24">
        <v>544065.02034965972</v>
      </c>
    </row>
    <row r="1084" spans="38:39">
      <c r="AL1084" s="133">
        <v>1103</v>
      </c>
      <c r="AM1084" s="24">
        <v>544211.65008755098</v>
      </c>
    </row>
    <row r="1085" spans="38:39">
      <c r="AL1085" s="133">
        <v>1104</v>
      </c>
      <c r="AM1085" s="24">
        <v>544357.65593623579</v>
      </c>
    </row>
    <row r="1086" spans="38:39">
      <c r="AL1086" s="133">
        <v>1105</v>
      </c>
      <c r="AM1086" s="24">
        <v>544503.04815498565</v>
      </c>
    </row>
    <row r="1087" spans="38:39">
      <c r="AL1087" s="133">
        <v>1106</v>
      </c>
      <c r="AM1087" s="24">
        <v>544647.83670703194</v>
      </c>
    </row>
    <row r="1088" spans="38:39">
      <c r="AL1088" s="133">
        <v>1107</v>
      </c>
      <c r="AM1088" s="24">
        <v>544792.03165267839</v>
      </c>
    </row>
    <row r="1089" spans="38:39">
      <c r="AL1089" s="133">
        <v>1108</v>
      </c>
      <c r="AM1089" s="24">
        <v>544935.64305222849</v>
      </c>
    </row>
    <row r="1090" spans="38:39">
      <c r="AL1090" s="133">
        <v>1109</v>
      </c>
      <c r="AM1090" s="24">
        <v>545078.68096598599</v>
      </c>
    </row>
    <row r="1091" spans="38:39">
      <c r="AL1091" s="133">
        <v>1110</v>
      </c>
      <c r="AM1091" s="24">
        <v>545221.15532480273</v>
      </c>
    </row>
    <row r="1092" spans="38:39">
      <c r="AL1092" s="133">
        <v>1111</v>
      </c>
      <c r="AM1092" s="24">
        <v>545363.07644345774</v>
      </c>
    </row>
    <row r="1093" spans="38:39">
      <c r="AL1093" s="133">
        <v>1112</v>
      </c>
      <c r="AM1093" s="24">
        <v>545504.45425728045</v>
      </c>
    </row>
    <row r="1094" spans="38:39">
      <c r="AL1094" s="133">
        <v>1113</v>
      </c>
      <c r="AM1094" s="24">
        <v>545645.29882657435</v>
      </c>
    </row>
    <row r="1095" spans="38:39">
      <c r="AL1095" s="133">
        <v>1114</v>
      </c>
      <c r="AM1095" s="24">
        <v>545785.62021164293</v>
      </c>
    </row>
    <row r="1096" spans="38:39">
      <c r="AL1096" s="133">
        <v>1115</v>
      </c>
      <c r="AM1096" s="24">
        <v>545925.42847278994</v>
      </c>
    </row>
    <row r="1097" spans="38:39">
      <c r="AL1097" s="133">
        <v>1116</v>
      </c>
      <c r="AM1097" s="24">
        <v>546064.73351504304</v>
      </c>
    </row>
    <row r="1098" spans="38:39">
      <c r="AL1098" s="133">
        <v>1117</v>
      </c>
      <c r="AM1098" s="24">
        <v>546203.54570512683</v>
      </c>
    </row>
    <row r="1099" spans="38:39">
      <c r="AL1099" s="133">
        <v>1118</v>
      </c>
      <c r="AM1099" s="24">
        <v>546341.87495224923</v>
      </c>
    </row>
    <row r="1100" spans="38:39">
      <c r="AL1100" s="133">
        <v>1119</v>
      </c>
      <c r="AM1100" s="24">
        <v>546479.73131671385</v>
      </c>
    </row>
    <row r="1101" spans="38:39">
      <c r="AL1101" s="133">
        <v>1120</v>
      </c>
      <c r="AM1101" s="24">
        <v>546617.12485882442</v>
      </c>
    </row>
    <row r="1102" spans="38:39">
      <c r="AL1102" s="133">
        <v>1121</v>
      </c>
      <c r="AM1102" s="24">
        <v>546754.06563888455</v>
      </c>
    </row>
    <row r="1103" spans="38:39">
      <c r="AL1103" s="133">
        <v>1122</v>
      </c>
      <c r="AM1103" s="24">
        <v>546890.56353787845</v>
      </c>
    </row>
    <row r="1104" spans="38:39">
      <c r="AL1104" s="133">
        <v>1123</v>
      </c>
      <c r="AM1104" s="24">
        <v>547026.62897091417</v>
      </c>
    </row>
    <row r="1105" spans="38:39">
      <c r="AL1105" s="133">
        <v>1124</v>
      </c>
      <c r="AM1105" s="24">
        <v>547162.27182285977</v>
      </c>
    </row>
    <row r="1106" spans="38:39">
      <c r="AL1106" s="133">
        <v>1125</v>
      </c>
      <c r="AM1106" s="24">
        <v>547297.50215401873</v>
      </c>
    </row>
    <row r="1107" spans="38:39">
      <c r="AL1107" s="133">
        <v>1126</v>
      </c>
      <c r="AM1107" s="24">
        <v>547432.33002469467</v>
      </c>
    </row>
    <row r="1108" spans="38:39">
      <c r="AL1108" s="133">
        <v>1127</v>
      </c>
      <c r="AM1108" s="24">
        <v>547566.76549519121</v>
      </c>
    </row>
    <row r="1109" spans="38:39">
      <c r="AL1109" s="133">
        <v>1128</v>
      </c>
      <c r="AM1109" s="24">
        <v>547700.81862581195</v>
      </c>
    </row>
    <row r="1110" spans="38:39">
      <c r="AL1110" s="133">
        <v>1129</v>
      </c>
      <c r="AM1110" s="24">
        <v>547834.4992717416</v>
      </c>
    </row>
    <row r="1111" spans="38:39">
      <c r="AL1111" s="133">
        <v>1130</v>
      </c>
      <c r="AM1111" s="24">
        <v>547967.81790003367</v>
      </c>
    </row>
    <row r="1112" spans="38:39">
      <c r="AL1112" s="133">
        <v>1131</v>
      </c>
      <c r="AM1112" s="24">
        <v>548100.78436941036</v>
      </c>
    </row>
    <row r="1113" spans="38:39">
      <c r="AL1113" s="133">
        <v>1132</v>
      </c>
      <c r="AM1113" s="24">
        <v>548233.40874017507</v>
      </c>
    </row>
    <row r="1114" spans="38:39">
      <c r="AL1114" s="133">
        <v>1133</v>
      </c>
      <c r="AM1114" s="24">
        <v>548365.70107263152</v>
      </c>
    </row>
    <row r="1115" spans="38:39">
      <c r="AL1115" s="133">
        <v>1134</v>
      </c>
      <c r="AM1115" s="24">
        <v>548497.6714270832</v>
      </c>
    </row>
    <row r="1116" spans="38:39">
      <c r="AL1116" s="133">
        <v>1135</v>
      </c>
      <c r="AM1116" s="24">
        <v>548629.32963853038</v>
      </c>
    </row>
    <row r="1117" spans="38:39">
      <c r="AL1117" s="133">
        <v>1136</v>
      </c>
      <c r="AM1117" s="24">
        <v>548760.68621469266</v>
      </c>
    </row>
    <row r="1118" spans="38:39">
      <c r="AL1118" s="133">
        <v>1137</v>
      </c>
      <c r="AM1118" s="24">
        <v>548891.75099381036</v>
      </c>
    </row>
    <row r="1119" spans="38:39">
      <c r="AL1119" s="133">
        <v>1138</v>
      </c>
      <c r="AM1119" s="24">
        <v>549022.53403618734</v>
      </c>
    </row>
    <row r="1120" spans="38:39">
      <c r="AL1120" s="133">
        <v>1139</v>
      </c>
      <c r="AM1120" s="24">
        <v>549153.04540212709</v>
      </c>
    </row>
    <row r="1121" spans="38:39">
      <c r="AL1121" s="133">
        <v>1140</v>
      </c>
      <c r="AM1121" s="24">
        <v>549283.29515193321</v>
      </c>
    </row>
    <row r="1122" spans="38:39">
      <c r="AL1122" s="133">
        <v>1141</v>
      </c>
      <c r="AM1122" s="24">
        <v>549413.29310220235</v>
      </c>
    </row>
    <row r="1123" spans="38:39">
      <c r="AL1123" s="133">
        <v>1142</v>
      </c>
      <c r="AM1123" s="24">
        <v>549543.04979775799</v>
      </c>
    </row>
    <row r="1124" spans="38:39">
      <c r="AL1124" s="133">
        <v>1143</v>
      </c>
      <c r="AM1124" s="24">
        <v>549672.57505814033</v>
      </c>
    </row>
    <row r="1125" spans="38:39">
      <c r="AL1125" s="133">
        <v>1144</v>
      </c>
      <c r="AM1125" s="24">
        <v>549801.87894365285</v>
      </c>
    </row>
    <row r="1126" spans="38:39">
      <c r="AL1126" s="133">
        <v>1145</v>
      </c>
      <c r="AM1126" s="24">
        <v>549930.9715145994</v>
      </c>
    </row>
    <row r="1127" spans="38:39">
      <c r="AL1127" s="133">
        <v>1146</v>
      </c>
      <c r="AM1127" s="24">
        <v>550059.86283128336</v>
      </c>
    </row>
    <row r="1128" spans="38:39">
      <c r="AL1128" s="133">
        <v>1147</v>
      </c>
      <c r="AM1128" s="24">
        <v>550188.56269367889</v>
      </c>
    </row>
    <row r="1129" spans="38:39">
      <c r="AL1129" s="133">
        <v>1148</v>
      </c>
      <c r="AM1129" s="24">
        <v>550317.0816801514</v>
      </c>
    </row>
    <row r="1130" spans="38:39">
      <c r="AL1130" s="133">
        <v>1149</v>
      </c>
      <c r="AM1130" s="24">
        <v>550445.42959332163</v>
      </c>
    </row>
    <row r="1131" spans="38:39">
      <c r="AL1131" s="133">
        <v>1150</v>
      </c>
      <c r="AM1131" s="24">
        <v>550573.61649349332</v>
      </c>
    </row>
    <row r="1132" spans="38:39">
      <c r="AL1132" s="133">
        <v>1151</v>
      </c>
      <c r="AM1132" s="24">
        <v>550701.65244096995</v>
      </c>
    </row>
    <row r="1133" spans="38:39">
      <c r="AL1133" s="133">
        <v>1152</v>
      </c>
      <c r="AM1133" s="24">
        <v>550829.54735964467</v>
      </c>
    </row>
    <row r="1134" spans="38:39">
      <c r="AL1134" s="133">
        <v>1153</v>
      </c>
      <c r="AM1134" s="24">
        <v>550957.31158146716</v>
      </c>
    </row>
    <row r="1135" spans="38:39">
      <c r="AL1135" s="133">
        <v>1154</v>
      </c>
      <c r="AM1135" s="24">
        <v>551084.95503153012</v>
      </c>
    </row>
    <row r="1136" spans="38:39">
      <c r="AL1136" s="133">
        <v>1155</v>
      </c>
      <c r="AM1136" s="24">
        <v>551212.48763027601</v>
      </c>
    </row>
    <row r="1137" spans="38:39">
      <c r="AL1137" s="133">
        <v>1156</v>
      </c>
      <c r="AM1137" s="24">
        <v>551339.91971663025</v>
      </c>
    </row>
    <row r="1138" spans="38:39">
      <c r="AL1138" s="133">
        <v>1157</v>
      </c>
      <c r="AM1138" s="24">
        <v>551467.26121216046</v>
      </c>
    </row>
    <row r="1139" spans="38:39">
      <c r="AL1139" s="133">
        <v>1158</v>
      </c>
      <c r="AM1139" s="24">
        <v>551594.52203408116</v>
      </c>
    </row>
    <row r="1140" spans="38:39">
      <c r="AL1140" s="133">
        <v>1159</v>
      </c>
      <c r="AM1140" s="24">
        <v>551721.71252784785</v>
      </c>
    </row>
    <row r="1141" spans="38:39">
      <c r="AL1141" s="133">
        <v>1160</v>
      </c>
      <c r="AM1141" s="24">
        <v>551848.84261172614</v>
      </c>
    </row>
    <row r="1142" spans="38:39">
      <c r="AL1142" s="133">
        <v>1161</v>
      </c>
      <c r="AM1142" s="24">
        <v>551975.92219992506</v>
      </c>
    </row>
    <row r="1143" spans="38:39">
      <c r="AL1143" s="133">
        <v>1162</v>
      </c>
      <c r="AM1143" s="24">
        <v>552102.96164398512</v>
      </c>
    </row>
    <row r="1144" spans="38:39">
      <c r="AL1144" s="133">
        <v>1163</v>
      </c>
      <c r="AM1144" s="24">
        <v>552229.97085909243</v>
      </c>
    </row>
    <row r="1145" spans="38:39">
      <c r="AL1145" s="133">
        <v>1164</v>
      </c>
      <c r="AM1145" s="24">
        <v>552356.95990555047</v>
      </c>
    </row>
    <row r="1146" spans="38:39">
      <c r="AL1146" s="133">
        <v>1165</v>
      </c>
      <c r="AM1146" s="24">
        <v>552483.93869390734</v>
      </c>
    </row>
    <row r="1147" spans="38:39">
      <c r="AL1147" s="133">
        <v>1166</v>
      </c>
      <c r="AM1147" s="24">
        <v>552610.91758312436</v>
      </c>
    </row>
    <row r="1148" spans="38:39">
      <c r="AL1148" s="133">
        <v>1167</v>
      </c>
      <c r="AM1148" s="24">
        <v>552737.90648462786</v>
      </c>
    </row>
    <row r="1149" spans="38:39">
      <c r="AL1149" s="133">
        <v>1168</v>
      </c>
      <c r="AM1149" s="24">
        <v>552864.91530647955</v>
      </c>
    </row>
    <row r="1150" spans="38:39">
      <c r="AL1150" s="133">
        <v>1169</v>
      </c>
      <c r="AM1150" s="24">
        <v>552991.95441268734</v>
      </c>
    </row>
    <row r="1151" spans="38:39">
      <c r="AL1151" s="133">
        <v>1170</v>
      </c>
      <c r="AM1151" s="24">
        <v>553119.033712117</v>
      </c>
    </row>
    <row r="1152" spans="38:39">
      <c r="AL1152" s="133">
        <v>1171</v>
      </c>
      <c r="AM1152" s="24">
        <v>553246.16311056714</v>
      </c>
    </row>
    <row r="1153" spans="38:39">
      <c r="AL1153" s="133">
        <v>1172</v>
      </c>
      <c r="AM1153" s="24">
        <v>553373.35297664639</v>
      </c>
    </row>
    <row r="1154" spans="38:39">
      <c r="AL1154" s="133">
        <v>1173</v>
      </c>
      <c r="AM1154" s="24">
        <v>553500.61321688315</v>
      </c>
    </row>
    <row r="1155" spans="38:39">
      <c r="AL1155" s="133">
        <v>1174</v>
      </c>
      <c r="AM1155" s="24">
        <v>553627.95373503515</v>
      </c>
    </row>
    <row r="1156" spans="38:39">
      <c r="AL1156" s="133">
        <v>1175</v>
      </c>
      <c r="AM1156" s="24">
        <v>553755.3849038668</v>
      </c>
    </row>
    <row r="1157" spans="38:39">
      <c r="AL1157" s="133">
        <v>1176</v>
      </c>
      <c r="AM1157" s="24">
        <v>553882.91654890019</v>
      </c>
    </row>
    <row r="1158" spans="38:39">
      <c r="AL1158" s="133">
        <v>1177</v>
      </c>
      <c r="AM1158" s="24">
        <v>554010.5588879307</v>
      </c>
    </row>
    <row r="1159" spans="38:39">
      <c r="AL1159" s="133">
        <v>1178</v>
      </c>
      <c r="AM1159" s="24">
        <v>554138.32182321372</v>
      </c>
    </row>
    <row r="1160" spans="38:39">
      <c r="AL1160" s="133">
        <v>1179</v>
      </c>
      <c r="AM1160" s="24">
        <v>554266.21549398103</v>
      </c>
    </row>
    <row r="1161" spans="38:39">
      <c r="AL1161" s="133">
        <v>1180</v>
      </c>
      <c r="AM1161" s="24">
        <v>554394.25004055304</v>
      </c>
    </row>
    <row r="1162" spans="38:39">
      <c r="AL1162" s="133">
        <v>1181</v>
      </c>
      <c r="AM1162" s="24">
        <v>554522.4353635523</v>
      </c>
    </row>
    <row r="1163" spans="38:39">
      <c r="AL1163" s="133">
        <v>1182</v>
      </c>
      <c r="AM1163" s="24">
        <v>554650.78168349538</v>
      </c>
    </row>
    <row r="1164" spans="38:39">
      <c r="AL1164" s="133">
        <v>1183</v>
      </c>
      <c r="AM1164" s="24">
        <v>554779.2989000401</v>
      </c>
    </row>
    <row r="1165" spans="38:39">
      <c r="AL1165" s="133">
        <v>1184</v>
      </c>
      <c r="AM1165" s="24">
        <v>554907.99715374794</v>
      </c>
    </row>
    <row r="1166" spans="38:39">
      <c r="AL1166" s="133">
        <v>1185</v>
      </c>
      <c r="AM1166" s="24">
        <v>555036.8865860214</v>
      </c>
    </row>
    <row r="1167" spans="38:39">
      <c r="AL1167" s="133">
        <v>1186</v>
      </c>
      <c r="AM1167" s="24">
        <v>555165.97709525703</v>
      </c>
    </row>
    <row r="1168" spans="38:39">
      <c r="AL1168" s="133">
        <v>1187</v>
      </c>
      <c r="AM1168" s="24">
        <v>555295.27882266557</v>
      </c>
    </row>
    <row r="1169" spans="38:39">
      <c r="AL1169" s="133">
        <v>1188</v>
      </c>
      <c r="AM1169" s="24">
        <v>555424.80186936911</v>
      </c>
    </row>
    <row r="1170" spans="38:39">
      <c r="AL1170" s="133">
        <v>1189</v>
      </c>
      <c r="AM1170" s="24">
        <v>555554.5562550691</v>
      </c>
    </row>
    <row r="1171" spans="38:39">
      <c r="AL1171" s="133">
        <v>1190</v>
      </c>
      <c r="AM1171" s="24">
        <v>555684.55204008799</v>
      </c>
    </row>
    <row r="1172" spans="38:39">
      <c r="AL1172" s="133">
        <v>1191</v>
      </c>
      <c r="AM1172" s="24">
        <v>555814.79928474757</v>
      </c>
    </row>
    <row r="1173" spans="38:39">
      <c r="AL1173" s="133">
        <v>1192</v>
      </c>
      <c r="AM1173" s="24">
        <v>555945.30800834158</v>
      </c>
    </row>
    <row r="1174" spans="38:39">
      <c r="AL1174" s="133">
        <v>1193</v>
      </c>
      <c r="AM1174" s="24">
        <v>556076.08835320314</v>
      </c>
    </row>
    <row r="1175" spans="38:39">
      <c r="AL1175" s="133">
        <v>1194</v>
      </c>
      <c r="AM1175" s="24">
        <v>556207.15031812049</v>
      </c>
    </row>
    <row r="1176" spans="38:39">
      <c r="AL1176" s="133">
        <v>1195</v>
      </c>
      <c r="AM1176" s="24">
        <v>556338.50400451419</v>
      </c>
    </row>
    <row r="1177" spans="38:39">
      <c r="AL1177" s="133">
        <v>1196</v>
      </c>
      <c r="AM1177" s="24">
        <v>556470.15943158022</v>
      </c>
    </row>
    <row r="1178" spans="38:39">
      <c r="AL1178" s="133">
        <v>1197</v>
      </c>
      <c r="AM1178" s="24">
        <v>556602.12669050752</v>
      </c>
    </row>
    <row r="1179" spans="38:39">
      <c r="AL1179" s="133">
        <v>1198</v>
      </c>
      <c r="AM1179" s="24">
        <v>556734.41583133535</v>
      </c>
    </row>
    <row r="1180" spans="38:39">
      <c r="AL1180" s="133">
        <v>1199</v>
      </c>
      <c r="AM1180" s="24">
        <v>556867.03691439051</v>
      </c>
    </row>
    <row r="1181" spans="38:39">
      <c r="AL1181" s="133">
        <v>1200</v>
      </c>
      <c r="AM1181" s="24">
        <v>557000</v>
      </c>
    </row>
    <row r="1182" spans="38:39">
      <c r="AL1182" s="133">
        <v>1201</v>
      </c>
      <c r="AM1182" s="24">
        <v>557133.31303359056</v>
      </c>
    </row>
    <row r="1183" spans="38:39">
      <c r="AL1183" s="133">
        <v>1202</v>
      </c>
      <c r="AM1183" s="24">
        <v>557266.97537783673</v>
      </c>
    </row>
    <row r="1184" spans="38:39">
      <c r="AL1184" s="133">
        <v>1203</v>
      </c>
      <c r="AM1184" s="24">
        <v>557400.98428118438</v>
      </c>
    </row>
    <row r="1185" spans="38:39">
      <c r="AL1185" s="133">
        <v>1204</v>
      </c>
      <c r="AM1185" s="24">
        <v>557535.33699207951</v>
      </c>
    </row>
    <row r="1186" spans="38:39">
      <c r="AL1186" s="133">
        <v>1205</v>
      </c>
      <c r="AM1186" s="24">
        <v>557670.03075896821</v>
      </c>
    </row>
    <row r="1187" spans="38:39">
      <c r="AL1187" s="133">
        <v>1206</v>
      </c>
      <c r="AM1187" s="24">
        <v>557805.06283029658</v>
      </c>
    </row>
    <row r="1188" spans="38:39">
      <c r="AL1188" s="133">
        <v>1207</v>
      </c>
      <c r="AM1188" s="24">
        <v>557940.4302035803</v>
      </c>
    </row>
    <row r="1189" spans="38:39">
      <c r="AL1189" s="133">
        <v>1208</v>
      </c>
      <c r="AM1189" s="24">
        <v>558076.13063316524</v>
      </c>
    </row>
    <row r="1190" spans="38:39">
      <c r="AL1190" s="133">
        <v>1209</v>
      </c>
      <c r="AM1190" s="24">
        <v>558212.16111250699</v>
      </c>
    </row>
    <row r="1191" spans="38:39">
      <c r="AL1191" s="133">
        <v>1210</v>
      </c>
      <c r="AM1191" s="24">
        <v>558348.51889005129</v>
      </c>
    </row>
    <row r="1192" spans="38:39">
      <c r="AL1192" s="133">
        <v>1211</v>
      </c>
      <c r="AM1192" s="24">
        <v>558485.20121424424</v>
      </c>
    </row>
    <row r="1193" spans="38:39">
      <c r="AL1193" s="133">
        <v>1212</v>
      </c>
      <c r="AM1193" s="24">
        <v>558622.20533353195</v>
      </c>
    </row>
    <row r="1194" spans="38:39">
      <c r="AL1194" s="133">
        <v>1213</v>
      </c>
      <c r="AM1194" s="24">
        <v>558759.52849636029</v>
      </c>
    </row>
    <row r="1195" spans="38:39">
      <c r="AL1195" s="133">
        <v>1214</v>
      </c>
      <c r="AM1195" s="24">
        <v>558897.16795117548</v>
      </c>
    </row>
    <row r="1196" spans="38:39">
      <c r="AL1196" s="133">
        <v>1215</v>
      </c>
      <c r="AM1196" s="24">
        <v>559035.12094642327</v>
      </c>
    </row>
    <row r="1197" spans="38:39">
      <c r="AL1197" s="133">
        <v>1216</v>
      </c>
      <c r="AM1197" s="24">
        <v>559173.38473054988</v>
      </c>
    </row>
    <row r="1198" spans="38:39">
      <c r="AL1198" s="133">
        <v>1217</v>
      </c>
      <c r="AM1198" s="24">
        <v>559311.9565520013</v>
      </c>
    </row>
    <row r="1199" spans="38:39">
      <c r="AL1199" s="133">
        <v>1218</v>
      </c>
      <c r="AM1199" s="24">
        <v>559450.83365922351</v>
      </c>
    </row>
    <row r="1200" spans="38:39">
      <c r="AL1200" s="133">
        <v>1219</v>
      </c>
      <c r="AM1200" s="24">
        <v>559589.98184682173</v>
      </c>
    </row>
    <row r="1201" spans="38:39">
      <c r="AL1201" s="133">
        <v>1220</v>
      </c>
      <c r="AM1201" s="24">
        <v>559729.4925247113</v>
      </c>
    </row>
    <row r="1202" spans="38:39">
      <c r="AL1202" s="133">
        <v>1221</v>
      </c>
      <c r="AM1202" s="24">
        <v>559869.26898368867</v>
      </c>
    </row>
    <row r="1203" spans="38:39">
      <c r="AL1203" s="133">
        <v>1222</v>
      </c>
      <c r="AM1203" s="24">
        <v>560009.33972219995</v>
      </c>
    </row>
    <row r="1204" spans="38:39">
      <c r="AL1204" s="133">
        <v>1223</v>
      </c>
      <c r="AM1204" s="24">
        <v>560149.70198869123</v>
      </c>
    </row>
    <row r="1205" spans="38:39">
      <c r="AL1205" s="133">
        <v>1224</v>
      </c>
      <c r="AM1205" s="24">
        <v>560290.35303160828</v>
      </c>
    </row>
    <row r="1206" spans="38:39">
      <c r="AL1206" s="133">
        <v>1225</v>
      </c>
      <c r="AM1206" s="24">
        <v>560431.2900993973</v>
      </c>
    </row>
    <row r="1207" spans="38:39">
      <c r="AL1207" s="133">
        <v>1226</v>
      </c>
      <c r="AM1207" s="24">
        <v>560572.51044050429</v>
      </c>
    </row>
    <row r="1208" spans="38:39">
      <c r="AL1208" s="133">
        <v>1227</v>
      </c>
      <c r="AM1208" s="24">
        <v>560714.01130337524</v>
      </c>
    </row>
    <row r="1209" spans="38:39">
      <c r="AL1209" s="133">
        <v>1228</v>
      </c>
      <c r="AM1209" s="24">
        <v>560855.78993645613</v>
      </c>
    </row>
    <row r="1210" spans="38:39">
      <c r="AL1210" s="133">
        <v>1229</v>
      </c>
      <c r="AM1210" s="24">
        <v>560997.84358819306</v>
      </c>
    </row>
    <row r="1211" spans="38:39">
      <c r="AL1211" s="133">
        <v>1230</v>
      </c>
      <c r="AM1211" s="24">
        <v>561140.16950703203</v>
      </c>
    </row>
    <row r="1212" spans="38:39">
      <c r="AL1212" s="133">
        <v>1231</v>
      </c>
      <c r="AM1212" s="24">
        <v>561282.79619141901</v>
      </c>
    </row>
    <row r="1213" spans="38:39">
      <c r="AL1213" s="133">
        <v>1232</v>
      </c>
      <c r="AM1213" s="24">
        <v>561425.62698356272</v>
      </c>
    </row>
    <row r="1214" spans="38:39">
      <c r="AL1214" s="133">
        <v>1233</v>
      </c>
      <c r="AM1214" s="24">
        <v>561568.75319789874</v>
      </c>
    </row>
    <row r="1215" spans="38:39">
      <c r="AL1215" s="133">
        <v>1234</v>
      </c>
      <c r="AM1215" s="24">
        <v>561712.1406730999</v>
      </c>
    </row>
    <row r="1216" spans="38:39">
      <c r="AL1216" s="133">
        <v>1235</v>
      </c>
      <c r="AM1216" s="24">
        <v>561855.78665761207</v>
      </c>
    </row>
    <row r="1217" spans="38:39">
      <c r="AL1217" s="133">
        <v>1236</v>
      </c>
      <c r="AM1217" s="24">
        <v>561999.68839988147</v>
      </c>
    </row>
    <row r="1218" spans="38:39">
      <c r="AL1218" s="133">
        <v>1237</v>
      </c>
      <c r="AM1218" s="24">
        <v>562143.84314835398</v>
      </c>
    </row>
    <row r="1219" spans="38:39">
      <c r="AL1219" s="133">
        <v>1238</v>
      </c>
      <c r="AM1219" s="24">
        <v>562288.24815147568</v>
      </c>
    </row>
    <row r="1220" spans="38:39">
      <c r="AL1220" s="133">
        <v>1239</v>
      </c>
      <c r="AM1220" s="24">
        <v>562432.90065769246</v>
      </c>
    </row>
    <row r="1221" spans="38:39">
      <c r="AL1221" s="133">
        <v>1240</v>
      </c>
      <c r="AM1221" s="24">
        <v>562577.79791545053</v>
      </c>
    </row>
    <row r="1222" spans="38:39">
      <c r="AL1222" s="133">
        <v>1241</v>
      </c>
      <c r="AM1222" s="24">
        <v>562722.93717319588</v>
      </c>
    </row>
    <row r="1223" spans="38:39">
      <c r="AL1223" s="133">
        <v>1242</v>
      </c>
      <c r="AM1223" s="24">
        <v>562868.31567937438</v>
      </c>
    </row>
    <row r="1224" spans="38:39">
      <c r="AL1224" s="133">
        <v>1243</v>
      </c>
      <c r="AM1224" s="24">
        <v>563013.93068243214</v>
      </c>
    </row>
    <row r="1225" spans="38:39">
      <c r="AL1225" s="133">
        <v>1244</v>
      </c>
      <c r="AM1225" s="24">
        <v>563159.748065372</v>
      </c>
    </row>
    <row r="1226" spans="38:39">
      <c r="AL1226" s="133">
        <v>1245</v>
      </c>
      <c r="AM1226" s="24">
        <v>563305.85906078946</v>
      </c>
    </row>
    <row r="1227" spans="38:39">
      <c r="AL1227" s="133">
        <v>1246</v>
      </c>
      <c r="AM1227" s="24">
        <v>563452.16704840329</v>
      </c>
    </row>
    <row r="1228" spans="38:39">
      <c r="AL1228" s="133">
        <v>1247</v>
      </c>
      <c r="AM1228" s="24">
        <v>563598.70052665938</v>
      </c>
    </row>
    <row r="1229" spans="38:39">
      <c r="AL1229" s="133">
        <v>1248</v>
      </c>
      <c r="AM1229" s="24">
        <v>563745.45674400381</v>
      </c>
    </row>
    <row r="1230" spans="38:39">
      <c r="AL1230" s="133">
        <v>1249</v>
      </c>
      <c r="AM1230" s="24">
        <v>563892.43294888269</v>
      </c>
    </row>
    <row r="1231" spans="38:39">
      <c r="AL1231" s="133">
        <v>1250</v>
      </c>
      <c r="AM1231" s="24">
        <v>564039.6263897419</v>
      </c>
    </row>
    <row r="1232" spans="38:39">
      <c r="AL1232" s="133">
        <v>1251</v>
      </c>
      <c r="AM1232" s="24">
        <v>564187.03431502753</v>
      </c>
    </row>
    <row r="1233" spans="38:39">
      <c r="AL1233" s="133">
        <v>1252</v>
      </c>
      <c r="AM1233" s="24">
        <v>564334.65397318557</v>
      </c>
    </row>
    <row r="1234" spans="38:39">
      <c r="AL1234" s="133">
        <v>1253</v>
      </c>
      <c r="AM1234" s="24">
        <v>564482.48261266213</v>
      </c>
    </row>
    <row r="1235" spans="38:39">
      <c r="AL1235" s="133">
        <v>1254</v>
      </c>
      <c r="AM1235" s="24">
        <v>564630.51748190308</v>
      </c>
    </row>
    <row r="1236" spans="38:39">
      <c r="AL1236" s="133">
        <v>1255</v>
      </c>
      <c r="AM1236" s="24">
        <v>564778.75582935452</v>
      </c>
    </row>
    <row r="1237" spans="38:39">
      <c r="AL1237" s="133">
        <v>1256</v>
      </c>
      <c r="AM1237" s="24">
        <v>564927.22615346243</v>
      </c>
    </row>
    <row r="1238" spans="38:39">
      <c r="AL1238" s="133">
        <v>1257</v>
      </c>
      <c r="AM1238" s="24">
        <v>565075.83187801333</v>
      </c>
    </row>
    <row r="1239" spans="38:39">
      <c r="AL1239" s="133">
        <v>1258</v>
      </c>
      <c r="AM1239" s="24">
        <v>565224.66415376251</v>
      </c>
    </row>
    <row r="1240" spans="38:39">
      <c r="AL1240" s="133">
        <v>1259</v>
      </c>
      <c r="AM1240" s="24">
        <v>565373.68890148541</v>
      </c>
    </row>
    <row r="1241" spans="38:39">
      <c r="AL1241" s="133">
        <v>1260</v>
      </c>
      <c r="AM1241" s="24">
        <v>565522.90336962778</v>
      </c>
    </row>
    <row r="1242" spans="38:39">
      <c r="AL1242" s="133">
        <v>1261</v>
      </c>
      <c r="AM1242" s="24">
        <v>565672.30480663583</v>
      </c>
    </row>
    <row r="1243" spans="38:39">
      <c r="AL1243" s="133">
        <v>1262</v>
      </c>
      <c r="AM1243" s="24">
        <v>565821.89046095544</v>
      </c>
    </row>
    <row r="1244" spans="38:39">
      <c r="AL1244" s="133">
        <v>1263</v>
      </c>
      <c r="AM1244" s="24">
        <v>565971.65758103272</v>
      </c>
    </row>
    <row r="1245" spans="38:39">
      <c r="AL1245" s="133">
        <v>1264</v>
      </c>
      <c r="AM1245" s="24">
        <v>566121.60341531364</v>
      </c>
    </row>
    <row r="1246" spans="38:39">
      <c r="AL1246" s="133">
        <v>1265</v>
      </c>
      <c r="AM1246" s="24">
        <v>566271.7252122442</v>
      </c>
    </row>
    <row r="1247" spans="38:39">
      <c r="AL1247" s="133">
        <v>1266</v>
      </c>
      <c r="AM1247" s="24">
        <v>566422.0202202705</v>
      </c>
    </row>
    <row r="1248" spans="38:39">
      <c r="AL1248" s="133">
        <v>1267</v>
      </c>
      <c r="AM1248" s="24">
        <v>566572.4856878384</v>
      </c>
    </row>
    <row r="1249" spans="38:39">
      <c r="AL1249" s="133">
        <v>1268</v>
      </c>
      <c r="AM1249" s="24">
        <v>566723.11886339413</v>
      </c>
    </row>
    <row r="1250" spans="38:39">
      <c r="AL1250" s="133">
        <v>1269</v>
      </c>
      <c r="AM1250" s="24">
        <v>566873.88570522249</v>
      </c>
    </row>
    <row r="1251" spans="38:39">
      <c r="AL1251" s="133">
        <v>1270</v>
      </c>
      <c r="AM1251" s="24">
        <v>567024.87729483016</v>
      </c>
    </row>
    <row r="1252" spans="38:39">
      <c r="AL1252" s="133">
        <v>1271</v>
      </c>
      <c r="AM1252" s="24">
        <v>567175.99708774267</v>
      </c>
    </row>
    <row r="1253" spans="38:39">
      <c r="AL1253" s="133">
        <v>1272</v>
      </c>
      <c r="AM1253" s="24">
        <v>567327.27358240588</v>
      </c>
    </row>
    <row r="1254" spans="38:39">
      <c r="AL1254" s="133">
        <v>1273</v>
      </c>
      <c r="AM1254" s="24">
        <v>567478.70402726589</v>
      </c>
    </row>
    <row r="1255" spans="38:39">
      <c r="AL1255" s="133">
        <v>1274</v>
      </c>
      <c r="AM1255" s="24">
        <v>567630.28567076882</v>
      </c>
    </row>
    <row r="1256" spans="38:39">
      <c r="AL1256" s="133">
        <v>1275</v>
      </c>
      <c r="AM1256" s="24">
        <v>567782.01576136053</v>
      </c>
    </row>
    <row r="1257" spans="38:39">
      <c r="AL1257" s="133">
        <v>1276</v>
      </c>
      <c r="AM1257" s="24">
        <v>567933.89154748712</v>
      </c>
    </row>
    <row r="1258" spans="38:39">
      <c r="AL1258" s="133">
        <v>1277</v>
      </c>
      <c r="AM1258" s="24">
        <v>568085.91027759458</v>
      </c>
    </row>
    <row r="1259" spans="38:39">
      <c r="AL1259" s="133">
        <v>1278</v>
      </c>
      <c r="AM1259" s="24">
        <v>568238.06920012902</v>
      </c>
    </row>
    <row r="1260" spans="38:39">
      <c r="AL1260" s="133">
        <v>1279</v>
      </c>
      <c r="AM1260" s="24">
        <v>568390.3655635363</v>
      </c>
    </row>
    <row r="1261" spans="38:39">
      <c r="AL1261" s="133">
        <v>1280</v>
      </c>
      <c r="AM1261" s="24">
        <v>568542.79661626264</v>
      </c>
    </row>
    <row r="1262" spans="38:39">
      <c r="AL1262" s="133">
        <v>1281</v>
      </c>
      <c r="AM1262" s="24">
        <v>568695.3908567538</v>
      </c>
    </row>
    <row r="1263" spans="38:39">
      <c r="AL1263" s="133">
        <v>1282</v>
      </c>
      <c r="AM1263" s="24">
        <v>568848.05177725852</v>
      </c>
    </row>
    <row r="1264" spans="38:39">
      <c r="AL1264" s="133">
        <v>1283</v>
      </c>
      <c r="AM1264" s="24">
        <v>569000.87039108342</v>
      </c>
    </row>
    <row r="1265" spans="38:39">
      <c r="AL1265" s="133">
        <v>1284</v>
      </c>
      <c r="AM1265" s="24">
        <v>569153.81268799026</v>
      </c>
    </row>
    <row r="1266" spans="38:39">
      <c r="AL1266" s="133">
        <v>1285</v>
      </c>
      <c r="AM1266" s="24">
        <v>569306.87591642526</v>
      </c>
    </row>
    <row r="1267" spans="38:39">
      <c r="AL1267" s="133">
        <v>1286</v>
      </c>
      <c r="AM1267" s="24">
        <v>569460.05732483417</v>
      </c>
    </row>
    <row r="1268" spans="38:39">
      <c r="AL1268" s="133">
        <v>1287</v>
      </c>
      <c r="AM1268" s="24">
        <v>569613.35416166321</v>
      </c>
    </row>
    <row r="1269" spans="38:39">
      <c r="AL1269" s="133">
        <v>1288</v>
      </c>
      <c r="AM1269" s="24">
        <v>569766.76367535838</v>
      </c>
    </row>
    <row r="1270" spans="38:39">
      <c r="AL1270" s="133">
        <v>1289</v>
      </c>
      <c r="AM1270" s="24">
        <v>569920.28311436565</v>
      </c>
    </row>
    <row r="1271" spans="38:39">
      <c r="AL1271" s="133">
        <v>1290</v>
      </c>
      <c r="AM1271" s="24">
        <v>570073.90972713102</v>
      </c>
    </row>
    <row r="1272" spans="38:39">
      <c r="AL1272" s="133">
        <v>1291</v>
      </c>
      <c r="AM1272" s="24">
        <v>570227.64076210058</v>
      </c>
    </row>
    <row r="1273" spans="38:39">
      <c r="AL1273" s="133">
        <v>1292</v>
      </c>
      <c r="AM1273" s="24">
        <v>570381.47346772032</v>
      </c>
    </row>
    <row r="1274" spans="38:39">
      <c r="AL1274" s="133">
        <v>1293</v>
      </c>
      <c r="AM1274" s="24">
        <v>570535.40509243612</v>
      </c>
    </row>
    <row r="1275" spans="38:39">
      <c r="AL1275" s="133">
        <v>1294</v>
      </c>
      <c r="AM1275" s="24">
        <v>570689.40165670007</v>
      </c>
    </row>
    <row r="1276" spans="38:39">
      <c r="AL1276" s="133">
        <v>1295</v>
      </c>
      <c r="AM1276" s="24">
        <v>570843.55411716015</v>
      </c>
    </row>
    <row r="1277" spans="38:39">
      <c r="AL1277" s="133">
        <v>1296</v>
      </c>
      <c r="AM1277" s="24">
        <v>570997.76599203353</v>
      </c>
    </row>
    <row r="1278" spans="38:39">
      <c r="AL1278" s="133">
        <v>1297</v>
      </c>
      <c r="AM1278" s="24">
        <v>571152.06577976618</v>
      </c>
    </row>
    <row r="1279" spans="38:39">
      <c r="AL1279" s="133">
        <v>1298</v>
      </c>
      <c r="AM1279" s="24">
        <v>571306.45072880411</v>
      </c>
    </row>
    <row r="1280" spans="38:39">
      <c r="AL1280" s="133">
        <v>1299</v>
      </c>
      <c r="AM1280" s="24">
        <v>571460.9180875934</v>
      </c>
    </row>
    <row r="1281" spans="38:39">
      <c r="AL1281" s="133">
        <v>1300</v>
      </c>
      <c r="AM1281" s="24">
        <v>571615.46510457993</v>
      </c>
    </row>
    <row r="1282" spans="38:39">
      <c r="AL1282" s="133">
        <v>1301</v>
      </c>
      <c r="AM1282" s="24">
        <v>571770.0890282098</v>
      </c>
    </row>
    <row r="1283" spans="38:39">
      <c r="AL1283" s="133">
        <v>1302</v>
      </c>
      <c r="AM1283" s="24">
        <v>571924.787106929</v>
      </c>
    </row>
    <row r="1284" spans="38:39">
      <c r="AL1284" s="133">
        <v>1303</v>
      </c>
      <c r="AM1284" s="24">
        <v>572079.55658918363</v>
      </c>
    </row>
    <row r="1285" spans="38:39">
      <c r="AL1285" s="133">
        <v>1304</v>
      </c>
      <c r="AM1285" s="24">
        <v>572234.39474501973</v>
      </c>
    </row>
    <row r="1286" spans="38:39">
      <c r="AL1286" s="133">
        <v>1305</v>
      </c>
      <c r="AM1286" s="24">
        <v>572389.29878068506</v>
      </c>
    </row>
    <row r="1287" spans="38:39">
      <c r="AL1287" s="133">
        <v>1306</v>
      </c>
      <c r="AM1287" s="24">
        <v>572544.26596521342</v>
      </c>
    </row>
    <row r="1288" spans="38:39">
      <c r="AL1288" s="133">
        <v>1307</v>
      </c>
      <c r="AM1288" s="24">
        <v>572699.29354705068</v>
      </c>
    </row>
    <row r="1289" spans="38:39">
      <c r="AL1289" s="133">
        <v>1308</v>
      </c>
      <c r="AM1289" s="24">
        <v>572854.37877464283</v>
      </c>
    </row>
    <row r="1290" spans="38:39">
      <c r="AL1290" s="133">
        <v>1309</v>
      </c>
      <c r="AM1290" s="24">
        <v>573009.51889643597</v>
      </c>
    </row>
    <row r="1291" spans="38:39">
      <c r="AL1291" s="133">
        <v>1310</v>
      </c>
      <c r="AM1291" s="24">
        <v>573164.71118833101</v>
      </c>
    </row>
    <row r="1292" spans="38:39">
      <c r="AL1292" s="133">
        <v>1311</v>
      </c>
      <c r="AM1292" s="24">
        <v>573319.95284480322</v>
      </c>
    </row>
    <row r="1293" spans="38:39">
      <c r="AL1293" s="133">
        <v>1312</v>
      </c>
      <c r="AM1293" s="24">
        <v>573475.24114080402</v>
      </c>
    </row>
    <row r="1294" spans="38:39">
      <c r="AL1294" s="133">
        <v>1313</v>
      </c>
      <c r="AM1294" s="24">
        <v>573630.5733247794</v>
      </c>
    </row>
    <row r="1295" spans="38:39">
      <c r="AL1295" s="133">
        <v>1314</v>
      </c>
      <c r="AM1295" s="24">
        <v>573785.94664517534</v>
      </c>
    </row>
    <row r="1296" spans="38:39">
      <c r="AL1296" s="133">
        <v>1315</v>
      </c>
      <c r="AM1296" s="24">
        <v>573941.35835043783</v>
      </c>
    </row>
    <row r="1297" spans="38:39">
      <c r="AL1297" s="133">
        <v>1316</v>
      </c>
      <c r="AM1297" s="24">
        <v>574096.80572194466</v>
      </c>
    </row>
    <row r="1298" spans="38:39">
      <c r="AL1298" s="133">
        <v>1317</v>
      </c>
      <c r="AM1298" s="24">
        <v>574252.28594315448</v>
      </c>
    </row>
    <row r="1299" spans="38:39">
      <c r="AL1299" s="133">
        <v>1318</v>
      </c>
      <c r="AM1299" s="24">
        <v>574407.79629455844</v>
      </c>
    </row>
    <row r="1300" spans="38:39">
      <c r="AL1300" s="133">
        <v>1319</v>
      </c>
      <c r="AM1300" s="24">
        <v>574563.33402460255</v>
      </c>
    </row>
    <row r="1301" spans="38:39">
      <c r="AL1301" s="133">
        <v>1320</v>
      </c>
      <c r="AM1301" s="24">
        <v>574718.89638173289</v>
      </c>
    </row>
    <row r="1302" spans="38:39">
      <c r="AL1302" s="133">
        <v>1321</v>
      </c>
      <c r="AM1302" s="24">
        <v>574874.48061439546</v>
      </c>
    </row>
    <row r="1303" spans="38:39">
      <c r="AL1303" s="133">
        <v>1322</v>
      </c>
      <c r="AM1303" s="24">
        <v>575030.06838406716</v>
      </c>
    </row>
    <row r="1304" spans="38:39">
      <c r="AL1304" s="133">
        <v>1323</v>
      </c>
      <c r="AM1304" s="24">
        <v>575185.7037389453</v>
      </c>
    </row>
    <row r="1305" spans="38:39">
      <c r="AL1305" s="133">
        <v>1324</v>
      </c>
      <c r="AM1305" s="24">
        <v>575341.33708968316</v>
      </c>
    </row>
    <row r="1306" spans="38:39">
      <c r="AL1306" s="133">
        <v>1325</v>
      </c>
      <c r="AM1306" s="24">
        <v>575496.98130972683</v>
      </c>
    </row>
    <row r="1307" spans="38:39">
      <c r="AL1307" s="133">
        <v>1326</v>
      </c>
      <c r="AM1307" s="24">
        <v>575652.63364752231</v>
      </c>
    </row>
    <row r="1308" spans="38:39">
      <c r="AL1308" s="133">
        <v>1327</v>
      </c>
      <c r="AM1308" s="24">
        <v>575808.29135151557</v>
      </c>
    </row>
    <row r="1309" spans="38:39">
      <c r="AL1309" s="133">
        <v>1328</v>
      </c>
      <c r="AM1309" s="24">
        <v>575963.9672951526</v>
      </c>
    </row>
    <row r="1310" spans="38:39">
      <c r="AL1310" s="133">
        <v>1329</v>
      </c>
      <c r="AM1310" s="24">
        <v>576119.61189538229</v>
      </c>
    </row>
    <row r="1311" spans="38:39">
      <c r="AL1311" s="133">
        <v>1330</v>
      </c>
      <c r="AM1311" s="24">
        <v>576275.26918938477</v>
      </c>
    </row>
    <row r="1312" spans="38:39">
      <c r="AL1312" s="133">
        <v>1331</v>
      </c>
      <c r="AM1312" s="24">
        <v>576430.92084335862</v>
      </c>
    </row>
    <row r="1313" spans="38:39">
      <c r="AL1313" s="133">
        <v>1332</v>
      </c>
      <c r="AM1313" s="24">
        <v>576586.56410574995</v>
      </c>
    </row>
    <row r="1314" spans="38:39">
      <c r="AL1314" s="133">
        <v>1333</v>
      </c>
      <c r="AM1314" s="24">
        <v>576742.19622500462</v>
      </c>
    </row>
    <row r="1315" spans="38:39">
      <c r="AL1315" s="133">
        <v>1334</v>
      </c>
      <c r="AM1315" s="24">
        <v>576897.81444956874</v>
      </c>
    </row>
    <row r="1316" spans="38:39">
      <c r="AL1316" s="133">
        <v>1335</v>
      </c>
      <c r="AM1316" s="24">
        <v>577053.41607567191</v>
      </c>
    </row>
    <row r="1317" spans="38:39">
      <c r="AL1317" s="133">
        <v>1336</v>
      </c>
      <c r="AM1317" s="24">
        <v>577208.99825686973</v>
      </c>
    </row>
    <row r="1318" spans="38:39">
      <c r="AL1318" s="133">
        <v>1337</v>
      </c>
      <c r="AM1318" s="24">
        <v>577364.5582887046</v>
      </c>
    </row>
    <row r="1319" spans="38:39">
      <c r="AL1319" s="133">
        <v>1338</v>
      </c>
      <c r="AM1319" s="24">
        <v>577520.0934196224</v>
      </c>
    </row>
    <row r="1320" spans="38:39">
      <c r="AL1320" s="133">
        <v>1339</v>
      </c>
      <c r="AM1320" s="24">
        <v>577675.60089806921</v>
      </c>
    </row>
    <row r="1321" spans="38:39">
      <c r="AL1321" s="133">
        <v>1340</v>
      </c>
      <c r="AM1321" s="24">
        <v>577831.07797249116</v>
      </c>
    </row>
    <row r="1322" spans="38:39">
      <c r="AL1322" s="133">
        <v>1341</v>
      </c>
      <c r="AM1322" s="24">
        <v>577986.52194302087</v>
      </c>
    </row>
    <row r="1323" spans="38:39">
      <c r="AL1323" s="133">
        <v>1342</v>
      </c>
      <c r="AM1323" s="24">
        <v>578141.92995534465</v>
      </c>
    </row>
    <row r="1324" spans="38:39">
      <c r="AL1324" s="133">
        <v>1343</v>
      </c>
      <c r="AM1324" s="24">
        <v>578297.29930897115</v>
      </c>
    </row>
    <row r="1325" spans="38:39">
      <c r="AL1325" s="133">
        <v>1344</v>
      </c>
      <c r="AM1325" s="24">
        <v>578452.62725234625</v>
      </c>
    </row>
    <row r="1326" spans="38:39">
      <c r="AL1326" s="133">
        <v>1345</v>
      </c>
      <c r="AM1326" s="24">
        <v>578607.91103391594</v>
      </c>
    </row>
    <row r="1327" spans="38:39">
      <c r="AL1327" s="133">
        <v>1346</v>
      </c>
      <c r="AM1327" s="24">
        <v>578763.14790212631</v>
      </c>
    </row>
    <row r="1328" spans="38:39">
      <c r="AL1328" s="133">
        <v>1347</v>
      </c>
      <c r="AM1328" s="24">
        <v>578918.31953563553</v>
      </c>
    </row>
    <row r="1329" spans="38:39">
      <c r="AL1329" s="133">
        <v>1348</v>
      </c>
      <c r="AM1329" s="24">
        <v>579073.46994801611</v>
      </c>
    </row>
    <row r="1330" spans="38:39">
      <c r="AL1330" s="133">
        <v>1349</v>
      </c>
      <c r="AM1330" s="24">
        <v>579228.54956736497</v>
      </c>
    </row>
    <row r="1331" spans="38:39">
      <c r="AL1331" s="133">
        <v>1350</v>
      </c>
      <c r="AM1331" s="24">
        <v>579383.57126712799</v>
      </c>
    </row>
    <row r="1332" spans="38:39">
      <c r="AL1332" s="133">
        <v>1351</v>
      </c>
      <c r="AM1332" s="24">
        <v>579538.53229575127</v>
      </c>
    </row>
    <row r="1333" spans="38:39">
      <c r="AL1333" s="133">
        <v>1352</v>
      </c>
      <c r="AM1333" s="24">
        <v>579693.42993061163</v>
      </c>
    </row>
    <row r="1334" spans="38:39">
      <c r="AL1334" s="133">
        <v>1353</v>
      </c>
      <c r="AM1334" s="24">
        <v>579848.26136254263</v>
      </c>
    </row>
    <row r="1335" spans="38:39">
      <c r="AL1335" s="133">
        <v>1354</v>
      </c>
      <c r="AM1335" s="24">
        <v>580003.02386866673</v>
      </c>
    </row>
    <row r="1336" spans="38:39">
      <c r="AL1336" s="133">
        <v>1355</v>
      </c>
      <c r="AM1336" s="24">
        <v>580157.71472709253</v>
      </c>
    </row>
    <row r="1337" spans="38:39">
      <c r="AL1337" s="133">
        <v>1356</v>
      </c>
      <c r="AM1337" s="24">
        <v>580312.3311271742</v>
      </c>
    </row>
    <row r="1338" spans="38:39">
      <c r="AL1338" s="133">
        <v>1357</v>
      </c>
      <c r="AM1338" s="24">
        <v>580466.8703467818</v>
      </c>
    </row>
    <row r="1339" spans="38:39">
      <c r="AL1339" s="133">
        <v>1358</v>
      </c>
      <c r="AM1339" s="24">
        <v>580621.32966470846</v>
      </c>
    </row>
    <row r="1340" spans="38:39">
      <c r="AL1340" s="133">
        <v>1359</v>
      </c>
      <c r="AM1340" s="24">
        <v>580775.70626892359</v>
      </c>
    </row>
    <row r="1341" spans="38:39">
      <c r="AL1341" s="133">
        <v>1360</v>
      </c>
      <c r="AM1341" s="24">
        <v>580929.99743799737</v>
      </c>
    </row>
    <row r="1342" spans="38:39">
      <c r="AL1342" s="133">
        <v>1361</v>
      </c>
      <c r="AM1342" s="24">
        <v>581084.19263886043</v>
      </c>
    </row>
    <row r="1343" spans="38:39">
      <c r="AL1343" s="133">
        <v>1362</v>
      </c>
      <c r="AM1343" s="24">
        <v>581238.31249569159</v>
      </c>
    </row>
    <row r="1344" spans="38:39">
      <c r="AL1344" s="133">
        <v>1363</v>
      </c>
      <c r="AM1344" s="24">
        <v>581392.33085021412</v>
      </c>
    </row>
    <row r="1345" spans="38:39">
      <c r="AL1345" s="133">
        <v>1364</v>
      </c>
      <c r="AM1345" s="24">
        <v>581546.26057587424</v>
      </c>
    </row>
    <row r="1346" spans="38:39">
      <c r="AL1346" s="133">
        <v>1365</v>
      </c>
      <c r="AM1346" s="24">
        <v>581700.07551537885</v>
      </c>
    </row>
    <row r="1347" spans="38:39">
      <c r="AL1347" s="133">
        <v>1366</v>
      </c>
      <c r="AM1347" s="24">
        <v>581853.79629133292</v>
      </c>
    </row>
    <row r="1348" spans="38:39">
      <c r="AL1348" s="133">
        <v>1367</v>
      </c>
      <c r="AM1348" s="24">
        <v>582007.41237125744</v>
      </c>
    </row>
    <row r="1349" spans="38:39">
      <c r="AL1349" s="133">
        <v>1368</v>
      </c>
      <c r="AM1349" s="24">
        <v>582160.92103588639</v>
      </c>
    </row>
    <row r="1350" spans="38:39">
      <c r="AL1350" s="133">
        <v>1369</v>
      </c>
      <c r="AM1350" s="24">
        <v>582314.3194692547</v>
      </c>
    </row>
    <row r="1351" spans="38:39">
      <c r="AL1351" s="133">
        <v>1370</v>
      </c>
      <c r="AM1351" s="24">
        <v>582467.60495192616</v>
      </c>
    </row>
    <row r="1352" spans="38:39">
      <c r="AL1352" s="133">
        <v>1371</v>
      </c>
      <c r="AM1352" s="24">
        <v>582620.774765115</v>
      </c>
    </row>
    <row r="1353" spans="38:39">
      <c r="AL1353" s="133">
        <v>1372</v>
      </c>
      <c r="AM1353" s="24">
        <v>582773.82609188021</v>
      </c>
    </row>
    <row r="1354" spans="38:39">
      <c r="AL1354" s="133">
        <v>1373</v>
      </c>
      <c r="AM1354" s="24">
        <v>582926.7562132813</v>
      </c>
    </row>
    <row r="1355" spans="38:39">
      <c r="AL1355" s="133">
        <v>1374</v>
      </c>
      <c r="AM1355" s="24">
        <v>583079.56241096545</v>
      </c>
    </row>
    <row r="1356" spans="38:39">
      <c r="AL1356" s="133">
        <v>1375</v>
      </c>
      <c r="AM1356" s="24">
        <v>583232.24186711013</v>
      </c>
    </row>
    <row r="1357" spans="38:39">
      <c r="AL1357" s="133">
        <v>1376</v>
      </c>
      <c r="AM1357" s="24">
        <v>583384.79187995533</v>
      </c>
    </row>
    <row r="1358" spans="38:39">
      <c r="AL1358" s="133">
        <v>1377</v>
      </c>
      <c r="AM1358" s="24">
        <v>583537.20966454514</v>
      </c>
    </row>
    <row r="1359" spans="38:39">
      <c r="AL1359" s="133">
        <v>1378</v>
      </c>
      <c r="AM1359" s="24">
        <v>583689.49250284547</v>
      </c>
    </row>
    <row r="1360" spans="38:39">
      <c r="AL1360" s="133">
        <v>1379</v>
      </c>
      <c r="AM1360" s="24">
        <v>583841.63762656273</v>
      </c>
    </row>
    <row r="1361" spans="38:39">
      <c r="AL1361" s="133">
        <v>1380</v>
      </c>
      <c r="AM1361" s="24">
        <v>583993.64226717257</v>
      </c>
    </row>
    <row r="1362" spans="38:39">
      <c r="AL1362" s="133">
        <v>1381</v>
      </c>
      <c r="AM1362" s="24">
        <v>584145.5037069869</v>
      </c>
    </row>
    <row r="1363" spans="38:39">
      <c r="AL1363" s="133">
        <v>1382</v>
      </c>
      <c r="AM1363" s="24">
        <v>584297.22306672321</v>
      </c>
    </row>
    <row r="1364" spans="38:39">
      <c r="AL1364" s="133">
        <v>1383</v>
      </c>
      <c r="AM1364" s="24">
        <v>584448.78591014782</v>
      </c>
    </row>
    <row r="1365" spans="38:39">
      <c r="AL1365" s="133">
        <v>1384</v>
      </c>
      <c r="AM1365" s="24">
        <v>584600.20118743542</v>
      </c>
    </row>
    <row r="1366" spans="38:39">
      <c r="AL1366" s="133">
        <v>1385</v>
      </c>
      <c r="AM1366" s="24">
        <v>584751.46222358209</v>
      </c>
    </row>
    <row r="1367" spans="38:39">
      <c r="AL1367" s="133">
        <v>1386</v>
      </c>
      <c r="AM1367" s="24">
        <v>584902.5663013719</v>
      </c>
    </row>
    <row r="1368" spans="38:39">
      <c r="AL1368" s="133">
        <v>1387</v>
      </c>
      <c r="AM1368" s="24">
        <v>585053.5106520917</v>
      </c>
    </row>
    <row r="1369" spans="38:39">
      <c r="AL1369" s="133">
        <v>1388</v>
      </c>
      <c r="AM1369" s="24">
        <v>585204.29251553048</v>
      </c>
    </row>
    <row r="1370" spans="38:39">
      <c r="AL1370" s="133">
        <v>1389</v>
      </c>
      <c r="AM1370" s="24">
        <v>585354.90914874547</v>
      </c>
    </row>
    <row r="1371" spans="38:39">
      <c r="AL1371" s="133">
        <v>1390</v>
      </c>
      <c r="AM1371" s="24">
        <v>585505.35780017858</v>
      </c>
    </row>
    <row r="1372" spans="38:39">
      <c r="AL1372" s="133">
        <v>1391</v>
      </c>
      <c r="AM1372" s="24">
        <v>585655.63767139707</v>
      </c>
    </row>
    <row r="1373" spans="38:39">
      <c r="AL1373" s="133">
        <v>1392</v>
      </c>
      <c r="AM1373" s="24">
        <v>585805.74016016943</v>
      </c>
    </row>
    <row r="1374" spans="38:39">
      <c r="AL1374" s="133">
        <v>1393</v>
      </c>
      <c r="AM1374" s="24">
        <v>585955.66835691954</v>
      </c>
    </row>
    <row r="1375" spans="38:39">
      <c r="AL1375" s="133">
        <v>1394</v>
      </c>
      <c r="AM1375" s="24">
        <v>586105.41757001483</v>
      </c>
    </row>
    <row r="1376" spans="38:39">
      <c r="AL1376" s="133">
        <v>1395</v>
      </c>
      <c r="AM1376" s="24">
        <v>586254.98503918096</v>
      </c>
    </row>
    <row r="1377" spans="38:39">
      <c r="AL1377" s="133">
        <v>1396</v>
      </c>
      <c r="AM1377" s="24">
        <v>586404.36802158249</v>
      </c>
    </row>
    <row r="1378" spans="38:39">
      <c r="AL1378" s="133">
        <v>1397</v>
      </c>
      <c r="AM1378" s="24">
        <v>586553.56375911494</v>
      </c>
    </row>
    <row r="1379" spans="38:39">
      <c r="AL1379" s="133">
        <v>1398</v>
      </c>
      <c r="AM1379" s="24">
        <v>586702.56950240128</v>
      </c>
    </row>
    <row r="1380" spans="38:39">
      <c r="AL1380" s="133">
        <v>1399</v>
      </c>
      <c r="AM1380" s="24">
        <v>586851.3824998826</v>
      </c>
    </row>
    <row r="1381" spans="38:39">
      <c r="AL1381" s="133">
        <v>1400</v>
      </c>
      <c r="AM1381" s="24">
        <v>587000</v>
      </c>
    </row>
    <row r="1382" spans="38:39">
      <c r="AL1382" s="133">
        <v>1401</v>
      </c>
      <c r="AM1382" s="24">
        <v>587148.41985457798</v>
      </c>
    </row>
    <row r="1383" spans="38:39">
      <c r="AL1383" s="133">
        <v>1402</v>
      </c>
      <c r="AM1383" s="24">
        <v>587296.64240651717</v>
      </c>
    </row>
    <row r="1384" spans="38:39">
      <c r="AL1384" s="133">
        <v>1403</v>
      </c>
      <c r="AM1384" s="24">
        <v>587444.6686017235</v>
      </c>
    </row>
    <row r="1385" spans="38:39">
      <c r="AL1385" s="133">
        <v>1404</v>
      </c>
      <c r="AM1385" s="24">
        <v>587592.49938610301</v>
      </c>
    </row>
    <row r="1386" spans="38:39">
      <c r="AL1386" s="133">
        <v>1405</v>
      </c>
      <c r="AM1386" s="24">
        <v>587740.13570556149</v>
      </c>
    </row>
    <row r="1387" spans="38:39">
      <c r="AL1387" s="133">
        <v>1406</v>
      </c>
      <c r="AM1387" s="24">
        <v>587887.578506005</v>
      </c>
    </row>
    <row r="1388" spans="38:39">
      <c r="AL1388" s="133">
        <v>1407</v>
      </c>
      <c r="AM1388" s="24">
        <v>588034.82887463982</v>
      </c>
    </row>
    <row r="1389" spans="38:39">
      <c r="AL1389" s="133">
        <v>1408</v>
      </c>
      <c r="AM1389" s="24">
        <v>588181.88747249648</v>
      </c>
    </row>
    <row r="1390" spans="38:39">
      <c r="AL1390" s="133">
        <v>1409</v>
      </c>
      <c r="AM1390" s="24">
        <v>588328.75538906769</v>
      </c>
    </row>
    <row r="1391" spans="38:39">
      <c r="AL1391" s="133">
        <v>1410</v>
      </c>
      <c r="AM1391" s="24">
        <v>588475.43357025948</v>
      </c>
    </row>
    <row r="1392" spans="38:39">
      <c r="AL1392" s="133">
        <v>1411</v>
      </c>
      <c r="AM1392" s="24">
        <v>588621.92296197766</v>
      </c>
    </row>
    <row r="1393" spans="38:39">
      <c r="AL1393" s="133">
        <v>1412</v>
      </c>
      <c r="AM1393" s="24">
        <v>588768.22451012826</v>
      </c>
    </row>
    <row r="1394" spans="38:39">
      <c r="AL1394" s="133">
        <v>1413</v>
      </c>
      <c r="AM1394" s="24">
        <v>588914.33916061732</v>
      </c>
    </row>
    <row r="1395" spans="38:39">
      <c r="AL1395" s="133">
        <v>1414</v>
      </c>
      <c r="AM1395" s="24">
        <v>589060.26785935054</v>
      </c>
    </row>
    <row r="1396" spans="38:39">
      <c r="AL1396" s="133">
        <v>1415</v>
      </c>
      <c r="AM1396" s="24">
        <v>589206.01155223406</v>
      </c>
    </row>
    <row r="1397" spans="38:39">
      <c r="AL1397" s="133">
        <v>1416</v>
      </c>
      <c r="AM1397" s="24">
        <v>589351.57118517382</v>
      </c>
    </row>
    <row r="1398" spans="38:39">
      <c r="AL1398" s="133">
        <v>1417</v>
      </c>
      <c r="AM1398" s="24">
        <v>589496.94770407549</v>
      </c>
    </row>
    <row r="1399" spans="38:39">
      <c r="AL1399" s="133">
        <v>1418</v>
      </c>
      <c r="AM1399" s="24">
        <v>589642.14205484535</v>
      </c>
    </row>
    <row r="1400" spans="38:39">
      <c r="AL1400" s="133">
        <v>1419</v>
      </c>
      <c r="AM1400" s="24">
        <v>589787.15529817319</v>
      </c>
    </row>
    <row r="1401" spans="38:39">
      <c r="AL1401" s="133">
        <v>1420</v>
      </c>
      <c r="AM1401" s="24">
        <v>589931.98814826389</v>
      </c>
    </row>
    <row r="1402" spans="38:39">
      <c r="AL1402" s="133">
        <v>1421</v>
      </c>
      <c r="AM1402" s="24">
        <v>590076.64166795241</v>
      </c>
    </row>
    <row r="1403" spans="38:39">
      <c r="AL1403" s="133">
        <v>1422</v>
      </c>
      <c r="AM1403" s="24">
        <v>590221.11680314445</v>
      </c>
    </row>
    <row r="1404" spans="38:39">
      <c r="AL1404" s="133">
        <v>1423</v>
      </c>
      <c r="AM1404" s="24">
        <v>590365.41449974594</v>
      </c>
    </row>
    <row r="1405" spans="38:39">
      <c r="AL1405" s="133">
        <v>1424</v>
      </c>
      <c r="AM1405" s="24">
        <v>590509.53570366302</v>
      </c>
    </row>
    <row r="1406" spans="38:39">
      <c r="AL1406" s="133">
        <v>1425</v>
      </c>
      <c r="AM1406" s="24">
        <v>590653.48136080138</v>
      </c>
    </row>
    <row r="1407" spans="38:39">
      <c r="AL1407" s="133">
        <v>1426</v>
      </c>
      <c r="AM1407" s="24">
        <v>590797.25241706718</v>
      </c>
    </row>
    <row r="1408" spans="38:39">
      <c r="AL1408" s="133">
        <v>1427</v>
      </c>
      <c r="AM1408" s="24">
        <v>590940.84981836611</v>
      </c>
    </row>
    <row r="1409" spans="38:39">
      <c r="AL1409" s="133">
        <v>1428</v>
      </c>
      <c r="AM1409" s="24">
        <v>591084.27451060433</v>
      </c>
    </row>
    <row r="1410" spans="38:39">
      <c r="AL1410" s="133">
        <v>1429</v>
      </c>
      <c r="AM1410" s="24">
        <v>591227.52743968775</v>
      </c>
    </row>
    <row r="1411" spans="38:39">
      <c r="AL1411" s="133">
        <v>1430</v>
      </c>
      <c r="AM1411" s="24">
        <v>591370.60955152218</v>
      </c>
    </row>
    <row r="1412" spans="38:39">
      <c r="AL1412" s="133">
        <v>1431</v>
      </c>
      <c r="AM1412" s="24">
        <v>591513.55304201366</v>
      </c>
    </row>
    <row r="1413" spans="38:39">
      <c r="AL1413" s="133">
        <v>1432</v>
      </c>
      <c r="AM1413" s="24">
        <v>591656.2651950462</v>
      </c>
    </row>
    <row r="1414" spans="38:39">
      <c r="AL1414" s="133">
        <v>1433</v>
      </c>
      <c r="AM1414" s="24">
        <v>591798.84052859026</v>
      </c>
    </row>
    <row r="1415" spans="38:39">
      <c r="AL1415" s="133">
        <v>1434</v>
      </c>
      <c r="AM1415" s="24">
        <v>591941.24882852088</v>
      </c>
    </row>
    <row r="1416" spans="38:39">
      <c r="AL1416" s="133">
        <v>1435</v>
      </c>
      <c r="AM1416" s="24">
        <v>592083.49104074412</v>
      </c>
    </row>
    <row r="1417" spans="38:39">
      <c r="AL1417" s="133">
        <v>1436</v>
      </c>
      <c r="AM1417" s="24">
        <v>592225.56811116589</v>
      </c>
    </row>
    <row r="1418" spans="38:39">
      <c r="AL1418" s="133">
        <v>1437</v>
      </c>
      <c r="AM1418" s="24">
        <v>592367.48098569212</v>
      </c>
    </row>
    <row r="1419" spans="38:39">
      <c r="AL1419" s="133">
        <v>1438</v>
      </c>
      <c r="AM1419" s="24">
        <v>592509.23061022861</v>
      </c>
    </row>
    <row r="1420" spans="38:39">
      <c r="AL1420" s="133">
        <v>1439</v>
      </c>
      <c r="AM1420" s="24">
        <v>592650.81793068151</v>
      </c>
    </row>
    <row r="1421" spans="38:39">
      <c r="AL1421" s="133">
        <v>1440</v>
      </c>
      <c r="AM1421" s="24">
        <v>592792.24389295664</v>
      </c>
    </row>
    <row r="1422" spans="38:39">
      <c r="AL1422" s="133">
        <v>1441</v>
      </c>
      <c r="AM1422" s="24">
        <v>592933.50944296003</v>
      </c>
    </row>
    <row r="1423" spans="38:39">
      <c r="AL1423" s="133">
        <v>1442</v>
      </c>
      <c r="AM1423" s="24">
        <v>593074.61552659748</v>
      </c>
    </row>
    <row r="1424" spans="38:39">
      <c r="AL1424" s="133">
        <v>1443</v>
      </c>
      <c r="AM1424" s="24">
        <v>593215.56308977492</v>
      </c>
    </row>
    <row r="1425" spans="38:39">
      <c r="AL1425" s="133">
        <v>1444</v>
      </c>
      <c r="AM1425" s="24">
        <v>593356.32189340529</v>
      </c>
    </row>
    <row r="1426" spans="38:39">
      <c r="AL1426" s="133">
        <v>1445</v>
      </c>
      <c r="AM1426" s="24">
        <v>593496.9865015432</v>
      </c>
    </row>
    <row r="1427" spans="38:39">
      <c r="AL1427" s="133">
        <v>1446</v>
      </c>
      <c r="AM1427" s="24">
        <v>593637.46417695086</v>
      </c>
    </row>
    <row r="1428" spans="38:39">
      <c r="AL1428" s="133">
        <v>1447</v>
      </c>
      <c r="AM1428" s="24">
        <v>593777.78711553419</v>
      </c>
    </row>
    <row r="1429" spans="38:39">
      <c r="AL1429" s="133">
        <v>1448</v>
      </c>
      <c r="AM1429" s="24">
        <v>593917.95626319898</v>
      </c>
    </row>
    <row r="1430" spans="38:39">
      <c r="AL1430" s="133">
        <v>1449</v>
      </c>
      <c r="AM1430" s="24">
        <v>594057.97256585129</v>
      </c>
    </row>
    <row r="1431" spans="38:39">
      <c r="AL1431" s="133">
        <v>1450</v>
      </c>
      <c r="AM1431" s="24">
        <v>594197.83696939703</v>
      </c>
    </row>
    <row r="1432" spans="38:39">
      <c r="AL1432" s="133">
        <v>1451</v>
      </c>
      <c r="AM1432" s="24">
        <v>594337.55041974213</v>
      </c>
    </row>
    <row r="1433" spans="38:39">
      <c r="AL1433" s="133">
        <v>1452</v>
      </c>
      <c r="AM1433" s="24">
        <v>594477.1138627925</v>
      </c>
    </row>
    <row r="1434" spans="38:39">
      <c r="AL1434" s="133">
        <v>1453</v>
      </c>
      <c r="AM1434" s="24">
        <v>594616.52824445418</v>
      </c>
    </row>
    <row r="1435" spans="38:39">
      <c r="AL1435" s="133">
        <v>1454</v>
      </c>
      <c r="AM1435" s="24">
        <v>594755.79451063299</v>
      </c>
    </row>
    <row r="1436" spans="38:39">
      <c r="AL1436" s="133">
        <v>1455</v>
      </c>
      <c r="AM1436" s="24">
        <v>594894.91360723495</v>
      </c>
    </row>
    <row r="1437" spans="38:39">
      <c r="AL1437" s="133">
        <v>1456</v>
      </c>
      <c r="AM1437" s="24">
        <v>595033.91773016588</v>
      </c>
    </row>
    <row r="1438" spans="38:39">
      <c r="AL1438" s="133">
        <v>1457</v>
      </c>
      <c r="AM1438" s="24">
        <v>595172.71411737322</v>
      </c>
    </row>
    <row r="1439" spans="38:39">
      <c r="AL1439" s="133">
        <v>1458</v>
      </c>
      <c r="AM1439" s="24">
        <v>595311.39737899613</v>
      </c>
    </row>
    <row r="1440" spans="38:39">
      <c r="AL1440" s="133">
        <v>1459</v>
      </c>
      <c r="AM1440" s="24">
        <v>595449.93725467788</v>
      </c>
    </row>
    <row r="1441" spans="38:39">
      <c r="AL1441" s="133">
        <v>1460</v>
      </c>
      <c r="AM1441" s="24">
        <v>595588.33469032415</v>
      </c>
    </row>
    <row r="1442" spans="38:39">
      <c r="AL1442" s="133">
        <v>1461</v>
      </c>
      <c r="AM1442" s="24">
        <v>595726.59063184098</v>
      </c>
    </row>
    <row r="1443" spans="38:39">
      <c r="AL1443" s="133">
        <v>1462</v>
      </c>
      <c r="AM1443" s="24">
        <v>595864.70602513419</v>
      </c>
    </row>
    <row r="1444" spans="38:39">
      <c r="AL1444" s="133">
        <v>1463</v>
      </c>
      <c r="AM1444" s="24">
        <v>596002.68181610992</v>
      </c>
    </row>
    <row r="1445" spans="38:39">
      <c r="AL1445" s="133">
        <v>1464</v>
      </c>
      <c r="AM1445" s="24">
        <v>596140.51895067398</v>
      </c>
    </row>
    <row r="1446" spans="38:39">
      <c r="AL1446" s="133">
        <v>1465</v>
      </c>
      <c r="AM1446" s="24">
        <v>596278.2183747323</v>
      </c>
    </row>
    <row r="1447" spans="38:39">
      <c r="AL1447" s="133">
        <v>1466</v>
      </c>
      <c r="AM1447" s="24">
        <v>596415.78103419079</v>
      </c>
    </row>
    <row r="1448" spans="38:39">
      <c r="AL1448" s="133">
        <v>1467</v>
      </c>
      <c r="AM1448" s="24">
        <v>596553.20787495549</v>
      </c>
    </row>
    <row r="1449" spans="38:39">
      <c r="AL1449" s="133">
        <v>1468</v>
      </c>
      <c r="AM1449" s="24">
        <v>596690.49984293233</v>
      </c>
    </row>
    <row r="1450" spans="38:39">
      <c r="AL1450" s="133">
        <v>1469</v>
      </c>
      <c r="AM1450" s="24">
        <v>596827.62665664207</v>
      </c>
    </row>
    <row r="1451" spans="38:39">
      <c r="AL1451" s="133">
        <v>1470</v>
      </c>
      <c r="AM1451" s="24">
        <v>596964.68296521879</v>
      </c>
    </row>
    <row r="1452" spans="38:39">
      <c r="AL1452" s="133">
        <v>1471</v>
      </c>
      <c r="AM1452" s="24">
        <v>597101.57598873717</v>
      </c>
    </row>
    <row r="1453" spans="38:39">
      <c r="AL1453" s="133">
        <v>1472</v>
      </c>
      <c r="AM1453" s="24">
        <v>597238.33792310324</v>
      </c>
    </row>
    <row r="1454" spans="38:39">
      <c r="AL1454" s="133">
        <v>1473</v>
      </c>
      <c r="AM1454" s="24">
        <v>597374.96971422294</v>
      </c>
    </row>
    <row r="1455" spans="38:39">
      <c r="AL1455" s="133">
        <v>1474</v>
      </c>
      <c r="AM1455" s="24">
        <v>597511.47230800206</v>
      </c>
    </row>
    <row r="1456" spans="38:39">
      <c r="AL1456" s="133">
        <v>1475</v>
      </c>
      <c r="AM1456" s="24">
        <v>597647.84665034676</v>
      </c>
    </row>
    <row r="1457" spans="38:39">
      <c r="AL1457" s="133">
        <v>1476</v>
      </c>
      <c r="AM1457" s="24">
        <v>597784.09368716285</v>
      </c>
    </row>
    <row r="1458" spans="38:39">
      <c r="AL1458" s="133">
        <v>1477</v>
      </c>
      <c r="AM1458" s="24">
        <v>597920.21436435613</v>
      </c>
    </row>
    <row r="1459" spans="38:39">
      <c r="AL1459" s="133">
        <v>1478</v>
      </c>
      <c r="AM1459" s="24">
        <v>598056.20962783275</v>
      </c>
    </row>
    <row r="1460" spans="38:39">
      <c r="AL1460" s="133">
        <v>1479</v>
      </c>
      <c r="AM1460" s="24">
        <v>598192.08042349864</v>
      </c>
    </row>
    <row r="1461" spans="38:39">
      <c r="AL1461" s="133">
        <v>1480</v>
      </c>
      <c r="AM1461" s="24">
        <v>598327.82769725961</v>
      </c>
    </row>
    <row r="1462" spans="38:39">
      <c r="AL1462" s="133">
        <v>1481</v>
      </c>
      <c r="AM1462" s="24">
        <v>598463.48364502168</v>
      </c>
    </row>
    <row r="1463" spans="38:39">
      <c r="AL1463" s="133">
        <v>1482</v>
      </c>
      <c r="AM1463" s="24">
        <v>598598.95546618046</v>
      </c>
    </row>
    <row r="1464" spans="38:39">
      <c r="AL1464" s="133">
        <v>1483</v>
      </c>
      <c r="AM1464" s="24">
        <v>598734.33784827404</v>
      </c>
    </row>
    <row r="1465" spans="38:39">
      <c r="AL1465" s="133">
        <v>1484</v>
      </c>
      <c r="AM1465" s="24">
        <v>598869.60049209825</v>
      </c>
    </row>
    <row r="1466" spans="38:39">
      <c r="AL1466" s="133">
        <v>1485</v>
      </c>
      <c r="AM1466" s="24">
        <v>599004.74434355914</v>
      </c>
    </row>
    <row r="1467" spans="38:39">
      <c r="AL1467" s="133">
        <v>1486</v>
      </c>
      <c r="AM1467" s="24">
        <v>599139.77034856263</v>
      </c>
    </row>
    <row r="1468" spans="38:39">
      <c r="AL1468" s="133">
        <v>1487</v>
      </c>
      <c r="AM1468" s="24">
        <v>599274.67945301463</v>
      </c>
    </row>
    <row r="1469" spans="38:39">
      <c r="AL1469" s="133">
        <v>1488</v>
      </c>
      <c r="AM1469" s="24">
        <v>599409.47260282096</v>
      </c>
    </row>
    <row r="1470" spans="38:39">
      <c r="AL1470" s="133">
        <v>1489</v>
      </c>
      <c r="AM1470" s="24">
        <v>599544.15074388776</v>
      </c>
    </row>
    <row r="1471" spans="38:39">
      <c r="AL1471" s="133">
        <v>1490</v>
      </c>
      <c r="AM1471" s="24">
        <v>599678.71482212085</v>
      </c>
    </row>
    <row r="1472" spans="38:39">
      <c r="AL1472" s="133">
        <v>1491</v>
      </c>
      <c r="AM1472" s="24">
        <v>599813.16578342614</v>
      </c>
    </row>
    <row r="1473" spans="38:39">
      <c r="AL1473" s="133">
        <v>1492</v>
      </c>
      <c r="AM1473" s="24">
        <v>599947.50457370968</v>
      </c>
    </row>
    <row r="1474" spans="38:39">
      <c r="AL1474" s="133">
        <v>1493</v>
      </c>
      <c r="AM1474" s="24">
        <v>600081.73213887727</v>
      </c>
    </row>
    <row r="1475" spans="38:39">
      <c r="AL1475" s="133">
        <v>1494</v>
      </c>
      <c r="AM1475" s="24">
        <v>600215.81816244335</v>
      </c>
    </row>
    <row r="1476" spans="38:39">
      <c r="AL1476" s="133">
        <v>1495</v>
      </c>
      <c r="AM1476" s="24">
        <v>600349.85736385034</v>
      </c>
    </row>
    <row r="1477" spans="38:39">
      <c r="AL1477" s="133">
        <v>1496</v>
      </c>
      <c r="AM1477" s="24">
        <v>600483.75692787115</v>
      </c>
    </row>
    <row r="1478" spans="38:39">
      <c r="AL1478" s="133">
        <v>1497</v>
      </c>
      <c r="AM1478" s="24">
        <v>600617.54905041156</v>
      </c>
    </row>
    <row r="1479" spans="38:39">
      <c r="AL1479" s="133">
        <v>1498</v>
      </c>
      <c r="AM1479" s="24">
        <v>600751.23467737762</v>
      </c>
    </row>
    <row r="1480" spans="38:39">
      <c r="AL1480" s="133">
        <v>1499</v>
      </c>
      <c r="AM1480" s="24">
        <v>600884.81475467526</v>
      </c>
    </row>
    <row r="1481" spans="38:39">
      <c r="AL1481" s="133">
        <v>1500</v>
      </c>
      <c r="AM1481" s="24">
        <v>601018.29022821039</v>
      </c>
    </row>
    <row r="1482" spans="38:39">
      <c r="AL1482" s="133">
        <v>1501</v>
      </c>
      <c r="AM1482" s="24">
        <v>601151.66204388894</v>
      </c>
    </row>
    <row r="1483" spans="38:39">
      <c r="AL1483" s="133">
        <v>1502</v>
      </c>
      <c r="AM1483" s="24">
        <v>601284.93114761682</v>
      </c>
    </row>
    <row r="1484" spans="38:39">
      <c r="AL1484" s="133">
        <v>1503</v>
      </c>
      <c r="AM1484" s="24">
        <v>601418.09848529997</v>
      </c>
    </row>
    <row r="1485" spans="38:39">
      <c r="AL1485" s="133">
        <v>1504</v>
      </c>
      <c r="AM1485" s="24">
        <v>601551.16499068122</v>
      </c>
    </row>
    <row r="1486" spans="38:39">
      <c r="AL1486" s="133">
        <v>1505</v>
      </c>
      <c r="AM1486" s="24">
        <v>601684.13163342851</v>
      </c>
    </row>
    <row r="1487" spans="38:39">
      <c r="AL1487" s="133">
        <v>1506</v>
      </c>
      <c r="AM1487" s="24">
        <v>601816.99934785487</v>
      </c>
    </row>
    <row r="1488" spans="38:39">
      <c r="AL1488" s="133">
        <v>1507</v>
      </c>
      <c r="AM1488" s="24">
        <v>601949.76907986624</v>
      </c>
    </row>
    <row r="1489" spans="38:39">
      <c r="AL1489" s="133">
        <v>1508</v>
      </c>
      <c r="AM1489" s="24">
        <v>602082.44177536841</v>
      </c>
    </row>
    <row r="1490" spans="38:39">
      <c r="AL1490" s="133">
        <v>1509</v>
      </c>
      <c r="AM1490" s="24">
        <v>602215.01838026743</v>
      </c>
    </row>
    <row r="1491" spans="38:39">
      <c r="AL1491" s="133">
        <v>1510</v>
      </c>
      <c r="AM1491" s="24">
        <v>602347.49982500914</v>
      </c>
    </row>
    <row r="1492" spans="38:39">
      <c r="AL1492" s="133">
        <v>1511</v>
      </c>
      <c r="AM1492" s="24">
        <v>602479.88708589075</v>
      </c>
    </row>
    <row r="1493" spans="38:39">
      <c r="AL1493" s="133">
        <v>1512</v>
      </c>
      <c r="AM1493" s="24">
        <v>602612.18109389301</v>
      </c>
    </row>
    <row r="1494" spans="38:39">
      <c r="AL1494" s="133">
        <v>1513</v>
      </c>
      <c r="AM1494" s="24">
        <v>602744.38279492164</v>
      </c>
    </row>
    <row r="1495" spans="38:39">
      <c r="AL1495" s="133">
        <v>1514</v>
      </c>
      <c r="AM1495" s="24">
        <v>602876.49313488265</v>
      </c>
    </row>
    <row r="1496" spans="38:39">
      <c r="AL1496" s="133">
        <v>1515</v>
      </c>
      <c r="AM1496" s="24">
        <v>603008.5130596821</v>
      </c>
    </row>
    <row r="1497" spans="38:39">
      <c r="AL1497" s="133">
        <v>1516</v>
      </c>
      <c r="AM1497" s="24">
        <v>603140.44349668163</v>
      </c>
    </row>
    <row r="1498" spans="38:39">
      <c r="AL1498" s="133">
        <v>1517</v>
      </c>
      <c r="AM1498" s="24">
        <v>603272.28542838211</v>
      </c>
    </row>
    <row r="1499" spans="38:39">
      <c r="AL1499" s="133">
        <v>1518</v>
      </c>
      <c r="AM1499" s="24">
        <v>603404.03978264472</v>
      </c>
    </row>
    <row r="1500" spans="38:39">
      <c r="AL1500" s="133">
        <v>1519</v>
      </c>
      <c r="AM1500" s="24">
        <v>603535.70750537538</v>
      </c>
    </row>
    <row r="1501" spans="38:39">
      <c r="AL1501" s="133">
        <v>1520</v>
      </c>
      <c r="AM1501" s="24">
        <v>603667.28954247991</v>
      </c>
    </row>
    <row r="1502" spans="38:39">
      <c r="AL1502" s="133">
        <v>1521</v>
      </c>
      <c r="AM1502" s="24">
        <v>603798.78683986433</v>
      </c>
    </row>
    <row r="1503" spans="38:39">
      <c r="AL1503" s="133">
        <v>1522</v>
      </c>
      <c r="AM1503" s="24">
        <v>603930.18469701894</v>
      </c>
    </row>
    <row r="1504" spans="38:39">
      <c r="AL1504" s="133">
        <v>1523</v>
      </c>
      <c r="AM1504" s="24">
        <v>604061.53097722295</v>
      </c>
    </row>
    <row r="1505" spans="38:39">
      <c r="AL1505" s="133">
        <v>1524</v>
      </c>
      <c r="AM1505" s="24">
        <v>604192.77973043057</v>
      </c>
    </row>
    <row r="1506" spans="38:39">
      <c r="AL1506" s="133">
        <v>1525</v>
      </c>
      <c r="AM1506" s="24">
        <v>604323.94752754772</v>
      </c>
    </row>
    <row r="1507" spans="38:39">
      <c r="AL1507" s="133">
        <v>1526</v>
      </c>
      <c r="AM1507" s="24">
        <v>604455.03531448031</v>
      </c>
    </row>
    <row r="1508" spans="38:39">
      <c r="AL1508" s="133">
        <v>1527</v>
      </c>
      <c r="AM1508" s="24">
        <v>604586.04403713427</v>
      </c>
    </row>
    <row r="1509" spans="38:39">
      <c r="AL1509" s="133">
        <v>1528</v>
      </c>
      <c r="AM1509" s="24">
        <v>604716.99026641552</v>
      </c>
    </row>
    <row r="1510" spans="38:39">
      <c r="AL1510" s="133">
        <v>1529</v>
      </c>
      <c r="AM1510" s="24">
        <v>604847.82804873341</v>
      </c>
    </row>
    <row r="1511" spans="38:39">
      <c r="AL1511" s="133">
        <v>1530</v>
      </c>
      <c r="AM1511" s="24">
        <v>604978.6052535706</v>
      </c>
    </row>
    <row r="1512" spans="38:39">
      <c r="AL1512" s="133">
        <v>1531</v>
      </c>
      <c r="AM1512" s="24">
        <v>605109.30717775889</v>
      </c>
    </row>
    <row r="1513" spans="38:39">
      <c r="AL1513" s="133">
        <v>1532</v>
      </c>
      <c r="AM1513" s="24">
        <v>605239.9347672041</v>
      </c>
    </row>
    <row r="1514" spans="38:39">
      <c r="AL1514" s="133">
        <v>1533</v>
      </c>
      <c r="AM1514" s="24">
        <v>605370.48896781227</v>
      </c>
    </row>
    <row r="1515" spans="38:39">
      <c r="AL1515" s="133">
        <v>1534</v>
      </c>
      <c r="AM1515" s="24">
        <v>605500.97072548931</v>
      </c>
    </row>
    <row r="1516" spans="38:39">
      <c r="AL1516" s="133">
        <v>1535</v>
      </c>
      <c r="AM1516" s="24">
        <v>605631.38095923373</v>
      </c>
    </row>
    <row r="1517" spans="38:39">
      <c r="AL1517" s="133">
        <v>1536</v>
      </c>
      <c r="AM1517" s="24">
        <v>605761.72066838515</v>
      </c>
    </row>
    <row r="1518" spans="38:39">
      <c r="AL1518" s="133">
        <v>1537</v>
      </c>
      <c r="AM1518" s="24">
        <v>605891.99077232915</v>
      </c>
    </row>
    <row r="1519" spans="38:39">
      <c r="AL1519" s="133">
        <v>1538</v>
      </c>
      <c r="AM1519" s="24">
        <v>606022.19221697166</v>
      </c>
    </row>
    <row r="1520" spans="38:39">
      <c r="AL1520" s="133">
        <v>1539</v>
      </c>
      <c r="AM1520" s="24">
        <v>606152.32594821858</v>
      </c>
    </row>
    <row r="1521" spans="38:39">
      <c r="AL1521" s="133">
        <v>1540</v>
      </c>
      <c r="AM1521" s="24">
        <v>606282.39291197585</v>
      </c>
    </row>
    <row r="1522" spans="38:39">
      <c r="AL1522" s="133">
        <v>1541</v>
      </c>
      <c r="AM1522" s="24">
        <v>606412.39402504428</v>
      </c>
    </row>
    <row r="1523" spans="38:39">
      <c r="AL1523" s="133">
        <v>1542</v>
      </c>
      <c r="AM1523" s="24">
        <v>606542.33029119449</v>
      </c>
    </row>
    <row r="1524" spans="38:39">
      <c r="AL1524" s="133">
        <v>1543</v>
      </c>
      <c r="AM1524" s="24">
        <v>606672.20262757875</v>
      </c>
    </row>
    <row r="1525" spans="38:39">
      <c r="AL1525" s="133">
        <v>1544</v>
      </c>
      <c r="AM1525" s="24">
        <v>606802.01198010298</v>
      </c>
    </row>
    <row r="1526" spans="38:39">
      <c r="AL1526" s="133">
        <v>1545</v>
      </c>
      <c r="AM1526" s="24">
        <v>606931.75929467333</v>
      </c>
    </row>
    <row r="1527" spans="38:39">
      <c r="AL1527" s="133">
        <v>1546</v>
      </c>
      <c r="AM1527" s="24">
        <v>607061.44551719539</v>
      </c>
    </row>
    <row r="1528" spans="38:39">
      <c r="AL1528" s="133">
        <v>1547</v>
      </c>
      <c r="AM1528" s="24">
        <v>607191.05593748507</v>
      </c>
    </row>
    <row r="1529" spans="38:39">
      <c r="AL1529" s="133">
        <v>1548</v>
      </c>
      <c r="AM1529" s="24">
        <v>607320.63843831862</v>
      </c>
    </row>
    <row r="1530" spans="38:39">
      <c r="AL1530" s="133">
        <v>1549</v>
      </c>
      <c r="AM1530" s="24">
        <v>607450.14705982781</v>
      </c>
    </row>
    <row r="1531" spans="38:39">
      <c r="AL1531" s="133">
        <v>1550</v>
      </c>
      <c r="AM1531" s="24">
        <v>607579.59837291855</v>
      </c>
    </row>
    <row r="1532" spans="38:39">
      <c r="AL1532" s="133">
        <v>1551</v>
      </c>
      <c r="AM1532" s="24">
        <v>607708.99332349678</v>
      </c>
    </row>
    <row r="1533" spans="38:39">
      <c r="AL1533" s="133">
        <v>1552</v>
      </c>
      <c r="AM1533" s="24">
        <v>607838.33284117724</v>
      </c>
    </row>
    <row r="1534" spans="38:39">
      <c r="AL1534" s="133">
        <v>1553</v>
      </c>
      <c r="AM1534" s="24">
        <v>607967.6179043079</v>
      </c>
    </row>
    <row r="1535" spans="38:39">
      <c r="AL1535" s="133">
        <v>1554</v>
      </c>
      <c r="AM1535" s="24">
        <v>608096.84944264684</v>
      </c>
    </row>
    <row r="1536" spans="38:39">
      <c r="AL1536" s="133">
        <v>1555</v>
      </c>
      <c r="AM1536" s="24">
        <v>608226.0283853967</v>
      </c>
    </row>
    <row r="1537" spans="38:39">
      <c r="AL1537" s="133">
        <v>1556</v>
      </c>
      <c r="AM1537" s="24">
        <v>608355.15571173851</v>
      </c>
    </row>
    <row r="1538" spans="38:39">
      <c r="AL1538" s="133">
        <v>1557</v>
      </c>
      <c r="AM1538" s="24">
        <v>608484.23235100915</v>
      </c>
    </row>
    <row r="1539" spans="38:39">
      <c r="AL1539" s="133">
        <v>1558</v>
      </c>
      <c r="AM1539" s="24">
        <v>608613.25923202618</v>
      </c>
    </row>
    <row r="1540" spans="38:39">
      <c r="AL1540" s="133">
        <v>1559</v>
      </c>
      <c r="AM1540" s="24">
        <v>608742.23733475013</v>
      </c>
    </row>
    <row r="1541" spans="38:39">
      <c r="AL1541" s="133">
        <v>1560</v>
      </c>
      <c r="AM1541" s="24">
        <v>608871.16758812382</v>
      </c>
    </row>
    <row r="1542" spans="38:39">
      <c r="AL1542" s="133">
        <v>1561</v>
      </c>
      <c r="AM1542" s="24">
        <v>609000.04310810566</v>
      </c>
    </row>
    <row r="1543" spans="38:39">
      <c r="AL1543" s="133">
        <v>1562</v>
      </c>
      <c r="AM1543" s="24">
        <v>609128.88831288298</v>
      </c>
    </row>
    <row r="1544" spans="38:39">
      <c r="AL1544" s="133">
        <v>1563</v>
      </c>
      <c r="AM1544" s="24">
        <v>609257.68069353083</v>
      </c>
    </row>
    <row r="1545" spans="38:39">
      <c r="AL1545" s="133">
        <v>1564</v>
      </c>
      <c r="AM1545" s="24">
        <v>609386.43682095513</v>
      </c>
    </row>
    <row r="1546" spans="38:39">
      <c r="AL1546" s="133">
        <v>1565</v>
      </c>
      <c r="AM1546" s="24">
        <v>609515.13418567705</v>
      </c>
    </row>
    <row r="1547" spans="38:39">
      <c r="AL1547" s="133">
        <v>1566</v>
      </c>
      <c r="AM1547" s="24">
        <v>609643.79720677016</v>
      </c>
    </row>
    <row r="1548" spans="38:39">
      <c r="AL1548" s="133">
        <v>1567</v>
      </c>
      <c r="AM1548" s="24">
        <v>609772.41899986053</v>
      </c>
    </row>
    <row r="1549" spans="38:39">
      <c r="AL1549" s="133">
        <v>1568</v>
      </c>
      <c r="AM1549" s="24">
        <v>609901.00049267232</v>
      </c>
    </row>
    <row r="1550" spans="38:39">
      <c r="AL1550" s="133">
        <v>1569</v>
      </c>
      <c r="AM1550" s="24">
        <v>610029.54266738193</v>
      </c>
    </row>
    <row r="1551" spans="38:39">
      <c r="AL1551" s="133">
        <v>1570</v>
      </c>
      <c r="AM1551" s="24">
        <v>610158.04645180947</v>
      </c>
    </row>
    <row r="1552" spans="38:39">
      <c r="AL1552" s="133">
        <v>1571</v>
      </c>
      <c r="AM1552" s="24">
        <v>610286.5127734089</v>
      </c>
    </row>
    <row r="1553" spans="38:39">
      <c r="AL1553" s="133">
        <v>1572</v>
      </c>
      <c r="AM1553" s="24">
        <v>610414.94261490612</v>
      </c>
    </row>
    <row r="1554" spans="38:39">
      <c r="AL1554" s="133">
        <v>1573</v>
      </c>
      <c r="AM1554" s="24">
        <v>610543.33690384205</v>
      </c>
    </row>
    <row r="1555" spans="38:39">
      <c r="AL1555" s="133">
        <v>1574</v>
      </c>
      <c r="AM1555" s="24">
        <v>610671.69656742678</v>
      </c>
    </row>
    <row r="1556" spans="38:39">
      <c r="AL1556" s="133">
        <v>1575</v>
      </c>
      <c r="AM1556" s="24">
        <v>610800.02258888271</v>
      </c>
    </row>
    <row r="1557" spans="38:39">
      <c r="AL1557" s="133">
        <v>1576</v>
      </c>
      <c r="AM1557" s="24">
        <v>610928.31588607642</v>
      </c>
    </row>
    <row r="1558" spans="38:39">
      <c r="AL1558" s="133">
        <v>1577</v>
      </c>
      <c r="AM1558" s="24">
        <v>611056.57742372248</v>
      </c>
    </row>
    <row r="1559" spans="38:39">
      <c r="AL1559" s="133">
        <v>1578</v>
      </c>
      <c r="AM1559" s="24">
        <v>611184.80812885182</v>
      </c>
    </row>
    <row r="1560" spans="38:39">
      <c r="AL1560" s="133">
        <v>1579</v>
      </c>
      <c r="AM1560" s="24">
        <v>611313.00895679637</v>
      </c>
    </row>
    <row r="1561" spans="38:39">
      <c r="AL1561" s="133">
        <v>1580</v>
      </c>
      <c r="AM1561" s="24">
        <v>611441.18086301838</v>
      </c>
    </row>
    <row r="1562" spans="38:39">
      <c r="AL1562" s="133">
        <v>1581</v>
      </c>
      <c r="AM1562" s="24">
        <v>611569.32477435342</v>
      </c>
    </row>
    <row r="1563" spans="38:39">
      <c r="AL1563" s="133">
        <v>1582</v>
      </c>
      <c r="AM1563" s="24">
        <v>611697.44556209119</v>
      </c>
    </row>
    <row r="1564" spans="38:39">
      <c r="AL1564" s="133">
        <v>1583</v>
      </c>
      <c r="AM1564" s="24">
        <v>611825.53243420226</v>
      </c>
    </row>
    <row r="1565" spans="38:39">
      <c r="AL1565" s="133">
        <v>1584</v>
      </c>
      <c r="AM1565" s="24">
        <v>611953.5980649275</v>
      </c>
    </row>
    <row r="1566" spans="38:39">
      <c r="AL1566" s="133">
        <v>1585</v>
      </c>
      <c r="AM1566" s="24">
        <v>612081.63950360834</v>
      </c>
    </row>
    <row r="1567" spans="38:39">
      <c r="AL1567" s="133">
        <v>1586</v>
      </c>
      <c r="AM1567" s="24">
        <v>612209.65767681436</v>
      </c>
    </row>
    <row r="1568" spans="38:39">
      <c r="AL1568" s="133">
        <v>1587</v>
      </c>
      <c r="AM1568" s="24">
        <v>612337.65354011429</v>
      </c>
    </row>
    <row r="1569" spans="38:39">
      <c r="AL1569" s="133">
        <v>1588</v>
      </c>
      <c r="AM1569" s="24">
        <v>612465.62804428872</v>
      </c>
    </row>
    <row r="1570" spans="38:39">
      <c r="AL1570" s="133">
        <v>1589</v>
      </c>
      <c r="AM1570" s="24">
        <v>612593.58213039464</v>
      </c>
    </row>
    <row r="1571" spans="38:39">
      <c r="AL1571" s="133">
        <v>1590</v>
      </c>
      <c r="AM1571" s="24">
        <v>612721.51674434019</v>
      </c>
    </row>
    <row r="1572" spans="38:39">
      <c r="AL1572" s="133">
        <v>1591</v>
      </c>
      <c r="AM1572" s="24">
        <v>612849.43478515861</v>
      </c>
    </row>
    <row r="1573" spans="38:39">
      <c r="AL1573" s="133">
        <v>1592</v>
      </c>
      <c r="AM1573" s="24">
        <v>612977.33133448299</v>
      </c>
    </row>
    <row r="1574" spans="38:39">
      <c r="AL1574" s="133">
        <v>1593</v>
      </c>
      <c r="AM1574" s="24">
        <v>613105.21320739097</v>
      </c>
    </row>
    <row r="1575" spans="38:39">
      <c r="AL1575" s="133">
        <v>1594</v>
      </c>
      <c r="AM1575" s="24">
        <v>613233.07938931684</v>
      </c>
    </row>
    <row r="1576" spans="38:39">
      <c r="AL1576" s="133">
        <v>1595</v>
      </c>
      <c r="AM1576" s="24">
        <v>613360.93083107681</v>
      </c>
    </row>
    <row r="1577" spans="38:39">
      <c r="AL1577" s="133">
        <v>1596</v>
      </c>
      <c r="AM1577" s="24">
        <v>613488.76847366779</v>
      </c>
    </row>
    <row r="1578" spans="38:39">
      <c r="AL1578" s="133">
        <v>1597</v>
      </c>
      <c r="AM1578" s="24">
        <v>613616.59326668398</v>
      </c>
    </row>
    <row r="1579" spans="38:39">
      <c r="AL1579" s="133">
        <v>1598</v>
      </c>
      <c r="AM1579" s="24">
        <v>613744.40615480568</v>
      </c>
    </row>
    <row r="1580" spans="38:39">
      <c r="AL1580" s="133">
        <v>1599</v>
      </c>
      <c r="AM1580" s="24">
        <v>613872.20808394137</v>
      </c>
    </row>
    <row r="1581" spans="38:39">
      <c r="AL1581" s="133">
        <v>1600</v>
      </c>
      <c r="AM1581" s="24">
        <v>614000</v>
      </c>
    </row>
    <row r="1582" spans="38:39">
      <c r="AL1582" s="133">
        <v>1601</v>
      </c>
      <c r="AM1582" s="24">
        <v>614127.78264365951</v>
      </c>
    </row>
    <row r="1583" spans="38:39">
      <c r="AL1583" s="133">
        <v>1602</v>
      </c>
      <c r="AM1583" s="24">
        <v>614255.55593809136</v>
      </c>
    </row>
    <row r="1584" spans="38:39">
      <c r="AL1584" s="133">
        <v>1603</v>
      </c>
      <c r="AM1584" s="24">
        <v>614383.3196012195</v>
      </c>
    </row>
    <row r="1585" spans="38:39">
      <c r="AL1585" s="133">
        <v>1604</v>
      </c>
      <c r="AM1585" s="24">
        <v>614511.07335096761</v>
      </c>
    </row>
    <row r="1586" spans="38:39">
      <c r="AL1586" s="133">
        <v>1605</v>
      </c>
      <c r="AM1586" s="24">
        <v>614638.81690525904</v>
      </c>
    </row>
    <row r="1587" spans="38:39">
      <c r="AL1587" s="133">
        <v>1606</v>
      </c>
      <c r="AM1587" s="24">
        <v>614766.54998201784</v>
      </c>
    </row>
    <row r="1588" spans="38:39">
      <c r="AL1588" s="133">
        <v>1607</v>
      </c>
      <c r="AM1588" s="24">
        <v>614894.27230562991</v>
      </c>
    </row>
    <row r="1589" spans="38:39">
      <c r="AL1589" s="133">
        <v>1608</v>
      </c>
      <c r="AM1589" s="24">
        <v>615021.98358099011</v>
      </c>
    </row>
    <row r="1590" spans="38:39">
      <c r="AL1590" s="133">
        <v>1609</v>
      </c>
      <c r="AM1590" s="24">
        <v>615149.683532589</v>
      </c>
    </row>
    <row r="1591" spans="38:39">
      <c r="AL1591" s="133">
        <v>1610</v>
      </c>
      <c r="AM1591" s="24">
        <v>615277.37187835027</v>
      </c>
    </row>
    <row r="1592" spans="38:39">
      <c r="AL1592" s="133">
        <v>1611</v>
      </c>
      <c r="AM1592" s="24">
        <v>615405.04833619774</v>
      </c>
    </row>
    <row r="1593" spans="38:39">
      <c r="AL1593" s="133">
        <v>1612</v>
      </c>
      <c r="AM1593" s="24">
        <v>615532.71262405498</v>
      </c>
    </row>
    <row r="1594" spans="38:39">
      <c r="AL1594" s="133">
        <v>1613</v>
      </c>
      <c r="AM1594" s="24">
        <v>615660.36445984559</v>
      </c>
    </row>
    <row r="1595" spans="38:39">
      <c r="AL1595" s="133">
        <v>1614</v>
      </c>
      <c r="AM1595" s="24">
        <v>615788.00356149347</v>
      </c>
    </row>
    <row r="1596" spans="38:39">
      <c r="AL1596" s="133">
        <v>1615</v>
      </c>
      <c r="AM1596" s="24">
        <v>615915.629646922</v>
      </c>
    </row>
    <row r="1597" spans="38:39">
      <c r="AL1597" s="133">
        <v>1616</v>
      </c>
      <c r="AM1597" s="24">
        <v>616043.24243405508</v>
      </c>
    </row>
    <row r="1598" spans="38:39">
      <c r="AL1598" s="133">
        <v>1617</v>
      </c>
      <c r="AM1598" s="24">
        <v>616170.8416408163</v>
      </c>
    </row>
    <row r="1599" spans="38:39">
      <c r="AL1599" s="133">
        <v>1618</v>
      </c>
      <c r="AM1599" s="24">
        <v>616298.42698512948</v>
      </c>
    </row>
    <row r="1600" spans="38:39">
      <c r="AL1600" s="133">
        <v>1619</v>
      </c>
      <c r="AM1600" s="24">
        <v>616425.99819016783</v>
      </c>
    </row>
    <row r="1601" spans="38:39">
      <c r="AL1601" s="133">
        <v>1620</v>
      </c>
      <c r="AM1601" s="24">
        <v>616553.55496325798</v>
      </c>
    </row>
    <row r="1602" spans="38:39">
      <c r="AL1602" s="133">
        <v>1621</v>
      </c>
      <c r="AM1602" s="24">
        <v>616681.09702767152</v>
      </c>
    </row>
    <row r="1603" spans="38:39">
      <c r="AL1603" s="133">
        <v>1622</v>
      </c>
      <c r="AM1603" s="24">
        <v>616808.62410133216</v>
      </c>
    </row>
    <row r="1604" spans="38:39">
      <c r="AL1604" s="133">
        <v>1623</v>
      </c>
      <c r="AM1604" s="24">
        <v>616936.13590216357</v>
      </c>
    </row>
    <row r="1605" spans="38:39">
      <c r="AL1605" s="133">
        <v>1624</v>
      </c>
      <c r="AM1605" s="24">
        <v>617063.63214808935</v>
      </c>
    </row>
    <row r="1606" spans="38:39">
      <c r="AL1606" s="133">
        <v>1625</v>
      </c>
      <c r="AM1606" s="24">
        <v>617191.11255703319</v>
      </c>
    </row>
    <row r="1607" spans="38:39">
      <c r="AL1607" s="133">
        <v>1626</v>
      </c>
      <c r="AM1607" s="24">
        <v>617318.57684691879</v>
      </c>
    </row>
    <row r="1608" spans="38:39">
      <c r="AL1608" s="133">
        <v>1627</v>
      </c>
      <c r="AM1608" s="24">
        <v>617446.02473566984</v>
      </c>
    </row>
    <row r="1609" spans="38:39">
      <c r="AL1609" s="133">
        <v>1628</v>
      </c>
      <c r="AM1609" s="24">
        <v>617573.45594121004</v>
      </c>
    </row>
    <row r="1610" spans="38:39">
      <c r="AL1610" s="133">
        <v>1629</v>
      </c>
      <c r="AM1610" s="24">
        <v>617700.87018146296</v>
      </c>
    </row>
    <row r="1611" spans="38:39">
      <c r="AL1611" s="133">
        <v>1630</v>
      </c>
      <c r="AM1611" s="24">
        <v>617828.26717435231</v>
      </c>
    </row>
    <row r="1612" spans="38:39">
      <c r="AL1612" s="133">
        <v>1631</v>
      </c>
      <c r="AM1612" s="24">
        <v>617955.67788780178</v>
      </c>
    </row>
    <row r="1613" spans="38:39">
      <c r="AL1613" s="133">
        <v>1632</v>
      </c>
      <c r="AM1613" s="24">
        <v>618082.97704375884</v>
      </c>
    </row>
    <row r="1614" spans="38:39">
      <c r="AL1614" s="133">
        <v>1633</v>
      </c>
      <c r="AM1614" s="24">
        <v>618210.35185200907</v>
      </c>
    </row>
    <row r="1615" spans="38:39">
      <c r="AL1615" s="133">
        <v>1634</v>
      </c>
      <c r="AM1615" s="24">
        <v>618337.67703459098</v>
      </c>
    </row>
    <row r="1616" spans="38:39">
      <c r="AL1616" s="133">
        <v>1635</v>
      </c>
      <c r="AM1616" s="24">
        <v>618464.98355942825</v>
      </c>
    </row>
    <row r="1617" spans="38:39">
      <c r="AL1617" s="133">
        <v>1636</v>
      </c>
      <c r="AM1617" s="24">
        <v>618592.27114444459</v>
      </c>
    </row>
    <row r="1618" spans="38:39">
      <c r="AL1618" s="133">
        <v>1637</v>
      </c>
      <c r="AM1618" s="24">
        <v>618719.53950756358</v>
      </c>
    </row>
    <row r="1619" spans="38:39">
      <c r="AL1619" s="133">
        <v>1638</v>
      </c>
      <c r="AM1619" s="24">
        <v>618846.7883667089</v>
      </c>
    </row>
    <row r="1620" spans="38:39">
      <c r="AL1620" s="133">
        <v>1639</v>
      </c>
      <c r="AM1620" s="24">
        <v>618974.01743980439</v>
      </c>
    </row>
    <row r="1621" spans="38:39">
      <c r="AL1621" s="133">
        <v>1640</v>
      </c>
      <c r="AM1621" s="24">
        <v>619101.22644477349</v>
      </c>
    </row>
    <row r="1622" spans="38:39">
      <c r="AL1622" s="133">
        <v>1641</v>
      </c>
      <c r="AM1622" s="24">
        <v>619228.41509954014</v>
      </c>
    </row>
    <row r="1623" spans="38:39">
      <c r="AL1623" s="133">
        <v>1642</v>
      </c>
      <c r="AM1623" s="24">
        <v>619355.58312202769</v>
      </c>
    </row>
    <row r="1624" spans="38:39">
      <c r="AL1624" s="133">
        <v>1643</v>
      </c>
      <c r="AM1624" s="24">
        <v>619482.76148016006</v>
      </c>
    </row>
    <row r="1625" spans="38:39">
      <c r="AL1625" s="133">
        <v>1644</v>
      </c>
      <c r="AM1625" s="24">
        <v>619609.82489483408</v>
      </c>
    </row>
    <row r="1626" spans="38:39">
      <c r="AL1626" s="133">
        <v>1645</v>
      </c>
      <c r="AM1626" s="24">
        <v>619736.9605779429</v>
      </c>
    </row>
    <row r="1627" spans="38:39">
      <c r="AL1627" s="133">
        <v>1646</v>
      </c>
      <c r="AM1627" s="24">
        <v>619864.04325046809</v>
      </c>
    </row>
    <row r="1628" spans="38:39">
      <c r="AL1628" s="133">
        <v>1647</v>
      </c>
      <c r="AM1628" s="24">
        <v>619991.10388033313</v>
      </c>
    </row>
    <row r="1629" spans="38:39">
      <c r="AL1629" s="133">
        <v>1648</v>
      </c>
      <c r="AM1629" s="24">
        <v>620118.14218546194</v>
      </c>
    </row>
    <row r="1630" spans="38:39">
      <c r="AL1630" s="133">
        <v>1649</v>
      </c>
      <c r="AM1630" s="24">
        <v>620245.1578837781</v>
      </c>
    </row>
    <row r="1631" spans="38:39">
      <c r="AL1631" s="133">
        <v>1650</v>
      </c>
      <c r="AM1631" s="24">
        <v>620372.15069320519</v>
      </c>
    </row>
    <row r="1632" spans="38:39">
      <c r="AL1632" s="133">
        <v>1651</v>
      </c>
      <c r="AM1632" s="24">
        <v>620499.12033166701</v>
      </c>
    </row>
    <row r="1633" spans="38:39">
      <c r="AL1633" s="133">
        <v>1652</v>
      </c>
      <c r="AM1633" s="24">
        <v>620626.06651708705</v>
      </c>
    </row>
    <row r="1634" spans="38:39">
      <c r="AL1634" s="133">
        <v>1653</v>
      </c>
      <c r="AM1634" s="24">
        <v>620752.98896738922</v>
      </c>
    </row>
    <row r="1635" spans="38:39">
      <c r="AL1635" s="133">
        <v>1654</v>
      </c>
      <c r="AM1635" s="24">
        <v>620879.8874004971</v>
      </c>
    </row>
    <row r="1636" spans="38:39">
      <c r="AL1636" s="133">
        <v>1655</v>
      </c>
      <c r="AM1636" s="24">
        <v>621006.76153433428</v>
      </c>
    </row>
    <row r="1637" spans="38:39">
      <c r="AL1637" s="133">
        <v>1656</v>
      </c>
      <c r="AM1637" s="24">
        <v>621133.64233682456</v>
      </c>
    </row>
    <row r="1638" spans="38:39">
      <c r="AL1638" s="133">
        <v>1657</v>
      </c>
      <c r="AM1638" s="24">
        <v>621260.40452781436</v>
      </c>
    </row>
    <row r="1639" spans="38:39">
      <c r="AL1639" s="133">
        <v>1658</v>
      </c>
      <c r="AM1639" s="24">
        <v>621387.23532130476</v>
      </c>
    </row>
    <row r="1640" spans="38:39">
      <c r="AL1640" s="133">
        <v>1659</v>
      </c>
      <c r="AM1640" s="24">
        <v>621514.00943721971</v>
      </c>
    </row>
    <row r="1641" spans="38:39">
      <c r="AL1641" s="133">
        <v>1660</v>
      </c>
      <c r="AM1641" s="24">
        <v>621640.75784348289</v>
      </c>
    </row>
    <row r="1642" spans="38:39">
      <c r="AL1642" s="133">
        <v>1661</v>
      </c>
      <c r="AM1642" s="24">
        <v>621767.48025801813</v>
      </c>
    </row>
    <row r="1643" spans="38:39">
      <c r="AL1643" s="133">
        <v>1662</v>
      </c>
      <c r="AM1643" s="24">
        <v>621894.17639874888</v>
      </c>
    </row>
    <row r="1644" spans="38:39">
      <c r="AL1644" s="133">
        <v>1663</v>
      </c>
      <c r="AM1644" s="24">
        <v>622020.84598359896</v>
      </c>
    </row>
    <row r="1645" spans="38:39">
      <c r="AL1645" s="133">
        <v>1664</v>
      </c>
      <c r="AM1645" s="24">
        <v>622147.48873049207</v>
      </c>
    </row>
    <row r="1646" spans="38:39">
      <c r="AL1646" s="133">
        <v>1665</v>
      </c>
      <c r="AM1646" s="24">
        <v>622274.10435735178</v>
      </c>
    </row>
    <row r="1647" spans="38:39">
      <c r="AL1647" s="133">
        <v>1666</v>
      </c>
      <c r="AM1647" s="24">
        <v>622400.69258210179</v>
      </c>
    </row>
    <row r="1648" spans="38:39">
      <c r="AL1648" s="133">
        <v>1667</v>
      </c>
      <c r="AM1648" s="24">
        <v>622527.2531226658</v>
      </c>
    </row>
    <row r="1649" spans="38:39">
      <c r="AL1649" s="133">
        <v>1668</v>
      </c>
      <c r="AM1649" s="24">
        <v>622653.8169469675</v>
      </c>
    </row>
    <row r="1650" spans="38:39">
      <c r="AL1650" s="133">
        <v>1669</v>
      </c>
      <c r="AM1650" s="24">
        <v>622780.25877396495</v>
      </c>
    </row>
    <row r="1651" spans="38:39">
      <c r="AL1651" s="133">
        <v>1670</v>
      </c>
      <c r="AM1651" s="24">
        <v>622906.76581944246</v>
      </c>
    </row>
    <row r="1652" spans="38:39">
      <c r="AL1652" s="133">
        <v>1671</v>
      </c>
      <c r="AM1652" s="24">
        <v>623033.2128024291</v>
      </c>
    </row>
    <row r="1653" spans="38:39">
      <c r="AL1653" s="133">
        <v>1672</v>
      </c>
      <c r="AM1653" s="24">
        <v>623159.6306908488</v>
      </c>
    </row>
    <row r="1654" spans="38:39">
      <c r="AL1654" s="133">
        <v>1673</v>
      </c>
      <c r="AM1654" s="24">
        <v>623286.01920262503</v>
      </c>
    </row>
    <row r="1655" spans="38:39">
      <c r="AL1655" s="133">
        <v>1674</v>
      </c>
      <c r="AM1655" s="24">
        <v>623412.37805568147</v>
      </c>
    </row>
    <row r="1656" spans="38:39">
      <c r="AL1656" s="133">
        <v>1675</v>
      </c>
      <c r="AM1656" s="24">
        <v>623538.70696794183</v>
      </c>
    </row>
    <row r="1657" spans="38:39">
      <c r="AL1657" s="133">
        <v>1676</v>
      </c>
      <c r="AM1657" s="24">
        <v>623665.00565732981</v>
      </c>
    </row>
    <row r="1658" spans="38:39">
      <c r="AL1658" s="133">
        <v>1677</v>
      </c>
      <c r="AM1658" s="24">
        <v>623791.27384176909</v>
      </c>
    </row>
    <row r="1659" spans="38:39">
      <c r="AL1659" s="133">
        <v>1678</v>
      </c>
      <c r="AM1659" s="24">
        <v>623917.51123918325</v>
      </c>
    </row>
    <row r="1660" spans="38:39">
      <c r="AL1660" s="133">
        <v>1679</v>
      </c>
      <c r="AM1660" s="24">
        <v>624043.717567496</v>
      </c>
    </row>
    <row r="1661" spans="38:39">
      <c r="AL1661" s="133">
        <v>1680</v>
      </c>
      <c r="AM1661" s="24">
        <v>624169.89254463115</v>
      </c>
    </row>
    <row r="1662" spans="38:39">
      <c r="AL1662" s="133">
        <v>1681</v>
      </c>
      <c r="AM1662" s="24">
        <v>624296.06713851215</v>
      </c>
    </row>
    <row r="1663" spans="38:39">
      <c r="AL1663" s="133">
        <v>1682</v>
      </c>
      <c r="AM1663" s="24">
        <v>624422.11606722244</v>
      </c>
    </row>
    <row r="1664" spans="38:39">
      <c r="AL1664" s="133">
        <v>1683</v>
      </c>
      <c r="AM1664" s="24">
        <v>624548.22654830292</v>
      </c>
    </row>
    <row r="1665" spans="38:39">
      <c r="AL1665" s="133">
        <v>1684</v>
      </c>
      <c r="AM1665" s="24">
        <v>624674.27329990093</v>
      </c>
    </row>
    <row r="1666" spans="38:39">
      <c r="AL1666" s="133">
        <v>1685</v>
      </c>
      <c r="AM1666" s="24">
        <v>624800.28728994017</v>
      </c>
    </row>
    <row r="1667" spans="38:39">
      <c r="AL1667" s="133">
        <v>1686</v>
      </c>
      <c r="AM1667" s="24">
        <v>624926.26823634421</v>
      </c>
    </row>
    <row r="1668" spans="38:39">
      <c r="AL1668" s="133">
        <v>1687</v>
      </c>
      <c r="AM1668" s="24">
        <v>625052.21585703688</v>
      </c>
    </row>
    <row r="1669" spans="38:39">
      <c r="AL1669" s="133">
        <v>1688</v>
      </c>
      <c r="AM1669" s="24">
        <v>625178.12986994162</v>
      </c>
    </row>
    <row r="1670" spans="38:39">
      <c r="AL1670" s="133">
        <v>1689</v>
      </c>
      <c r="AM1670" s="24">
        <v>625304.00999298238</v>
      </c>
    </row>
    <row r="1671" spans="38:39">
      <c r="AL1671" s="133">
        <v>1690</v>
      </c>
      <c r="AM1671" s="24">
        <v>625429.85594408272</v>
      </c>
    </row>
    <row r="1672" spans="38:39">
      <c r="AL1672" s="133">
        <v>1691</v>
      </c>
      <c r="AM1672" s="24">
        <v>625555.66744116624</v>
      </c>
    </row>
    <row r="1673" spans="38:39">
      <c r="AL1673" s="133">
        <v>1692</v>
      </c>
      <c r="AM1673" s="24">
        <v>625681.44420215662</v>
      </c>
    </row>
    <row r="1674" spans="38:39">
      <c r="AL1674" s="133">
        <v>1693</v>
      </c>
      <c r="AM1674" s="24">
        <v>625807.21719497768</v>
      </c>
    </row>
    <row r="1675" spans="38:39">
      <c r="AL1675" s="133">
        <v>1694</v>
      </c>
      <c r="AM1675" s="24">
        <v>625932.86113698618</v>
      </c>
    </row>
    <row r="1676" spans="38:39">
      <c r="AL1676" s="133">
        <v>1695</v>
      </c>
      <c r="AM1676" s="24">
        <v>626058.56324718241</v>
      </c>
    </row>
    <row r="1677" spans="38:39">
      <c r="AL1677" s="133">
        <v>1696</v>
      </c>
      <c r="AM1677" s="24">
        <v>626184.19824298075</v>
      </c>
    </row>
    <row r="1678" spans="38:39">
      <c r="AL1678" s="133">
        <v>1697</v>
      </c>
      <c r="AM1678" s="24">
        <v>626309.79709230491</v>
      </c>
    </row>
    <row r="1679" spans="38:39">
      <c r="AL1679" s="133">
        <v>1698</v>
      </c>
      <c r="AM1679" s="24">
        <v>626435.35951307858</v>
      </c>
    </row>
    <row r="1680" spans="38:39">
      <c r="AL1680" s="133">
        <v>1699</v>
      </c>
      <c r="AM1680" s="24">
        <v>626560.88522322534</v>
      </c>
    </row>
    <row r="1681" spans="38:39">
      <c r="AL1681" s="133">
        <v>1700</v>
      </c>
      <c r="AM1681" s="24">
        <v>626686.373940669</v>
      </c>
    </row>
    <row r="1682" spans="38:39">
      <c r="AL1682" s="133">
        <v>1701</v>
      </c>
      <c r="AM1682" s="24">
        <v>626811.82538333314</v>
      </c>
    </row>
    <row r="1683" spans="38:39">
      <c r="AL1683" s="133">
        <v>1702</v>
      </c>
      <c r="AM1683" s="24">
        <v>626937.23926914157</v>
      </c>
    </row>
    <row r="1684" spans="38:39">
      <c r="AL1684" s="133">
        <v>1703</v>
      </c>
      <c r="AM1684" s="24">
        <v>627062.61531601776</v>
      </c>
    </row>
    <row r="1685" spans="38:39">
      <c r="AL1685" s="133">
        <v>1704</v>
      </c>
      <c r="AM1685" s="24">
        <v>627187.95324132917</v>
      </c>
    </row>
    <row r="1686" spans="38:39">
      <c r="AL1686" s="133">
        <v>1705</v>
      </c>
      <c r="AM1686" s="24">
        <v>627313.25276408636</v>
      </c>
    </row>
    <row r="1687" spans="38:39">
      <c r="AL1687" s="133">
        <v>1706</v>
      </c>
      <c r="AM1687" s="24">
        <v>627438.51360168261</v>
      </c>
    </row>
    <row r="1688" spans="38:39">
      <c r="AL1688" s="133">
        <v>1707</v>
      </c>
      <c r="AM1688" s="24">
        <v>627563.73547204176</v>
      </c>
    </row>
    <row r="1689" spans="38:39">
      <c r="AL1689" s="133">
        <v>1708</v>
      </c>
      <c r="AM1689" s="24">
        <v>627688.91809308738</v>
      </c>
    </row>
    <row r="1690" spans="38:39">
      <c r="AL1690" s="133">
        <v>1709</v>
      </c>
      <c r="AM1690" s="24">
        <v>627814.06118274317</v>
      </c>
    </row>
    <row r="1691" spans="38:39">
      <c r="AL1691" s="133">
        <v>1710</v>
      </c>
      <c r="AM1691" s="24">
        <v>627939.16445822571</v>
      </c>
    </row>
    <row r="1692" spans="38:39">
      <c r="AL1692" s="133">
        <v>1711</v>
      </c>
      <c r="AM1692" s="24">
        <v>628064.22763884871</v>
      </c>
    </row>
    <row r="1693" spans="38:39">
      <c r="AL1693" s="133">
        <v>1712</v>
      </c>
      <c r="AM1693" s="24">
        <v>628189.25044185319</v>
      </c>
    </row>
    <row r="1694" spans="38:39">
      <c r="AL1694" s="133">
        <v>1713</v>
      </c>
      <c r="AM1694" s="24">
        <v>628314.23258516274</v>
      </c>
    </row>
    <row r="1695" spans="38:39">
      <c r="AL1695" s="133">
        <v>1714</v>
      </c>
      <c r="AM1695" s="24">
        <v>628439.17378670117</v>
      </c>
    </row>
    <row r="1696" spans="38:39">
      <c r="AL1696" s="133">
        <v>1715</v>
      </c>
      <c r="AM1696" s="24">
        <v>628564.07376439206</v>
      </c>
    </row>
    <row r="1697" spans="38:39">
      <c r="AL1697" s="133">
        <v>1716</v>
      </c>
      <c r="AM1697" s="24">
        <v>628688.9166103109</v>
      </c>
    </row>
    <row r="1698" spans="38:39">
      <c r="AL1698" s="133">
        <v>1717</v>
      </c>
      <c r="AM1698" s="24">
        <v>628813.74891905522</v>
      </c>
    </row>
    <row r="1699" spans="38:39">
      <c r="AL1699" s="133">
        <v>1718</v>
      </c>
      <c r="AM1699" s="24">
        <v>628938.52353272331</v>
      </c>
    </row>
    <row r="1700" spans="38:39">
      <c r="AL1700" s="133">
        <v>1719</v>
      </c>
      <c r="AM1700" s="24">
        <v>629063.25579423876</v>
      </c>
    </row>
    <row r="1701" spans="38:39">
      <c r="AL1701" s="133">
        <v>1720</v>
      </c>
      <c r="AM1701" s="24">
        <v>629187.94542152539</v>
      </c>
    </row>
    <row r="1702" spans="38:39">
      <c r="AL1702" s="133">
        <v>1721</v>
      </c>
      <c r="AM1702" s="24">
        <v>629312.59213250689</v>
      </c>
    </row>
    <row r="1703" spans="38:39">
      <c r="AL1703" s="133">
        <v>1722</v>
      </c>
      <c r="AM1703" s="24">
        <v>629437.18001912732</v>
      </c>
    </row>
    <row r="1704" spans="38:39">
      <c r="AL1704" s="133">
        <v>1723</v>
      </c>
      <c r="AM1704" s="24">
        <v>629561.75567624846</v>
      </c>
    </row>
    <row r="1705" spans="38:39">
      <c r="AL1705" s="133">
        <v>1724</v>
      </c>
      <c r="AM1705" s="24">
        <v>629686.27194583556</v>
      </c>
    </row>
    <row r="1706" spans="38:39">
      <c r="AL1706" s="133">
        <v>1725</v>
      </c>
      <c r="AM1706" s="24">
        <v>629810.74417081254</v>
      </c>
    </row>
    <row r="1707" spans="38:39">
      <c r="AL1707" s="133">
        <v>1726</v>
      </c>
      <c r="AM1707" s="24">
        <v>629935.17206910287</v>
      </c>
    </row>
    <row r="1708" spans="38:39">
      <c r="AL1708" s="133">
        <v>1727</v>
      </c>
      <c r="AM1708" s="24">
        <v>630059.55535863037</v>
      </c>
    </row>
    <row r="1709" spans="38:39">
      <c r="AL1709" s="133">
        <v>1728</v>
      </c>
      <c r="AM1709" s="24">
        <v>630183.90938231873</v>
      </c>
    </row>
    <row r="1710" spans="38:39">
      <c r="AL1710" s="133">
        <v>1729</v>
      </c>
      <c r="AM1710" s="24">
        <v>630308.18698197103</v>
      </c>
    </row>
    <row r="1711" spans="38:39">
      <c r="AL1711" s="133">
        <v>1730</v>
      </c>
      <c r="AM1711" s="24">
        <v>630432.43475273275</v>
      </c>
    </row>
    <row r="1712" spans="38:39">
      <c r="AL1712" s="133">
        <v>1731</v>
      </c>
      <c r="AM1712" s="24">
        <v>630556.63678642665</v>
      </c>
    </row>
    <row r="1713" spans="38:39">
      <c r="AL1713" s="133">
        <v>1732</v>
      </c>
      <c r="AM1713" s="24">
        <v>630680.79280097631</v>
      </c>
    </row>
    <row r="1714" spans="38:39">
      <c r="AL1714" s="133">
        <v>1733</v>
      </c>
      <c r="AM1714" s="24">
        <v>630804.90251430531</v>
      </c>
    </row>
    <row r="1715" spans="38:39">
      <c r="AL1715" s="133">
        <v>1734</v>
      </c>
      <c r="AM1715" s="24">
        <v>630928.98126933747</v>
      </c>
    </row>
    <row r="1716" spans="38:39">
      <c r="AL1716" s="133">
        <v>1735</v>
      </c>
      <c r="AM1716" s="24">
        <v>631052.98190776573</v>
      </c>
    </row>
    <row r="1717" spans="38:39">
      <c r="AL1717" s="133">
        <v>1736</v>
      </c>
      <c r="AM1717" s="24">
        <v>631176.95102495758</v>
      </c>
    </row>
    <row r="1718" spans="38:39">
      <c r="AL1718" s="133">
        <v>1737</v>
      </c>
      <c r="AM1718" s="24">
        <v>631300.87271262391</v>
      </c>
    </row>
    <row r="1719" spans="38:39">
      <c r="AL1719" s="133">
        <v>1738</v>
      </c>
      <c r="AM1719" s="24">
        <v>631424.74668868817</v>
      </c>
    </row>
    <row r="1720" spans="38:39">
      <c r="AL1720" s="133">
        <v>1739</v>
      </c>
      <c r="AM1720" s="24">
        <v>631548.5726710743</v>
      </c>
    </row>
    <row r="1721" spans="38:39">
      <c r="AL1721" s="133">
        <v>1740</v>
      </c>
      <c r="AM1721" s="24">
        <v>631672.35037770576</v>
      </c>
    </row>
    <row r="1722" spans="38:39">
      <c r="AL1722" s="133">
        <v>1741</v>
      </c>
      <c r="AM1722" s="24">
        <v>631796.06390017504</v>
      </c>
    </row>
    <row r="1723" spans="38:39">
      <c r="AL1723" s="133">
        <v>1742</v>
      </c>
      <c r="AM1723" s="24">
        <v>631919.75983405253</v>
      </c>
    </row>
    <row r="1724" spans="38:39">
      <c r="AL1724" s="133">
        <v>1743</v>
      </c>
      <c r="AM1724" s="24">
        <v>632043.39102094679</v>
      </c>
    </row>
    <row r="1725" spans="38:39">
      <c r="AL1725" s="133">
        <v>1744</v>
      </c>
      <c r="AM1725" s="24">
        <v>632166.97280378127</v>
      </c>
    </row>
    <row r="1726" spans="38:39">
      <c r="AL1726" s="133">
        <v>1745</v>
      </c>
      <c r="AM1726" s="24">
        <v>632290.50490047992</v>
      </c>
    </row>
    <row r="1727" spans="38:39">
      <c r="AL1727" s="133">
        <v>1746</v>
      </c>
      <c r="AM1727" s="24">
        <v>632413.98702896619</v>
      </c>
    </row>
    <row r="1728" spans="38:39">
      <c r="AL1728" s="133">
        <v>1747</v>
      </c>
      <c r="AM1728" s="24">
        <v>632537.40328074188</v>
      </c>
    </row>
    <row r="1729" spans="38:39">
      <c r="AL1729" s="133">
        <v>1748</v>
      </c>
      <c r="AM1729" s="24">
        <v>632660.80025156052</v>
      </c>
    </row>
    <row r="1730" spans="38:39">
      <c r="AL1730" s="133">
        <v>1749</v>
      </c>
      <c r="AM1730" s="24">
        <v>632784.1307829381</v>
      </c>
    </row>
    <row r="1731" spans="38:39">
      <c r="AL1731" s="133">
        <v>1750</v>
      </c>
      <c r="AM1731" s="24">
        <v>632907.41021779831</v>
      </c>
    </row>
    <row r="1732" spans="38:39">
      <c r="AL1732" s="133">
        <v>1751</v>
      </c>
      <c r="AM1732" s="24">
        <v>633030.63827406487</v>
      </c>
    </row>
    <row r="1733" spans="38:39">
      <c r="AL1733" s="133">
        <v>1752</v>
      </c>
      <c r="AM1733" s="24">
        <v>633153.8146689164</v>
      </c>
    </row>
    <row r="1734" spans="38:39">
      <c r="AL1734" s="133">
        <v>1753</v>
      </c>
      <c r="AM1734" s="24">
        <v>633276.93912176031</v>
      </c>
    </row>
    <row r="1735" spans="38:39">
      <c r="AL1735" s="133">
        <v>1754</v>
      </c>
      <c r="AM1735" s="24">
        <v>633400.01134978177</v>
      </c>
    </row>
    <row r="1736" spans="38:39">
      <c r="AL1736" s="133">
        <v>1755</v>
      </c>
      <c r="AM1736" s="24">
        <v>633523.03107014042</v>
      </c>
    </row>
    <row r="1737" spans="38:39">
      <c r="AL1737" s="133">
        <v>1756</v>
      </c>
      <c r="AM1737" s="24">
        <v>633645.99800228188</v>
      </c>
    </row>
    <row r="1738" spans="38:39">
      <c r="AL1738" s="133">
        <v>1757</v>
      </c>
      <c r="AM1738" s="24">
        <v>633768.91186337196</v>
      </c>
    </row>
    <row r="1739" spans="38:39">
      <c r="AL1739" s="133">
        <v>1758</v>
      </c>
      <c r="AM1739" s="24">
        <v>633891.76455805288</v>
      </c>
    </row>
    <row r="1740" spans="38:39">
      <c r="AL1740" s="133">
        <v>1759</v>
      </c>
      <c r="AM1740" s="24">
        <v>634014.57924330572</v>
      </c>
    </row>
    <row r="1741" spans="38:39">
      <c r="AL1741" s="133">
        <v>1760</v>
      </c>
      <c r="AM1741" s="24">
        <v>634137.3321987784</v>
      </c>
    </row>
    <row r="1742" spans="38:39">
      <c r="AL1742" s="133">
        <v>1761</v>
      </c>
      <c r="AM1742" s="24">
        <v>634260.02314159658</v>
      </c>
    </row>
    <row r="1743" spans="38:39">
      <c r="AL1743" s="133">
        <v>1762</v>
      </c>
      <c r="AM1743" s="24">
        <v>634382.67522877466</v>
      </c>
    </row>
    <row r="1744" spans="38:39">
      <c r="AL1744" s="133">
        <v>1763</v>
      </c>
      <c r="AM1744" s="24">
        <v>634505.26473994378</v>
      </c>
    </row>
    <row r="1745" spans="38:39">
      <c r="AL1745" s="133">
        <v>1764</v>
      </c>
      <c r="AM1745" s="24">
        <v>634627.80701802752</v>
      </c>
    </row>
    <row r="1746" spans="38:39">
      <c r="AL1746" s="133">
        <v>1765</v>
      </c>
      <c r="AM1746" s="24">
        <v>634750.27834263165</v>
      </c>
    </row>
    <row r="1747" spans="38:39">
      <c r="AL1747" s="133">
        <v>1766</v>
      </c>
      <c r="AM1747" s="24">
        <v>634872.70187081106</v>
      </c>
    </row>
    <row r="1748" spans="38:39">
      <c r="AL1748" s="133">
        <v>1767</v>
      </c>
      <c r="AM1748" s="24">
        <v>634995.07731967629</v>
      </c>
    </row>
    <row r="1749" spans="38:39">
      <c r="AL1749" s="133">
        <v>1768</v>
      </c>
      <c r="AM1749" s="24">
        <v>635117.38096881937</v>
      </c>
    </row>
    <row r="1750" spans="38:39">
      <c r="AL1750" s="133">
        <v>1769</v>
      </c>
      <c r="AM1750" s="24">
        <v>635239.63597532292</v>
      </c>
    </row>
    <row r="1751" spans="38:39">
      <c r="AL1751" s="133">
        <v>1770</v>
      </c>
      <c r="AM1751" s="24">
        <v>635361.83424378349</v>
      </c>
    </row>
    <row r="1752" spans="38:39">
      <c r="AL1752" s="133">
        <v>1771</v>
      </c>
      <c r="AM1752" s="24">
        <v>635483.97549128078</v>
      </c>
    </row>
    <row r="1753" spans="38:39">
      <c r="AL1753" s="133">
        <v>1772</v>
      </c>
      <c r="AM1753" s="24">
        <v>635606.05943742243</v>
      </c>
    </row>
    <row r="1754" spans="38:39">
      <c r="AL1754" s="133">
        <v>1773</v>
      </c>
      <c r="AM1754" s="24">
        <v>635728.0857992922</v>
      </c>
    </row>
    <row r="1755" spans="38:39">
      <c r="AL1755" s="133">
        <v>1774</v>
      </c>
      <c r="AM1755" s="24">
        <v>635850.05429395859</v>
      </c>
    </row>
    <row r="1756" spans="38:39">
      <c r="AL1756" s="133">
        <v>1775</v>
      </c>
      <c r="AM1756" s="24">
        <v>635971.96464105218</v>
      </c>
    </row>
    <row r="1757" spans="38:39">
      <c r="AL1757" s="133">
        <v>1776</v>
      </c>
      <c r="AM1757" s="24">
        <v>636093.81655721413</v>
      </c>
    </row>
    <row r="1758" spans="38:39">
      <c r="AL1758" s="133">
        <v>1777</v>
      </c>
      <c r="AM1758" s="24">
        <v>636215.60976122832</v>
      </c>
    </row>
    <row r="1759" spans="38:39">
      <c r="AL1759" s="133">
        <v>1778</v>
      </c>
      <c r="AM1759" s="24">
        <v>636337.34397015511</v>
      </c>
    </row>
    <row r="1760" spans="38:39">
      <c r="AL1760" s="133">
        <v>1779</v>
      </c>
      <c r="AM1760" s="24">
        <v>636459.01499609952</v>
      </c>
    </row>
    <row r="1761" spans="38:39">
      <c r="AL1761" s="133">
        <v>1780</v>
      </c>
      <c r="AM1761" s="24">
        <v>636580.63427617203</v>
      </c>
    </row>
    <row r="1762" spans="38:39">
      <c r="AL1762" s="133">
        <v>1781</v>
      </c>
      <c r="AM1762" s="24">
        <v>636702.18980867416</v>
      </c>
    </row>
    <row r="1763" spans="38:39">
      <c r="AL1763" s="133">
        <v>1782</v>
      </c>
      <c r="AM1763" s="24">
        <v>636823.68912490481</v>
      </c>
    </row>
    <row r="1764" spans="38:39">
      <c r="AL1764" s="133">
        <v>1783</v>
      </c>
      <c r="AM1764" s="24">
        <v>636945.12022316002</v>
      </c>
    </row>
    <row r="1765" spans="38:39">
      <c r="AL1765" s="133">
        <v>1784</v>
      </c>
      <c r="AM1765" s="24">
        <v>637066.49454055203</v>
      </c>
    </row>
    <row r="1766" spans="38:39">
      <c r="AL1766" s="133">
        <v>1785</v>
      </c>
      <c r="AM1766" s="24">
        <v>637187.80788919725</v>
      </c>
    </row>
    <row r="1767" spans="38:39">
      <c r="AL1767" s="133">
        <v>1786</v>
      </c>
      <c r="AM1767" s="24">
        <v>637309.05998613522</v>
      </c>
    </row>
    <row r="1768" spans="38:39">
      <c r="AL1768" s="133">
        <v>1787</v>
      </c>
      <c r="AM1768" s="24">
        <v>637430.25054973154</v>
      </c>
    </row>
    <row r="1769" spans="38:39">
      <c r="AL1769" s="133">
        <v>1788</v>
      </c>
      <c r="AM1769" s="24">
        <v>637551.37929813261</v>
      </c>
    </row>
    <row r="1770" spans="38:39">
      <c r="AL1770" s="133">
        <v>1789</v>
      </c>
      <c r="AM1770" s="24">
        <v>637672.44594904059</v>
      </c>
    </row>
    <row r="1771" spans="38:39">
      <c r="AL1771" s="133">
        <v>1790</v>
      </c>
      <c r="AM1771" s="24">
        <v>637793.45022037905</v>
      </c>
    </row>
    <row r="1772" spans="38:39">
      <c r="AL1772" s="133">
        <v>1791</v>
      </c>
      <c r="AM1772" s="24">
        <v>637914.39378319692</v>
      </c>
    </row>
    <row r="1773" spans="38:39">
      <c r="AL1773" s="133">
        <v>1792</v>
      </c>
      <c r="AM1773" s="24">
        <v>638035.2704958187</v>
      </c>
    </row>
    <row r="1774" spans="38:39">
      <c r="AL1774" s="133">
        <v>1793</v>
      </c>
      <c r="AM1774" s="24">
        <v>638156.08593599126</v>
      </c>
    </row>
    <row r="1775" spans="38:39">
      <c r="AL1775" s="133">
        <v>1794</v>
      </c>
      <c r="AM1775" s="24">
        <v>638276.83786817733</v>
      </c>
    </row>
    <row r="1776" spans="38:39">
      <c r="AL1776" s="133">
        <v>1795</v>
      </c>
      <c r="AM1776" s="24">
        <v>638397.52601052495</v>
      </c>
    </row>
    <row r="1777" spans="38:39">
      <c r="AL1777" s="133">
        <v>1796</v>
      </c>
      <c r="AM1777" s="24">
        <v>638518.15008073347</v>
      </c>
    </row>
    <row r="1778" spans="38:39">
      <c r="AL1778" s="133">
        <v>1797</v>
      </c>
      <c r="AM1778" s="24">
        <v>638638.70979689504</v>
      </c>
    </row>
    <row r="1779" spans="38:39">
      <c r="AL1779" s="133">
        <v>1798</v>
      </c>
      <c r="AM1779" s="24">
        <v>638759.20487687748</v>
      </c>
    </row>
    <row r="1780" spans="38:39">
      <c r="AL1780" s="133">
        <v>1799</v>
      </c>
      <c r="AM1780" s="24">
        <v>638879.63503860461</v>
      </c>
    </row>
    <row r="1781" spans="38:39">
      <c r="AL1781" s="133">
        <v>1800</v>
      </c>
      <c r="AM1781" s="24">
        <v>639000</v>
      </c>
    </row>
    <row r="1782" spans="38:39">
      <c r="AL1782" s="133">
        <v>1801</v>
      </c>
      <c r="AM1782" s="24">
        <v>639120.29955219256</v>
      </c>
    </row>
    <row r="1783" spans="38:39">
      <c r="AL1783" s="133">
        <v>1802</v>
      </c>
      <c r="AM1783" s="24">
        <v>639240.53380449745</v>
      </c>
    </row>
    <row r="1784" spans="38:39">
      <c r="AL1784" s="133">
        <v>1803</v>
      </c>
      <c r="AM1784" s="24">
        <v>639360.70293930953</v>
      </c>
    </row>
    <row r="1785" spans="38:39">
      <c r="AL1785" s="133">
        <v>1804</v>
      </c>
      <c r="AM1785" s="24">
        <v>639480.80713902414</v>
      </c>
    </row>
    <row r="1786" spans="38:39">
      <c r="AL1786" s="133">
        <v>1805</v>
      </c>
      <c r="AM1786" s="24">
        <v>639600.84658603626</v>
      </c>
    </row>
    <row r="1787" spans="38:39">
      <c r="AL1787" s="133">
        <v>1806</v>
      </c>
      <c r="AM1787" s="24">
        <v>639720.82146274101</v>
      </c>
    </row>
    <row r="1788" spans="38:39">
      <c r="AL1788" s="133">
        <v>1807</v>
      </c>
      <c r="AM1788" s="24">
        <v>639840.73199820565</v>
      </c>
    </row>
    <row r="1789" spans="38:39">
      <c r="AL1789" s="133">
        <v>1808</v>
      </c>
      <c r="AM1789" s="24">
        <v>639960.57828072982</v>
      </c>
    </row>
    <row r="1790" spans="38:39">
      <c r="AL1790" s="133">
        <v>1809</v>
      </c>
      <c r="AM1790" s="24">
        <v>640080.36054013576</v>
      </c>
    </row>
    <row r="1791" spans="38:39">
      <c r="AL1791" s="133">
        <v>1810</v>
      </c>
      <c r="AM1791" s="24">
        <v>640200.07895881892</v>
      </c>
    </row>
    <row r="1792" spans="38:39">
      <c r="AL1792" s="133">
        <v>1811</v>
      </c>
      <c r="AM1792" s="24">
        <v>640319.73371917417</v>
      </c>
    </row>
    <row r="1793" spans="38:39">
      <c r="AL1793" s="133">
        <v>1812</v>
      </c>
      <c r="AM1793" s="24">
        <v>640439.3250035966</v>
      </c>
    </row>
    <row r="1794" spans="38:39">
      <c r="AL1794" s="133">
        <v>1813</v>
      </c>
      <c r="AM1794" s="24">
        <v>640558.85299448145</v>
      </c>
    </row>
    <row r="1795" spans="38:39">
      <c r="AL1795" s="133">
        <v>1814</v>
      </c>
      <c r="AM1795" s="24">
        <v>640678.31787422381</v>
      </c>
    </row>
    <row r="1796" spans="38:39">
      <c r="AL1796" s="133">
        <v>1815</v>
      </c>
      <c r="AM1796" s="24">
        <v>640797.7198252189</v>
      </c>
    </row>
    <row r="1797" spans="38:39">
      <c r="AL1797" s="133">
        <v>1816</v>
      </c>
      <c r="AM1797" s="24">
        <v>640917.05902986159</v>
      </c>
    </row>
    <row r="1798" spans="38:39">
      <c r="AL1798" s="133">
        <v>1817</v>
      </c>
      <c r="AM1798" s="24">
        <v>641036.33567054709</v>
      </c>
    </row>
    <row r="1799" spans="38:39">
      <c r="AL1799" s="133">
        <v>1818</v>
      </c>
      <c r="AM1799" s="24">
        <v>641155.54992967064</v>
      </c>
    </row>
    <row r="1800" spans="38:39">
      <c r="AL1800" s="133">
        <v>1819</v>
      </c>
      <c r="AM1800" s="24">
        <v>641274.70202754089</v>
      </c>
    </row>
    <row r="1801" spans="38:39">
      <c r="AL1801" s="133">
        <v>1820</v>
      </c>
      <c r="AM1801" s="24">
        <v>641393.79207002115</v>
      </c>
    </row>
    <row r="1802" spans="38:39">
      <c r="AL1802" s="133">
        <v>1821</v>
      </c>
      <c r="AM1802" s="24">
        <v>641512.82027812861</v>
      </c>
    </row>
    <row r="1803" spans="38:39">
      <c r="AL1803" s="133">
        <v>1822</v>
      </c>
      <c r="AM1803" s="24">
        <v>641631.78683425835</v>
      </c>
    </row>
    <row r="1804" spans="38:39">
      <c r="AL1804" s="133">
        <v>1823</v>
      </c>
      <c r="AM1804" s="24">
        <v>641750.69192080561</v>
      </c>
    </row>
    <row r="1805" spans="38:39">
      <c r="AL1805" s="133">
        <v>1824</v>
      </c>
      <c r="AM1805" s="24">
        <v>641869.53572016547</v>
      </c>
    </row>
    <row r="1806" spans="38:39">
      <c r="AL1806" s="133">
        <v>1825</v>
      </c>
      <c r="AM1806" s="24">
        <v>641988.31841473293</v>
      </c>
    </row>
    <row r="1807" spans="38:39">
      <c r="AL1807" s="133">
        <v>1826</v>
      </c>
      <c r="AM1807" s="24">
        <v>642107.04018690321</v>
      </c>
    </row>
    <row r="1808" spans="38:39">
      <c r="AL1808" s="133">
        <v>1827</v>
      </c>
      <c r="AM1808" s="24">
        <v>642225.7012190714</v>
      </c>
    </row>
    <row r="1809" spans="38:39">
      <c r="AL1809" s="133">
        <v>1828</v>
      </c>
      <c r="AM1809" s="24">
        <v>642344.3016936325</v>
      </c>
    </row>
    <row r="1810" spans="38:39">
      <c r="AL1810" s="133">
        <v>1829</v>
      </c>
      <c r="AM1810" s="24">
        <v>642462.84179298184</v>
      </c>
    </row>
    <row r="1811" spans="38:39">
      <c r="AL1811" s="133">
        <v>1830</v>
      </c>
      <c r="AM1811" s="24">
        <v>642581.3216995144</v>
      </c>
    </row>
    <row r="1812" spans="38:39">
      <c r="AL1812" s="133">
        <v>1831</v>
      </c>
      <c r="AM1812" s="24">
        <v>642699.74159562541</v>
      </c>
    </row>
    <row r="1813" spans="38:39">
      <c r="AL1813" s="133">
        <v>1832</v>
      </c>
      <c r="AM1813" s="24">
        <v>642818.10169276933</v>
      </c>
    </row>
    <row r="1814" spans="38:39">
      <c r="AL1814" s="133">
        <v>1833</v>
      </c>
      <c r="AM1814" s="24">
        <v>642936.40211456863</v>
      </c>
    </row>
    <row r="1815" spans="38:39">
      <c r="AL1815" s="133">
        <v>1834</v>
      </c>
      <c r="AM1815" s="24">
        <v>643054.6430731354</v>
      </c>
    </row>
    <row r="1816" spans="38:39">
      <c r="AL1816" s="133">
        <v>1835</v>
      </c>
      <c r="AM1816" s="24">
        <v>643172.82475086511</v>
      </c>
    </row>
    <row r="1817" spans="38:39">
      <c r="AL1817" s="133">
        <v>1836</v>
      </c>
      <c r="AM1817" s="24">
        <v>643290.9473301525</v>
      </c>
    </row>
    <row r="1818" spans="38:39">
      <c r="AL1818" s="133">
        <v>1837</v>
      </c>
      <c r="AM1818" s="24">
        <v>643409.01099339291</v>
      </c>
    </row>
    <row r="1819" spans="38:39">
      <c r="AL1819" s="133">
        <v>1838</v>
      </c>
      <c r="AM1819" s="24">
        <v>643527.01592298143</v>
      </c>
    </row>
    <row r="1820" spans="38:39">
      <c r="AL1820" s="133">
        <v>1839</v>
      </c>
      <c r="AM1820" s="24">
        <v>643644.96230131306</v>
      </c>
    </row>
    <row r="1821" spans="38:39">
      <c r="AL1821" s="133">
        <v>1840</v>
      </c>
      <c r="AM1821" s="24">
        <v>643762.85031078313</v>
      </c>
    </row>
    <row r="1822" spans="38:39">
      <c r="AL1822" s="133">
        <v>1841</v>
      </c>
      <c r="AM1822" s="24">
        <v>643880.68013378652</v>
      </c>
    </row>
    <row r="1823" spans="38:39">
      <c r="AL1823" s="133">
        <v>1842</v>
      </c>
      <c r="AM1823" s="24">
        <v>643998.45195271843</v>
      </c>
    </row>
    <row r="1824" spans="38:39">
      <c r="AL1824" s="133">
        <v>1843</v>
      </c>
      <c r="AM1824" s="24">
        <v>644116.19719997409</v>
      </c>
    </row>
    <row r="1825" spans="38:39">
      <c r="AL1825" s="133">
        <v>1844</v>
      </c>
      <c r="AM1825" s="24">
        <v>644233.79107942048</v>
      </c>
    </row>
    <row r="1826" spans="38:39">
      <c r="AL1826" s="133">
        <v>1845</v>
      </c>
      <c r="AM1826" s="24">
        <v>644351.42122990184</v>
      </c>
    </row>
    <row r="1827" spans="38:39">
      <c r="AL1827" s="133">
        <v>1846</v>
      </c>
      <c r="AM1827" s="24">
        <v>644468.9628558961</v>
      </c>
    </row>
    <row r="1828" spans="38:39">
      <c r="AL1828" s="133">
        <v>1847</v>
      </c>
      <c r="AM1828" s="24">
        <v>644586.44738979836</v>
      </c>
    </row>
    <row r="1829" spans="38:39">
      <c r="AL1829" s="133">
        <v>1848</v>
      </c>
      <c r="AM1829" s="24">
        <v>644703.87501400383</v>
      </c>
    </row>
    <row r="1830" spans="38:39">
      <c r="AL1830" s="133">
        <v>1849</v>
      </c>
      <c r="AM1830" s="24">
        <v>644821.24591090751</v>
      </c>
    </row>
    <row r="1831" spans="38:39">
      <c r="AL1831" s="133">
        <v>1850</v>
      </c>
      <c r="AM1831" s="24">
        <v>644938.5602629045</v>
      </c>
    </row>
    <row r="1832" spans="38:39">
      <c r="AL1832" s="133">
        <v>1851</v>
      </c>
      <c r="AM1832" s="24">
        <v>645055.81825239002</v>
      </c>
    </row>
    <row r="1833" spans="38:39">
      <c r="AL1833" s="133">
        <v>1852</v>
      </c>
      <c r="AM1833" s="24">
        <v>645173.02006175916</v>
      </c>
    </row>
    <row r="1834" spans="38:39">
      <c r="AL1834" s="133">
        <v>1853</v>
      </c>
      <c r="AM1834" s="24">
        <v>645290.16587340704</v>
      </c>
    </row>
    <row r="1835" spans="38:39">
      <c r="AL1835" s="133">
        <v>1854</v>
      </c>
      <c r="AM1835" s="24">
        <v>645407.25586972863</v>
      </c>
    </row>
    <row r="1836" spans="38:39">
      <c r="AL1836" s="133">
        <v>1855</v>
      </c>
      <c r="AM1836" s="24">
        <v>645524.29023311927</v>
      </c>
    </row>
    <row r="1837" spans="38:39">
      <c r="AL1837" s="133">
        <v>1856</v>
      </c>
      <c r="AM1837" s="24">
        <v>645641.30039597396</v>
      </c>
    </row>
    <row r="1838" spans="38:39">
      <c r="AL1838" s="133">
        <v>1857</v>
      </c>
      <c r="AM1838" s="24">
        <v>645758.16155457427</v>
      </c>
    </row>
    <row r="1839" spans="38:39">
      <c r="AL1839" s="133">
        <v>1858</v>
      </c>
      <c r="AM1839" s="24">
        <v>645875.06136298622</v>
      </c>
    </row>
    <row r="1840" spans="38:39">
      <c r="AL1840" s="133">
        <v>1859</v>
      </c>
      <c r="AM1840" s="24">
        <v>645991.87501805159</v>
      </c>
    </row>
    <row r="1841" spans="38:39">
      <c r="AL1841" s="133">
        <v>1860</v>
      </c>
      <c r="AM1841" s="24">
        <v>646108.63395216526</v>
      </c>
    </row>
    <row r="1842" spans="38:39">
      <c r="AL1842" s="133">
        <v>1861</v>
      </c>
      <c r="AM1842" s="24">
        <v>646225.33834772254</v>
      </c>
    </row>
    <row r="1843" spans="38:39">
      <c r="AL1843" s="133">
        <v>1862</v>
      </c>
      <c r="AM1843" s="24">
        <v>646341.98838711844</v>
      </c>
    </row>
    <row r="1844" spans="38:39">
      <c r="AL1844" s="133">
        <v>1863</v>
      </c>
      <c r="AM1844" s="24">
        <v>646458.58425274817</v>
      </c>
    </row>
    <row r="1845" spans="38:39">
      <c r="AL1845" s="133">
        <v>1864</v>
      </c>
      <c r="AM1845" s="24">
        <v>646575.12612700684</v>
      </c>
    </row>
    <row r="1846" spans="38:39">
      <c r="AL1846" s="133">
        <v>1865</v>
      </c>
      <c r="AM1846" s="24">
        <v>646691.61419228942</v>
      </c>
    </row>
    <row r="1847" spans="38:39">
      <c r="AL1847" s="133">
        <v>1866</v>
      </c>
      <c r="AM1847" s="24">
        <v>646808.04863099114</v>
      </c>
    </row>
    <row r="1848" spans="38:39">
      <c r="AL1848" s="133">
        <v>1867</v>
      </c>
      <c r="AM1848" s="24">
        <v>646924.42962550709</v>
      </c>
    </row>
    <row r="1849" spans="38:39">
      <c r="AL1849" s="133">
        <v>1868</v>
      </c>
      <c r="AM1849" s="24">
        <v>647040.7886082324</v>
      </c>
    </row>
    <row r="1850" spans="38:39">
      <c r="AL1850" s="133">
        <v>1869</v>
      </c>
      <c r="AM1850" s="24">
        <v>647157.00076903193</v>
      </c>
    </row>
    <row r="1851" spans="38:39">
      <c r="AL1851" s="133">
        <v>1870</v>
      </c>
      <c r="AM1851" s="24">
        <v>647273.25377485203</v>
      </c>
    </row>
    <row r="1852" spans="38:39">
      <c r="AL1852" s="133">
        <v>1871</v>
      </c>
      <c r="AM1852" s="24">
        <v>647389.42281607061</v>
      </c>
    </row>
    <row r="1853" spans="38:39">
      <c r="AL1853" s="133">
        <v>1872</v>
      </c>
      <c r="AM1853" s="24">
        <v>647505.53932508302</v>
      </c>
    </row>
    <row r="1854" spans="38:39">
      <c r="AL1854" s="133">
        <v>1873</v>
      </c>
      <c r="AM1854" s="24">
        <v>647621.60348428425</v>
      </c>
    </row>
    <row r="1855" spans="38:39">
      <c r="AL1855" s="133">
        <v>1874</v>
      </c>
      <c r="AM1855" s="24">
        <v>647737.61547606939</v>
      </c>
    </row>
    <row r="1856" spans="38:39">
      <c r="AL1856" s="133">
        <v>1875</v>
      </c>
      <c r="AM1856" s="24">
        <v>647853.57548283355</v>
      </c>
    </row>
    <row r="1857" spans="38:39">
      <c r="AL1857" s="133">
        <v>1876</v>
      </c>
      <c r="AM1857" s="24">
        <v>647969.48368697194</v>
      </c>
    </row>
    <row r="1858" spans="38:39">
      <c r="AL1858" s="133">
        <v>1877</v>
      </c>
      <c r="AM1858" s="24">
        <v>648085.34027087968</v>
      </c>
    </row>
    <row r="1859" spans="38:39">
      <c r="AL1859" s="133">
        <v>1878</v>
      </c>
      <c r="AM1859" s="24">
        <v>648201.14541695174</v>
      </c>
    </row>
    <row r="1860" spans="38:39">
      <c r="AL1860" s="133">
        <v>1879</v>
      </c>
      <c r="AM1860" s="24">
        <v>648316.89930758334</v>
      </c>
    </row>
    <row r="1861" spans="38:39">
      <c r="AL1861" s="133">
        <v>1880</v>
      </c>
      <c r="AM1861" s="24">
        <v>648432.60212516971</v>
      </c>
    </row>
    <row r="1862" spans="38:39">
      <c r="AL1862" s="133">
        <v>1881</v>
      </c>
      <c r="AM1862" s="24">
        <v>648548.28530210571</v>
      </c>
    </row>
    <row r="1863" spans="38:39">
      <c r="AL1863" s="133">
        <v>1882</v>
      </c>
      <c r="AM1863" s="24">
        <v>648663.8240219393</v>
      </c>
    </row>
    <row r="1864" spans="38:39">
      <c r="AL1864" s="133">
        <v>1883</v>
      </c>
      <c r="AM1864" s="24">
        <v>648779.40596430167</v>
      </c>
    </row>
    <row r="1865" spans="38:39">
      <c r="AL1865" s="133">
        <v>1884</v>
      </c>
      <c r="AM1865" s="24">
        <v>648894.90631320293</v>
      </c>
    </row>
    <row r="1866" spans="38:39">
      <c r="AL1866" s="133">
        <v>1885</v>
      </c>
      <c r="AM1866" s="24">
        <v>649010.35650103842</v>
      </c>
    </row>
    <row r="1867" spans="38:39">
      <c r="AL1867" s="133">
        <v>1886</v>
      </c>
      <c r="AM1867" s="24">
        <v>649125.75671020313</v>
      </c>
    </row>
    <row r="1868" spans="38:39">
      <c r="AL1868" s="133">
        <v>1887</v>
      </c>
      <c r="AM1868" s="24">
        <v>649241.10712309217</v>
      </c>
    </row>
    <row r="1869" spans="38:39">
      <c r="AL1869" s="133">
        <v>1888</v>
      </c>
      <c r="AM1869" s="24">
        <v>649356.40792210063</v>
      </c>
    </row>
    <row r="1870" spans="38:39">
      <c r="AL1870" s="133">
        <v>1889</v>
      </c>
      <c r="AM1870" s="24">
        <v>649471.65928962373</v>
      </c>
    </row>
    <row r="1871" spans="38:39">
      <c r="AL1871" s="133">
        <v>1890</v>
      </c>
      <c r="AM1871" s="24">
        <v>649586.86140805657</v>
      </c>
    </row>
    <row r="1872" spans="38:39">
      <c r="AL1872" s="133">
        <v>1891</v>
      </c>
      <c r="AM1872" s="24">
        <v>649702.01445979415</v>
      </c>
    </row>
    <row r="1873" spans="38:39">
      <c r="AL1873" s="133">
        <v>1892</v>
      </c>
      <c r="AM1873" s="24">
        <v>649817.1186272318</v>
      </c>
    </row>
    <row r="1874" spans="38:39">
      <c r="AL1874" s="133">
        <v>1893</v>
      </c>
      <c r="AM1874" s="24">
        <v>649932.20534276438</v>
      </c>
    </row>
    <row r="1875" spans="38:39">
      <c r="AL1875" s="133">
        <v>1894</v>
      </c>
      <c r="AM1875" s="24">
        <v>650047.14978469419</v>
      </c>
    </row>
    <row r="1876" spans="38:39">
      <c r="AL1876" s="133">
        <v>1895</v>
      </c>
      <c r="AM1876" s="24">
        <v>650162.13964319055</v>
      </c>
    </row>
    <row r="1877" spans="38:39">
      <c r="AL1877" s="133">
        <v>1896</v>
      </c>
      <c r="AM1877" s="24">
        <v>650277.0500969711</v>
      </c>
    </row>
    <row r="1878" spans="38:39">
      <c r="AL1878" s="133">
        <v>1897</v>
      </c>
      <c r="AM1878" s="24">
        <v>650391.91257843119</v>
      </c>
    </row>
    <row r="1879" spans="38:39">
      <c r="AL1879" s="133">
        <v>1898</v>
      </c>
      <c r="AM1879" s="24">
        <v>650506.72726996569</v>
      </c>
    </row>
    <row r="1880" spans="38:39">
      <c r="AL1880" s="133">
        <v>1899</v>
      </c>
      <c r="AM1880" s="24">
        <v>650621.49435396993</v>
      </c>
    </row>
    <row r="1881" spans="38:39">
      <c r="AL1881" s="133">
        <v>1900</v>
      </c>
      <c r="AM1881" s="24">
        <v>650736.2140128389</v>
      </c>
    </row>
    <row r="1882" spans="38:39">
      <c r="AL1882" s="133">
        <v>1901</v>
      </c>
      <c r="AM1882" s="24">
        <v>650850.88642896782</v>
      </c>
    </row>
    <row r="1883" spans="38:39">
      <c r="AL1883" s="133">
        <v>1902</v>
      </c>
      <c r="AM1883" s="24">
        <v>650965.51178475167</v>
      </c>
    </row>
    <row r="1884" spans="38:39">
      <c r="AL1884" s="133">
        <v>1903</v>
      </c>
      <c r="AM1884" s="24">
        <v>651080.09026258555</v>
      </c>
    </row>
    <row r="1885" spans="38:39">
      <c r="AL1885" s="133">
        <v>1904</v>
      </c>
      <c r="AM1885" s="24">
        <v>651194.6220408472</v>
      </c>
    </row>
    <row r="1886" spans="38:39">
      <c r="AL1886" s="133">
        <v>1905</v>
      </c>
      <c r="AM1886" s="24">
        <v>651309.10730978043</v>
      </c>
    </row>
    <row r="1887" spans="38:39">
      <c r="AL1887" s="133">
        <v>1906</v>
      </c>
      <c r="AM1887" s="24">
        <v>651423.54624795099</v>
      </c>
    </row>
    <row r="1888" spans="38:39">
      <c r="AL1888" s="133">
        <v>1907</v>
      </c>
      <c r="AM1888" s="24">
        <v>651537.93903775408</v>
      </c>
    </row>
    <row r="1889" spans="38:39">
      <c r="AL1889" s="133">
        <v>1908</v>
      </c>
      <c r="AM1889" s="24">
        <v>651652.28586158482</v>
      </c>
    </row>
    <row r="1890" spans="38:39">
      <c r="AL1890" s="133">
        <v>1909</v>
      </c>
      <c r="AM1890" s="24">
        <v>651766.58690183831</v>
      </c>
    </row>
    <row r="1891" spans="38:39">
      <c r="AL1891" s="133">
        <v>1910</v>
      </c>
      <c r="AM1891" s="24">
        <v>651880.8423358032</v>
      </c>
    </row>
    <row r="1892" spans="38:39">
      <c r="AL1892" s="133">
        <v>1911</v>
      </c>
      <c r="AM1892" s="24">
        <v>651995.05235591298</v>
      </c>
    </row>
    <row r="1893" spans="38:39">
      <c r="AL1893" s="133">
        <v>1912</v>
      </c>
      <c r="AM1893" s="24">
        <v>652109.21713963267</v>
      </c>
    </row>
    <row r="1894" spans="38:39">
      <c r="AL1894" s="133">
        <v>1913</v>
      </c>
      <c r="AM1894" s="24">
        <v>652223.33686935762</v>
      </c>
    </row>
    <row r="1895" spans="38:39">
      <c r="AL1895" s="133">
        <v>1914</v>
      </c>
      <c r="AM1895" s="24">
        <v>652337.4117274828</v>
      </c>
    </row>
    <row r="1896" spans="38:39">
      <c r="AL1896" s="133">
        <v>1915</v>
      </c>
      <c r="AM1896" s="24">
        <v>652451.44189640344</v>
      </c>
    </row>
    <row r="1897" spans="38:39">
      <c r="AL1897" s="133">
        <v>1916</v>
      </c>
      <c r="AM1897" s="24">
        <v>652565.42755238945</v>
      </c>
    </row>
    <row r="1898" spans="38:39">
      <c r="AL1898" s="133">
        <v>1917</v>
      </c>
      <c r="AM1898" s="24">
        <v>652679.36888992332</v>
      </c>
    </row>
    <row r="1899" spans="38:39">
      <c r="AL1899" s="133">
        <v>1918</v>
      </c>
      <c r="AM1899" s="24">
        <v>652793.26608543983</v>
      </c>
    </row>
    <row r="1900" spans="38:39">
      <c r="AL1900" s="133">
        <v>1919</v>
      </c>
      <c r="AM1900" s="24">
        <v>652907.11932133418</v>
      </c>
    </row>
    <row r="1901" spans="38:39">
      <c r="AL1901" s="133">
        <v>1920</v>
      </c>
      <c r="AM1901" s="24">
        <v>653020.92878000147</v>
      </c>
    </row>
    <row r="1902" spans="38:39">
      <c r="AL1902" s="133">
        <v>1921</v>
      </c>
      <c r="AM1902" s="24">
        <v>653134.69464383682</v>
      </c>
    </row>
    <row r="1903" spans="38:39">
      <c r="AL1903" s="133">
        <v>1922</v>
      </c>
      <c r="AM1903" s="24">
        <v>653248.40146316157</v>
      </c>
    </row>
    <row r="1904" spans="38:39">
      <c r="AL1904" s="133">
        <v>1923</v>
      </c>
      <c r="AM1904" s="24">
        <v>653362.09630936722</v>
      </c>
    </row>
    <row r="1905" spans="38:39">
      <c r="AL1905" s="133">
        <v>1924</v>
      </c>
      <c r="AM1905" s="24">
        <v>653475.73248292808</v>
      </c>
    </row>
    <row r="1906" spans="38:39">
      <c r="AL1906" s="133">
        <v>1925</v>
      </c>
      <c r="AM1906" s="24">
        <v>653589.32579123939</v>
      </c>
    </row>
    <row r="1907" spans="38:39">
      <c r="AL1907" s="133">
        <v>1926</v>
      </c>
      <c r="AM1907" s="24">
        <v>653702.87641669635</v>
      </c>
    </row>
    <row r="1908" spans="38:39">
      <c r="AL1908" s="133">
        <v>1927</v>
      </c>
      <c r="AM1908" s="24">
        <v>653816.38454169396</v>
      </c>
    </row>
    <row r="1909" spans="38:39">
      <c r="AL1909" s="133">
        <v>1928</v>
      </c>
      <c r="AM1909" s="24">
        <v>653929.86597362731</v>
      </c>
    </row>
    <row r="1910" spans="38:39">
      <c r="AL1910" s="133">
        <v>1929</v>
      </c>
      <c r="AM1910" s="24">
        <v>654043.27401180041</v>
      </c>
    </row>
    <row r="1911" spans="38:39">
      <c r="AL1911" s="133">
        <v>1930</v>
      </c>
      <c r="AM1911" s="24">
        <v>654156.6557296532</v>
      </c>
    </row>
    <row r="1912" spans="38:39">
      <c r="AL1912" s="133">
        <v>1931</v>
      </c>
      <c r="AM1912" s="24">
        <v>654269.99567662913</v>
      </c>
    </row>
    <row r="1913" spans="38:39">
      <c r="AL1913" s="133">
        <v>1932</v>
      </c>
      <c r="AM1913" s="24">
        <v>654383.2940351232</v>
      </c>
    </row>
    <row r="1914" spans="38:39">
      <c r="AL1914" s="133">
        <v>1933</v>
      </c>
      <c r="AM1914" s="24">
        <v>654496.55098753073</v>
      </c>
    </row>
    <row r="1915" spans="38:39">
      <c r="AL1915" s="133">
        <v>1934</v>
      </c>
      <c r="AM1915" s="24">
        <v>654609.78234124673</v>
      </c>
    </row>
    <row r="1916" spans="38:39">
      <c r="AL1916" s="133">
        <v>1935</v>
      </c>
      <c r="AM1916" s="24">
        <v>654722.94139477855</v>
      </c>
    </row>
    <row r="1917" spans="38:39">
      <c r="AL1917" s="133">
        <v>1936</v>
      </c>
      <c r="AM1917" s="24">
        <v>654836.07522317092</v>
      </c>
    </row>
    <row r="1918" spans="38:39">
      <c r="AL1918" s="133">
        <v>1937</v>
      </c>
      <c r="AM1918" s="24">
        <v>654949.16837505903</v>
      </c>
    </row>
    <row r="1919" spans="38:39">
      <c r="AL1919" s="133">
        <v>1938</v>
      </c>
      <c r="AM1919" s="24">
        <v>655062.22103283799</v>
      </c>
    </row>
    <row r="1920" spans="38:39">
      <c r="AL1920" s="133">
        <v>1939</v>
      </c>
      <c r="AM1920" s="24">
        <v>655175.23337890289</v>
      </c>
    </row>
    <row r="1921" spans="38:39">
      <c r="AL1921" s="133">
        <v>1940</v>
      </c>
      <c r="AM1921" s="24">
        <v>655288.20559564896</v>
      </c>
    </row>
    <row r="1922" spans="38:39">
      <c r="AL1922" s="133">
        <v>1941</v>
      </c>
      <c r="AM1922" s="24">
        <v>655401.12223085761</v>
      </c>
    </row>
    <row r="1923" spans="38:39">
      <c r="AL1923" s="133">
        <v>1942</v>
      </c>
      <c r="AM1923" s="24">
        <v>655514.03036103712</v>
      </c>
    </row>
    <row r="1924" spans="38:39">
      <c r="AL1924" s="133">
        <v>1943</v>
      </c>
      <c r="AM1924" s="24">
        <v>655626.88328408496</v>
      </c>
    </row>
    <row r="1925" spans="38:39">
      <c r="AL1925" s="133">
        <v>1944</v>
      </c>
      <c r="AM1925" s="24">
        <v>655739.69680739625</v>
      </c>
    </row>
    <row r="1926" spans="38:39">
      <c r="AL1926" s="133">
        <v>1945</v>
      </c>
      <c r="AM1926" s="24">
        <v>655852.47111336619</v>
      </c>
    </row>
    <row r="1927" spans="38:39">
      <c r="AL1927" s="133">
        <v>1946</v>
      </c>
      <c r="AM1927" s="24">
        <v>655965.20638439001</v>
      </c>
    </row>
    <row r="1928" spans="38:39">
      <c r="AL1928" s="133">
        <v>1947</v>
      </c>
      <c r="AM1928" s="24">
        <v>656077.88716759323</v>
      </c>
    </row>
    <row r="1929" spans="38:39">
      <c r="AL1929" s="133">
        <v>1948</v>
      </c>
      <c r="AM1929" s="24">
        <v>656190.56054080743</v>
      </c>
    </row>
    <row r="1930" spans="38:39">
      <c r="AL1930" s="133">
        <v>1949</v>
      </c>
      <c r="AM1930" s="24">
        <v>656303.17980126257</v>
      </c>
    </row>
    <row r="1931" spans="38:39">
      <c r="AL1931" s="133">
        <v>1950</v>
      </c>
      <c r="AM1931" s="24">
        <v>656415.76075635385</v>
      </c>
    </row>
    <row r="1932" spans="38:39">
      <c r="AL1932" s="133">
        <v>1951</v>
      </c>
      <c r="AM1932" s="24">
        <v>656528.30358847638</v>
      </c>
    </row>
    <row r="1933" spans="38:39">
      <c r="AL1933" s="133">
        <v>1952</v>
      </c>
      <c r="AM1933" s="24">
        <v>656640.80847464444</v>
      </c>
    </row>
    <row r="1934" spans="38:39">
      <c r="AL1934" s="133">
        <v>1953</v>
      </c>
      <c r="AM1934" s="24">
        <v>656753.27560796856</v>
      </c>
    </row>
    <row r="1935" spans="38:39">
      <c r="AL1935" s="133">
        <v>1954</v>
      </c>
      <c r="AM1935" s="24">
        <v>656865.7051655103</v>
      </c>
    </row>
    <row r="1936" spans="38:39">
      <c r="AL1936" s="133">
        <v>1955</v>
      </c>
      <c r="AM1936" s="24">
        <v>656978.09732414759</v>
      </c>
    </row>
    <row r="1937" spans="38:39">
      <c r="AL1937" s="133">
        <v>1956</v>
      </c>
      <c r="AM1937" s="24">
        <v>657090.45227726654</v>
      </c>
    </row>
    <row r="1938" spans="38:39">
      <c r="AL1938" s="133">
        <v>1957</v>
      </c>
      <c r="AM1938" s="24">
        <v>657202.77020178933</v>
      </c>
    </row>
    <row r="1939" spans="38:39">
      <c r="AL1939" s="133">
        <v>1958</v>
      </c>
      <c r="AM1939" s="24">
        <v>657315.05127446668</v>
      </c>
    </row>
    <row r="1940" spans="38:39">
      <c r="AL1940" s="133">
        <v>1959</v>
      </c>
      <c r="AM1940" s="24">
        <v>657427.29568894207</v>
      </c>
    </row>
    <row r="1941" spans="38:39">
      <c r="AL1941" s="133">
        <v>1960</v>
      </c>
      <c r="AM1941" s="24">
        <v>657539.50362200791</v>
      </c>
    </row>
    <row r="1942" spans="38:39">
      <c r="AL1942" s="133">
        <v>1961</v>
      </c>
      <c r="AM1942" s="24">
        <v>657651.6674377959</v>
      </c>
    </row>
    <row r="1943" spans="38:39">
      <c r="AL1943" s="133">
        <v>1962</v>
      </c>
      <c r="AM1943" s="24">
        <v>657763.81076768995</v>
      </c>
    </row>
    <row r="1944" spans="38:39">
      <c r="AL1944" s="133">
        <v>1963</v>
      </c>
      <c r="AM1944" s="24">
        <v>657875.91035086045</v>
      </c>
    </row>
    <row r="1945" spans="38:39">
      <c r="AL1945" s="133">
        <v>1964</v>
      </c>
      <c r="AM1945" s="24">
        <v>657987.98199470271</v>
      </c>
    </row>
    <row r="1946" spans="38:39">
      <c r="AL1946" s="133">
        <v>1965</v>
      </c>
      <c r="AM1946" s="24">
        <v>658100.00243820436</v>
      </c>
    </row>
    <row r="1947" spans="38:39">
      <c r="AL1947" s="133">
        <v>1966</v>
      </c>
      <c r="AM1947" s="24">
        <v>658211.99531304173</v>
      </c>
    </row>
    <row r="1948" spans="38:39">
      <c r="AL1948" s="133">
        <v>1967</v>
      </c>
      <c r="AM1948" s="24">
        <v>658323.96079573699</v>
      </c>
    </row>
    <row r="1949" spans="38:39">
      <c r="AL1949" s="133">
        <v>1968</v>
      </c>
      <c r="AM1949" s="24">
        <v>658435.87562517996</v>
      </c>
    </row>
    <row r="1950" spans="38:39">
      <c r="AL1950" s="133">
        <v>1969</v>
      </c>
      <c r="AM1950" s="24">
        <v>658547.76343324583</v>
      </c>
    </row>
    <row r="1951" spans="38:39">
      <c r="AL1951" s="133">
        <v>1970</v>
      </c>
      <c r="AM1951" s="24">
        <v>658659.61658385617</v>
      </c>
    </row>
    <row r="1952" spans="38:39">
      <c r="AL1952" s="133">
        <v>1971</v>
      </c>
      <c r="AM1952" s="24">
        <v>658771.43525331107</v>
      </c>
    </row>
    <row r="1953" spans="38:39">
      <c r="AL1953" s="133">
        <v>1972</v>
      </c>
      <c r="AM1953" s="24">
        <v>658883.21963616752</v>
      </c>
    </row>
    <row r="1954" spans="38:39">
      <c r="AL1954" s="133">
        <v>1973</v>
      </c>
      <c r="AM1954" s="24">
        <v>658994.96990875457</v>
      </c>
    </row>
    <row r="1955" spans="38:39">
      <c r="AL1955" s="133">
        <v>1974</v>
      </c>
      <c r="AM1955" s="24">
        <v>659106.68624729221</v>
      </c>
    </row>
    <row r="1956" spans="38:39">
      <c r="AL1956" s="133">
        <v>1975</v>
      </c>
      <c r="AM1956" s="24">
        <v>659218.36884650111</v>
      </c>
    </row>
    <row r="1957" spans="38:39">
      <c r="AL1957" s="133">
        <v>1976</v>
      </c>
      <c r="AM1957" s="24">
        <v>659330.01787951495</v>
      </c>
    </row>
    <row r="1958" spans="38:39">
      <c r="AL1958" s="133">
        <v>1977</v>
      </c>
      <c r="AM1958" s="24">
        <v>659441.63353494136</v>
      </c>
    </row>
    <row r="1959" spans="38:39">
      <c r="AL1959" s="133">
        <v>1978</v>
      </c>
      <c r="AM1959" s="24">
        <v>659553.21598894114</v>
      </c>
    </row>
    <row r="1960" spans="38:39">
      <c r="AL1960" s="133">
        <v>1979</v>
      </c>
      <c r="AM1960" s="24">
        <v>659664.76542702259</v>
      </c>
    </row>
    <row r="1961" spans="38:39">
      <c r="AL1961" s="133">
        <v>1980</v>
      </c>
      <c r="AM1961" s="24">
        <v>659776.28203473752</v>
      </c>
    </row>
    <row r="1962" spans="38:39">
      <c r="AL1962" s="133">
        <v>1981</v>
      </c>
      <c r="AM1962" s="24">
        <v>659887.76598818204</v>
      </c>
    </row>
    <row r="1963" spans="38:39">
      <c r="AL1963" s="133">
        <v>1982</v>
      </c>
      <c r="AM1963" s="24">
        <v>659999.22138232097</v>
      </c>
    </row>
    <row r="1964" spans="38:39">
      <c r="AL1964" s="133">
        <v>1983</v>
      </c>
      <c r="AM1964" s="24">
        <v>660110.6366744627</v>
      </c>
    </row>
    <row r="1965" spans="38:39">
      <c r="AL1965" s="133">
        <v>1984</v>
      </c>
      <c r="AM1965" s="24">
        <v>660222.02376891824</v>
      </c>
    </row>
    <row r="1966" spans="38:39">
      <c r="AL1966" s="133">
        <v>1985</v>
      </c>
      <c r="AM1966" s="24">
        <v>660333.37894503167</v>
      </c>
    </row>
    <row r="1967" spans="38:39">
      <c r="AL1967" s="133">
        <v>1986</v>
      </c>
      <c r="AM1967" s="24">
        <v>660444.70237881143</v>
      </c>
    </row>
    <row r="1968" spans="38:39">
      <c r="AL1968" s="133">
        <v>1987</v>
      </c>
      <c r="AM1968" s="24">
        <v>660555.99425584427</v>
      </c>
    </row>
    <row r="1969" spans="38:39">
      <c r="AL1969" s="133">
        <v>1988</v>
      </c>
      <c r="AM1969" s="24">
        <v>660667.25476013531</v>
      </c>
    </row>
    <row r="1970" spans="38:39">
      <c r="AL1970" s="133">
        <v>1989</v>
      </c>
      <c r="AM1970" s="24">
        <v>660778.48407247814</v>
      </c>
    </row>
    <row r="1971" spans="38:39">
      <c r="AL1971" s="133">
        <v>1990</v>
      </c>
      <c r="AM1971" s="24">
        <v>660889.68237526866</v>
      </c>
    </row>
    <row r="1972" spans="38:39">
      <c r="AL1972" s="133">
        <v>1991</v>
      </c>
      <c r="AM1972" s="24">
        <v>661000.85180402757</v>
      </c>
    </row>
    <row r="1973" spans="38:39">
      <c r="AL1973" s="133">
        <v>1992</v>
      </c>
      <c r="AM1973" s="24">
        <v>661111.98668015737</v>
      </c>
    </row>
    <row r="1974" spans="38:39">
      <c r="AL1974" s="133">
        <v>1993</v>
      </c>
      <c r="AM1974" s="24">
        <v>661223.09304866393</v>
      </c>
    </row>
    <row r="1975" spans="38:39">
      <c r="AL1975" s="133">
        <v>1994</v>
      </c>
      <c r="AM1975" s="24">
        <v>661334.1691363909</v>
      </c>
    </row>
    <row r="1976" spans="38:39">
      <c r="AL1976" s="133">
        <v>1995</v>
      </c>
      <c r="AM1976" s="24">
        <v>661445.21512735507</v>
      </c>
    </row>
    <row r="1977" spans="38:39">
      <c r="AL1977" s="133">
        <v>1996</v>
      </c>
      <c r="AM1977" s="24">
        <v>661556.23120233032</v>
      </c>
    </row>
    <row r="1978" spans="38:39">
      <c r="AL1978" s="133">
        <v>1997</v>
      </c>
      <c r="AM1978" s="24">
        <v>661667.21754492982</v>
      </c>
    </row>
    <row r="1979" spans="38:39">
      <c r="AL1979" s="133">
        <v>1998</v>
      </c>
      <c r="AM1979" s="24">
        <v>661778.17433714389</v>
      </c>
    </row>
    <row r="1980" spans="38:39">
      <c r="AL1980" s="133">
        <v>1999</v>
      </c>
      <c r="AM1980" s="24">
        <v>661889.10176136869</v>
      </c>
    </row>
    <row r="1981" spans="38:39">
      <c r="AL1981" s="133">
        <v>2000</v>
      </c>
      <c r="AM1981" s="24">
        <v>662000</v>
      </c>
    </row>
    <row r="1982" spans="38:39">
      <c r="AL1982" s="133">
        <v>2001</v>
      </c>
      <c r="AM1982" s="24">
        <v>662110.86920070706</v>
      </c>
    </row>
    <row r="1983" spans="38:39">
      <c r="AL1983" s="133">
        <v>2002</v>
      </c>
      <c r="AM1983" s="24">
        <v>662221.70939515694</v>
      </c>
    </row>
    <row r="1984" spans="38:39">
      <c r="AL1984" s="133">
        <v>2003</v>
      </c>
      <c r="AM1984" s="24">
        <v>662332.52058023436</v>
      </c>
    </row>
    <row r="1985" spans="38:39">
      <c r="AL1985" s="133">
        <v>2004</v>
      </c>
      <c r="AM1985" s="24">
        <v>662443.30275282403</v>
      </c>
    </row>
    <row r="1986" spans="38:39">
      <c r="AL1986" s="133">
        <v>2005</v>
      </c>
      <c r="AM1986" s="24">
        <v>662554.05590981094</v>
      </c>
    </row>
    <row r="1987" spans="38:39">
      <c r="AL1987" s="133">
        <v>2006</v>
      </c>
      <c r="AM1987" s="24">
        <v>662664.78004807967</v>
      </c>
    </row>
    <row r="1988" spans="38:39">
      <c r="AL1988" s="133">
        <v>2007</v>
      </c>
      <c r="AM1988" s="24">
        <v>662775.47516451497</v>
      </c>
    </row>
    <row r="1989" spans="38:39">
      <c r="AL1989" s="133">
        <v>2008</v>
      </c>
      <c r="AM1989" s="24">
        <v>662886.14125600189</v>
      </c>
    </row>
    <row r="1990" spans="38:39">
      <c r="AL1990" s="133">
        <v>2009</v>
      </c>
      <c r="AM1990" s="24">
        <v>662996.77831942495</v>
      </c>
    </row>
    <row r="1991" spans="38:39">
      <c r="AL1991" s="133">
        <v>2010</v>
      </c>
      <c r="AM1991" s="24">
        <v>663107.38635166897</v>
      </c>
    </row>
    <row r="1992" spans="38:39">
      <c r="AL1992" s="133">
        <v>2011</v>
      </c>
      <c r="AM1992" s="24">
        <v>663217.96534961881</v>
      </c>
    </row>
    <row r="1993" spans="38:39">
      <c r="AL1993" s="133">
        <v>2012</v>
      </c>
      <c r="AM1993" s="24">
        <v>663328.5153101593</v>
      </c>
    </row>
    <row r="1994" spans="38:39">
      <c r="AL1994" s="133">
        <v>2013</v>
      </c>
      <c r="AM1994" s="24">
        <v>663439.03631353041</v>
      </c>
    </row>
    <row r="1995" spans="38:39">
      <c r="AL1995" s="133">
        <v>2014</v>
      </c>
      <c r="AM1995" s="24">
        <v>663549.52818923816</v>
      </c>
    </row>
    <row r="1996" spans="38:39">
      <c r="AL1996" s="133">
        <v>2015</v>
      </c>
      <c r="AM1996" s="24">
        <v>663659.99101819249</v>
      </c>
    </row>
    <row r="1997" spans="38:39">
      <c r="AL1997" s="133">
        <v>2016</v>
      </c>
      <c r="AM1997" s="24">
        <v>663770.42479727836</v>
      </c>
    </row>
    <row r="1998" spans="38:39">
      <c r="AL1998" s="133">
        <v>2017</v>
      </c>
      <c r="AM1998" s="24">
        <v>663880.82952338026</v>
      </c>
    </row>
    <row r="1999" spans="38:39">
      <c r="AL1999" s="133">
        <v>2018</v>
      </c>
      <c r="AM1999" s="24">
        <v>663991.20519338327</v>
      </c>
    </row>
    <row r="2000" spans="38:39">
      <c r="AL2000" s="133">
        <v>2019</v>
      </c>
      <c r="AM2000" s="24">
        <v>664101.55180417188</v>
      </c>
    </row>
    <row r="2001" spans="38:39">
      <c r="AL2001" s="133">
        <v>2020</v>
      </c>
      <c r="AM2001" s="24">
        <v>664211.86935263115</v>
      </c>
    </row>
    <row r="2002" spans="38:39">
      <c r="AL2002" s="133">
        <v>2021</v>
      </c>
      <c r="AM2002" s="24">
        <v>664322.1578356456</v>
      </c>
    </row>
    <row r="2003" spans="38:39">
      <c r="AL2003" s="133">
        <v>2022</v>
      </c>
      <c r="AM2003" s="24">
        <v>664432.41725010029</v>
      </c>
    </row>
    <row r="2004" spans="38:39">
      <c r="AL2004" s="133">
        <v>2023</v>
      </c>
      <c r="AM2004" s="24">
        <v>664542.64759287972</v>
      </c>
    </row>
    <row r="2005" spans="38:39">
      <c r="AL2005" s="133">
        <v>2024</v>
      </c>
      <c r="AM2005" s="24">
        <v>664652.84886086883</v>
      </c>
    </row>
    <row r="2006" spans="38:39">
      <c r="AL2006" s="133">
        <v>2025</v>
      </c>
      <c r="AM2006" s="24">
        <v>664763.02105095237</v>
      </c>
    </row>
    <row r="2007" spans="38:39">
      <c r="AL2007" s="133">
        <v>2026</v>
      </c>
      <c r="AM2007" s="24">
        <v>664873.16416001506</v>
      </c>
    </row>
    <row r="2008" spans="38:39">
      <c r="AL2008" s="133">
        <v>2027</v>
      </c>
      <c r="AM2008" s="24">
        <v>664983.27818494185</v>
      </c>
    </row>
    <row r="2009" spans="38:39">
      <c r="AL2009" s="133">
        <v>2028</v>
      </c>
      <c r="AM2009" s="24">
        <v>665093.36312261736</v>
      </c>
    </row>
    <row r="2010" spans="38:39">
      <c r="AL2010" s="133">
        <v>2029</v>
      </c>
      <c r="AM2010" s="24">
        <v>665203.41896992631</v>
      </c>
    </row>
    <row r="2011" spans="38:39">
      <c r="AL2011" s="133">
        <v>2030</v>
      </c>
      <c r="AM2011" s="24">
        <v>665313.44572375377</v>
      </c>
    </row>
    <row r="2012" spans="38:39">
      <c r="AL2012" s="133">
        <v>2031</v>
      </c>
      <c r="AM2012" s="24">
        <v>665423.44338098413</v>
      </c>
    </row>
    <row r="2013" spans="38:39">
      <c r="AL2013" s="133">
        <v>2032</v>
      </c>
      <c r="AM2013" s="24">
        <v>665533.41193850245</v>
      </c>
    </row>
    <row r="2014" spans="38:39">
      <c r="AL2014" s="133">
        <v>2033</v>
      </c>
      <c r="AM2014" s="24">
        <v>665643.35139319347</v>
      </c>
    </row>
    <row r="2015" spans="38:39">
      <c r="AL2015" s="133">
        <v>2034</v>
      </c>
      <c r="AM2015" s="24">
        <v>665753.26174194191</v>
      </c>
    </row>
    <row r="2016" spans="38:39">
      <c r="AL2016" s="133">
        <v>2035</v>
      </c>
      <c r="AM2016" s="24">
        <v>665863.14298163261</v>
      </c>
    </row>
    <row r="2017" spans="38:39">
      <c r="AL2017" s="133">
        <v>2036</v>
      </c>
      <c r="AM2017" s="24">
        <v>665972.99510915019</v>
      </c>
    </row>
    <row r="2018" spans="38:39">
      <c r="AL2018" s="133">
        <v>2037</v>
      </c>
      <c r="AM2018" s="24">
        <v>666082.81812137959</v>
      </c>
    </row>
    <row r="2019" spans="38:39">
      <c r="AL2019" s="133">
        <v>2038</v>
      </c>
      <c r="AM2019" s="24">
        <v>666192.6120823758</v>
      </c>
    </row>
    <row r="2020" spans="38:39">
      <c r="AL2020" s="133">
        <v>2039</v>
      </c>
      <c r="AM2020" s="24">
        <v>666302.37685405812</v>
      </c>
    </row>
    <row r="2021" spans="38:39">
      <c r="AL2021" s="133">
        <v>2040</v>
      </c>
      <c r="AM2021" s="24">
        <v>666412.11250110832</v>
      </c>
    </row>
    <row r="2022" spans="38:39">
      <c r="AL2022" s="133">
        <v>2041</v>
      </c>
      <c r="AM2022" s="24">
        <v>666521.81902041123</v>
      </c>
    </row>
    <row r="2023" spans="38:39">
      <c r="AL2023" s="133">
        <v>2042</v>
      </c>
      <c r="AM2023" s="24">
        <v>666631.49640885147</v>
      </c>
    </row>
    <row r="2024" spans="38:39">
      <c r="AL2024" s="133">
        <v>2043</v>
      </c>
      <c r="AM2024" s="24">
        <v>666741.14466331387</v>
      </c>
    </row>
    <row r="2025" spans="38:39">
      <c r="AL2025" s="133">
        <v>2044</v>
      </c>
      <c r="AM2025" s="24">
        <v>666850.76378068328</v>
      </c>
    </row>
    <row r="2026" spans="38:39">
      <c r="AL2026" s="133">
        <v>2045</v>
      </c>
      <c r="AM2026" s="24">
        <v>666960.35375784431</v>
      </c>
    </row>
    <row r="2027" spans="38:39">
      <c r="AL2027" s="133">
        <v>2046</v>
      </c>
      <c r="AM2027" s="24">
        <v>667069.91459168203</v>
      </c>
    </row>
    <row r="2028" spans="38:39">
      <c r="AL2028" s="133">
        <v>2047</v>
      </c>
      <c r="AM2028" s="24">
        <v>667179.44627908093</v>
      </c>
    </row>
    <row r="2029" spans="38:39">
      <c r="AL2029" s="133">
        <v>2048</v>
      </c>
      <c r="AM2029" s="24">
        <v>667288.94881692599</v>
      </c>
    </row>
    <row r="2030" spans="38:39">
      <c r="AL2030" s="133">
        <v>2049</v>
      </c>
      <c r="AM2030" s="24">
        <v>667398.42220210179</v>
      </c>
    </row>
    <row r="2031" spans="38:39">
      <c r="AL2031" s="133">
        <v>2050</v>
      </c>
      <c r="AM2031" s="24">
        <v>667507.86643149331</v>
      </c>
    </row>
    <row r="2032" spans="38:39">
      <c r="AL2032" s="133">
        <v>2051</v>
      </c>
      <c r="AM2032" s="24">
        <v>667617.28150198527</v>
      </c>
    </row>
    <row r="2033" spans="38:39">
      <c r="AL2033" s="133">
        <v>2052</v>
      </c>
      <c r="AM2033" s="24">
        <v>667726.6674104624</v>
      </c>
    </row>
    <row r="2034" spans="38:39">
      <c r="AL2034" s="133">
        <v>2053</v>
      </c>
      <c r="AM2034" s="24">
        <v>667836.02415380941</v>
      </c>
    </row>
    <row r="2035" spans="38:39">
      <c r="AL2035" s="133">
        <v>2054</v>
      </c>
      <c r="AM2035" s="24">
        <v>667945.35172891128</v>
      </c>
    </row>
    <row r="2036" spans="38:39">
      <c r="AL2036" s="133">
        <v>2055</v>
      </c>
      <c r="AM2036" s="24">
        <v>668054.6501326526</v>
      </c>
    </row>
    <row r="2037" spans="38:39">
      <c r="AL2037" s="133">
        <v>2056</v>
      </c>
      <c r="AM2037" s="24">
        <v>668163.91936191835</v>
      </c>
    </row>
    <row r="2038" spans="38:39">
      <c r="AL2038" s="133">
        <v>2057</v>
      </c>
      <c r="AM2038" s="24">
        <v>668273.15941359312</v>
      </c>
    </row>
    <row r="2039" spans="38:39">
      <c r="AL2039" s="133">
        <v>2058</v>
      </c>
      <c r="AM2039" s="24">
        <v>668382.37028456177</v>
      </c>
    </row>
    <row r="2040" spans="38:39">
      <c r="AL2040" s="133">
        <v>2059</v>
      </c>
      <c r="AM2040" s="24">
        <v>668491.55197170901</v>
      </c>
    </row>
    <row r="2041" spans="38:39">
      <c r="AL2041" s="133">
        <v>2060</v>
      </c>
      <c r="AM2041" s="24">
        <v>668600.7044719198</v>
      </c>
    </row>
    <row r="2042" spans="38:39">
      <c r="AL2042" s="133">
        <v>2061</v>
      </c>
      <c r="AM2042" s="24">
        <v>668709.82778207865</v>
      </c>
    </row>
    <row r="2043" spans="38:39">
      <c r="AL2043" s="133">
        <v>2062</v>
      </c>
      <c r="AM2043" s="24">
        <v>668818.92189907061</v>
      </c>
    </row>
    <row r="2044" spans="38:39">
      <c r="AL2044" s="133">
        <v>2063</v>
      </c>
      <c r="AM2044" s="24">
        <v>668927.98687184579</v>
      </c>
    </row>
    <row r="2045" spans="38:39">
      <c r="AL2045" s="133">
        <v>2064</v>
      </c>
      <c r="AM2045" s="24">
        <v>669037.02259257622</v>
      </c>
    </row>
    <row r="2046" spans="38:39">
      <c r="AL2046" s="133">
        <v>2065</v>
      </c>
      <c r="AM2046" s="24">
        <v>669146.02911079582</v>
      </c>
    </row>
    <row r="2047" spans="38:39">
      <c r="AL2047" s="133">
        <v>2066</v>
      </c>
      <c r="AM2047" s="24">
        <v>669255.00642338919</v>
      </c>
    </row>
    <row r="2048" spans="38:39">
      <c r="AL2048" s="133">
        <v>2067</v>
      </c>
      <c r="AM2048" s="24">
        <v>669363.95452724118</v>
      </c>
    </row>
    <row r="2049" spans="38:39">
      <c r="AL2049" s="133">
        <v>2068</v>
      </c>
      <c r="AM2049" s="24">
        <v>669472.87341923662</v>
      </c>
    </row>
    <row r="2050" spans="38:39">
      <c r="AL2050" s="133">
        <v>2069</v>
      </c>
      <c r="AM2050" s="24">
        <v>669581.76309626026</v>
      </c>
    </row>
    <row r="2051" spans="38:39">
      <c r="AL2051" s="133">
        <v>2070</v>
      </c>
      <c r="AM2051" s="24">
        <v>669690.62355519668</v>
      </c>
    </row>
    <row r="2052" spans="38:39">
      <c r="AL2052" s="133">
        <v>2071</v>
      </c>
      <c r="AM2052" s="24">
        <v>669799.45479293098</v>
      </c>
    </row>
    <row r="2053" spans="38:39">
      <c r="AL2053" s="133">
        <v>2072</v>
      </c>
      <c r="AM2053" s="24">
        <v>669908.25680634775</v>
      </c>
    </row>
    <row r="2054" spans="38:39">
      <c r="AL2054" s="133">
        <v>2073</v>
      </c>
      <c r="AM2054" s="24">
        <v>670017.02959233185</v>
      </c>
    </row>
    <row r="2055" spans="38:39">
      <c r="AL2055" s="133">
        <v>2074</v>
      </c>
      <c r="AM2055" s="24">
        <v>670125.77314776799</v>
      </c>
    </row>
    <row r="2056" spans="38:39">
      <c r="AL2056" s="133">
        <v>2075</v>
      </c>
      <c r="AM2056" s="24">
        <v>670234.48746954091</v>
      </c>
    </row>
    <row r="2057" spans="38:39">
      <c r="AL2057" s="133">
        <v>2076</v>
      </c>
      <c r="AM2057" s="24">
        <v>670343.17255453556</v>
      </c>
    </row>
    <row r="2058" spans="38:39">
      <c r="AL2058" s="133">
        <v>2077</v>
      </c>
      <c r="AM2058" s="24">
        <v>670451.82839963655</v>
      </c>
    </row>
    <row r="2059" spans="38:39">
      <c r="AL2059" s="133">
        <v>2078</v>
      </c>
      <c r="AM2059" s="24">
        <v>670560.45500172873</v>
      </c>
    </row>
    <row r="2060" spans="38:39">
      <c r="AL2060" s="133">
        <v>2079</v>
      </c>
      <c r="AM2060" s="24">
        <v>670669.05235769681</v>
      </c>
    </row>
    <row r="2061" spans="38:39">
      <c r="AL2061" s="133">
        <v>2080</v>
      </c>
      <c r="AM2061" s="24">
        <v>670777.62046442577</v>
      </c>
    </row>
    <row r="2062" spans="38:39">
      <c r="AL2062" s="133">
        <v>2081</v>
      </c>
      <c r="AM2062" s="24">
        <v>670886.1593188002</v>
      </c>
    </row>
    <row r="2063" spans="38:39">
      <c r="AL2063" s="133">
        <v>2082</v>
      </c>
      <c r="AM2063" s="24">
        <v>670994.66891770484</v>
      </c>
    </row>
    <row r="2064" spans="38:39">
      <c r="AL2064" s="133">
        <v>2083</v>
      </c>
      <c r="AM2064" s="24">
        <v>671103.14925802464</v>
      </c>
    </row>
    <row r="2065" spans="38:39">
      <c r="AL2065" s="133">
        <v>2084</v>
      </c>
      <c r="AM2065" s="24">
        <v>671211.60033664433</v>
      </c>
    </row>
    <row r="2066" spans="38:39">
      <c r="AL2066" s="133">
        <v>2085</v>
      </c>
      <c r="AM2066" s="24">
        <v>671320.05340044864</v>
      </c>
    </row>
    <row r="2067" spans="38:39">
      <c r="AL2067" s="133">
        <v>2086</v>
      </c>
      <c r="AM2067" s="24">
        <v>671428.4459463224</v>
      </c>
    </row>
    <row r="2068" spans="38:39">
      <c r="AL2068" s="133">
        <v>2087</v>
      </c>
      <c r="AM2068" s="24">
        <v>671536.80922115024</v>
      </c>
    </row>
    <row r="2069" spans="38:39">
      <c r="AL2069" s="133">
        <v>2088</v>
      </c>
      <c r="AM2069" s="24">
        <v>671645.08075985836</v>
      </c>
    </row>
    <row r="2070" spans="38:39">
      <c r="AL2070" s="133">
        <v>2089</v>
      </c>
      <c r="AM2070" s="24">
        <v>671753.38548271055</v>
      </c>
    </row>
    <row r="2071" spans="38:39">
      <c r="AL2071" s="133">
        <v>2090</v>
      </c>
      <c r="AM2071" s="24">
        <v>671861.66092517297</v>
      </c>
    </row>
    <row r="2072" spans="38:39">
      <c r="AL2072" s="133">
        <v>2091</v>
      </c>
      <c r="AM2072" s="24">
        <v>671969.93833413045</v>
      </c>
    </row>
    <row r="2073" spans="38:39">
      <c r="AL2073" s="133">
        <v>2092</v>
      </c>
      <c r="AM2073" s="24">
        <v>672078.15520646772</v>
      </c>
    </row>
    <row r="2074" spans="38:39">
      <c r="AL2074" s="133">
        <v>2093</v>
      </c>
      <c r="AM2074" s="24">
        <v>672186.34278906963</v>
      </c>
    </row>
    <row r="2075" spans="38:39">
      <c r="AL2075" s="133">
        <v>2094</v>
      </c>
      <c r="AM2075" s="24">
        <v>672294.5010788209</v>
      </c>
    </row>
    <row r="2076" spans="38:39">
      <c r="AL2076" s="133">
        <v>2095</v>
      </c>
      <c r="AM2076" s="24">
        <v>672402.63007260638</v>
      </c>
    </row>
    <row r="2077" spans="38:39">
      <c r="AL2077" s="133">
        <v>2096</v>
      </c>
      <c r="AM2077" s="24">
        <v>672510.72976731078</v>
      </c>
    </row>
    <row r="2078" spans="38:39">
      <c r="AL2078" s="133">
        <v>2097</v>
      </c>
      <c r="AM2078" s="24">
        <v>672618.80015981884</v>
      </c>
    </row>
    <row r="2079" spans="38:39">
      <c r="AL2079" s="133">
        <v>2098</v>
      </c>
      <c r="AM2079" s="24">
        <v>672726.8412470154</v>
      </c>
    </row>
    <row r="2080" spans="38:39">
      <c r="AL2080" s="133">
        <v>2099</v>
      </c>
      <c r="AM2080" s="24">
        <v>672834.8530257853</v>
      </c>
    </row>
    <row r="2081" spans="38:39">
      <c r="AL2081" s="133">
        <v>2100</v>
      </c>
      <c r="AM2081" s="24">
        <v>672942.83549301326</v>
      </c>
    </row>
    <row r="2082" spans="38:39">
      <c r="AL2082" s="133">
        <v>2101</v>
      </c>
      <c r="AM2082" s="24">
        <v>673050.78864558402</v>
      </c>
    </row>
    <row r="2083" spans="38:39">
      <c r="AL2083" s="133">
        <v>2102</v>
      </c>
      <c r="AM2083" s="24">
        <v>673158.71248038241</v>
      </c>
    </row>
    <row r="2084" spans="38:39">
      <c r="AL2084" s="133">
        <v>2103</v>
      </c>
      <c r="AM2084" s="24">
        <v>673266.60699429328</v>
      </c>
    </row>
    <row r="2085" spans="38:39">
      <c r="AL2085" s="133">
        <v>2104</v>
      </c>
      <c r="AM2085" s="24">
        <v>673374.47218420124</v>
      </c>
    </row>
    <row r="2086" spans="38:39">
      <c r="AL2086" s="133">
        <v>2105</v>
      </c>
      <c r="AM2086" s="24">
        <v>673482.30804699112</v>
      </c>
    </row>
    <row r="2087" spans="38:39">
      <c r="AL2087" s="133">
        <v>2106</v>
      </c>
      <c r="AM2087" s="24">
        <v>673590.11457954778</v>
      </c>
    </row>
    <row r="2088" spans="38:39">
      <c r="AL2088" s="133">
        <v>2107</v>
      </c>
      <c r="AM2088" s="24">
        <v>673697.89177875593</v>
      </c>
    </row>
    <row r="2089" spans="38:39">
      <c r="AL2089" s="133">
        <v>2108</v>
      </c>
      <c r="AM2089" s="24">
        <v>673805.63964150043</v>
      </c>
    </row>
    <row r="2090" spans="38:39">
      <c r="AL2090" s="133">
        <v>2109</v>
      </c>
      <c r="AM2090" s="24">
        <v>673913.35816466599</v>
      </c>
    </row>
    <row r="2091" spans="38:39">
      <c r="AL2091" s="133">
        <v>2110</v>
      </c>
      <c r="AM2091" s="24">
        <v>674021.07859513734</v>
      </c>
    </row>
    <row r="2092" spans="38:39">
      <c r="AL2092" s="133">
        <v>2111</v>
      </c>
      <c r="AM2092" s="24">
        <v>674128.73842979944</v>
      </c>
    </row>
    <row r="2093" spans="38:39">
      <c r="AL2093" s="133">
        <v>2112</v>
      </c>
      <c r="AM2093" s="24">
        <v>674236.36891553679</v>
      </c>
    </row>
    <row r="2094" spans="38:39">
      <c r="AL2094" s="133">
        <v>2113</v>
      </c>
      <c r="AM2094" s="24">
        <v>674343.90757433174</v>
      </c>
    </row>
    <row r="2095" spans="38:39">
      <c r="AL2095" s="133">
        <v>2114</v>
      </c>
      <c r="AM2095" s="24">
        <v>674451.4793523791</v>
      </c>
    </row>
    <row r="2096" spans="38:39">
      <c r="AL2096" s="133">
        <v>2115</v>
      </c>
      <c r="AM2096" s="24">
        <v>674559.02177215787</v>
      </c>
    </row>
    <row r="2097" spans="38:39">
      <c r="AL2097" s="133">
        <v>2116</v>
      </c>
      <c r="AM2097" s="24">
        <v>674666.56608055299</v>
      </c>
    </row>
    <row r="2098" spans="38:39">
      <c r="AL2098" s="133">
        <v>2117</v>
      </c>
      <c r="AM2098" s="24">
        <v>674774.04977444897</v>
      </c>
    </row>
    <row r="2099" spans="38:39">
      <c r="AL2099" s="133">
        <v>2118</v>
      </c>
      <c r="AM2099" s="24">
        <v>674881.50410073088</v>
      </c>
    </row>
    <row r="2100" spans="38:39">
      <c r="AL2100" s="133">
        <v>2119</v>
      </c>
      <c r="AM2100" s="24">
        <v>674988.92905628344</v>
      </c>
    </row>
    <row r="2101" spans="38:39">
      <c r="AL2101" s="133">
        <v>2120</v>
      </c>
      <c r="AM2101" s="24">
        <v>675096.32463799126</v>
      </c>
    </row>
    <row r="2102" spans="38:39">
      <c r="AL2102" s="133">
        <v>2121</v>
      </c>
      <c r="AM2102" s="24">
        <v>675203.69084273931</v>
      </c>
    </row>
    <row r="2103" spans="38:39">
      <c r="AL2103" s="133">
        <v>2122</v>
      </c>
      <c r="AM2103" s="24">
        <v>675311.02766741219</v>
      </c>
    </row>
    <row r="2104" spans="38:39">
      <c r="AL2104" s="133">
        <v>2123</v>
      </c>
      <c r="AM2104" s="24">
        <v>675418.33510889485</v>
      </c>
    </row>
    <row r="2105" spans="38:39">
      <c r="AL2105" s="133">
        <v>2124</v>
      </c>
      <c r="AM2105" s="24">
        <v>675525.61316407204</v>
      </c>
    </row>
    <row r="2106" spans="38:39">
      <c r="AL2106" s="133">
        <v>2125</v>
      </c>
      <c r="AM2106" s="24">
        <v>675632.86182982847</v>
      </c>
    </row>
    <row r="2107" spans="38:39">
      <c r="AL2107" s="133">
        <v>2126</v>
      </c>
      <c r="AM2107" s="24">
        <v>675740.08110304899</v>
      </c>
    </row>
    <row r="2108" spans="38:39">
      <c r="AL2108" s="133">
        <v>2127</v>
      </c>
      <c r="AM2108" s="24">
        <v>675847.2709806182</v>
      </c>
    </row>
    <row r="2109" spans="38:39">
      <c r="AL2109" s="133">
        <v>2128</v>
      </c>
      <c r="AM2109" s="24">
        <v>675954.43145942118</v>
      </c>
    </row>
    <row r="2110" spans="38:39">
      <c r="AL2110" s="133">
        <v>2129</v>
      </c>
      <c r="AM2110" s="24">
        <v>676061.56253634242</v>
      </c>
    </row>
    <row r="2111" spans="38:39">
      <c r="AL2111" s="133">
        <v>2130</v>
      </c>
      <c r="AM2111" s="24">
        <v>676168.66420826688</v>
      </c>
    </row>
    <row r="2112" spans="38:39">
      <c r="AL2112" s="133">
        <v>2131</v>
      </c>
      <c r="AM2112" s="24">
        <v>676275.7364720793</v>
      </c>
    </row>
    <row r="2113" spans="38:39">
      <c r="AL2113" s="133">
        <v>2132</v>
      </c>
      <c r="AM2113" s="24">
        <v>676382.7793246645</v>
      </c>
    </row>
    <row r="2114" spans="38:39">
      <c r="AL2114" s="133">
        <v>2133</v>
      </c>
      <c r="AM2114" s="24">
        <v>676489.79276290711</v>
      </c>
    </row>
    <row r="2115" spans="38:39">
      <c r="AL2115" s="133">
        <v>2134</v>
      </c>
      <c r="AM2115" s="24">
        <v>676596.77678369207</v>
      </c>
    </row>
    <row r="2116" spans="38:39">
      <c r="AL2116" s="133">
        <v>2135</v>
      </c>
      <c r="AM2116" s="24">
        <v>676703.762633904</v>
      </c>
    </row>
    <row r="2117" spans="38:39">
      <c r="AL2117" s="133">
        <v>2136</v>
      </c>
      <c r="AM2117" s="24">
        <v>676810.68781042786</v>
      </c>
    </row>
    <row r="2118" spans="38:39">
      <c r="AL2118" s="133">
        <v>2137</v>
      </c>
      <c r="AM2118" s="24">
        <v>676917.58356014825</v>
      </c>
    </row>
    <row r="2119" spans="38:39">
      <c r="AL2119" s="133">
        <v>2138</v>
      </c>
      <c r="AM2119" s="24">
        <v>677024.38739318412</v>
      </c>
    </row>
    <row r="2120" spans="38:39">
      <c r="AL2120" s="133">
        <v>2139</v>
      </c>
      <c r="AM2120" s="24">
        <v>677131.22427950008</v>
      </c>
    </row>
    <row r="2121" spans="38:39">
      <c r="AL2121" s="133">
        <v>2140</v>
      </c>
      <c r="AM2121" s="24">
        <v>677238.03172966873</v>
      </c>
    </row>
    <row r="2122" spans="38:39">
      <c r="AL2122" s="133">
        <v>2141</v>
      </c>
      <c r="AM2122" s="24">
        <v>677344.8409905748</v>
      </c>
    </row>
    <row r="2123" spans="38:39">
      <c r="AL2123" s="133">
        <v>2142</v>
      </c>
      <c r="AM2123" s="24">
        <v>677451.58955910325</v>
      </c>
    </row>
    <row r="2124" spans="38:39">
      <c r="AL2124" s="133">
        <v>2143</v>
      </c>
      <c r="AM2124" s="24">
        <v>677558.30868213868</v>
      </c>
    </row>
    <row r="2125" spans="38:39">
      <c r="AL2125" s="133">
        <v>2144</v>
      </c>
      <c r="AM2125" s="24">
        <v>677664.99835656583</v>
      </c>
    </row>
    <row r="2126" spans="38:39">
      <c r="AL2126" s="133">
        <v>2145</v>
      </c>
      <c r="AM2126" s="24">
        <v>677771.65857926966</v>
      </c>
    </row>
    <row r="2127" spans="38:39">
      <c r="AL2127" s="133">
        <v>2146</v>
      </c>
      <c r="AM2127" s="24">
        <v>677878.28934713476</v>
      </c>
    </row>
    <row r="2128" spans="38:39">
      <c r="AL2128" s="133">
        <v>2147</v>
      </c>
      <c r="AM2128" s="24">
        <v>677984.89065704611</v>
      </c>
    </row>
    <row r="2129" spans="38:39">
      <c r="AL2129" s="133">
        <v>2148</v>
      </c>
      <c r="AM2129" s="24">
        <v>678091.46250588831</v>
      </c>
    </row>
    <row r="2130" spans="38:39">
      <c r="AL2130" s="133">
        <v>2149</v>
      </c>
      <c r="AM2130" s="24">
        <v>678198.0048905462</v>
      </c>
    </row>
    <row r="2131" spans="38:39">
      <c r="AL2131" s="133">
        <v>2150</v>
      </c>
      <c r="AM2131" s="24">
        <v>678304.51780790463</v>
      </c>
    </row>
    <row r="2132" spans="38:39">
      <c r="AL2132" s="133">
        <v>2151</v>
      </c>
      <c r="AM2132" s="24">
        <v>678411.00125484832</v>
      </c>
    </row>
    <row r="2133" spans="38:39">
      <c r="AL2133" s="133">
        <v>2152</v>
      </c>
      <c r="AM2133" s="24">
        <v>678517.455228262</v>
      </c>
    </row>
    <row r="2134" spans="38:39">
      <c r="AL2134" s="133">
        <v>2153</v>
      </c>
      <c r="AM2134" s="24">
        <v>678623.87972503051</v>
      </c>
    </row>
    <row r="2135" spans="38:39">
      <c r="AL2135" s="133">
        <v>2154</v>
      </c>
      <c r="AM2135" s="24">
        <v>678730.27474203869</v>
      </c>
    </row>
    <row r="2136" spans="38:39">
      <c r="AL2136" s="133">
        <v>2155</v>
      </c>
      <c r="AM2136" s="24">
        <v>678836.64027617115</v>
      </c>
    </row>
    <row r="2137" spans="38:39">
      <c r="AL2137" s="133">
        <v>2156</v>
      </c>
      <c r="AM2137" s="24">
        <v>678942.97632431285</v>
      </c>
    </row>
    <row r="2138" spans="38:39">
      <c r="AL2138" s="133">
        <v>2157</v>
      </c>
      <c r="AM2138" s="24">
        <v>679049.28288334841</v>
      </c>
    </row>
    <row r="2139" spans="38:39">
      <c r="AL2139" s="133">
        <v>2158</v>
      </c>
      <c r="AM2139" s="24">
        <v>679155.55995016277</v>
      </c>
    </row>
    <row r="2140" spans="38:39">
      <c r="AL2140" s="133">
        <v>2159</v>
      </c>
      <c r="AM2140" s="24">
        <v>679261.80752164056</v>
      </c>
    </row>
    <row r="2141" spans="38:39">
      <c r="AL2141" s="133">
        <v>2160</v>
      </c>
      <c r="AM2141" s="24">
        <v>679368.0568446666</v>
      </c>
    </row>
    <row r="2142" spans="38:39">
      <c r="AL2142" s="133">
        <v>2161</v>
      </c>
      <c r="AM2142" s="24">
        <v>679474.24541612575</v>
      </c>
    </row>
    <row r="2143" spans="38:39">
      <c r="AL2143" s="133">
        <v>2162</v>
      </c>
      <c r="AM2143" s="24">
        <v>679580.40448290273</v>
      </c>
    </row>
    <row r="2144" spans="38:39">
      <c r="AL2144" s="133">
        <v>2163</v>
      </c>
      <c r="AM2144" s="24">
        <v>679686.47154433338</v>
      </c>
    </row>
    <row r="2145" spans="38:39">
      <c r="AL2145" s="133">
        <v>2164</v>
      </c>
      <c r="AM2145" s="24">
        <v>679792.57159199147</v>
      </c>
    </row>
    <row r="2146" spans="38:39">
      <c r="AL2146" s="133">
        <v>2165</v>
      </c>
      <c r="AM2146" s="24">
        <v>679898.64212562353</v>
      </c>
    </row>
    <row r="2147" spans="38:39">
      <c r="AL2147" s="133">
        <v>2166</v>
      </c>
      <c r="AM2147" s="24">
        <v>680004.71439211431</v>
      </c>
    </row>
    <row r="2148" spans="38:39">
      <c r="AL2148" s="133">
        <v>2167</v>
      </c>
      <c r="AM2148" s="24">
        <v>680110.72588834842</v>
      </c>
    </row>
    <row r="2149" spans="38:39">
      <c r="AL2149" s="133">
        <v>2168</v>
      </c>
      <c r="AM2149" s="24">
        <v>680216.7078612108</v>
      </c>
    </row>
    <row r="2150" spans="38:39">
      <c r="AL2150" s="133">
        <v>2169</v>
      </c>
      <c r="AM2150" s="24">
        <v>680322.66030758631</v>
      </c>
    </row>
    <row r="2151" spans="38:39">
      <c r="AL2151" s="133">
        <v>2170</v>
      </c>
      <c r="AM2151" s="24">
        <v>680428.58322435955</v>
      </c>
    </row>
    <row r="2152" spans="38:39">
      <c r="AL2152" s="133">
        <v>2171</v>
      </c>
      <c r="AM2152" s="24">
        <v>680534.47660841525</v>
      </c>
    </row>
    <row r="2153" spans="38:39">
      <c r="AL2153" s="133">
        <v>2172</v>
      </c>
      <c r="AM2153" s="24">
        <v>680640.34045663849</v>
      </c>
    </row>
    <row r="2154" spans="38:39">
      <c r="AL2154" s="133">
        <v>2173</v>
      </c>
      <c r="AM2154" s="24">
        <v>680746.17476591375</v>
      </c>
    </row>
    <row r="2155" spans="38:39">
      <c r="AL2155" s="133">
        <v>2174</v>
      </c>
      <c r="AM2155" s="24">
        <v>680851.979533126</v>
      </c>
    </row>
    <row r="2156" spans="38:39">
      <c r="AL2156" s="133">
        <v>2175</v>
      </c>
      <c r="AM2156" s="24">
        <v>680957.75475515984</v>
      </c>
    </row>
    <row r="2157" spans="38:39">
      <c r="AL2157" s="133">
        <v>2176</v>
      </c>
      <c r="AM2157" s="24">
        <v>681063.50042890024</v>
      </c>
    </row>
    <row r="2158" spans="38:39">
      <c r="AL2158" s="133">
        <v>2177</v>
      </c>
      <c r="AM2158" s="24">
        <v>681169.2165512318</v>
      </c>
    </row>
    <row r="2159" spans="38:39">
      <c r="AL2159" s="133">
        <v>2178</v>
      </c>
      <c r="AM2159" s="24">
        <v>681274.90311903949</v>
      </c>
    </row>
    <row r="2160" spans="38:39">
      <c r="AL2160" s="133">
        <v>2179</v>
      </c>
      <c r="AM2160" s="24">
        <v>681380.56012920791</v>
      </c>
    </row>
    <row r="2161" spans="38:39">
      <c r="AL2161" s="133">
        <v>2180</v>
      </c>
      <c r="AM2161" s="24">
        <v>681486.18757862202</v>
      </c>
    </row>
    <row r="2162" spans="38:39">
      <c r="AL2162" s="133">
        <v>2181</v>
      </c>
      <c r="AM2162" s="24">
        <v>681591.78546416643</v>
      </c>
    </row>
    <row r="2163" spans="38:39">
      <c r="AL2163" s="133">
        <v>2182</v>
      </c>
      <c r="AM2163" s="24">
        <v>681697.35378272599</v>
      </c>
    </row>
    <row r="2164" spans="38:39">
      <c r="AL2164" s="133">
        <v>2183</v>
      </c>
      <c r="AM2164" s="24">
        <v>681802.89253118553</v>
      </c>
    </row>
    <row r="2165" spans="38:39">
      <c r="AL2165" s="133">
        <v>2184</v>
      </c>
      <c r="AM2165" s="24">
        <v>681908.40170642966</v>
      </c>
    </row>
    <row r="2166" spans="38:39">
      <c r="AL2166" s="133">
        <v>2185</v>
      </c>
      <c r="AM2166" s="24">
        <v>682013.91255534336</v>
      </c>
    </row>
    <row r="2167" spans="38:39">
      <c r="AL2167" s="133">
        <v>2186</v>
      </c>
      <c r="AM2167" s="24">
        <v>682119.36257481133</v>
      </c>
    </row>
    <row r="2168" spans="38:39">
      <c r="AL2168" s="133">
        <v>2187</v>
      </c>
      <c r="AM2168" s="24">
        <v>682224.7830117183</v>
      </c>
    </row>
    <row r="2169" spans="38:39">
      <c r="AL2169" s="133">
        <v>2188</v>
      </c>
      <c r="AM2169" s="24">
        <v>682330.11135569774</v>
      </c>
    </row>
    <row r="2170" spans="38:39">
      <c r="AL2170" s="133">
        <v>2189</v>
      </c>
      <c r="AM2170" s="24">
        <v>682435.47261777159</v>
      </c>
    </row>
    <row r="2171" spans="38:39">
      <c r="AL2171" s="133">
        <v>2190</v>
      </c>
      <c r="AM2171" s="24">
        <v>682540.8042879405</v>
      </c>
    </row>
    <row r="2172" spans="38:39">
      <c r="AL2172" s="133">
        <v>2191</v>
      </c>
      <c r="AM2172" s="24">
        <v>682646.13761308929</v>
      </c>
    </row>
    <row r="2173" spans="38:39">
      <c r="AL2173" s="133">
        <v>2192</v>
      </c>
      <c r="AM2173" s="24">
        <v>682751.4100901027</v>
      </c>
    </row>
    <row r="2174" spans="38:39">
      <c r="AL2174" s="133">
        <v>2193</v>
      </c>
      <c r="AM2174" s="24">
        <v>682856.65296586568</v>
      </c>
    </row>
    <row r="2175" spans="38:39">
      <c r="AL2175" s="133">
        <v>2194</v>
      </c>
      <c r="AM2175" s="24">
        <v>682961.86623726285</v>
      </c>
    </row>
    <row r="2176" spans="38:39">
      <c r="AL2176" s="133">
        <v>2195</v>
      </c>
      <c r="AM2176" s="24">
        <v>683067.04990117904</v>
      </c>
    </row>
    <row r="2177" spans="38:39">
      <c r="AL2177" s="133">
        <v>2196</v>
      </c>
      <c r="AM2177" s="24">
        <v>683172.20395449898</v>
      </c>
    </row>
    <row r="2178" spans="38:39">
      <c r="AL2178" s="133">
        <v>2197</v>
      </c>
      <c r="AM2178" s="24">
        <v>683277.3283941074</v>
      </c>
    </row>
    <row r="2179" spans="38:39">
      <c r="AL2179" s="133">
        <v>2198</v>
      </c>
      <c r="AM2179" s="24">
        <v>683382.42321688926</v>
      </c>
    </row>
    <row r="2180" spans="38:39">
      <c r="AL2180" s="133">
        <v>2199</v>
      </c>
      <c r="AM2180" s="24">
        <v>683487.48841972928</v>
      </c>
    </row>
    <row r="2181" spans="38:39">
      <c r="AL2181" s="133">
        <v>2200</v>
      </c>
      <c r="AM2181" s="24">
        <v>683592.5239995122</v>
      </c>
    </row>
    <row r="2182" spans="38:39">
      <c r="AL2182" s="133">
        <v>2201</v>
      </c>
      <c r="AM2182" s="24">
        <v>683697.52995312272</v>
      </c>
    </row>
    <row r="2183" spans="38:39">
      <c r="AL2183" s="133">
        <v>2202</v>
      </c>
      <c r="AM2183" s="24">
        <v>683802.50627744582</v>
      </c>
    </row>
    <row r="2184" spans="38:39">
      <c r="AL2184" s="133">
        <v>2203</v>
      </c>
      <c r="AM2184" s="24">
        <v>683907.4529693661</v>
      </c>
    </row>
    <row r="2185" spans="38:39">
      <c r="AL2185" s="133">
        <v>2204</v>
      </c>
      <c r="AM2185" s="24">
        <v>684012.37002576841</v>
      </c>
    </row>
    <row r="2186" spans="38:39">
      <c r="AL2186" s="133">
        <v>2205</v>
      </c>
      <c r="AM2186" s="24">
        <v>684117.25744353747</v>
      </c>
    </row>
    <row r="2187" spans="38:39">
      <c r="AL2187" s="133">
        <v>2206</v>
      </c>
      <c r="AM2187" s="24">
        <v>684222.11521955824</v>
      </c>
    </row>
    <row r="2188" spans="38:39">
      <c r="AL2188" s="133">
        <v>2207</v>
      </c>
      <c r="AM2188" s="24">
        <v>684326.94334376394</v>
      </c>
    </row>
    <row r="2189" spans="38:39">
      <c r="AL2189" s="133">
        <v>2208</v>
      </c>
      <c r="AM2189" s="24">
        <v>684431.74182677572</v>
      </c>
    </row>
    <row r="2190" spans="38:39">
      <c r="AL2190" s="133">
        <v>2209</v>
      </c>
      <c r="AM2190" s="24">
        <v>684536.51065869431</v>
      </c>
    </row>
    <row r="2191" spans="38:39">
      <c r="AL2191" s="133">
        <v>2210</v>
      </c>
      <c r="AM2191" s="24">
        <v>684641.24983640446</v>
      </c>
    </row>
    <row r="2192" spans="38:39">
      <c r="AL2192" s="133">
        <v>2211</v>
      </c>
      <c r="AM2192" s="24">
        <v>684745.95935679087</v>
      </c>
    </row>
    <row r="2193" spans="38:39">
      <c r="AL2193" s="133">
        <v>2212</v>
      </c>
      <c r="AM2193" s="24">
        <v>684850.63921673852</v>
      </c>
    </row>
    <row r="2194" spans="38:39">
      <c r="AL2194" s="133">
        <v>2213</v>
      </c>
      <c r="AM2194" s="24">
        <v>684955.28941313201</v>
      </c>
    </row>
    <row r="2195" spans="38:39">
      <c r="AL2195" s="133">
        <v>2214</v>
      </c>
      <c r="AM2195" s="24">
        <v>685059.90994285617</v>
      </c>
    </row>
    <row r="2196" spans="38:39">
      <c r="AL2196" s="133">
        <v>2215</v>
      </c>
      <c r="AM2196" s="24">
        <v>685164.50080279587</v>
      </c>
    </row>
    <row r="2197" spans="38:39">
      <c r="AL2197" s="133">
        <v>2216</v>
      </c>
      <c r="AM2197" s="24">
        <v>685269.0619898357</v>
      </c>
    </row>
    <row r="2198" spans="38:39">
      <c r="AL2198" s="133">
        <v>2217</v>
      </c>
      <c r="AM2198" s="24">
        <v>685373.59350086062</v>
      </c>
    </row>
    <row r="2199" spans="38:39">
      <c r="AL2199" s="133">
        <v>2218</v>
      </c>
      <c r="AM2199" s="24">
        <v>685478.09533275524</v>
      </c>
    </row>
    <row r="2200" spans="38:39">
      <c r="AL2200" s="133">
        <v>2219</v>
      </c>
      <c r="AM2200" s="24">
        <v>685582.56747351354</v>
      </c>
    </row>
    <row r="2201" spans="38:39">
      <c r="AL2201" s="133">
        <v>2220</v>
      </c>
      <c r="AM2201" s="24">
        <v>685687.00993764622</v>
      </c>
    </row>
    <row r="2202" spans="38:39">
      <c r="AL2202" s="133">
        <v>2221</v>
      </c>
      <c r="AM2202" s="24">
        <v>685791.42271330382</v>
      </c>
    </row>
    <row r="2203" spans="38:39">
      <c r="AL2203" s="133">
        <v>2222</v>
      </c>
      <c r="AM2203" s="24">
        <v>685895.8057973712</v>
      </c>
    </row>
    <row r="2204" spans="38:39">
      <c r="AL2204" s="133">
        <v>2223</v>
      </c>
      <c r="AM2204" s="24">
        <v>686000.15918673307</v>
      </c>
    </row>
    <row r="2205" spans="38:39">
      <c r="AL2205" s="133">
        <v>2224</v>
      </c>
      <c r="AM2205" s="24">
        <v>686104.4828782744</v>
      </c>
    </row>
    <row r="2206" spans="38:39">
      <c r="AL2206" s="133">
        <v>2225</v>
      </c>
      <c r="AM2206" s="24">
        <v>686208.7768688798</v>
      </c>
    </row>
    <row r="2207" spans="38:39">
      <c r="AL2207" s="133">
        <v>2226</v>
      </c>
      <c r="AM2207" s="24">
        <v>686313.0411554341</v>
      </c>
    </row>
    <row r="2208" spans="38:39">
      <c r="AL2208" s="133">
        <v>2227</v>
      </c>
      <c r="AM2208" s="24">
        <v>686417.27573482203</v>
      </c>
    </row>
    <row r="2209" spans="38:39">
      <c r="AL2209" s="133">
        <v>2228</v>
      </c>
      <c r="AM2209" s="24">
        <v>686521.48060392844</v>
      </c>
    </row>
    <row r="2210" spans="38:39">
      <c r="AL2210" s="133">
        <v>2229</v>
      </c>
      <c r="AM2210" s="24">
        <v>686625.65575963818</v>
      </c>
    </row>
    <row r="2211" spans="38:39">
      <c r="AL2211" s="133">
        <v>2230</v>
      </c>
      <c r="AM2211" s="24">
        <v>686729.80119883583</v>
      </c>
    </row>
    <row r="2212" spans="38:39">
      <c r="AL2212" s="133">
        <v>2231</v>
      </c>
      <c r="AM2212" s="24">
        <v>686833.91691840626</v>
      </c>
    </row>
    <row r="2213" spans="38:39">
      <c r="AL2213" s="133">
        <v>2232</v>
      </c>
      <c r="AM2213" s="24">
        <v>686938.00290438253</v>
      </c>
    </row>
    <row r="2214" spans="38:39">
      <c r="AL2214" s="133">
        <v>2233</v>
      </c>
      <c r="AM2214" s="24">
        <v>687042.05917520809</v>
      </c>
    </row>
    <row r="2215" spans="38:39">
      <c r="AL2215" s="133">
        <v>2234</v>
      </c>
      <c r="AM2215" s="24">
        <v>687146.08571706165</v>
      </c>
    </row>
    <row r="2216" spans="38:39">
      <c r="AL2216" s="133">
        <v>2235</v>
      </c>
      <c r="AM2216" s="24">
        <v>687250.08252682805</v>
      </c>
    </row>
    <row r="2217" spans="38:39">
      <c r="AL2217" s="133">
        <v>2236</v>
      </c>
      <c r="AM2217" s="24">
        <v>687354.04960139201</v>
      </c>
    </row>
    <row r="2218" spans="38:39">
      <c r="AL2218" s="133">
        <v>2237</v>
      </c>
      <c r="AM2218" s="24">
        <v>687457.98693763826</v>
      </c>
    </row>
    <row r="2219" spans="38:39">
      <c r="AL2219" s="133">
        <v>2238</v>
      </c>
      <c r="AM2219" s="24">
        <v>687561.89453245164</v>
      </c>
    </row>
    <row r="2220" spans="38:39">
      <c r="AL2220" s="133">
        <v>2239</v>
      </c>
      <c r="AM2220" s="24">
        <v>687665.77238271688</v>
      </c>
    </row>
    <row r="2221" spans="38:39">
      <c r="AL2221" s="133">
        <v>2240</v>
      </c>
      <c r="AM2221" s="24">
        <v>687769.62048531871</v>
      </c>
    </row>
    <row r="2222" spans="38:39">
      <c r="AL2222" s="133">
        <v>2241</v>
      </c>
      <c r="AM2222" s="24">
        <v>687873.4388371422</v>
      </c>
    </row>
    <row r="2223" spans="38:39">
      <c r="AL2223" s="133">
        <v>2242</v>
      </c>
      <c r="AM2223" s="24">
        <v>687977.22743507172</v>
      </c>
    </row>
    <row r="2224" spans="38:39">
      <c r="AL2224" s="133">
        <v>2243</v>
      </c>
      <c r="AM2224" s="24">
        <v>688081.00190099236</v>
      </c>
    </row>
    <row r="2225" spans="38:39">
      <c r="AL2225" s="133">
        <v>2244</v>
      </c>
      <c r="AM2225" s="24">
        <v>688184.69971925661</v>
      </c>
    </row>
    <row r="2226" spans="38:39">
      <c r="AL2226" s="133">
        <v>2245</v>
      </c>
      <c r="AM2226" s="24">
        <v>688288.39903667918</v>
      </c>
    </row>
    <row r="2227" spans="38:39">
      <c r="AL2227" s="133">
        <v>2246</v>
      </c>
      <c r="AM2227" s="24">
        <v>688392.08421274798</v>
      </c>
    </row>
    <row r="2228" spans="38:39">
      <c r="AL2228" s="133">
        <v>2247</v>
      </c>
      <c r="AM2228" s="24">
        <v>688495.72399434773</v>
      </c>
    </row>
    <row r="2229" spans="38:39">
      <c r="AL2229" s="133">
        <v>2248</v>
      </c>
      <c r="AM2229" s="24">
        <v>688599.33400336327</v>
      </c>
    </row>
    <row r="2230" spans="38:39">
      <c r="AL2230" s="133">
        <v>2249</v>
      </c>
      <c r="AM2230" s="24">
        <v>688702.91423667932</v>
      </c>
    </row>
    <row r="2231" spans="38:39">
      <c r="AL2231" s="133">
        <v>2250</v>
      </c>
      <c r="AM2231" s="24">
        <v>688806.46469118074</v>
      </c>
    </row>
    <row r="2232" spans="38:39">
      <c r="AL2232" s="133">
        <v>2251</v>
      </c>
      <c r="AM2232" s="24">
        <v>688909.98536375223</v>
      </c>
    </row>
    <row r="2233" spans="38:39">
      <c r="AL2233" s="133">
        <v>2252</v>
      </c>
      <c r="AM2233" s="24">
        <v>689013.47625127865</v>
      </c>
    </row>
    <row r="2234" spans="38:39">
      <c r="AL2234" s="133">
        <v>2253</v>
      </c>
      <c r="AM2234" s="24">
        <v>689116.93735064473</v>
      </c>
    </row>
    <row r="2235" spans="38:39">
      <c r="AL2235" s="133">
        <v>2254</v>
      </c>
      <c r="AM2235" s="24">
        <v>689220.36865873518</v>
      </c>
    </row>
    <row r="2236" spans="38:39">
      <c r="AL2236" s="133">
        <v>2255</v>
      </c>
      <c r="AM2236" s="24">
        <v>689323.78579743498</v>
      </c>
    </row>
    <row r="2237" spans="38:39">
      <c r="AL2237" s="133">
        <v>2256</v>
      </c>
      <c r="AM2237" s="24">
        <v>689427.15751362871</v>
      </c>
    </row>
    <row r="2238" spans="38:39">
      <c r="AL2238" s="133">
        <v>2257</v>
      </c>
      <c r="AM2238" s="24">
        <v>689530.46816498914</v>
      </c>
    </row>
    <row r="2239" spans="38:39">
      <c r="AL2239" s="133">
        <v>2258</v>
      </c>
      <c r="AM2239" s="24">
        <v>689633.79590170213</v>
      </c>
    </row>
    <row r="2240" spans="38:39">
      <c r="AL2240" s="133">
        <v>2259</v>
      </c>
      <c r="AM2240" s="24">
        <v>689737.07820656418</v>
      </c>
    </row>
    <row r="2241" spans="38:39">
      <c r="AL2241" s="133">
        <v>2260</v>
      </c>
      <c r="AM2241" s="24">
        <v>689840.33070146036</v>
      </c>
    </row>
    <row r="2242" spans="38:39">
      <c r="AL2242" s="133">
        <v>2261</v>
      </c>
      <c r="AM2242" s="24">
        <v>689943.55338327517</v>
      </c>
    </row>
    <row r="2243" spans="38:39">
      <c r="AL2243" s="133">
        <v>2262</v>
      </c>
      <c r="AM2243" s="24">
        <v>690046.74624889356</v>
      </c>
    </row>
    <row r="2244" spans="38:39">
      <c r="AL2244" s="133">
        <v>2263</v>
      </c>
      <c r="AM2244" s="24">
        <v>690149.90929520037</v>
      </c>
    </row>
    <row r="2245" spans="38:39">
      <c r="AL2245" s="133">
        <v>2264</v>
      </c>
      <c r="AM2245" s="24">
        <v>690253.0425190801</v>
      </c>
    </row>
    <row r="2246" spans="38:39">
      <c r="AL2246" s="133">
        <v>2265</v>
      </c>
      <c r="AM2246" s="24">
        <v>690356.14591741783</v>
      </c>
    </row>
    <row r="2247" spans="38:39">
      <c r="AL2247" s="133">
        <v>2266</v>
      </c>
      <c r="AM2247" s="24">
        <v>690459.21948709828</v>
      </c>
    </row>
    <row r="2248" spans="38:39">
      <c r="AL2248" s="133">
        <v>2267</v>
      </c>
      <c r="AM2248" s="24">
        <v>690562.26322500606</v>
      </c>
    </row>
    <row r="2249" spans="38:39">
      <c r="AL2249" s="133">
        <v>2268</v>
      </c>
      <c r="AM2249" s="24">
        <v>690665.29275302612</v>
      </c>
    </row>
    <row r="2250" spans="38:39">
      <c r="AL2250" s="133">
        <v>2269</v>
      </c>
      <c r="AM2250" s="24">
        <v>690768.24555241014</v>
      </c>
    </row>
    <row r="2251" spans="38:39">
      <c r="AL2251" s="133">
        <v>2270</v>
      </c>
      <c r="AM2251" s="24">
        <v>690871.19977619615</v>
      </c>
    </row>
    <row r="2252" spans="38:39">
      <c r="AL2252" s="133">
        <v>2271</v>
      </c>
      <c r="AM2252" s="24">
        <v>690974.13978074957</v>
      </c>
    </row>
    <row r="2253" spans="38:39">
      <c r="AL2253" s="133">
        <v>2272</v>
      </c>
      <c r="AM2253" s="24">
        <v>691077.03431295522</v>
      </c>
    </row>
    <row r="2254" spans="38:39">
      <c r="AL2254" s="133">
        <v>2273</v>
      </c>
      <c r="AM2254" s="24">
        <v>691179.89899469784</v>
      </c>
    </row>
    <row r="2255" spans="38:39">
      <c r="AL2255" s="133">
        <v>2274</v>
      </c>
      <c r="AM2255" s="24">
        <v>691282.73382286215</v>
      </c>
    </row>
    <row r="2256" spans="38:39">
      <c r="AL2256" s="133">
        <v>2275</v>
      </c>
      <c r="AM2256" s="24">
        <v>691385.53879433312</v>
      </c>
    </row>
    <row r="2257" spans="38:39">
      <c r="AL2257" s="133">
        <v>2276</v>
      </c>
      <c r="AM2257" s="24">
        <v>691488.31390599534</v>
      </c>
    </row>
    <row r="2258" spans="38:39">
      <c r="AL2258" s="133">
        <v>2277</v>
      </c>
      <c r="AM2258" s="24">
        <v>691591.05915473367</v>
      </c>
    </row>
    <row r="2259" spans="38:39">
      <c r="AL2259" s="133">
        <v>2278</v>
      </c>
      <c r="AM2259" s="24">
        <v>691693.77453743294</v>
      </c>
    </row>
    <row r="2260" spans="38:39">
      <c r="AL2260" s="133">
        <v>2279</v>
      </c>
      <c r="AM2260" s="24">
        <v>691796.46005097777</v>
      </c>
    </row>
    <row r="2261" spans="38:39">
      <c r="AL2261" s="133">
        <v>2280</v>
      </c>
      <c r="AM2261" s="24">
        <v>691899.13131725311</v>
      </c>
    </row>
    <row r="2262" spans="38:39">
      <c r="AL2262" s="133">
        <v>2281</v>
      </c>
      <c r="AM2262" s="24">
        <v>692001.75708314357</v>
      </c>
    </row>
    <row r="2263" spans="38:39">
      <c r="AL2263" s="133">
        <v>2282</v>
      </c>
      <c r="AM2263" s="24">
        <v>692104.32170350209</v>
      </c>
    </row>
    <row r="2264" spans="38:39">
      <c r="AL2264" s="133">
        <v>2283</v>
      </c>
      <c r="AM2264" s="24">
        <v>692206.90333417582</v>
      </c>
    </row>
    <row r="2265" spans="38:39">
      <c r="AL2265" s="133">
        <v>2284</v>
      </c>
      <c r="AM2265" s="24">
        <v>692309.43945512001</v>
      </c>
    </row>
    <row r="2266" spans="38:39">
      <c r="AL2266" s="133">
        <v>2285</v>
      </c>
      <c r="AM2266" s="24">
        <v>692411.94568821928</v>
      </c>
    </row>
    <row r="2267" spans="38:39">
      <c r="AL2267" s="133">
        <v>2286</v>
      </c>
      <c r="AM2267" s="24">
        <v>692514.42203035858</v>
      </c>
    </row>
    <row r="2268" spans="38:39">
      <c r="AL2268" s="133">
        <v>2287</v>
      </c>
      <c r="AM2268" s="24">
        <v>692616.86847842264</v>
      </c>
    </row>
    <row r="2269" spans="38:39">
      <c r="AL2269" s="133">
        <v>2288</v>
      </c>
      <c r="AM2269" s="24">
        <v>692719.2850292963</v>
      </c>
    </row>
    <row r="2270" spans="38:39">
      <c r="AL2270" s="133">
        <v>2289</v>
      </c>
      <c r="AM2270" s="24">
        <v>692821.67167986417</v>
      </c>
    </row>
    <row r="2271" spans="38:39">
      <c r="AL2271" s="133">
        <v>2290</v>
      </c>
      <c r="AM2271" s="24">
        <v>692924.02842701122</v>
      </c>
    </row>
    <row r="2272" spans="38:39">
      <c r="AL2272" s="133">
        <v>2291</v>
      </c>
      <c r="AM2272" s="24">
        <v>693026.35526762204</v>
      </c>
    </row>
    <row r="2273" spans="38:39">
      <c r="AL2273" s="133">
        <v>2292</v>
      </c>
      <c r="AM2273" s="24">
        <v>693128.65219858161</v>
      </c>
    </row>
    <row r="2274" spans="38:39">
      <c r="AL2274" s="133">
        <v>2293</v>
      </c>
      <c r="AM2274" s="24">
        <v>693230.93484177464</v>
      </c>
    </row>
    <row r="2275" spans="38:39">
      <c r="AL2275" s="133">
        <v>2294</v>
      </c>
      <c r="AM2275" s="24">
        <v>693333.14067589212</v>
      </c>
    </row>
    <row r="2276" spans="38:39">
      <c r="AL2276" s="133">
        <v>2295</v>
      </c>
      <c r="AM2276" s="24">
        <v>693435.34785911511</v>
      </c>
    </row>
    <row r="2277" spans="38:39">
      <c r="AL2277" s="133">
        <v>2296</v>
      </c>
      <c r="AM2277" s="24">
        <v>693537.54074522667</v>
      </c>
    </row>
    <row r="2278" spans="38:39">
      <c r="AL2278" s="133">
        <v>2297</v>
      </c>
      <c r="AM2278" s="24">
        <v>693639.68808111164</v>
      </c>
    </row>
    <row r="2279" spans="38:39">
      <c r="AL2279" s="133">
        <v>2298</v>
      </c>
      <c r="AM2279" s="24">
        <v>693741.80548865488</v>
      </c>
    </row>
    <row r="2280" spans="38:39">
      <c r="AL2280" s="133">
        <v>2299</v>
      </c>
      <c r="AM2280" s="24">
        <v>693843.8929647411</v>
      </c>
    </row>
    <row r="2281" spans="38:39">
      <c r="AL2281" s="133">
        <v>2300</v>
      </c>
      <c r="AM2281" s="24">
        <v>693945.95050625503</v>
      </c>
    </row>
    <row r="2282" spans="38:39">
      <c r="AL2282" s="133">
        <v>2301</v>
      </c>
      <c r="AM2282" s="24">
        <v>694047.97811008152</v>
      </c>
    </row>
    <row r="2283" spans="38:39">
      <c r="AL2283" s="133">
        <v>2302</v>
      </c>
      <c r="AM2283" s="24">
        <v>694149.97577310528</v>
      </c>
    </row>
    <row r="2284" spans="38:39">
      <c r="AL2284" s="133">
        <v>2303</v>
      </c>
      <c r="AM2284" s="24">
        <v>694251.94349221117</v>
      </c>
    </row>
    <row r="2285" spans="38:39">
      <c r="AL2285" s="133">
        <v>2304</v>
      </c>
      <c r="AM2285" s="24">
        <v>694353.88125475054</v>
      </c>
    </row>
    <row r="2286" spans="38:39">
      <c r="AL2286" s="133">
        <v>2305</v>
      </c>
      <c r="AM2286" s="24">
        <v>694455.78907663363</v>
      </c>
    </row>
    <row r="2287" spans="38:39">
      <c r="AL2287" s="133">
        <v>2306</v>
      </c>
      <c r="AM2287" s="24">
        <v>694557.66694525362</v>
      </c>
    </row>
    <row r="2288" spans="38:39">
      <c r="AL2288" s="133">
        <v>2307</v>
      </c>
      <c r="AM2288" s="24">
        <v>694659.5148574952</v>
      </c>
    </row>
    <row r="2289" spans="38:39">
      <c r="AL2289" s="133">
        <v>2308</v>
      </c>
      <c r="AM2289" s="24">
        <v>694761.33281024324</v>
      </c>
    </row>
    <row r="2290" spans="38:39">
      <c r="AL2290" s="133">
        <v>2309</v>
      </c>
      <c r="AM2290" s="24">
        <v>694863.12080038246</v>
      </c>
    </row>
    <row r="2291" spans="38:39">
      <c r="AL2291" s="133">
        <v>2310</v>
      </c>
      <c r="AM2291" s="24">
        <v>694964.87881502311</v>
      </c>
    </row>
    <row r="2292" spans="38:39">
      <c r="AL2292" s="133">
        <v>2311</v>
      </c>
      <c r="AM2292" s="24">
        <v>695066.60687056044</v>
      </c>
    </row>
    <row r="2293" spans="38:39">
      <c r="AL2293" s="133">
        <v>2312</v>
      </c>
      <c r="AM2293" s="24">
        <v>695168.30495414359</v>
      </c>
    </row>
    <row r="2294" spans="38:39">
      <c r="AL2294" s="133">
        <v>2313</v>
      </c>
      <c r="AM2294" s="24">
        <v>695269.97306265763</v>
      </c>
    </row>
    <row r="2295" spans="38:39">
      <c r="AL2295" s="133">
        <v>2314</v>
      </c>
      <c r="AM2295" s="24">
        <v>695371.61119298707</v>
      </c>
    </row>
    <row r="2296" spans="38:39">
      <c r="AL2296" s="133">
        <v>2315</v>
      </c>
      <c r="AM2296" s="24">
        <v>695473.21934201696</v>
      </c>
    </row>
    <row r="2297" spans="38:39">
      <c r="AL2297" s="133">
        <v>2316</v>
      </c>
      <c r="AM2297" s="24">
        <v>695574.79749663174</v>
      </c>
    </row>
    <row r="2298" spans="38:39">
      <c r="AL2298" s="133">
        <v>2317</v>
      </c>
      <c r="AM2298" s="24">
        <v>695676.34567368042</v>
      </c>
    </row>
    <row r="2299" spans="38:39">
      <c r="AL2299" s="133">
        <v>2318</v>
      </c>
      <c r="AM2299" s="24">
        <v>695777.86386008409</v>
      </c>
    </row>
    <row r="2300" spans="38:39">
      <c r="AL2300" s="133">
        <v>2319</v>
      </c>
      <c r="AM2300" s="24">
        <v>695879.35205272771</v>
      </c>
    </row>
    <row r="2301" spans="38:39">
      <c r="AL2301" s="133">
        <v>2320</v>
      </c>
      <c r="AM2301" s="24">
        <v>695980.81024849601</v>
      </c>
    </row>
    <row r="2302" spans="38:39">
      <c r="AL2302" s="133">
        <v>2321</v>
      </c>
      <c r="AM2302" s="24">
        <v>696082.23844427359</v>
      </c>
    </row>
    <row r="2303" spans="38:39">
      <c r="AL2303" s="133">
        <v>2322</v>
      </c>
      <c r="AM2303" s="24">
        <v>696183.62881423533</v>
      </c>
    </row>
    <row r="2304" spans="38:39">
      <c r="AL2304" s="133">
        <v>2323</v>
      </c>
      <c r="AM2304" s="24">
        <v>696285.0048131526</v>
      </c>
    </row>
    <row r="2305" spans="38:39">
      <c r="AL2305" s="133">
        <v>2324</v>
      </c>
      <c r="AM2305" s="24">
        <v>696386.34299023414</v>
      </c>
    </row>
    <row r="2306" spans="38:39">
      <c r="AL2306" s="133">
        <v>2325</v>
      </c>
      <c r="AM2306" s="24">
        <v>696487.65115486458</v>
      </c>
    </row>
    <row r="2307" spans="38:39">
      <c r="AL2307" s="133">
        <v>2326</v>
      </c>
      <c r="AM2307" s="24">
        <v>696588.92930392874</v>
      </c>
    </row>
    <row r="2308" spans="38:39">
      <c r="AL2308" s="133">
        <v>2327</v>
      </c>
      <c r="AM2308" s="24">
        <v>696690.17743431148</v>
      </c>
    </row>
    <row r="2309" spans="38:39">
      <c r="AL2309" s="133">
        <v>2328</v>
      </c>
      <c r="AM2309" s="24">
        <v>696791.40335539752</v>
      </c>
    </row>
    <row r="2310" spans="38:39">
      <c r="AL2310" s="133">
        <v>2329</v>
      </c>
      <c r="AM2310" s="24">
        <v>696892.58361613611</v>
      </c>
    </row>
    <row r="2311" spans="38:39">
      <c r="AL2311" s="133">
        <v>2330</v>
      </c>
      <c r="AM2311" s="24">
        <v>696993.74167175265</v>
      </c>
    </row>
    <row r="2312" spans="38:39">
      <c r="AL2312" s="133">
        <v>2331</v>
      </c>
      <c r="AM2312" s="24">
        <v>697094.86969622714</v>
      </c>
    </row>
    <row r="2313" spans="38:39">
      <c r="AL2313" s="133">
        <v>2332</v>
      </c>
      <c r="AM2313" s="24">
        <v>697195.96768644452</v>
      </c>
    </row>
    <row r="2314" spans="38:39">
      <c r="AL2314" s="133">
        <v>2333</v>
      </c>
      <c r="AM2314" s="24">
        <v>697297.03563928965</v>
      </c>
    </row>
    <row r="2315" spans="38:39">
      <c r="AL2315" s="133">
        <v>2334</v>
      </c>
      <c r="AM2315" s="24">
        <v>697398.08136414702</v>
      </c>
    </row>
    <row r="2316" spans="38:39">
      <c r="AL2316" s="133">
        <v>2335</v>
      </c>
      <c r="AM2316" s="24">
        <v>697499.07359728985</v>
      </c>
    </row>
    <row r="2317" spans="38:39">
      <c r="AL2317" s="133">
        <v>2336</v>
      </c>
      <c r="AM2317" s="24">
        <v>697600.05923179863</v>
      </c>
    </row>
    <row r="2318" spans="38:39">
      <c r="AL2318" s="133">
        <v>2337</v>
      </c>
      <c r="AM2318" s="24">
        <v>697701.00700397452</v>
      </c>
    </row>
    <row r="2319" spans="38:39">
      <c r="AL2319" s="133">
        <v>2338</v>
      </c>
      <c r="AM2319" s="24">
        <v>697801.92472320236</v>
      </c>
    </row>
    <row r="2320" spans="38:39">
      <c r="AL2320" s="133">
        <v>2339</v>
      </c>
      <c r="AM2320" s="24">
        <v>697902.812386367</v>
      </c>
    </row>
    <row r="2321" spans="38:39">
      <c r="AL2321" s="133">
        <v>2340</v>
      </c>
      <c r="AM2321" s="24">
        <v>698003.67780285305</v>
      </c>
    </row>
    <row r="2322" spans="38:39">
      <c r="AL2322" s="133">
        <v>2341</v>
      </c>
      <c r="AM2322" s="24">
        <v>698104.48970877286</v>
      </c>
    </row>
    <row r="2323" spans="38:39">
      <c r="AL2323" s="133">
        <v>2342</v>
      </c>
      <c r="AM2323" s="24">
        <v>698205.29499753111</v>
      </c>
    </row>
    <row r="2324" spans="38:39">
      <c r="AL2324" s="133">
        <v>2343</v>
      </c>
      <c r="AM2324" s="24">
        <v>698306.06240526552</v>
      </c>
    </row>
    <row r="2325" spans="38:39">
      <c r="AL2325" s="133">
        <v>2344</v>
      </c>
      <c r="AM2325" s="24">
        <v>698406.79974136106</v>
      </c>
    </row>
    <row r="2326" spans="38:39">
      <c r="AL2326" s="133">
        <v>2345</v>
      </c>
      <c r="AM2326" s="24">
        <v>698507.50700270256</v>
      </c>
    </row>
    <row r="2327" spans="38:39">
      <c r="AL2327" s="133">
        <v>2346</v>
      </c>
      <c r="AM2327" s="24">
        <v>698608.18418617453</v>
      </c>
    </row>
    <row r="2328" spans="38:39">
      <c r="AL2328" s="133">
        <v>2347</v>
      </c>
      <c r="AM2328" s="24">
        <v>698708.82346524415</v>
      </c>
    </row>
    <row r="2329" spans="38:39">
      <c r="AL2329" s="133">
        <v>2348</v>
      </c>
      <c r="AM2329" s="24">
        <v>698809.4482961091</v>
      </c>
    </row>
    <row r="2330" spans="38:39">
      <c r="AL2330" s="133">
        <v>2349</v>
      </c>
      <c r="AM2330" s="24">
        <v>698910.03522725939</v>
      </c>
    </row>
    <row r="2331" spans="38:39">
      <c r="AL2331" s="133">
        <v>2350</v>
      </c>
      <c r="AM2331" s="24">
        <v>699010.59206807986</v>
      </c>
    </row>
    <row r="2332" spans="38:39">
      <c r="AL2332" s="133">
        <v>2351</v>
      </c>
      <c r="AM2332" s="24">
        <v>699111.11881545535</v>
      </c>
    </row>
    <row r="2333" spans="38:39">
      <c r="AL2333" s="133">
        <v>2352</v>
      </c>
      <c r="AM2333" s="24">
        <v>699211.61546075705</v>
      </c>
    </row>
    <row r="2334" spans="38:39">
      <c r="AL2334" s="133">
        <v>2353</v>
      </c>
      <c r="AM2334" s="24">
        <v>699312.08201188641</v>
      </c>
    </row>
    <row r="2335" spans="38:39">
      <c r="AL2335" s="133">
        <v>2354</v>
      </c>
      <c r="AM2335" s="24">
        <v>699412.51846022531</v>
      </c>
    </row>
    <row r="2336" spans="38:39">
      <c r="AL2336" s="133">
        <v>2355</v>
      </c>
      <c r="AM2336" s="24">
        <v>699512.92479711492</v>
      </c>
    </row>
    <row r="2337" spans="38:39">
      <c r="AL2337" s="133">
        <v>2356</v>
      </c>
      <c r="AM2337" s="24">
        <v>699613.30103051756</v>
      </c>
    </row>
    <row r="2338" spans="38:39">
      <c r="AL2338" s="133">
        <v>2357</v>
      </c>
      <c r="AM2338" s="24">
        <v>699713.64715178439</v>
      </c>
    </row>
    <row r="2339" spans="38:39">
      <c r="AL2339" s="133">
        <v>2358</v>
      </c>
      <c r="AM2339" s="24">
        <v>699813.96315222804</v>
      </c>
    </row>
    <row r="2340" spans="38:39">
      <c r="AL2340" s="133">
        <v>2359</v>
      </c>
      <c r="AM2340" s="24">
        <v>699914.24903986836</v>
      </c>
    </row>
    <row r="2341" spans="38:39">
      <c r="AL2341" s="133">
        <v>2360</v>
      </c>
      <c r="AM2341" s="24">
        <v>700014.50480602717</v>
      </c>
    </row>
    <row r="2342" spans="38:39">
      <c r="AL2342" s="133">
        <v>2361</v>
      </c>
      <c r="AM2342" s="24">
        <v>700114.72653574124</v>
      </c>
    </row>
    <row r="2343" spans="38:39">
      <c r="AL2343" s="133">
        <v>2362</v>
      </c>
      <c r="AM2343" s="24">
        <v>700214.9259558334</v>
      </c>
    </row>
    <row r="2344" spans="38:39">
      <c r="AL2344" s="133">
        <v>2363</v>
      </c>
      <c r="AM2344" s="24">
        <v>700315.09133884858</v>
      </c>
    </row>
    <row r="2345" spans="38:39">
      <c r="AL2345" s="133">
        <v>2364</v>
      </c>
      <c r="AM2345" s="24">
        <v>700415.23049417185</v>
      </c>
    </row>
    <row r="2346" spans="38:39">
      <c r="AL2346" s="133">
        <v>2365</v>
      </c>
      <c r="AM2346" s="24">
        <v>700515.33169430774</v>
      </c>
    </row>
    <row r="2347" spans="38:39">
      <c r="AL2347" s="133">
        <v>2366</v>
      </c>
      <c r="AM2347" s="24">
        <v>700615.40666614368</v>
      </c>
    </row>
    <row r="2348" spans="38:39">
      <c r="AL2348" s="133">
        <v>2367</v>
      </c>
      <c r="AM2348" s="24">
        <v>700715.45540094213</v>
      </c>
    </row>
    <row r="2349" spans="38:39">
      <c r="AL2349" s="133">
        <v>2368</v>
      </c>
      <c r="AM2349" s="24">
        <v>700815.46617118618</v>
      </c>
    </row>
    <row r="2350" spans="38:39">
      <c r="AL2350" s="133">
        <v>2369</v>
      </c>
      <c r="AM2350" s="24">
        <v>700915.45070380718</v>
      </c>
    </row>
    <row r="2351" spans="38:39">
      <c r="AL2351" s="133">
        <v>2370</v>
      </c>
      <c r="AM2351" s="24">
        <v>701015.40899004519</v>
      </c>
    </row>
    <row r="2352" spans="38:39">
      <c r="AL2352" s="133">
        <v>2371</v>
      </c>
      <c r="AM2352" s="24">
        <v>701115.32930236356</v>
      </c>
    </row>
    <row r="2353" spans="38:39">
      <c r="AL2353" s="133">
        <v>2372</v>
      </c>
      <c r="AM2353" s="24">
        <v>701215.223367734</v>
      </c>
    </row>
    <row r="2354" spans="38:39">
      <c r="AL2354" s="133">
        <v>2373</v>
      </c>
      <c r="AM2354" s="24">
        <v>701315.08727112599</v>
      </c>
    </row>
    <row r="2355" spans="38:39">
      <c r="AL2355" s="133">
        <v>2374</v>
      </c>
      <c r="AM2355" s="24">
        <v>701414.92100373493</v>
      </c>
    </row>
    <row r="2356" spans="38:39">
      <c r="AL2356" s="133">
        <v>2375</v>
      </c>
      <c r="AM2356" s="24">
        <v>701514.72457381897</v>
      </c>
    </row>
    <row r="2357" spans="38:39">
      <c r="AL2357" s="133">
        <v>2376</v>
      </c>
      <c r="AM2357" s="24">
        <v>701614.49796972901</v>
      </c>
    </row>
    <row r="2358" spans="38:39">
      <c r="AL2358" s="133">
        <v>2377</v>
      </c>
      <c r="AM2358" s="24">
        <v>701714.24119404762</v>
      </c>
    </row>
    <row r="2359" spans="38:39">
      <c r="AL2359" s="133">
        <v>2378</v>
      </c>
      <c r="AM2359" s="24">
        <v>701813.95423795702</v>
      </c>
    </row>
    <row r="2360" spans="38:39">
      <c r="AL2360" s="133">
        <v>2379</v>
      </c>
      <c r="AM2360" s="24">
        <v>701913.63710119238</v>
      </c>
    </row>
    <row r="2361" spans="38:39">
      <c r="AL2361" s="133">
        <v>2380</v>
      </c>
      <c r="AM2361" s="24">
        <v>702013.28978349839</v>
      </c>
    </row>
    <row r="2362" spans="38:39">
      <c r="AL2362" s="133">
        <v>2381</v>
      </c>
      <c r="AM2362" s="24">
        <v>702112.91227604309</v>
      </c>
    </row>
    <row r="2363" spans="38:39">
      <c r="AL2363" s="133">
        <v>2382</v>
      </c>
      <c r="AM2363" s="24">
        <v>702212.50653455756</v>
      </c>
    </row>
    <row r="2364" spans="38:39">
      <c r="AL2364" s="133">
        <v>2383</v>
      </c>
      <c r="AM2364" s="24">
        <v>702312.06669082656</v>
      </c>
    </row>
    <row r="2365" spans="38:39">
      <c r="AL2365" s="133">
        <v>2384</v>
      </c>
      <c r="AM2365" s="24">
        <v>702411.59860397188</v>
      </c>
    </row>
    <row r="2366" spans="38:39">
      <c r="AL2366" s="133">
        <v>2385</v>
      </c>
      <c r="AM2366" s="24">
        <v>702511.10227374756</v>
      </c>
    </row>
    <row r="2367" spans="38:39">
      <c r="AL2367" s="133">
        <v>2386</v>
      </c>
      <c r="AM2367" s="24">
        <v>702610.57183192729</v>
      </c>
    </row>
    <row r="2368" spans="38:39">
      <c r="AL2368" s="133">
        <v>2387</v>
      </c>
      <c r="AM2368" s="24">
        <v>702710.01313763834</v>
      </c>
    </row>
    <row r="2369" spans="38:39">
      <c r="AL2369" s="133">
        <v>2388</v>
      </c>
      <c r="AM2369" s="24">
        <v>702809.42423607782</v>
      </c>
    </row>
    <row r="2370" spans="38:39">
      <c r="AL2370" s="133">
        <v>2389</v>
      </c>
      <c r="AM2370" s="24">
        <v>702908.80512269516</v>
      </c>
    </row>
    <row r="2371" spans="38:39">
      <c r="AL2371" s="133">
        <v>2390</v>
      </c>
      <c r="AM2371" s="24">
        <v>703008.15579437534</v>
      </c>
    </row>
    <row r="2372" spans="38:39">
      <c r="AL2372" s="133">
        <v>2391</v>
      </c>
      <c r="AM2372" s="24">
        <v>703107.47722456593</v>
      </c>
    </row>
    <row r="2373" spans="38:39">
      <c r="AL2373" s="133">
        <v>2392</v>
      </c>
      <c r="AM2373" s="24">
        <v>703206.76647902525</v>
      </c>
    </row>
    <row r="2374" spans="38:39">
      <c r="AL2374" s="133">
        <v>2393</v>
      </c>
      <c r="AM2374" s="24">
        <v>703306.02648720331</v>
      </c>
    </row>
    <row r="2375" spans="38:39">
      <c r="AL2375" s="133">
        <v>2394</v>
      </c>
      <c r="AM2375" s="24">
        <v>703405.25626726414</v>
      </c>
    </row>
    <row r="2376" spans="38:39">
      <c r="AL2376" s="133">
        <v>2395</v>
      </c>
      <c r="AM2376" s="24">
        <v>703504.45581753238</v>
      </c>
    </row>
    <row r="2377" spans="38:39">
      <c r="AL2377" s="133">
        <v>2396</v>
      </c>
      <c r="AM2377" s="24">
        <v>703603.62513345305</v>
      </c>
    </row>
    <row r="2378" spans="38:39">
      <c r="AL2378" s="133">
        <v>2397</v>
      </c>
      <c r="AM2378" s="24">
        <v>703702.76421299111</v>
      </c>
    </row>
    <row r="2379" spans="38:39">
      <c r="AL2379" s="133">
        <v>2398</v>
      </c>
      <c r="AM2379" s="24">
        <v>703801.87305267167</v>
      </c>
    </row>
    <row r="2380" spans="38:39">
      <c r="AL2380" s="133">
        <v>2399</v>
      </c>
      <c r="AM2380" s="24">
        <v>703900.95164937968</v>
      </c>
    </row>
    <row r="2381" spans="38:39">
      <c r="AL2381" s="133">
        <v>2400</v>
      </c>
      <c r="AM2381" s="24">
        <v>704000</v>
      </c>
    </row>
    <row r="2382" spans="38:39">
      <c r="AL2382" s="133">
        <v>2401</v>
      </c>
      <c r="AM2382" s="24">
        <v>704099.01811120147</v>
      </c>
    </row>
    <row r="2383" spans="38:39">
      <c r="AL2383" s="133">
        <v>2402</v>
      </c>
      <c r="AM2383" s="24">
        <v>704198.00604888087</v>
      </c>
    </row>
    <row r="2384" spans="38:39">
      <c r="AL2384" s="133">
        <v>2403</v>
      </c>
      <c r="AM2384" s="24">
        <v>704296.96388866077</v>
      </c>
    </row>
    <row r="2385" spans="38:39">
      <c r="AL2385" s="133">
        <v>2404</v>
      </c>
      <c r="AM2385" s="24">
        <v>704395.89170616423</v>
      </c>
    </row>
    <row r="2386" spans="38:39">
      <c r="AL2386" s="133">
        <v>2405</v>
      </c>
      <c r="AM2386" s="24">
        <v>704494.78957701393</v>
      </c>
    </row>
    <row r="2387" spans="38:39">
      <c r="AL2387" s="133">
        <v>2406</v>
      </c>
      <c r="AM2387" s="24">
        <v>704593.65757683257</v>
      </c>
    </row>
    <row r="2388" spans="38:39">
      <c r="AL2388" s="133">
        <v>2407</v>
      </c>
      <c r="AM2388" s="24">
        <v>704692.49578124308</v>
      </c>
    </row>
    <row r="2389" spans="38:39">
      <c r="AL2389" s="133">
        <v>2408</v>
      </c>
      <c r="AM2389" s="24">
        <v>704791.30426586815</v>
      </c>
    </row>
    <row r="2390" spans="38:39">
      <c r="AL2390" s="133">
        <v>2409</v>
      </c>
      <c r="AM2390" s="24">
        <v>704890.08310633071</v>
      </c>
    </row>
    <row r="2391" spans="38:39">
      <c r="AL2391" s="133">
        <v>2410</v>
      </c>
      <c r="AM2391" s="24">
        <v>704988.83237825334</v>
      </c>
    </row>
    <row r="2392" spans="38:39">
      <c r="AL2392" s="133">
        <v>2411</v>
      </c>
      <c r="AM2392" s="24">
        <v>705087.55215725908</v>
      </c>
    </row>
    <row r="2393" spans="38:39">
      <c r="AL2393" s="133">
        <v>2412</v>
      </c>
      <c r="AM2393" s="24">
        <v>705186.24251897051</v>
      </c>
    </row>
    <row r="2394" spans="38:39">
      <c r="AL2394" s="133">
        <v>2413</v>
      </c>
      <c r="AM2394" s="24">
        <v>705284.90362594684</v>
      </c>
    </row>
    <row r="2395" spans="38:39">
      <c r="AL2395" s="133">
        <v>2414</v>
      </c>
      <c r="AM2395" s="24">
        <v>705383.53537924134</v>
      </c>
    </row>
    <row r="2396" spans="38:39">
      <c r="AL2396" s="133">
        <v>2415</v>
      </c>
      <c r="AM2396" s="24">
        <v>705482.1379421117</v>
      </c>
    </row>
    <row r="2397" spans="38:39">
      <c r="AL2397" s="133">
        <v>2416</v>
      </c>
      <c r="AM2397" s="24">
        <v>705580.71139018086</v>
      </c>
    </row>
    <row r="2398" spans="38:39">
      <c r="AL2398" s="133">
        <v>2417</v>
      </c>
      <c r="AM2398" s="24">
        <v>705679.25579907151</v>
      </c>
    </row>
    <row r="2399" spans="38:39">
      <c r="AL2399" s="133">
        <v>2418</v>
      </c>
      <c r="AM2399" s="24">
        <v>705777.77124440647</v>
      </c>
    </row>
    <row r="2400" spans="38:39">
      <c r="AL2400" s="133">
        <v>2419</v>
      </c>
      <c r="AM2400" s="24">
        <v>705876.25780180853</v>
      </c>
    </row>
    <row r="2401" spans="38:39">
      <c r="AL2401" s="133">
        <v>2420</v>
      </c>
      <c r="AM2401" s="24">
        <v>705974.71554690041</v>
      </c>
    </row>
    <row r="2402" spans="38:39">
      <c r="AL2402" s="133">
        <v>2421</v>
      </c>
      <c r="AM2402" s="24">
        <v>706073.14455530501</v>
      </c>
    </row>
    <row r="2403" spans="38:39">
      <c r="AL2403" s="133">
        <v>2422</v>
      </c>
      <c r="AM2403" s="24">
        <v>706171.54490264517</v>
      </c>
    </row>
    <row r="2404" spans="38:39">
      <c r="AL2404" s="133">
        <v>2423</v>
      </c>
      <c r="AM2404" s="24">
        <v>706269.91666454356</v>
      </c>
    </row>
    <row r="2405" spans="38:39">
      <c r="AL2405" s="133">
        <v>2424</v>
      </c>
      <c r="AM2405" s="24">
        <v>706368.25991662289</v>
      </c>
    </row>
    <row r="2406" spans="38:39">
      <c r="AL2406" s="133">
        <v>2425</v>
      </c>
      <c r="AM2406" s="24">
        <v>706466.5747345062</v>
      </c>
    </row>
    <row r="2407" spans="38:39">
      <c r="AL2407" s="133">
        <v>2426</v>
      </c>
      <c r="AM2407" s="24">
        <v>706564.86119381606</v>
      </c>
    </row>
    <row r="2408" spans="38:39">
      <c r="AL2408" s="133">
        <v>2427</v>
      </c>
      <c r="AM2408" s="24">
        <v>706663.11937017529</v>
      </c>
    </row>
    <row r="2409" spans="38:39">
      <c r="AL2409" s="133">
        <v>2428</v>
      </c>
      <c r="AM2409" s="24">
        <v>706761.34933920682</v>
      </c>
    </row>
    <row r="2410" spans="38:39">
      <c r="AL2410" s="133">
        <v>2429</v>
      </c>
      <c r="AM2410" s="24">
        <v>706859.55117653334</v>
      </c>
    </row>
    <row r="2411" spans="38:39">
      <c r="AL2411" s="133">
        <v>2430</v>
      </c>
      <c r="AM2411" s="24">
        <v>706957.72495777754</v>
      </c>
    </row>
    <row r="2412" spans="38:39">
      <c r="AL2412" s="133">
        <v>2431</v>
      </c>
      <c r="AM2412" s="24">
        <v>707055.87075856247</v>
      </c>
    </row>
    <row r="2413" spans="38:39">
      <c r="AL2413" s="133">
        <v>2432</v>
      </c>
      <c r="AM2413" s="24">
        <v>707153.9886545107</v>
      </c>
    </row>
    <row r="2414" spans="38:39">
      <c r="AL2414" s="133">
        <v>2433</v>
      </c>
      <c r="AM2414" s="24">
        <v>707252.07872124505</v>
      </c>
    </row>
    <row r="2415" spans="38:39">
      <c r="AL2415" s="133">
        <v>2434</v>
      </c>
      <c r="AM2415" s="24">
        <v>707350.14103438845</v>
      </c>
    </row>
    <row r="2416" spans="38:39">
      <c r="AL2416" s="133">
        <v>2435</v>
      </c>
      <c r="AM2416" s="24">
        <v>707448.17566956358</v>
      </c>
    </row>
    <row r="2417" spans="38:39">
      <c r="AL2417" s="133">
        <v>2436</v>
      </c>
      <c r="AM2417" s="24">
        <v>707546.18270239315</v>
      </c>
    </row>
    <row r="2418" spans="38:39">
      <c r="AL2418" s="133">
        <v>2437</v>
      </c>
      <c r="AM2418" s="24">
        <v>707644.16220850009</v>
      </c>
    </row>
    <row r="2419" spans="38:39">
      <c r="AL2419" s="133">
        <v>2438</v>
      </c>
      <c r="AM2419" s="24">
        <v>707742.11433356302</v>
      </c>
    </row>
    <row r="2420" spans="38:39">
      <c r="AL2420" s="133">
        <v>2439</v>
      </c>
      <c r="AM2420" s="24">
        <v>707840.0390124413</v>
      </c>
    </row>
    <row r="2421" spans="38:39">
      <c r="AL2421" s="133">
        <v>2440</v>
      </c>
      <c r="AM2421" s="24">
        <v>707937.93639146688</v>
      </c>
    </row>
    <row r="2422" spans="38:39">
      <c r="AL2422" s="133">
        <v>2441</v>
      </c>
      <c r="AM2422" s="24">
        <v>708035.80654626293</v>
      </c>
    </row>
    <row r="2423" spans="38:39">
      <c r="AL2423" s="133">
        <v>2442</v>
      </c>
      <c r="AM2423" s="24">
        <v>708133.64955245191</v>
      </c>
    </row>
    <row r="2424" spans="38:39">
      <c r="AL2424" s="133">
        <v>2443</v>
      </c>
      <c r="AM2424" s="24">
        <v>708231.46548565687</v>
      </c>
    </row>
    <row r="2425" spans="38:39">
      <c r="AL2425" s="133">
        <v>2444</v>
      </c>
      <c r="AM2425" s="24">
        <v>708329.25442150037</v>
      </c>
    </row>
    <row r="2426" spans="38:39">
      <c r="AL2426" s="133">
        <v>2445</v>
      </c>
      <c r="AM2426" s="24">
        <v>708427.01643560536</v>
      </c>
    </row>
    <row r="2427" spans="38:39">
      <c r="AL2427" s="133">
        <v>2446</v>
      </c>
      <c r="AM2427" s="24">
        <v>708524.75160359463</v>
      </c>
    </row>
    <row r="2428" spans="38:39">
      <c r="AL2428" s="133">
        <v>2447</v>
      </c>
      <c r="AM2428" s="24">
        <v>708622.46000109089</v>
      </c>
    </row>
    <row r="2429" spans="38:39">
      <c r="AL2429" s="133">
        <v>2448</v>
      </c>
      <c r="AM2429" s="24">
        <v>708720.14170371706</v>
      </c>
    </row>
    <row r="2430" spans="38:39">
      <c r="AL2430" s="133">
        <v>2449</v>
      </c>
      <c r="AM2430" s="24">
        <v>708817.79678709572</v>
      </c>
    </row>
    <row r="2431" spans="38:39">
      <c r="AL2431" s="133">
        <v>2450</v>
      </c>
      <c r="AM2431" s="24">
        <v>708915.4253268498</v>
      </c>
    </row>
    <row r="2432" spans="38:39">
      <c r="AL2432" s="133">
        <v>2451</v>
      </c>
      <c r="AM2432" s="24">
        <v>709013.02739860211</v>
      </c>
    </row>
    <row r="2433" spans="38:39">
      <c r="AL2433" s="133">
        <v>2452</v>
      </c>
      <c r="AM2433" s="24">
        <v>709110.60307797533</v>
      </c>
    </row>
    <row r="2434" spans="38:39">
      <c r="AL2434" s="133">
        <v>2453</v>
      </c>
      <c r="AM2434" s="24">
        <v>709208.15244059241</v>
      </c>
    </row>
    <row r="2435" spans="38:39">
      <c r="AL2435" s="133">
        <v>2454</v>
      </c>
      <c r="AM2435" s="24">
        <v>709305.67556207592</v>
      </c>
    </row>
    <row r="2436" spans="38:39">
      <c r="AL2436" s="133">
        <v>2455</v>
      </c>
      <c r="AM2436" s="24">
        <v>709403.1725180489</v>
      </c>
    </row>
    <row r="2437" spans="38:39">
      <c r="AL2437" s="133">
        <v>2456</v>
      </c>
      <c r="AM2437" s="24">
        <v>709500.64338413393</v>
      </c>
    </row>
    <row r="2438" spans="38:39">
      <c r="AL2438" s="133">
        <v>2457</v>
      </c>
      <c r="AM2438" s="24">
        <v>709598.08823595394</v>
      </c>
    </row>
    <row r="2439" spans="38:39">
      <c r="AL2439" s="133">
        <v>2458</v>
      </c>
      <c r="AM2439" s="24">
        <v>709695.50714913174</v>
      </c>
    </row>
    <row r="2440" spans="38:39">
      <c r="AL2440" s="133">
        <v>2459</v>
      </c>
      <c r="AM2440" s="24">
        <v>709792.9001992899</v>
      </c>
    </row>
    <row r="2441" spans="38:39">
      <c r="AL2441" s="133">
        <v>2460</v>
      </c>
      <c r="AM2441" s="24">
        <v>709890.26746205147</v>
      </c>
    </row>
    <row r="2442" spans="38:39">
      <c r="AL2442" s="133">
        <v>2461</v>
      </c>
      <c r="AM2442" s="24">
        <v>709987.60901303904</v>
      </c>
    </row>
    <row r="2443" spans="38:39">
      <c r="AL2443" s="133">
        <v>2462</v>
      </c>
      <c r="AM2443" s="24">
        <v>710084.92492787563</v>
      </c>
    </row>
    <row r="2444" spans="38:39">
      <c r="AL2444" s="133">
        <v>2463</v>
      </c>
      <c r="AM2444" s="24">
        <v>710182.215336486</v>
      </c>
    </row>
    <row r="2445" spans="38:39">
      <c r="AL2445" s="133">
        <v>2464</v>
      </c>
      <c r="AM2445" s="24">
        <v>710279.48020528187</v>
      </c>
    </row>
    <row r="2446" spans="38:39">
      <c r="AL2446" s="133">
        <v>2465</v>
      </c>
      <c r="AM2446" s="24">
        <v>710376.71966479695</v>
      </c>
    </row>
    <row r="2447" spans="38:39">
      <c r="AL2447" s="133">
        <v>2466</v>
      </c>
      <c r="AM2447" s="24">
        <v>710473.93379065371</v>
      </c>
    </row>
    <row r="2448" spans="38:39">
      <c r="AL2448" s="133">
        <v>2467</v>
      </c>
      <c r="AM2448" s="24">
        <v>710571.12265847519</v>
      </c>
    </row>
    <row r="2449" spans="38:39">
      <c r="AL2449" s="133">
        <v>2468</v>
      </c>
      <c r="AM2449" s="24">
        <v>710668.28634388407</v>
      </c>
    </row>
    <row r="2450" spans="38:39">
      <c r="AL2450" s="133">
        <v>2469</v>
      </c>
      <c r="AM2450" s="24">
        <v>710765.42492250318</v>
      </c>
    </row>
    <row r="2451" spans="38:39">
      <c r="AL2451" s="133">
        <v>2470</v>
      </c>
      <c r="AM2451" s="24">
        <v>710862.53846995521</v>
      </c>
    </row>
    <row r="2452" spans="38:39">
      <c r="AL2452" s="133">
        <v>2471</v>
      </c>
      <c r="AM2452" s="24">
        <v>710959.6270618632</v>
      </c>
    </row>
    <row r="2453" spans="38:39">
      <c r="AL2453" s="133">
        <v>2472</v>
      </c>
      <c r="AM2453" s="24">
        <v>711056.69077384961</v>
      </c>
    </row>
    <row r="2454" spans="38:39">
      <c r="AL2454" s="133">
        <v>2473</v>
      </c>
      <c r="AM2454" s="24">
        <v>711153.72968153749</v>
      </c>
    </row>
    <row r="2455" spans="38:39">
      <c r="AL2455" s="133">
        <v>2474</v>
      </c>
      <c r="AM2455" s="24">
        <v>711250.74386054953</v>
      </c>
    </row>
    <row r="2456" spans="38:39">
      <c r="AL2456" s="133">
        <v>2475</v>
      </c>
      <c r="AM2456" s="24">
        <v>711347.73338650842</v>
      </c>
    </row>
    <row r="2457" spans="38:39">
      <c r="AL2457" s="133">
        <v>2476</v>
      </c>
      <c r="AM2457" s="24">
        <v>711444.69833503722</v>
      </c>
    </row>
    <row r="2458" spans="38:39">
      <c r="AL2458" s="133">
        <v>2477</v>
      </c>
      <c r="AM2458" s="24">
        <v>711541.63878175849</v>
      </c>
    </row>
    <row r="2459" spans="38:39">
      <c r="AL2459" s="133">
        <v>2478</v>
      </c>
      <c r="AM2459" s="24">
        <v>711638.55480229505</v>
      </c>
    </row>
    <row r="2460" spans="38:39">
      <c r="AL2460" s="133">
        <v>2479</v>
      </c>
      <c r="AM2460" s="24">
        <v>711735.44647226972</v>
      </c>
    </row>
    <row r="2461" spans="38:39">
      <c r="AL2461" s="133">
        <v>2480</v>
      </c>
      <c r="AM2461" s="24">
        <v>711832.31386730541</v>
      </c>
    </row>
    <row r="2462" spans="38:39">
      <c r="AL2462" s="133">
        <v>2481</v>
      </c>
      <c r="AM2462" s="24">
        <v>711929.1570630247</v>
      </c>
    </row>
    <row r="2463" spans="38:39">
      <c r="AL2463" s="133">
        <v>2482</v>
      </c>
      <c r="AM2463" s="24">
        <v>712025.97613505041</v>
      </c>
    </row>
    <row r="2464" spans="38:39">
      <c r="AL2464" s="133">
        <v>2483</v>
      </c>
      <c r="AM2464" s="24">
        <v>712122.77115900547</v>
      </c>
    </row>
    <row r="2465" spans="38:39">
      <c r="AL2465" s="133">
        <v>2484</v>
      </c>
      <c r="AM2465" s="24">
        <v>712219.54221051268</v>
      </c>
    </row>
    <row r="2466" spans="38:39">
      <c r="AL2466" s="133">
        <v>2485</v>
      </c>
      <c r="AM2466" s="24">
        <v>712316.28936519462</v>
      </c>
    </row>
    <row r="2467" spans="38:39">
      <c r="AL2467" s="133">
        <v>2486</v>
      </c>
      <c r="AM2467" s="24">
        <v>712413.01269867434</v>
      </c>
    </row>
    <row r="2468" spans="38:39">
      <c r="AL2468" s="133">
        <v>2487</v>
      </c>
      <c r="AM2468" s="24">
        <v>712509.71228657442</v>
      </c>
    </row>
    <row r="2469" spans="38:39">
      <c r="AL2469" s="133">
        <v>2488</v>
      </c>
      <c r="AM2469" s="24">
        <v>712606.38824419316</v>
      </c>
    </row>
    <row r="2470" spans="38:39">
      <c r="AL2470" s="133">
        <v>2489</v>
      </c>
      <c r="AM2470" s="24">
        <v>712703.04056724079</v>
      </c>
    </row>
    <row r="2471" spans="38:39">
      <c r="AL2471" s="133">
        <v>2490</v>
      </c>
      <c r="AM2471" s="24">
        <v>712799.66937157919</v>
      </c>
    </row>
    <row r="2472" spans="38:39">
      <c r="AL2472" s="133">
        <v>2491</v>
      </c>
      <c r="AM2472" s="24">
        <v>712896.27473283082</v>
      </c>
    </row>
    <row r="2473" spans="38:39">
      <c r="AL2473" s="133">
        <v>2492</v>
      </c>
      <c r="AM2473" s="24">
        <v>712992.85672661872</v>
      </c>
    </row>
    <row r="2474" spans="38:39">
      <c r="AL2474" s="133">
        <v>2493</v>
      </c>
      <c r="AM2474" s="24">
        <v>713089.41542856558</v>
      </c>
    </row>
    <row r="2475" spans="38:39">
      <c r="AL2475" s="133">
        <v>2494</v>
      </c>
      <c r="AM2475" s="24">
        <v>713185.95091429423</v>
      </c>
    </row>
    <row r="2476" spans="38:39">
      <c r="AL2476" s="133">
        <v>2495</v>
      </c>
      <c r="AM2476" s="24">
        <v>713282.46325942746</v>
      </c>
    </row>
    <row r="2477" spans="38:39">
      <c r="AL2477" s="133">
        <v>2496</v>
      </c>
      <c r="AM2477" s="24">
        <v>713378.95253958809</v>
      </c>
    </row>
    <row r="2478" spans="38:39">
      <c r="AL2478" s="133">
        <v>2497</v>
      </c>
      <c r="AM2478" s="24">
        <v>713475.41883039882</v>
      </c>
    </row>
    <row r="2479" spans="38:39">
      <c r="AL2479" s="133">
        <v>2498</v>
      </c>
      <c r="AM2479" s="24">
        <v>713571.86220748245</v>
      </c>
    </row>
    <row r="2480" spans="38:39">
      <c r="AL2480" s="133">
        <v>2499</v>
      </c>
      <c r="AM2480" s="24">
        <v>713668.2827464618</v>
      </c>
    </row>
    <row r="2481" spans="38:39">
      <c r="AL2481" s="133">
        <v>2500</v>
      </c>
      <c r="AM2481" s="24">
        <v>713764.68052295968</v>
      </c>
    </row>
    <row r="2482" spans="38:39">
      <c r="AL2482" s="133">
        <v>2501</v>
      </c>
      <c r="AM2482" s="24">
        <v>713861.0556125989</v>
      </c>
    </row>
    <row r="2483" spans="38:39">
      <c r="AL2483" s="133">
        <v>2502</v>
      </c>
      <c r="AM2483" s="24">
        <v>713957.40809100214</v>
      </c>
    </row>
    <row r="2484" spans="38:39">
      <c r="AL2484" s="133">
        <v>2503</v>
      </c>
      <c r="AM2484" s="24">
        <v>714053.73803379235</v>
      </c>
    </row>
    <row r="2485" spans="38:39">
      <c r="AL2485" s="133">
        <v>2504</v>
      </c>
      <c r="AM2485" s="24">
        <v>714150.0455165921</v>
      </c>
    </row>
    <row r="2486" spans="38:39">
      <c r="AL2486" s="133">
        <v>2505</v>
      </c>
      <c r="AM2486" s="24">
        <v>714246.33061502443</v>
      </c>
    </row>
    <row r="2487" spans="38:39">
      <c r="AL2487" s="133">
        <v>2506</v>
      </c>
      <c r="AM2487" s="24">
        <v>714342.59340471204</v>
      </c>
    </row>
    <row r="2488" spans="38:39">
      <c r="AL2488" s="133">
        <v>2507</v>
      </c>
      <c r="AM2488" s="24">
        <v>714438.83396127762</v>
      </c>
    </row>
    <row r="2489" spans="38:39">
      <c r="AL2489" s="133">
        <v>2508</v>
      </c>
      <c r="AM2489" s="24">
        <v>714535.0523603441</v>
      </c>
    </row>
    <row r="2490" spans="38:39">
      <c r="AL2490" s="133">
        <v>2509</v>
      </c>
      <c r="AM2490" s="24">
        <v>714631.24867753417</v>
      </c>
    </row>
    <row r="2491" spans="38:39">
      <c r="AL2491" s="133">
        <v>2510</v>
      </c>
      <c r="AM2491" s="24">
        <v>714727.45423847064</v>
      </c>
    </row>
    <row r="2492" spans="38:39">
      <c r="AL2492" s="133">
        <v>2511</v>
      </c>
      <c r="AM2492" s="24">
        <v>714823.60661877634</v>
      </c>
    </row>
    <row r="2493" spans="38:39">
      <c r="AL2493" s="133">
        <v>2512</v>
      </c>
      <c r="AM2493" s="24">
        <v>714919.73714407394</v>
      </c>
    </row>
    <row r="2494" spans="38:39">
      <c r="AL2494" s="133">
        <v>2513</v>
      </c>
      <c r="AM2494" s="24">
        <v>715015.78341616201</v>
      </c>
    </row>
    <row r="2495" spans="38:39">
      <c r="AL2495" s="133">
        <v>2514</v>
      </c>
      <c r="AM2495" s="24">
        <v>715111.87045779545</v>
      </c>
    </row>
    <row r="2496" spans="38:39">
      <c r="AL2496" s="133">
        <v>2515</v>
      </c>
      <c r="AM2496" s="24">
        <v>715207.93587129109</v>
      </c>
    </row>
    <row r="2497" spans="38:39">
      <c r="AL2497" s="133">
        <v>2516</v>
      </c>
      <c r="AM2497" s="24">
        <v>715304.01098227175</v>
      </c>
    </row>
    <row r="2498" spans="38:39">
      <c r="AL2498" s="133">
        <v>2517</v>
      </c>
      <c r="AM2498" s="24">
        <v>715400.03336636012</v>
      </c>
    </row>
    <row r="2499" spans="38:39">
      <c r="AL2499" s="133">
        <v>2518</v>
      </c>
      <c r="AM2499" s="24">
        <v>715496.03434917901</v>
      </c>
    </row>
    <row r="2500" spans="38:39">
      <c r="AL2500" s="133">
        <v>2519</v>
      </c>
      <c r="AM2500" s="24">
        <v>715592.01400635124</v>
      </c>
    </row>
    <row r="2501" spans="38:39">
      <c r="AL2501" s="133">
        <v>2520</v>
      </c>
      <c r="AM2501" s="24">
        <v>715687.97241349961</v>
      </c>
    </row>
    <row r="2502" spans="38:39">
      <c r="AL2502" s="133">
        <v>2521</v>
      </c>
      <c r="AM2502" s="24">
        <v>715783.90964624693</v>
      </c>
    </row>
    <row r="2503" spans="38:39">
      <c r="AL2503" s="133">
        <v>2522</v>
      </c>
      <c r="AM2503" s="24">
        <v>715879.82578021591</v>
      </c>
    </row>
    <row r="2504" spans="38:39">
      <c r="AL2504" s="133">
        <v>2523</v>
      </c>
      <c r="AM2504" s="24">
        <v>715975.72089102934</v>
      </c>
    </row>
    <row r="2505" spans="38:39">
      <c r="AL2505" s="133">
        <v>2524</v>
      </c>
      <c r="AM2505" s="24">
        <v>716071.59505431005</v>
      </c>
    </row>
    <row r="2506" spans="38:39">
      <c r="AL2506" s="133">
        <v>2525</v>
      </c>
      <c r="AM2506" s="24">
        <v>716167.44834568095</v>
      </c>
    </row>
    <row r="2507" spans="38:39">
      <c r="AL2507" s="133">
        <v>2526</v>
      </c>
      <c r="AM2507" s="24">
        <v>716263.28084076452</v>
      </c>
    </row>
    <row r="2508" spans="38:39">
      <c r="AL2508" s="133">
        <v>2527</v>
      </c>
      <c r="AM2508" s="24">
        <v>716359.09261518391</v>
      </c>
    </row>
    <row r="2509" spans="38:39">
      <c r="AL2509" s="133">
        <v>2528</v>
      </c>
      <c r="AM2509" s="24">
        <v>716454.8837445617</v>
      </c>
    </row>
    <row r="2510" spans="38:39">
      <c r="AL2510" s="133">
        <v>2529</v>
      </c>
      <c r="AM2510" s="24">
        <v>716550.65430452069</v>
      </c>
    </row>
    <row r="2511" spans="38:39">
      <c r="AL2511" s="133">
        <v>2530</v>
      </c>
      <c r="AM2511" s="24">
        <v>716646.40437068371</v>
      </c>
    </row>
    <row r="2512" spans="38:39">
      <c r="AL2512" s="133">
        <v>2531</v>
      </c>
      <c r="AM2512" s="24">
        <v>716742.13401867356</v>
      </c>
    </row>
    <row r="2513" spans="38:39">
      <c r="AL2513" s="133">
        <v>2532</v>
      </c>
      <c r="AM2513" s="24">
        <v>716837.84332411294</v>
      </c>
    </row>
    <row r="2514" spans="38:39">
      <c r="AL2514" s="133">
        <v>2533</v>
      </c>
      <c r="AM2514" s="24">
        <v>716933.53236262477</v>
      </c>
    </row>
    <row r="2515" spans="38:39">
      <c r="AL2515" s="133">
        <v>2534</v>
      </c>
      <c r="AM2515" s="24">
        <v>717029.20120983187</v>
      </c>
    </row>
    <row r="2516" spans="38:39">
      <c r="AL2516" s="133">
        <v>2535</v>
      </c>
      <c r="AM2516" s="24">
        <v>717124.88119135681</v>
      </c>
    </row>
    <row r="2517" spans="38:39">
      <c r="AL2517" s="133">
        <v>2536</v>
      </c>
      <c r="AM2517" s="24">
        <v>717220.50988282263</v>
      </c>
    </row>
    <row r="2518" spans="38:39">
      <c r="AL2518" s="133">
        <v>2537</v>
      </c>
      <c r="AM2518" s="24">
        <v>717316.11860985192</v>
      </c>
    </row>
    <row r="2519" spans="38:39">
      <c r="AL2519" s="133">
        <v>2538</v>
      </c>
      <c r="AM2519" s="24">
        <v>717411.64496187004</v>
      </c>
    </row>
    <row r="2520" spans="38:39">
      <c r="AL2520" s="133">
        <v>2539</v>
      </c>
      <c r="AM2520" s="24">
        <v>717507.21398642333</v>
      </c>
    </row>
    <row r="2521" spans="38:39">
      <c r="AL2521" s="133">
        <v>2540</v>
      </c>
      <c r="AM2521" s="24">
        <v>717602.76327341038</v>
      </c>
    </row>
    <row r="2522" spans="38:39">
      <c r="AL2522" s="133">
        <v>2541</v>
      </c>
      <c r="AM2522" s="24">
        <v>717698.324148454</v>
      </c>
    </row>
    <row r="2523" spans="38:39">
      <c r="AL2523" s="133">
        <v>2542</v>
      </c>
      <c r="AM2523" s="24">
        <v>717793.83418717678</v>
      </c>
    </row>
    <row r="2524" spans="38:39">
      <c r="AL2524" s="133">
        <v>2543</v>
      </c>
      <c r="AM2524" s="24">
        <v>717889.32471520174</v>
      </c>
    </row>
    <row r="2525" spans="38:39">
      <c r="AL2525" s="133">
        <v>2544</v>
      </c>
      <c r="AM2525" s="24">
        <v>717984.7958081516</v>
      </c>
    </row>
    <row r="2526" spans="38:39">
      <c r="AL2526" s="133">
        <v>2545</v>
      </c>
      <c r="AM2526" s="24">
        <v>718080.24754164915</v>
      </c>
    </row>
    <row r="2527" spans="38:39">
      <c r="AL2527" s="133">
        <v>2546</v>
      </c>
      <c r="AM2527" s="24">
        <v>718175.6799913171</v>
      </c>
    </row>
    <row r="2528" spans="38:39">
      <c r="AL2528" s="133">
        <v>2547</v>
      </c>
      <c r="AM2528" s="24">
        <v>718271.09323277837</v>
      </c>
    </row>
    <row r="2529" spans="38:39">
      <c r="AL2529" s="133">
        <v>2548</v>
      </c>
      <c r="AM2529" s="24">
        <v>718366.48734165577</v>
      </c>
    </row>
    <row r="2530" spans="38:39">
      <c r="AL2530" s="133">
        <v>2549</v>
      </c>
      <c r="AM2530" s="24">
        <v>718461.86239357188</v>
      </c>
    </row>
    <row r="2531" spans="38:39">
      <c r="AL2531" s="133">
        <v>2550</v>
      </c>
      <c r="AM2531" s="24">
        <v>718557.21846414963</v>
      </c>
    </row>
    <row r="2532" spans="38:39">
      <c r="AL2532" s="133">
        <v>2551</v>
      </c>
      <c r="AM2532" s="24">
        <v>718652.55562901183</v>
      </c>
    </row>
    <row r="2533" spans="38:39">
      <c r="AL2533" s="133">
        <v>2552</v>
      </c>
      <c r="AM2533" s="24">
        <v>718747.87396378117</v>
      </c>
    </row>
    <row r="2534" spans="38:39">
      <c r="AL2534" s="133">
        <v>2553</v>
      </c>
      <c r="AM2534" s="24">
        <v>718843.17354408058</v>
      </c>
    </row>
    <row r="2535" spans="38:39">
      <c r="AL2535" s="133">
        <v>2554</v>
      </c>
      <c r="AM2535" s="24">
        <v>718938.45444553287</v>
      </c>
    </row>
    <row r="2536" spans="38:39">
      <c r="AL2536" s="133">
        <v>2555</v>
      </c>
      <c r="AM2536" s="24">
        <v>719033.71674376063</v>
      </c>
    </row>
    <row r="2537" spans="38:39">
      <c r="AL2537" s="133">
        <v>2556</v>
      </c>
      <c r="AM2537" s="24">
        <v>719128.96051438677</v>
      </c>
    </row>
    <row r="2538" spans="38:39">
      <c r="AL2538" s="133">
        <v>2557</v>
      </c>
      <c r="AM2538" s="24">
        <v>719224.18583303399</v>
      </c>
    </row>
    <row r="2539" spans="38:39">
      <c r="AL2539" s="133">
        <v>2558</v>
      </c>
      <c r="AM2539" s="24">
        <v>719319.39277532534</v>
      </c>
    </row>
    <row r="2540" spans="38:39">
      <c r="AL2540" s="133">
        <v>2559</v>
      </c>
      <c r="AM2540" s="24">
        <v>719414.58141688327</v>
      </c>
    </row>
    <row r="2541" spans="38:39">
      <c r="AL2541" s="133">
        <v>2560</v>
      </c>
      <c r="AM2541" s="24">
        <v>719509.78308333084</v>
      </c>
    </row>
    <row r="2542" spans="38:39">
      <c r="AL2542" s="133">
        <v>2561</v>
      </c>
      <c r="AM2542" s="24">
        <v>719604.93535029073</v>
      </c>
    </row>
    <row r="2543" spans="38:39">
      <c r="AL2543" s="133">
        <v>2562</v>
      </c>
      <c r="AM2543" s="24">
        <v>719700.06954338565</v>
      </c>
    </row>
    <row r="2544" spans="38:39">
      <c r="AL2544" s="133">
        <v>2563</v>
      </c>
      <c r="AM2544" s="24">
        <v>719795.12324079487</v>
      </c>
    </row>
    <row r="2545" spans="38:39">
      <c r="AL2545" s="133">
        <v>2564</v>
      </c>
      <c r="AM2545" s="24">
        <v>719890.22151260206</v>
      </c>
    </row>
    <row r="2546" spans="38:39">
      <c r="AL2546" s="133">
        <v>2565</v>
      </c>
      <c r="AM2546" s="24">
        <v>719985.30193741445</v>
      </c>
    </row>
    <row r="2547" spans="38:39">
      <c r="AL2547" s="133">
        <v>2566</v>
      </c>
      <c r="AM2547" s="24">
        <v>720080.39584085497</v>
      </c>
    </row>
    <row r="2548" spans="38:39">
      <c r="AL2548" s="133">
        <v>2567</v>
      </c>
      <c r="AM2548" s="24">
        <v>720175.4407985463</v>
      </c>
    </row>
    <row r="2549" spans="38:39">
      <c r="AL2549" s="133">
        <v>2568</v>
      </c>
      <c r="AM2549" s="24">
        <v>720270.46813611139</v>
      </c>
    </row>
    <row r="2550" spans="38:39">
      <c r="AL2550" s="133">
        <v>2569</v>
      </c>
      <c r="AM2550" s="24">
        <v>720365.4779291728</v>
      </c>
    </row>
    <row r="2551" spans="38:39">
      <c r="AL2551" s="133">
        <v>2570</v>
      </c>
      <c r="AM2551" s="24">
        <v>720460.47025335359</v>
      </c>
    </row>
    <row r="2552" spans="38:39">
      <c r="AL2552" s="133">
        <v>2571</v>
      </c>
      <c r="AM2552" s="24">
        <v>720555.44518427632</v>
      </c>
    </row>
    <row r="2553" spans="38:39">
      <c r="AL2553" s="133">
        <v>2572</v>
      </c>
      <c r="AM2553" s="24">
        <v>720650.40279756393</v>
      </c>
    </row>
    <row r="2554" spans="38:39">
      <c r="AL2554" s="133">
        <v>2573</v>
      </c>
      <c r="AM2554" s="24">
        <v>720745.343168839</v>
      </c>
    </row>
    <row r="2555" spans="38:39">
      <c r="AL2555" s="133">
        <v>2574</v>
      </c>
      <c r="AM2555" s="24">
        <v>720840.26637372468</v>
      </c>
    </row>
    <row r="2556" spans="38:39">
      <c r="AL2556" s="133">
        <v>2575</v>
      </c>
      <c r="AM2556" s="24">
        <v>720935.17248784332</v>
      </c>
    </row>
    <row r="2557" spans="38:39">
      <c r="AL2557" s="133">
        <v>2576</v>
      </c>
      <c r="AM2557" s="24">
        <v>721030.06158681808</v>
      </c>
    </row>
    <row r="2558" spans="38:39">
      <c r="AL2558" s="133">
        <v>2577</v>
      </c>
      <c r="AM2558" s="24">
        <v>721124.93374627165</v>
      </c>
    </row>
    <row r="2559" spans="38:39">
      <c r="AL2559" s="133">
        <v>2578</v>
      </c>
      <c r="AM2559" s="24">
        <v>721219.78904182662</v>
      </c>
    </row>
    <row r="2560" spans="38:39">
      <c r="AL2560" s="133">
        <v>2579</v>
      </c>
      <c r="AM2560" s="24">
        <v>721314.62754910602</v>
      </c>
    </row>
    <row r="2561" spans="38:39">
      <c r="AL2561" s="133">
        <v>2580</v>
      </c>
      <c r="AM2561" s="24">
        <v>721409.44934373267</v>
      </c>
    </row>
    <row r="2562" spans="38:39">
      <c r="AL2562" s="133">
        <v>2581</v>
      </c>
      <c r="AM2562" s="24">
        <v>721504.25450132915</v>
      </c>
    </row>
    <row r="2563" spans="38:39">
      <c r="AL2563" s="133">
        <v>2582</v>
      </c>
      <c r="AM2563" s="24">
        <v>721599.04309751827</v>
      </c>
    </row>
    <row r="2564" spans="38:39">
      <c r="AL2564" s="133">
        <v>2583</v>
      </c>
      <c r="AM2564" s="24">
        <v>721693.81520792295</v>
      </c>
    </row>
    <row r="2565" spans="38:39">
      <c r="AL2565" s="133">
        <v>2584</v>
      </c>
      <c r="AM2565" s="24">
        <v>721788.570908166</v>
      </c>
    </row>
    <row r="2566" spans="38:39">
      <c r="AL2566" s="133">
        <v>2585</v>
      </c>
      <c r="AM2566" s="24">
        <v>721883.34152387013</v>
      </c>
    </row>
    <row r="2567" spans="38:39">
      <c r="AL2567" s="133">
        <v>2586</v>
      </c>
      <c r="AM2567" s="24">
        <v>721978.06463065802</v>
      </c>
    </row>
    <row r="2568" spans="38:39">
      <c r="AL2568" s="133">
        <v>2587</v>
      </c>
      <c r="AM2568" s="24">
        <v>722072.77155415271</v>
      </c>
    </row>
    <row r="2569" spans="38:39">
      <c r="AL2569" s="133">
        <v>2588</v>
      </c>
      <c r="AM2569" s="24">
        <v>722167.39986241388</v>
      </c>
    </row>
    <row r="2570" spans="38:39">
      <c r="AL2570" s="133">
        <v>2589</v>
      </c>
      <c r="AM2570" s="24">
        <v>722262.0746458089</v>
      </c>
    </row>
    <row r="2571" spans="38:39">
      <c r="AL2571" s="133">
        <v>2590</v>
      </c>
      <c r="AM2571" s="24">
        <v>722356.73347278079</v>
      </c>
    </row>
    <row r="2572" spans="38:39">
      <c r="AL2572" s="133">
        <v>2591</v>
      </c>
      <c r="AM2572" s="24">
        <v>722451.40766895225</v>
      </c>
    </row>
    <row r="2573" spans="38:39">
      <c r="AL2573" s="133">
        <v>2592</v>
      </c>
      <c r="AM2573" s="24">
        <v>722546.0348099462</v>
      </c>
    </row>
    <row r="2574" spans="38:39">
      <c r="AL2574" s="133">
        <v>2593</v>
      </c>
      <c r="AM2574" s="24">
        <v>722640.64622138534</v>
      </c>
    </row>
    <row r="2575" spans="38:39">
      <c r="AL2575" s="133">
        <v>2594</v>
      </c>
      <c r="AM2575" s="24">
        <v>722735.24197889247</v>
      </c>
    </row>
    <row r="2576" spans="38:39">
      <c r="AL2576" s="133">
        <v>2595</v>
      </c>
      <c r="AM2576" s="24">
        <v>722829.82215809042</v>
      </c>
    </row>
    <row r="2577" spans="38:39">
      <c r="AL2577" s="133">
        <v>2596</v>
      </c>
      <c r="AM2577" s="24">
        <v>722924.38683460187</v>
      </c>
    </row>
    <row r="2578" spans="38:39">
      <c r="AL2578" s="133">
        <v>2597</v>
      </c>
      <c r="AM2578" s="24">
        <v>723018.93608404975</v>
      </c>
    </row>
    <row r="2579" spans="38:39">
      <c r="AL2579" s="133">
        <v>2598</v>
      </c>
      <c r="AM2579" s="24">
        <v>723113.46998205688</v>
      </c>
    </row>
    <row r="2580" spans="38:39">
      <c r="AL2580" s="133">
        <v>2599</v>
      </c>
      <c r="AM2580" s="24">
        <v>723207.98860424582</v>
      </c>
    </row>
    <row r="2581" spans="38:39">
      <c r="AL2581" s="133">
        <v>2600</v>
      </c>
      <c r="AM2581" s="24">
        <v>723302.49202623963</v>
      </c>
    </row>
    <row r="2582" spans="38:39">
      <c r="AL2582" s="133">
        <v>2601</v>
      </c>
      <c r="AM2582" s="24">
        <v>723396.98032366089</v>
      </c>
    </row>
    <row r="2583" spans="38:39">
      <c r="AL2583" s="133">
        <v>2602</v>
      </c>
      <c r="AM2583" s="24">
        <v>723491.45357213251</v>
      </c>
    </row>
    <row r="2584" spans="38:39">
      <c r="AL2584" s="133">
        <v>2603</v>
      </c>
      <c r="AM2584" s="24">
        <v>723585.91184727731</v>
      </c>
    </row>
    <row r="2585" spans="38:39">
      <c r="AL2585" s="133">
        <v>2604</v>
      </c>
      <c r="AM2585" s="24">
        <v>723680.35522471799</v>
      </c>
    </row>
    <row r="2586" spans="38:39">
      <c r="AL2586" s="133">
        <v>2605</v>
      </c>
      <c r="AM2586" s="24">
        <v>723774.78378007724</v>
      </c>
    </row>
    <row r="2587" spans="38:39">
      <c r="AL2587" s="133">
        <v>2606</v>
      </c>
      <c r="AM2587" s="24">
        <v>723869.1975889781</v>
      </c>
    </row>
    <row r="2588" spans="38:39">
      <c r="AL2588" s="133">
        <v>2607</v>
      </c>
      <c r="AM2588" s="24">
        <v>723963.59671979328</v>
      </c>
    </row>
    <row r="2589" spans="38:39">
      <c r="AL2589" s="133">
        <v>2608</v>
      </c>
      <c r="AM2589" s="24">
        <v>724057.98126247188</v>
      </c>
    </row>
    <row r="2590" spans="38:39">
      <c r="AL2590" s="133">
        <v>2609</v>
      </c>
      <c r="AM2590" s="24">
        <v>724152.35128556122</v>
      </c>
    </row>
    <row r="2591" spans="38:39">
      <c r="AL2591" s="133">
        <v>2610</v>
      </c>
      <c r="AM2591" s="24">
        <v>724246.70686468424</v>
      </c>
    </row>
    <row r="2592" spans="38:39">
      <c r="AL2592" s="133">
        <v>2611</v>
      </c>
      <c r="AM2592" s="24">
        <v>724341.04807546351</v>
      </c>
    </row>
    <row r="2593" spans="38:39">
      <c r="AL2593" s="133">
        <v>2612</v>
      </c>
      <c r="AM2593" s="24">
        <v>724435.37499352195</v>
      </c>
    </row>
    <row r="2594" spans="38:39">
      <c r="AL2594" s="133">
        <v>2613</v>
      </c>
      <c r="AM2594" s="24">
        <v>724529.68769448227</v>
      </c>
    </row>
    <row r="2595" spans="38:39">
      <c r="AL2595" s="133">
        <v>2614</v>
      </c>
      <c r="AM2595" s="24">
        <v>724623.98625396728</v>
      </c>
    </row>
    <row r="2596" spans="38:39">
      <c r="AL2596" s="133">
        <v>2615</v>
      </c>
      <c r="AM2596" s="24">
        <v>724718.27074759989</v>
      </c>
    </row>
    <row r="2597" spans="38:39">
      <c r="AL2597" s="133">
        <v>2616</v>
      </c>
      <c r="AM2597" s="24">
        <v>724812.54125100269</v>
      </c>
    </row>
    <row r="2598" spans="38:39">
      <c r="AL2598" s="133">
        <v>2617</v>
      </c>
      <c r="AM2598" s="24">
        <v>724906.79783979862</v>
      </c>
    </row>
    <row r="2599" spans="38:39">
      <c r="AL2599" s="133">
        <v>2618</v>
      </c>
      <c r="AM2599" s="24">
        <v>725001.04058961035</v>
      </c>
    </row>
    <row r="2600" spans="38:39">
      <c r="AL2600" s="133">
        <v>2619</v>
      </c>
      <c r="AM2600" s="24">
        <v>725095.26956678787</v>
      </c>
    </row>
    <row r="2601" spans="38:39">
      <c r="AL2601" s="133">
        <v>2620</v>
      </c>
      <c r="AM2601" s="24">
        <v>725189.48486533703</v>
      </c>
    </row>
    <row r="2602" spans="38:39">
      <c r="AL2602" s="133">
        <v>2621</v>
      </c>
      <c r="AM2602" s="24">
        <v>725283.68655177136</v>
      </c>
    </row>
    <row r="2603" spans="38:39">
      <c r="AL2603" s="133">
        <v>2622</v>
      </c>
      <c r="AM2603" s="24">
        <v>725377.87470171368</v>
      </c>
    </row>
    <row r="2604" spans="38:39">
      <c r="AL2604" s="133">
        <v>2623</v>
      </c>
      <c r="AM2604" s="24">
        <v>725472.04939078656</v>
      </c>
    </row>
    <row r="2605" spans="38:39">
      <c r="AL2605" s="133">
        <v>2624</v>
      </c>
      <c r="AM2605" s="24">
        <v>725566.21069461305</v>
      </c>
    </row>
    <row r="2606" spans="38:39">
      <c r="AL2606" s="133">
        <v>2625</v>
      </c>
      <c r="AM2606" s="24">
        <v>725660.35868881596</v>
      </c>
    </row>
    <row r="2607" spans="38:39">
      <c r="AL2607" s="133">
        <v>2626</v>
      </c>
      <c r="AM2607" s="24">
        <v>725754.49344901775</v>
      </c>
    </row>
    <row r="2608" spans="38:39">
      <c r="AL2608" s="133">
        <v>2627</v>
      </c>
      <c r="AM2608" s="24">
        <v>725848.61505084159</v>
      </c>
    </row>
    <row r="2609" spans="38:39">
      <c r="AL2609" s="133">
        <v>2628</v>
      </c>
      <c r="AM2609" s="24">
        <v>725942.72356991004</v>
      </c>
    </row>
    <row r="2610" spans="38:39">
      <c r="AL2610" s="133">
        <v>2629</v>
      </c>
      <c r="AM2610" s="24">
        <v>726036.81908184593</v>
      </c>
    </row>
    <row r="2611" spans="38:39">
      <c r="AL2611" s="133">
        <v>2630</v>
      </c>
      <c r="AM2611" s="24">
        <v>726130.90166227205</v>
      </c>
    </row>
    <row r="2612" spans="38:39">
      <c r="AL2612" s="133">
        <v>2631</v>
      </c>
      <c r="AM2612" s="24">
        <v>726224.97138681135</v>
      </c>
    </row>
    <row r="2613" spans="38:39">
      <c r="AL2613" s="133">
        <v>2632</v>
      </c>
      <c r="AM2613" s="24">
        <v>726319.02831976837</v>
      </c>
    </row>
    <row r="2614" spans="38:39">
      <c r="AL2614" s="133">
        <v>2633</v>
      </c>
      <c r="AM2614" s="24">
        <v>726413.07255925098</v>
      </c>
    </row>
    <row r="2615" spans="38:39">
      <c r="AL2615" s="133">
        <v>2634</v>
      </c>
      <c r="AM2615" s="24">
        <v>726507.10416971601</v>
      </c>
    </row>
    <row r="2616" spans="38:39">
      <c r="AL2616" s="133">
        <v>2635</v>
      </c>
      <c r="AM2616" s="24">
        <v>726601.12322678615</v>
      </c>
    </row>
    <row r="2617" spans="38:39">
      <c r="AL2617" s="133">
        <v>2636</v>
      </c>
      <c r="AM2617" s="24">
        <v>726695.12980608409</v>
      </c>
    </row>
    <row r="2618" spans="38:39">
      <c r="AL2618" s="133">
        <v>2637</v>
      </c>
      <c r="AM2618" s="24">
        <v>726789.12398323277</v>
      </c>
    </row>
    <row r="2619" spans="38:39">
      <c r="AL2619" s="133">
        <v>2638</v>
      </c>
      <c r="AM2619" s="24">
        <v>726883.10583385499</v>
      </c>
    </row>
    <row r="2620" spans="38:39">
      <c r="AL2620" s="133">
        <v>2639</v>
      </c>
      <c r="AM2620" s="24">
        <v>726977.07543357334</v>
      </c>
    </row>
    <row r="2621" spans="38:39">
      <c r="AL2621" s="133">
        <v>2640</v>
      </c>
      <c r="AM2621" s="24">
        <v>727071.03285801085</v>
      </c>
    </row>
    <row r="2622" spans="38:39">
      <c r="AL2622" s="133">
        <v>2641</v>
      </c>
      <c r="AM2622" s="24">
        <v>727164.97818279022</v>
      </c>
    </row>
    <row r="2623" spans="38:39">
      <c r="AL2623" s="133">
        <v>2642</v>
      </c>
      <c r="AM2623" s="24">
        <v>727258.91148353415</v>
      </c>
    </row>
    <row r="2624" spans="38:39">
      <c r="AL2624" s="133">
        <v>2643</v>
      </c>
      <c r="AM2624" s="24">
        <v>727352.83283586556</v>
      </c>
    </row>
    <row r="2625" spans="38:39">
      <c r="AL2625" s="133">
        <v>2644</v>
      </c>
      <c r="AM2625" s="24">
        <v>727446.74230233673</v>
      </c>
    </row>
    <row r="2626" spans="38:39">
      <c r="AL2626" s="133">
        <v>2645</v>
      </c>
      <c r="AM2626" s="24">
        <v>727540.63998457114</v>
      </c>
    </row>
    <row r="2627" spans="38:39">
      <c r="AL2627" s="133">
        <v>2646</v>
      </c>
      <c r="AM2627" s="24">
        <v>727634.52594526228</v>
      </c>
    </row>
    <row r="2628" spans="38:39">
      <c r="AL2628" s="133">
        <v>2647</v>
      </c>
      <c r="AM2628" s="24">
        <v>727728.40026003297</v>
      </c>
    </row>
    <row r="2629" spans="38:39">
      <c r="AL2629" s="133">
        <v>2648</v>
      </c>
      <c r="AM2629" s="24">
        <v>727822.26300450589</v>
      </c>
    </row>
    <row r="2630" spans="38:39">
      <c r="AL2630" s="133">
        <v>2649</v>
      </c>
      <c r="AM2630" s="24">
        <v>727916.11425430386</v>
      </c>
    </row>
    <row r="2631" spans="38:39">
      <c r="AL2631" s="133">
        <v>2650</v>
      </c>
      <c r="AM2631" s="24">
        <v>728009.95408504969</v>
      </c>
    </row>
    <row r="2632" spans="38:39">
      <c r="AL2632" s="133">
        <v>2651</v>
      </c>
      <c r="AM2632" s="24">
        <v>728103.78257236618</v>
      </c>
    </row>
    <row r="2633" spans="38:39">
      <c r="AL2633" s="133">
        <v>2652</v>
      </c>
      <c r="AM2633" s="24">
        <v>728197.59979187616</v>
      </c>
    </row>
    <row r="2634" spans="38:39">
      <c r="AL2634" s="133">
        <v>2653</v>
      </c>
      <c r="AM2634" s="24">
        <v>728291.40581920231</v>
      </c>
    </row>
    <row r="2635" spans="38:39">
      <c r="AL2635" s="133">
        <v>2654</v>
      </c>
      <c r="AM2635" s="24">
        <v>728385.20072996756</v>
      </c>
    </row>
    <row r="2636" spans="38:39">
      <c r="AL2636" s="133">
        <v>2655</v>
      </c>
      <c r="AM2636" s="24">
        <v>728479.00022479449</v>
      </c>
    </row>
    <row r="2637" spans="38:39">
      <c r="AL2637" s="133">
        <v>2656</v>
      </c>
      <c r="AM2637" s="24">
        <v>728572.77312930615</v>
      </c>
    </row>
    <row r="2638" spans="38:39">
      <c r="AL2638" s="133">
        <v>2657</v>
      </c>
      <c r="AM2638" s="24">
        <v>728666.50387930265</v>
      </c>
    </row>
    <row r="2639" spans="38:39">
      <c r="AL2639" s="133">
        <v>2658</v>
      </c>
      <c r="AM2639" s="24">
        <v>728760.27070492331</v>
      </c>
    </row>
    <row r="2640" spans="38:39">
      <c r="AL2640" s="133">
        <v>2659</v>
      </c>
      <c r="AM2640" s="24">
        <v>728854.01116709795</v>
      </c>
    </row>
    <row r="2641" spans="38:39">
      <c r="AL2641" s="133">
        <v>2660</v>
      </c>
      <c r="AM2641" s="24">
        <v>728947.74096644926</v>
      </c>
    </row>
    <row r="2642" spans="38:39">
      <c r="AL2642" s="133">
        <v>2661</v>
      </c>
      <c r="AM2642" s="24">
        <v>729041.46017859993</v>
      </c>
    </row>
    <row r="2643" spans="38:39">
      <c r="AL2643" s="133">
        <v>2662</v>
      </c>
      <c r="AM2643" s="24">
        <v>729135.16887917288</v>
      </c>
    </row>
    <row r="2644" spans="38:39">
      <c r="AL2644" s="133">
        <v>2663</v>
      </c>
      <c r="AM2644" s="24">
        <v>729228.86714379094</v>
      </c>
    </row>
    <row r="2645" spans="38:39">
      <c r="AL2645" s="133">
        <v>2664</v>
      </c>
      <c r="AM2645" s="24">
        <v>729322.55504807679</v>
      </c>
    </row>
    <row r="2646" spans="38:39">
      <c r="AL2646" s="133">
        <v>2665</v>
      </c>
      <c r="AM2646" s="24">
        <v>729416.23266765324</v>
      </c>
    </row>
    <row r="2647" spans="38:39">
      <c r="AL2647" s="133">
        <v>2666</v>
      </c>
      <c r="AM2647" s="24">
        <v>729509.90007814311</v>
      </c>
    </row>
    <row r="2648" spans="38:39">
      <c r="AL2648" s="133">
        <v>2667</v>
      </c>
      <c r="AM2648" s="24">
        <v>729603.55735516909</v>
      </c>
    </row>
    <row r="2649" spans="38:39">
      <c r="AL2649" s="133">
        <v>2668</v>
      </c>
      <c r="AM2649" s="24">
        <v>729697.22019935411</v>
      </c>
    </row>
    <row r="2650" spans="38:39">
      <c r="AL2650" s="133">
        <v>2669</v>
      </c>
      <c r="AM2650" s="24">
        <v>729790.82617001631</v>
      </c>
    </row>
    <row r="2651" spans="38:39">
      <c r="AL2651" s="133">
        <v>2670</v>
      </c>
      <c r="AM2651" s="24">
        <v>729884.45350027015</v>
      </c>
    </row>
    <row r="2652" spans="38:39">
      <c r="AL2652" s="133">
        <v>2671</v>
      </c>
      <c r="AM2652" s="24">
        <v>729978.08662455215</v>
      </c>
    </row>
    <row r="2653" spans="38:39">
      <c r="AL2653" s="133">
        <v>2672</v>
      </c>
      <c r="AM2653" s="24">
        <v>730071.69436848513</v>
      </c>
    </row>
    <row r="2654" spans="38:39">
      <c r="AL2654" s="133">
        <v>2673</v>
      </c>
      <c r="AM2654" s="24">
        <v>730165.29243269202</v>
      </c>
    </row>
    <row r="2655" spans="38:39">
      <c r="AL2655" s="133">
        <v>2674</v>
      </c>
      <c r="AM2655" s="24">
        <v>730258.88089279551</v>
      </c>
    </row>
    <row r="2656" spans="38:39">
      <c r="AL2656" s="133">
        <v>2675</v>
      </c>
      <c r="AM2656" s="24">
        <v>730352.45982441842</v>
      </c>
    </row>
    <row r="2657" spans="38:39">
      <c r="AL2657" s="133">
        <v>2676</v>
      </c>
      <c r="AM2657" s="24">
        <v>730446.02930318366</v>
      </c>
    </row>
    <row r="2658" spans="38:39">
      <c r="AL2658" s="133">
        <v>2677</v>
      </c>
      <c r="AM2658" s="24">
        <v>730539.58940471371</v>
      </c>
    </row>
    <row r="2659" spans="38:39">
      <c r="AL2659" s="133">
        <v>2678</v>
      </c>
      <c r="AM2659" s="24">
        <v>730633.14020463172</v>
      </c>
    </row>
    <row r="2660" spans="38:39">
      <c r="AL2660" s="133">
        <v>2679</v>
      </c>
      <c r="AM2660" s="24">
        <v>730726.68177856028</v>
      </c>
    </row>
    <row r="2661" spans="38:39">
      <c r="AL2661" s="133">
        <v>2680</v>
      </c>
      <c r="AM2661" s="24">
        <v>730820.22982712206</v>
      </c>
    </row>
    <row r="2662" spans="38:39">
      <c r="AL2662" s="133">
        <v>2681</v>
      </c>
      <c r="AM2662" s="24">
        <v>730913.75317594013</v>
      </c>
    </row>
    <row r="2663" spans="38:39">
      <c r="AL2663" s="133">
        <v>2682</v>
      </c>
      <c r="AM2663" s="24">
        <v>731007.23625787348</v>
      </c>
    </row>
    <row r="2664" spans="38:39">
      <c r="AL2664" s="133">
        <v>2683</v>
      </c>
      <c r="AM2664" s="24">
        <v>731100.75730896625</v>
      </c>
    </row>
    <row r="2665" spans="38:39">
      <c r="AL2665" s="133">
        <v>2684</v>
      </c>
      <c r="AM2665" s="24">
        <v>731194.25388718455</v>
      </c>
    </row>
    <row r="2666" spans="38:39">
      <c r="AL2666" s="133">
        <v>2685</v>
      </c>
      <c r="AM2666" s="24">
        <v>731287.74169315095</v>
      </c>
    </row>
    <row r="2667" spans="38:39">
      <c r="AL2667" s="133">
        <v>2686</v>
      </c>
      <c r="AM2667" s="24">
        <v>731381.2208024885</v>
      </c>
    </row>
    <row r="2668" spans="38:39">
      <c r="AL2668" s="133">
        <v>2687</v>
      </c>
      <c r="AM2668" s="24">
        <v>731474.69129081978</v>
      </c>
    </row>
    <row r="2669" spans="38:39">
      <c r="AL2669" s="133">
        <v>2688</v>
      </c>
      <c r="AM2669" s="24">
        <v>731568.1532337676</v>
      </c>
    </row>
    <row r="2670" spans="38:39">
      <c r="AL2670" s="133">
        <v>2689</v>
      </c>
      <c r="AM2670" s="24">
        <v>731661.60670695489</v>
      </c>
    </row>
    <row r="2671" spans="38:39">
      <c r="AL2671" s="133">
        <v>2690</v>
      </c>
      <c r="AM2671" s="24">
        <v>731755.05178600433</v>
      </c>
    </row>
    <row r="2672" spans="38:39">
      <c r="AL2672" s="133">
        <v>2691</v>
      </c>
      <c r="AM2672" s="24">
        <v>731848.48854653875</v>
      </c>
    </row>
    <row r="2673" spans="38:39">
      <c r="AL2673" s="133">
        <v>2692</v>
      </c>
      <c r="AM2673" s="24">
        <v>731941.91706418095</v>
      </c>
    </row>
    <row r="2674" spans="38:39">
      <c r="AL2674" s="133">
        <v>2693</v>
      </c>
      <c r="AM2674" s="24">
        <v>732035.35303955362</v>
      </c>
    </row>
    <row r="2675" spans="38:39">
      <c r="AL2675" s="133">
        <v>2694</v>
      </c>
      <c r="AM2675" s="24">
        <v>732128.73402930435</v>
      </c>
    </row>
    <row r="2676" spans="38:39">
      <c r="AL2676" s="133">
        <v>2695</v>
      </c>
      <c r="AM2676" s="24">
        <v>732222.13827191142</v>
      </c>
    </row>
    <row r="2677" spans="38:39">
      <c r="AL2677" s="133">
        <v>2696</v>
      </c>
      <c r="AM2677" s="24">
        <v>732315.55019911833</v>
      </c>
    </row>
    <row r="2678" spans="38:39">
      <c r="AL2678" s="133">
        <v>2697</v>
      </c>
      <c r="AM2678" s="24">
        <v>732408.93863654777</v>
      </c>
    </row>
    <row r="2679" spans="38:39">
      <c r="AL2679" s="133">
        <v>2698</v>
      </c>
      <c r="AM2679" s="24">
        <v>732502.31928482268</v>
      </c>
    </row>
    <row r="2680" spans="38:39">
      <c r="AL2680" s="133">
        <v>2699</v>
      </c>
      <c r="AM2680" s="24">
        <v>732595.69221956574</v>
      </c>
    </row>
    <row r="2681" spans="38:39">
      <c r="AL2681" s="133">
        <v>2700</v>
      </c>
      <c r="AM2681" s="24">
        <v>732689.05751639977</v>
      </c>
    </row>
    <row r="2682" spans="38:39">
      <c r="AL2682" s="133">
        <v>2701</v>
      </c>
      <c r="AM2682" s="24">
        <v>732782.41525094758</v>
      </c>
    </row>
    <row r="2683" spans="38:39">
      <c r="AL2683" s="133">
        <v>2702</v>
      </c>
      <c r="AM2683" s="24">
        <v>732875.76549883198</v>
      </c>
    </row>
    <row r="2684" spans="38:39">
      <c r="AL2684" s="133">
        <v>2703</v>
      </c>
      <c r="AM2684" s="24">
        <v>732969.10833567567</v>
      </c>
    </row>
    <row r="2685" spans="38:39">
      <c r="AL2685" s="133">
        <v>2704</v>
      </c>
      <c r="AM2685" s="24">
        <v>733062.44382715866</v>
      </c>
    </row>
    <row r="2686" spans="38:39">
      <c r="AL2686" s="133">
        <v>2705</v>
      </c>
      <c r="AM2686" s="24">
        <v>733155.77206874639</v>
      </c>
    </row>
    <row r="2687" spans="38:39">
      <c r="AL2687" s="133">
        <v>2706</v>
      </c>
      <c r="AM2687" s="24">
        <v>733249.0931261623</v>
      </c>
    </row>
    <row r="2688" spans="38:39">
      <c r="AL2688" s="133">
        <v>2707</v>
      </c>
      <c r="AM2688" s="24">
        <v>733342.4070750291</v>
      </c>
    </row>
    <row r="2689" spans="38:39">
      <c r="AL2689" s="133">
        <v>2708</v>
      </c>
      <c r="AM2689" s="24">
        <v>733435.7139909697</v>
      </c>
    </row>
    <row r="2690" spans="38:39">
      <c r="AL2690" s="133">
        <v>2709</v>
      </c>
      <c r="AM2690" s="24">
        <v>733529.01394960692</v>
      </c>
    </row>
    <row r="2691" spans="38:39">
      <c r="AL2691" s="133">
        <v>2710</v>
      </c>
      <c r="AM2691" s="24">
        <v>733622.30701636896</v>
      </c>
    </row>
    <row r="2692" spans="38:39">
      <c r="AL2692" s="133">
        <v>2711</v>
      </c>
      <c r="AM2692" s="24">
        <v>733715.59328722721</v>
      </c>
    </row>
    <row r="2693" spans="38:39">
      <c r="AL2693" s="133">
        <v>2712</v>
      </c>
      <c r="AM2693" s="24">
        <v>733808.87282765086</v>
      </c>
    </row>
    <row r="2694" spans="38:39">
      <c r="AL2694" s="133">
        <v>2713</v>
      </c>
      <c r="AM2694" s="24">
        <v>733902.14571326261</v>
      </c>
    </row>
    <row r="2695" spans="38:39">
      <c r="AL2695" s="133">
        <v>2714</v>
      </c>
      <c r="AM2695" s="24">
        <v>733995.41201968538</v>
      </c>
    </row>
    <row r="2696" spans="38:39">
      <c r="AL2696" s="133">
        <v>2715</v>
      </c>
      <c r="AM2696" s="24">
        <v>734088.67182254186</v>
      </c>
    </row>
    <row r="2697" spans="38:39">
      <c r="AL2697" s="133">
        <v>2716</v>
      </c>
      <c r="AM2697" s="24">
        <v>734181.9251870251</v>
      </c>
    </row>
    <row r="2698" spans="38:39">
      <c r="AL2698" s="133">
        <v>2717</v>
      </c>
      <c r="AM2698" s="24">
        <v>734275.17220957973</v>
      </c>
    </row>
    <row r="2699" spans="38:39">
      <c r="AL2699" s="133">
        <v>2718</v>
      </c>
      <c r="AM2699" s="24">
        <v>734368.41295543697</v>
      </c>
    </row>
    <row r="2700" spans="38:39">
      <c r="AL2700" s="133">
        <v>2719</v>
      </c>
      <c r="AM2700" s="24">
        <v>734461.64750021952</v>
      </c>
    </row>
    <row r="2701" spans="38:39">
      <c r="AL2701" s="133">
        <v>2720</v>
      </c>
      <c r="AM2701" s="24">
        <v>734554.87591955019</v>
      </c>
    </row>
    <row r="2702" spans="38:39">
      <c r="AL2702" s="133">
        <v>2721</v>
      </c>
      <c r="AM2702" s="24">
        <v>734648.09828905179</v>
      </c>
    </row>
    <row r="2703" spans="38:39">
      <c r="AL2703" s="133">
        <v>2722</v>
      </c>
      <c r="AM2703" s="24">
        <v>734741.31467369839</v>
      </c>
    </row>
    <row r="2704" spans="38:39">
      <c r="AL2704" s="133">
        <v>2723</v>
      </c>
      <c r="AM2704" s="24">
        <v>734834.52517037524</v>
      </c>
    </row>
    <row r="2705" spans="38:39">
      <c r="AL2705" s="133">
        <v>2724</v>
      </c>
      <c r="AM2705" s="24">
        <v>734927.72984409193</v>
      </c>
    </row>
    <row r="2706" spans="38:39">
      <c r="AL2706" s="133">
        <v>2725</v>
      </c>
      <c r="AM2706" s="24">
        <v>735020.92877047113</v>
      </c>
    </row>
    <row r="2707" spans="38:39">
      <c r="AL2707" s="133">
        <v>2726</v>
      </c>
      <c r="AM2707" s="24">
        <v>735114.12202513556</v>
      </c>
    </row>
    <row r="2708" spans="38:39">
      <c r="AL2708" s="133">
        <v>2727</v>
      </c>
      <c r="AM2708" s="24">
        <v>735207.30968370824</v>
      </c>
    </row>
    <row r="2709" spans="38:39">
      <c r="AL2709" s="133">
        <v>2728</v>
      </c>
      <c r="AM2709" s="24">
        <v>735300.49963431177</v>
      </c>
    </row>
    <row r="2710" spans="38:39">
      <c r="AL2710" s="133">
        <v>2729</v>
      </c>
      <c r="AM2710" s="24">
        <v>735393.66850418504</v>
      </c>
    </row>
    <row r="2711" spans="38:39">
      <c r="AL2711" s="133">
        <v>2730</v>
      </c>
      <c r="AM2711" s="24">
        <v>735486.83982818702</v>
      </c>
    </row>
    <row r="2712" spans="38:39">
      <c r="AL2712" s="133">
        <v>2731</v>
      </c>
      <c r="AM2712" s="24">
        <v>735580.00585858873</v>
      </c>
    </row>
    <row r="2713" spans="38:39">
      <c r="AL2713" s="133">
        <v>2732</v>
      </c>
      <c r="AM2713" s="24">
        <v>735673.16667101288</v>
      </c>
    </row>
    <row r="2714" spans="38:39">
      <c r="AL2714" s="133">
        <v>2733</v>
      </c>
      <c r="AM2714" s="24">
        <v>735766.32234108238</v>
      </c>
    </row>
    <row r="2715" spans="38:39">
      <c r="AL2715" s="133">
        <v>2734</v>
      </c>
      <c r="AM2715" s="24">
        <v>735859.48075691995</v>
      </c>
    </row>
    <row r="2716" spans="38:39">
      <c r="AL2716" s="133">
        <v>2735</v>
      </c>
      <c r="AM2716" s="24">
        <v>735952.61073308066</v>
      </c>
    </row>
    <row r="2717" spans="38:39">
      <c r="AL2717" s="133">
        <v>2736</v>
      </c>
      <c r="AM2717" s="24">
        <v>736045.75924229377</v>
      </c>
    </row>
    <row r="2718" spans="38:39">
      <c r="AL2718" s="133">
        <v>2737</v>
      </c>
      <c r="AM2718" s="24">
        <v>736138.89509914373</v>
      </c>
    </row>
    <row r="2719" spans="38:39">
      <c r="AL2719" s="133">
        <v>2738</v>
      </c>
      <c r="AM2719" s="24">
        <v>736232.02619175345</v>
      </c>
    </row>
    <row r="2720" spans="38:39">
      <c r="AL2720" s="133">
        <v>2739</v>
      </c>
      <c r="AM2720" s="24">
        <v>736325.15259574563</v>
      </c>
    </row>
    <row r="2721" spans="38:39">
      <c r="AL2721" s="133">
        <v>2740</v>
      </c>
      <c r="AM2721" s="24">
        <v>736418.28219924308</v>
      </c>
    </row>
    <row r="2722" spans="38:39">
      <c r="AL2722" s="133">
        <v>2741</v>
      </c>
      <c r="AM2722" s="24">
        <v>736511.38381663326</v>
      </c>
    </row>
    <row r="2723" spans="38:39">
      <c r="AL2723" s="133">
        <v>2742</v>
      </c>
      <c r="AM2723" s="24">
        <v>736604.50442098337</v>
      </c>
    </row>
    <row r="2724" spans="38:39">
      <c r="AL2724" s="133">
        <v>2743</v>
      </c>
      <c r="AM2724" s="24">
        <v>736697.61282670754</v>
      </c>
    </row>
    <row r="2725" spans="38:39">
      <c r="AL2725" s="133">
        <v>2744</v>
      </c>
      <c r="AM2725" s="24">
        <v>736790.71692192869</v>
      </c>
    </row>
    <row r="2726" spans="38:39">
      <c r="AL2726" s="133">
        <v>2745</v>
      </c>
      <c r="AM2726" s="24">
        <v>736883.81678226939</v>
      </c>
    </row>
    <row r="2727" spans="38:39">
      <c r="AL2727" s="133">
        <v>2746</v>
      </c>
      <c r="AM2727" s="24">
        <v>736976.9124833527</v>
      </c>
    </row>
    <row r="2728" spans="38:39">
      <c r="AL2728" s="133">
        <v>2747</v>
      </c>
      <c r="AM2728" s="24">
        <v>737069.99627691437</v>
      </c>
    </row>
    <row r="2729" spans="38:39">
      <c r="AL2729" s="133">
        <v>2748</v>
      </c>
      <c r="AM2729" s="24">
        <v>737163.09169882734</v>
      </c>
    </row>
    <row r="2730" spans="38:39">
      <c r="AL2730" s="133">
        <v>2749</v>
      </c>
      <c r="AM2730" s="24">
        <v>737256.17537585157</v>
      </c>
    </row>
    <row r="2731" spans="38:39">
      <c r="AL2731" s="133">
        <v>2750</v>
      </c>
      <c r="AM2731" s="24">
        <v>737349.25519610988</v>
      </c>
    </row>
    <row r="2732" spans="38:39">
      <c r="AL2732" s="133">
        <v>2751</v>
      </c>
      <c r="AM2732" s="24">
        <v>737442.33123522508</v>
      </c>
    </row>
    <row r="2733" spans="38:39">
      <c r="AL2733" s="133">
        <v>2752</v>
      </c>
      <c r="AM2733" s="24">
        <v>737535.40356306965</v>
      </c>
    </row>
    <row r="2734" spans="38:39">
      <c r="AL2734" s="133">
        <v>2753</v>
      </c>
      <c r="AM2734" s="24">
        <v>737628.47226675635</v>
      </c>
    </row>
    <row r="2735" spans="38:39">
      <c r="AL2735" s="133">
        <v>2754</v>
      </c>
      <c r="AM2735" s="24">
        <v>737721.53741616849</v>
      </c>
    </row>
    <row r="2736" spans="38:39">
      <c r="AL2736" s="133">
        <v>2755</v>
      </c>
      <c r="AM2736" s="24">
        <v>737814.599081147</v>
      </c>
    </row>
    <row r="2737" spans="38:39">
      <c r="AL2737" s="133">
        <v>2756</v>
      </c>
      <c r="AM2737" s="24">
        <v>737907.65734886844</v>
      </c>
    </row>
    <row r="2738" spans="38:39">
      <c r="AL2738" s="133">
        <v>2757</v>
      </c>
      <c r="AM2738" s="24">
        <v>738000.71228918398</v>
      </c>
    </row>
    <row r="2739" spans="38:39">
      <c r="AL2739" s="133">
        <v>2758</v>
      </c>
      <c r="AM2739" s="24">
        <v>738093.76397190522</v>
      </c>
    </row>
    <row r="2740" spans="38:39">
      <c r="AL2740" s="133">
        <v>2759</v>
      </c>
      <c r="AM2740" s="24">
        <v>738186.81248426787</v>
      </c>
    </row>
    <row r="2741" spans="38:39">
      <c r="AL2741" s="133">
        <v>2760</v>
      </c>
      <c r="AM2741" s="24">
        <v>738279.85789609316</v>
      </c>
    </row>
    <row r="2742" spans="38:39">
      <c r="AL2742" s="133">
        <v>2761</v>
      </c>
      <c r="AM2742" s="24">
        <v>738372.90027716546</v>
      </c>
    </row>
    <row r="2743" spans="38:39">
      <c r="AL2743" s="133">
        <v>2762</v>
      </c>
      <c r="AM2743" s="24">
        <v>738465.93971477577</v>
      </c>
    </row>
    <row r="2744" spans="38:39">
      <c r="AL2744" s="133">
        <v>2763</v>
      </c>
      <c r="AM2744" s="24">
        <v>738558.97627871751</v>
      </c>
    </row>
    <row r="2745" spans="38:39">
      <c r="AL2745" s="133">
        <v>2764</v>
      </c>
      <c r="AM2745" s="24">
        <v>738652.01395086315</v>
      </c>
    </row>
    <row r="2746" spans="38:39">
      <c r="AL2746" s="133">
        <v>2765</v>
      </c>
      <c r="AM2746" s="24">
        <v>738745.04108221387</v>
      </c>
    </row>
    <row r="2747" spans="38:39">
      <c r="AL2747" s="133">
        <v>2766</v>
      </c>
      <c r="AM2747" s="24">
        <v>738838.06947887829</v>
      </c>
    </row>
    <row r="2748" spans="38:39">
      <c r="AL2748" s="133">
        <v>2767</v>
      </c>
      <c r="AM2748" s="24">
        <v>738931.09921061527</v>
      </c>
    </row>
    <row r="2749" spans="38:39">
      <c r="AL2749" s="133">
        <v>2768</v>
      </c>
      <c r="AM2749" s="24">
        <v>739024.11862840329</v>
      </c>
    </row>
    <row r="2750" spans="38:39">
      <c r="AL2750" s="133">
        <v>2769</v>
      </c>
      <c r="AM2750" s="24">
        <v>739117.13953839696</v>
      </c>
    </row>
    <row r="2751" spans="38:39">
      <c r="AL2751" s="133">
        <v>2770</v>
      </c>
      <c r="AM2751" s="24">
        <v>739210.16201033187</v>
      </c>
    </row>
    <row r="2752" spans="38:39">
      <c r="AL2752" s="133">
        <v>2771</v>
      </c>
      <c r="AM2752" s="24">
        <v>739303.17439516552</v>
      </c>
    </row>
    <row r="2753" spans="38:39">
      <c r="AL2753" s="133">
        <v>2772</v>
      </c>
      <c r="AM2753" s="24">
        <v>739396.18849909492</v>
      </c>
    </row>
    <row r="2754" spans="38:39">
      <c r="AL2754" s="133">
        <v>2773</v>
      </c>
      <c r="AM2754" s="24">
        <v>739489.20048558409</v>
      </c>
    </row>
    <row r="2755" spans="38:39">
      <c r="AL2755" s="133">
        <v>2774</v>
      </c>
      <c r="AM2755" s="24">
        <v>739582.21042432217</v>
      </c>
    </row>
    <row r="2756" spans="38:39">
      <c r="AL2756" s="133">
        <v>2775</v>
      </c>
      <c r="AM2756" s="24">
        <v>739675.21840279363</v>
      </c>
    </row>
    <row r="2757" spans="38:39">
      <c r="AL2757" s="133">
        <v>2776</v>
      </c>
      <c r="AM2757" s="24">
        <v>739768.22448772111</v>
      </c>
    </row>
    <row r="2758" spans="38:39">
      <c r="AL2758" s="133">
        <v>2777</v>
      </c>
      <c r="AM2758" s="24">
        <v>739861.22876066971</v>
      </c>
    </row>
    <row r="2759" spans="38:39">
      <c r="AL2759" s="133">
        <v>2778</v>
      </c>
      <c r="AM2759" s="24">
        <v>739954.23129131459</v>
      </c>
    </row>
    <row r="2760" spans="38:39">
      <c r="AL2760" s="133">
        <v>2779</v>
      </c>
      <c r="AM2760" s="24">
        <v>740047.23215825169</v>
      </c>
    </row>
    <row r="2761" spans="38:39">
      <c r="AL2761" s="133">
        <v>2780</v>
      </c>
      <c r="AM2761" s="24">
        <v>740140.23144008638</v>
      </c>
    </row>
    <row r="2762" spans="38:39">
      <c r="AL2762" s="133">
        <v>2781</v>
      </c>
      <c r="AM2762" s="24">
        <v>740233.22920647915</v>
      </c>
    </row>
    <row r="2763" spans="38:39">
      <c r="AL2763" s="133">
        <v>2782</v>
      </c>
      <c r="AM2763" s="24">
        <v>740326.22749214503</v>
      </c>
    </row>
    <row r="2764" spans="38:39">
      <c r="AL2764" s="133">
        <v>2783</v>
      </c>
      <c r="AM2764" s="24">
        <v>740419.22050736065</v>
      </c>
    </row>
    <row r="2765" spans="38:39">
      <c r="AL2765" s="133">
        <v>2784</v>
      </c>
      <c r="AM2765" s="24">
        <v>740512.2141901087</v>
      </c>
    </row>
    <row r="2766" spans="38:39">
      <c r="AL2766" s="133">
        <v>2785</v>
      </c>
      <c r="AM2766" s="24">
        <v>740605.2086190047</v>
      </c>
    </row>
    <row r="2767" spans="38:39">
      <c r="AL2767" s="133">
        <v>2786</v>
      </c>
      <c r="AM2767" s="24">
        <v>740698.19800431374</v>
      </c>
    </row>
    <row r="2768" spans="38:39">
      <c r="AL2768" s="133">
        <v>2787</v>
      </c>
      <c r="AM2768" s="24">
        <v>740791.1882840246</v>
      </c>
    </row>
    <row r="2769" spans="38:39">
      <c r="AL2769" s="133">
        <v>2788</v>
      </c>
      <c r="AM2769" s="24">
        <v>740884.17758213379</v>
      </c>
    </row>
    <row r="2770" spans="38:39">
      <c r="AL2770" s="133">
        <v>2789</v>
      </c>
      <c r="AM2770" s="24">
        <v>740977.1659727674</v>
      </c>
    </row>
    <row r="2771" spans="38:39">
      <c r="AL2771" s="133">
        <v>2790</v>
      </c>
      <c r="AM2771" s="24">
        <v>741070.1535315481</v>
      </c>
    </row>
    <row r="2772" spans="38:39">
      <c r="AL2772" s="133">
        <v>2791</v>
      </c>
      <c r="AM2772" s="24">
        <v>741163.14131066168</v>
      </c>
    </row>
    <row r="2773" spans="38:39">
      <c r="AL2773" s="133">
        <v>2792</v>
      </c>
      <c r="AM2773" s="24">
        <v>741256.12645454274</v>
      </c>
    </row>
    <row r="2774" spans="38:39">
      <c r="AL2774" s="133">
        <v>2793</v>
      </c>
      <c r="AM2774" s="24">
        <v>741349.11197150266</v>
      </c>
    </row>
    <row r="2775" spans="38:39">
      <c r="AL2775" s="133">
        <v>2794</v>
      </c>
      <c r="AM2775" s="24">
        <v>741442.09695835109</v>
      </c>
    </row>
    <row r="2776" spans="38:39">
      <c r="AL2776" s="133">
        <v>2795</v>
      </c>
      <c r="AM2776" s="24">
        <v>741535.08149221225</v>
      </c>
    </row>
    <row r="2777" spans="38:39">
      <c r="AL2777" s="133">
        <v>2796</v>
      </c>
      <c r="AM2777" s="24">
        <v>741628.06564720743</v>
      </c>
    </row>
    <row r="2778" spans="38:39">
      <c r="AL2778" s="133">
        <v>2797</v>
      </c>
      <c r="AM2778" s="24">
        <v>741721.04950008611</v>
      </c>
    </row>
    <row r="2779" spans="38:39">
      <c r="AL2779" s="133">
        <v>2798</v>
      </c>
      <c r="AM2779" s="24">
        <v>741814.03312609566</v>
      </c>
    </row>
    <row r="2780" spans="38:39">
      <c r="AL2780" s="133">
        <v>2799</v>
      </c>
      <c r="AM2780" s="24">
        <v>741907.01660085935</v>
      </c>
    </row>
    <row r="2781" spans="38:39">
      <c r="AL2781" s="133">
        <v>2800</v>
      </c>
      <c r="AM2781" s="24">
        <v>742000</v>
      </c>
    </row>
    <row r="2782" spans="38:39">
      <c r="AL2782" s="133"/>
    </row>
    <row r="2783" spans="38:39">
      <c r="AL2783" s="133"/>
    </row>
    <row r="2784" spans="38:39">
      <c r="AL2784" s="133"/>
    </row>
    <row r="2785" spans="38:38">
      <c r="AL2785" s="133"/>
    </row>
    <row r="2786" spans="38:38">
      <c r="AL2786" s="133"/>
    </row>
    <row r="2787" spans="38:38">
      <c r="AL2787" s="133"/>
    </row>
    <row r="2788" spans="38:38">
      <c r="AL2788" s="133"/>
    </row>
    <row r="2789" spans="38:38">
      <c r="AL2789" s="133"/>
    </row>
    <row r="2790" spans="38:38">
      <c r="AL2790" s="133"/>
    </row>
    <row r="2791" spans="38:38">
      <c r="AL2791" s="133"/>
    </row>
    <row r="2792" spans="38:38">
      <c r="AL2792" s="133"/>
    </row>
    <row r="2793" spans="38:38">
      <c r="AL2793" s="133"/>
    </row>
    <row r="2794" spans="38:38">
      <c r="AL2794" s="133"/>
    </row>
    <row r="2795" spans="38:38">
      <c r="AL2795" s="133"/>
    </row>
    <row r="2796" spans="38:38">
      <c r="AL2796" s="133"/>
    </row>
    <row r="2797" spans="38:38">
      <c r="AL2797" s="133"/>
    </row>
    <row r="2798" spans="38:38">
      <c r="AL2798" s="133"/>
    </row>
    <row r="2799" spans="38:38">
      <c r="AL2799" s="133"/>
    </row>
    <row r="2800" spans="38:38">
      <c r="AL2800" s="133"/>
    </row>
    <row r="2801" spans="38:38">
      <c r="AL2801" s="133"/>
    </row>
    <row r="2802" spans="38:38">
      <c r="AL2802" s="133"/>
    </row>
    <row r="2803" spans="38:38">
      <c r="AL2803" s="133"/>
    </row>
    <row r="2804" spans="38:38">
      <c r="AL2804" s="133"/>
    </row>
    <row r="2805" spans="38:38">
      <c r="AL2805" s="133"/>
    </row>
    <row r="2806" spans="38:38">
      <c r="AL2806" s="133"/>
    </row>
    <row r="2807" spans="38:38">
      <c r="AL2807" s="133"/>
    </row>
    <row r="2808" spans="38:38">
      <c r="AL2808" s="133"/>
    </row>
    <row r="2809" spans="38:38">
      <c r="AL2809" s="133"/>
    </row>
    <row r="2810" spans="38:38">
      <c r="AL2810" s="133"/>
    </row>
    <row r="2811" spans="38:38">
      <c r="AL2811" s="133"/>
    </row>
    <row r="2812" spans="38:38">
      <c r="AL2812" s="133"/>
    </row>
    <row r="2813" spans="38:38">
      <c r="AL2813" s="133"/>
    </row>
    <row r="2814" spans="38:38">
      <c r="AL2814" s="133"/>
    </row>
    <row r="2815" spans="38:38">
      <c r="AL2815" s="133"/>
    </row>
    <row r="2816" spans="38:38">
      <c r="AL2816" s="133"/>
    </row>
    <row r="2817" spans="38:38">
      <c r="AL2817" s="133"/>
    </row>
    <row r="2818" spans="38:38">
      <c r="AL2818" s="133"/>
    </row>
    <row r="2819" spans="38:38">
      <c r="AL2819" s="133"/>
    </row>
    <row r="2820" spans="38:38">
      <c r="AL2820" s="133"/>
    </row>
    <row r="2821" spans="38:38">
      <c r="AL2821" s="133"/>
    </row>
    <row r="2822" spans="38:38">
      <c r="AL2822" s="133"/>
    </row>
    <row r="2823" spans="38:38">
      <c r="AL2823" s="133"/>
    </row>
    <row r="2824" spans="38:38">
      <c r="AL2824" s="133"/>
    </row>
    <row r="2825" spans="38:38">
      <c r="AL2825" s="133"/>
    </row>
    <row r="2826" spans="38:38">
      <c r="AL2826" s="133"/>
    </row>
    <row r="2827" spans="38:38">
      <c r="AL2827" s="133"/>
    </row>
    <row r="2828" spans="38:38">
      <c r="AL2828" s="133"/>
    </row>
    <row r="2829" spans="38:38">
      <c r="AL2829" s="133"/>
    </row>
    <row r="2830" spans="38:38">
      <c r="AL2830" s="133"/>
    </row>
    <row r="2831" spans="38:38">
      <c r="AL2831" s="133"/>
    </row>
    <row r="2832" spans="38:38">
      <c r="AL2832" s="133"/>
    </row>
    <row r="2833" spans="38:38">
      <c r="AL2833" s="133"/>
    </row>
    <row r="2834" spans="38:38">
      <c r="AL2834" s="133"/>
    </row>
    <row r="2835" spans="38:38">
      <c r="AL2835" s="133"/>
    </row>
    <row r="2836" spans="38:38">
      <c r="AL2836" s="133"/>
    </row>
    <row r="2837" spans="38:38">
      <c r="AL2837" s="133"/>
    </row>
    <row r="2838" spans="38:38">
      <c r="AL2838" s="133"/>
    </row>
    <row r="2839" spans="38:38">
      <c r="AL2839" s="133"/>
    </row>
    <row r="2840" spans="38:38">
      <c r="AL2840" s="133"/>
    </row>
    <row r="2841" spans="38:38">
      <c r="AL2841" s="133"/>
    </row>
    <row r="2842" spans="38:38">
      <c r="AL2842" s="133"/>
    </row>
    <row r="2843" spans="38:38">
      <c r="AL2843" s="133"/>
    </row>
    <row r="2844" spans="38:38">
      <c r="AL2844" s="133"/>
    </row>
    <row r="2845" spans="38:38">
      <c r="AL2845" s="133"/>
    </row>
    <row r="2846" spans="38:38">
      <c r="AL2846" s="133"/>
    </row>
    <row r="2847" spans="38:38">
      <c r="AL2847" s="133"/>
    </row>
    <row r="2848" spans="38:38">
      <c r="AL2848" s="133"/>
    </row>
    <row r="2849" spans="38:38">
      <c r="AL2849" s="133"/>
    </row>
    <row r="2850" spans="38:38">
      <c r="AL2850" s="133"/>
    </row>
    <row r="2851" spans="38:38">
      <c r="AL2851" s="133"/>
    </row>
    <row r="2852" spans="38:38">
      <c r="AL2852" s="133"/>
    </row>
    <row r="2853" spans="38:38">
      <c r="AL2853" s="133"/>
    </row>
    <row r="2854" spans="38:38">
      <c r="AL2854" s="133"/>
    </row>
    <row r="2855" spans="38:38">
      <c r="AL2855" s="133"/>
    </row>
    <row r="2856" spans="38:38">
      <c r="AL2856" s="133"/>
    </row>
    <row r="2857" spans="38:38">
      <c r="AL2857" s="133"/>
    </row>
    <row r="2858" spans="38:38">
      <c r="AL2858" s="133"/>
    </row>
    <row r="2859" spans="38:38">
      <c r="AL2859" s="133"/>
    </row>
    <row r="2860" spans="38:38">
      <c r="AL2860" s="133"/>
    </row>
    <row r="2861" spans="38:38">
      <c r="AL2861" s="133"/>
    </row>
    <row r="2862" spans="38:38">
      <c r="AL2862" s="133"/>
    </row>
    <row r="2863" spans="38:38">
      <c r="AL2863" s="133"/>
    </row>
    <row r="2864" spans="38:38">
      <c r="AL2864" s="133"/>
    </row>
    <row r="2865" spans="38:38">
      <c r="AL2865" s="133"/>
    </row>
    <row r="2866" spans="38:38">
      <c r="AL2866" s="133"/>
    </row>
    <row r="2867" spans="38:38">
      <c r="AL2867" s="133"/>
    </row>
    <row r="2868" spans="38:38">
      <c r="AL2868" s="133"/>
    </row>
    <row r="2869" spans="38:38">
      <c r="AL2869" s="133"/>
    </row>
    <row r="2870" spans="38:38">
      <c r="AL2870" s="133"/>
    </row>
    <row r="2871" spans="38:38">
      <c r="AL2871" s="133"/>
    </row>
    <row r="2872" spans="38:38">
      <c r="AL2872" s="133"/>
    </row>
    <row r="2873" spans="38:38">
      <c r="AL2873" s="133"/>
    </row>
    <row r="2874" spans="38:38">
      <c r="AL2874" s="133"/>
    </row>
    <row r="2875" spans="38:38">
      <c r="AL2875" s="133"/>
    </row>
    <row r="2876" spans="38:38">
      <c r="AL2876" s="133"/>
    </row>
    <row r="2877" spans="38:38">
      <c r="AL2877" s="133"/>
    </row>
    <row r="2878" spans="38:38">
      <c r="AL2878" s="133"/>
    </row>
    <row r="2879" spans="38:38">
      <c r="AL2879" s="133"/>
    </row>
    <row r="2880" spans="38:38">
      <c r="AL2880" s="133"/>
    </row>
    <row r="2881" spans="38:38">
      <c r="AL2881" s="133"/>
    </row>
    <row r="2882" spans="38:38">
      <c r="AL2882" s="133"/>
    </row>
    <row r="2883" spans="38:38">
      <c r="AL2883" s="133"/>
    </row>
    <row r="2884" spans="38:38">
      <c r="AL2884" s="133"/>
    </row>
    <row r="2885" spans="38:38">
      <c r="AL2885" s="133"/>
    </row>
    <row r="2886" spans="38:38">
      <c r="AL2886" s="133"/>
    </row>
    <row r="2887" spans="38:38">
      <c r="AL2887" s="133"/>
    </row>
    <row r="2888" spans="38:38">
      <c r="AL2888" s="133"/>
    </row>
    <row r="2889" spans="38:38">
      <c r="AL2889" s="133"/>
    </row>
    <row r="2890" spans="38:38">
      <c r="AL2890" s="133"/>
    </row>
    <row r="2891" spans="38:38">
      <c r="AL2891" s="133"/>
    </row>
    <row r="2892" spans="38:38">
      <c r="AL2892" s="133"/>
    </row>
    <row r="2893" spans="38:38">
      <c r="AL2893" s="133"/>
    </row>
    <row r="2894" spans="38:38">
      <c r="AL2894" s="133"/>
    </row>
    <row r="2895" spans="38:38">
      <c r="AL2895" s="133"/>
    </row>
    <row r="2896" spans="38:38">
      <c r="AL2896" s="133"/>
    </row>
    <row r="2897" spans="38:38">
      <c r="AL2897" s="133"/>
    </row>
    <row r="2898" spans="38:38">
      <c r="AL2898" s="133"/>
    </row>
    <row r="2899" spans="38:38">
      <c r="AL2899" s="133"/>
    </row>
    <row r="2900" spans="38:38">
      <c r="AL2900" s="133"/>
    </row>
    <row r="2901" spans="38:38">
      <c r="AL2901" s="133"/>
    </row>
    <row r="2902" spans="38:38">
      <c r="AL2902" s="133"/>
    </row>
    <row r="2903" spans="38:38">
      <c r="AL2903" s="133"/>
    </row>
    <row r="2904" spans="38:38">
      <c r="AL2904" s="133"/>
    </row>
    <row r="2905" spans="38:38">
      <c r="AL2905" s="133"/>
    </row>
    <row r="2906" spans="38:38">
      <c r="AL2906" s="133"/>
    </row>
    <row r="2907" spans="38:38">
      <c r="AL2907" s="133"/>
    </row>
    <row r="2908" spans="38:38">
      <c r="AL2908" s="133"/>
    </row>
    <row r="2909" spans="38:38">
      <c r="AL2909" s="133"/>
    </row>
    <row r="2910" spans="38:38">
      <c r="AL2910" s="133"/>
    </row>
    <row r="2911" spans="38:38">
      <c r="AL2911" s="133"/>
    </row>
    <row r="2912" spans="38:38">
      <c r="AL2912" s="133"/>
    </row>
    <row r="2913" spans="38:38">
      <c r="AL2913" s="133"/>
    </row>
    <row r="2914" spans="38:38">
      <c r="AL2914" s="133"/>
    </row>
    <row r="2915" spans="38:38">
      <c r="AL2915" s="133"/>
    </row>
    <row r="2916" spans="38:38">
      <c r="AL2916" s="133"/>
    </row>
    <row r="2917" spans="38:38">
      <c r="AL2917" s="133"/>
    </row>
    <row r="2918" spans="38:38">
      <c r="AL2918" s="133"/>
    </row>
    <row r="2919" spans="38:38">
      <c r="AL2919" s="133"/>
    </row>
    <row r="2920" spans="38:38">
      <c r="AL2920" s="133"/>
    </row>
    <row r="2921" spans="38:38">
      <c r="AL2921" s="133"/>
    </row>
    <row r="2922" spans="38:38">
      <c r="AL2922" s="133"/>
    </row>
    <row r="2923" spans="38:38">
      <c r="AL2923" s="133"/>
    </row>
    <row r="2924" spans="38:38">
      <c r="AL2924" s="133"/>
    </row>
    <row r="2925" spans="38:38">
      <c r="AL2925" s="133"/>
    </row>
    <row r="2926" spans="38:38">
      <c r="AL2926" s="133"/>
    </row>
    <row r="2927" spans="38:38">
      <c r="AL2927" s="133"/>
    </row>
    <row r="2928" spans="38:38">
      <c r="AL2928" s="133"/>
    </row>
    <row r="2929" spans="38:38">
      <c r="AL2929" s="133"/>
    </row>
    <row r="2930" spans="38:38">
      <c r="AL2930" s="133"/>
    </row>
    <row r="2931" spans="38:38">
      <c r="AL2931" s="133"/>
    </row>
    <row r="2932" spans="38:38">
      <c r="AL2932" s="133"/>
    </row>
    <row r="2933" spans="38:38">
      <c r="AL2933" s="133"/>
    </row>
    <row r="2934" spans="38:38">
      <c r="AL2934" s="133"/>
    </row>
    <row r="2935" spans="38:38">
      <c r="AL2935" s="133"/>
    </row>
    <row r="2936" spans="38:38">
      <c r="AL2936" s="133"/>
    </row>
    <row r="2937" spans="38:38">
      <c r="AL2937" s="133"/>
    </row>
    <row r="2938" spans="38:38">
      <c r="AL2938" s="133"/>
    </row>
    <row r="2939" spans="38:38">
      <c r="AL2939" s="133"/>
    </row>
    <row r="2940" spans="38:38">
      <c r="AL2940" s="133"/>
    </row>
    <row r="2941" spans="38:38">
      <c r="AL2941" s="133"/>
    </row>
    <row r="2942" spans="38:38">
      <c r="AL2942" s="133"/>
    </row>
    <row r="2943" spans="38:38">
      <c r="AL2943" s="133"/>
    </row>
    <row r="2944" spans="38:38">
      <c r="AL2944" s="133"/>
    </row>
    <row r="2945" spans="38:38">
      <c r="AL2945" s="133"/>
    </row>
    <row r="2946" spans="38:38">
      <c r="AL2946" s="133"/>
    </row>
    <row r="2947" spans="38:38">
      <c r="AL2947" s="133"/>
    </row>
    <row r="2948" spans="38:38">
      <c r="AL2948" s="133"/>
    </row>
    <row r="2949" spans="38:38">
      <c r="AL2949" s="133"/>
    </row>
    <row r="2950" spans="38:38">
      <c r="AL2950" s="133"/>
    </row>
    <row r="2951" spans="38:38">
      <c r="AL2951" s="133"/>
    </row>
    <row r="2952" spans="38:38">
      <c r="AL2952" s="133"/>
    </row>
    <row r="2953" spans="38:38">
      <c r="AL2953" s="133"/>
    </row>
    <row r="2954" spans="38:38">
      <c r="AL2954" s="133"/>
    </row>
    <row r="2955" spans="38:38">
      <c r="AL2955" s="133"/>
    </row>
    <row r="2956" spans="38:38">
      <c r="AL2956" s="133"/>
    </row>
    <row r="2957" spans="38:38">
      <c r="AL2957" s="133"/>
    </row>
    <row r="2958" spans="38:38">
      <c r="AL2958" s="133"/>
    </row>
    <row r="2959" spans="38:38">
      <c r="AL2959" s="133"/>
    </row>
    <row r="2960" spans="38:38">
      <c r="AL2960" s="133"/>
    </row>
    <row r="2961" spans="38:38">
      <c r="AL2961" s="133"/>
    </row>
    <row r="2962" spans="38:38">
      <c r="AL2962" s="133"/>
    </row>
    <row r="2963" spans="38:38">
      <c r="AL2963" s="133"/>
    </row>
    <row r="2964" spans="38:38">
      <c r="AL2964" s="133"/>
    </row>
    <row r="2965" spans="38:38">
      <c r="AL2965" s="133"/>
    </row>
    <row r="2966" spans="38:38">
      <c r="AL2966" s="133"/>
    </row>
    <row r="2967" spans="38:38">
      <c r="AL2967" s="133"/>
    </row>
    <row r="2968" spans="38:38">
      <c r="AL2968" s="133"/>
    </row>
    <row r="2969" spans="38:38">
      <c r="AL2969" s="133"/>
    </row>
    <row r="2970" spans="38:38">
      <c r="AL2970" s="133"/>
    </row>
    <row r="2971" spans="38:38">
      <c r="AL2971" s="133"/>
    </row>
    <row r="2972" spans="38:38">
      <c r="AL2972" s="133"/>
    </row>
    <row r="2973" spans="38:38">
      <c r="AL2973" s="133"/>
    </row>
    <row r="2974" spans="38:38">
      <c r="AL2974" s="133"/>
    </row>
    <row r="2975" spans="38:38">
      <c r="AL2975" s="133"/>
    </row>
    <row r="2976" spans="38:38">
      <c r="AL2976" s="133"/>
    </row>
    <row r="2977" spans="38:38">
      <c r="AL2977" s="133"/>
    </row>
    <row r="2978" spans="38:38">
      <c r="AL2978" s="133"/>
    </row>
    <row r="2979" spans="38:38">
      <c r="AL2979" s="133"/>
    </row>
    <row r="2980" spans="38:38">
      <c r="AL2980" s="133"/>
    </row>
    <row r="2981" spans="38:38">
      <c r="AL2981" s="133"/>
    </row>
    <row r="2982" spans="38:38">
      <c r="AL2982" s="133"/>
    </row>
    <row r="2983" spans="38:38">
      <c r="AL2983" s="133"/>
    </row>
    <row r="2984" spans="38:38">
      <c r="AL2984" s="133"/>
    </row>
    <row r="2985" spans="38:38">
      <c r="AL2985" s="133"/>
    </row>
    <row r="2986" spans="38:38">
      <c r="AL2986" s="133"/>
    </row>
    <row r="2987" spans="38:38">
      <c r="AL2987" s="133"/>
    </row>
    <row r="2988" spans="38:38">
      <c r="AL2988" s="133"/>
    </row>
    <row r="2989" spans="38:38">
      <c r="AL2989" s="133"/>
    </row>
    <row r="2990" spans="38:38">
      <c r="AL2990" s="133"/>
    </row>
    <row r="2991" spans="38:38">
      <c r="AL2991" s="133"/>
    </row>
    <row r="2992" spans="38:38">
      <c r="AL2992" s="133"/>
    </row>
    <row r="2993" spans="38:38">
      <c r="AL2993" s="133"/>
    </row>
    <row r="2994" spans="38:38">
      <c r="AL2994" s="133"/>
    </row>
    <row r="2995" spans="38:38">
      <c r="AL2995" s="133"/>
    </row>
    <row r="2996" spans="38:38">
      <c r="AL2996" s="133"/>
    </row>
    <row r="2997" spans="38:38">
      <c r="AL2997" s="133"/>
    </row>
    <row r="2998" spans="38:38">
      <c r="AL2998" s="133"/>
    </row>
    <row r="2999" spans="38:38">
      <c r="AL2999" s="133"/>
    </row>
    <row r="3000" spans="38:38">
      <c r="AL3000" s="133"/>
    </row>
  </sheetData>
  <sheetProtection formatCells="0"/>
  <customSheetViews>
    <customSheetView guid="{E5D99FF3-C22B-41B8-A40B-5D821532B165}" scale="85" showPageBreaks="1" fitToPage="1" printArea="1" hiddenRows="1" hiddenColumns="1" view="pageBreakPreview" topLeftCell="A7">
      <selection activeCell="J13" sqref="J13:K13"/>
      <pageMargins left="0.75" right="0" top="0.5" bottom="0.5" header="0.5" footer="0.5"/>
      <pageSetup scale="56" orientation="portrait" r:id="rId1"/>
      <headerFooter alignWithMargins="0"/>
    </customSheetView>
  </customSheetViews>
  <mergeCells count="297">
    <mergeCell ref="S349:T349"/>
    <mergeCell ref="U349:V349"/>
    <mergeCell ref="S344:T344"/>
    <mergeCell ref="U344:V344"/>
    <mergeCell ref="S345:T345"/>
    <mergeCell ref="U345:V345"/>
    <mergeCell ref="S346:T346"/>
    <mergeCell ref="U346:V346"/>
    <mergeCell ref="S347:T347"/>
    <mergeCell ref="U347:V347"/>
    <mergeCell ref="S348:T348"/>
    <mergeCell ref="U348:V348"/>
    <mergeCell ref="B41:C41"/>
    <mergeCell ref="B42:C42"/>
    <mergeCell ref="B48:C48"/>
    <mergeCell ref="B49:C49"/>
    <mergeCell ref="J12:K12"/>
    <mergeCell ref="J11:K11"/>
    <mergeCell ref="J29:K29"/>
    <mergeCell ref="J30:K30"/>
    <mergeCell ref="J18:K18"/>
    <mergeCell ref="J17:K17"/>
    <mergeCell ref="B39:C39"/>
    <mergeCell ref="B40:C40"/>
    <mergeCell ref="J27:K27"/>
    <mergeCell ref="J28:K28"/>
    <mergeCell ref="B38:C38"/>
    <mergeCell ref="B34:C34"/>
    <mergeCell ref="B35:C35"/>
    <mergeCell ref="B36:C36"/>
    <mergeCell ref="B29:C29"/>
    <mergeCell ref="B30:C30"/>
    <mergeCell ref="B31:C31"/>
    <mergeCell ref="B32:C32"/>
    <mergeCell ref="B33:C33"/>
    <mergeCell ref="B11:C11"/>
    <mergeCell ref="B56:C56"/>
    <mergeCell ref="D54:H54"/>
    <mergeCell ref="D50:H50"/>
    <mergeCell ref="D47:H47"/>
    <mergeCell ref="D48:H48"/>
    <mergeCell ref="D49:H49"/>
    <mergeCell ref="J52:K52"/>
    <mergeCell ref="J51:K51"/>
    <mergeCell ref="D55:K55"/>
    <mergeCell ref="B53:C53"/>
    <mergeCell ref="J47:K47"/>
    <mergeCell ref="B50:C50"/>
    <mergeCell ref="B55:C55"/>
    <mergeCell ref="B54:C54"/>
    <mergeCell ref="P2:Q2"/>
    <mergeCell ref="P3:Q3"/>
    <mergeCell ref="P4:Q4"/>
    <mergeCell ref="P5:Q5"/>
    <mergeCell ref="B6:D6"/>
    <mergeCell ref="E6:I6"/>
    <mergeCell ref="J6:L6"/>
    <mergeCell ref="E2:O5"/>
    <mergeCell ref="M10:R10"/>
    <mergeCell ref="J8:L8"/>
    <mergeCell ref="E8:I8"/>
    <mergeCell ref="B8:D8"/>
    <mergeCell ref="E7:I7"/>
    <mergeCell ref="B7:D7"/>
    <mergeCell ref="J7:L7"/>
    <mergeCell ref="M6:R6"/>
    <mergeCell ref="M7:R7"/>
    <mergeCell ref="M8:R8"/>
    <mergeCell ref="D10:K10"/>
    <mergeCell ref="B10:C10"/>
    <mergeCell ref="B9:R9"/>
    <mergeCell ref="B12:C12"/>
    <mergeCell ref="J15:K15"/>
    <mergeCell ref="J33:K33"/>
    <mergeCell ref="J38:K38"/>
    <mergeCell ref="D35:K35"/>
    <mergeCell ref="J37:K37"/>
    <mergeCell ref="J36:K36"/>
    <mergeCell ref="P320:Q320"/>
    <mergeCell ref="P321:Q321"/>
    <mergeCell ref="D45:H45"/>
    <mergeCell ref="P27:Q28"/>
    <mergeCell ref="N19:O19"/>
    <mergeCell ref="B27:C27"/>
    <mergeCell ref="B28:C28"/>
    <mergeCell ref="J19:K19"/>
    <mergeCell ref="J23:K23"/>
    <mergeCell ref="J25:K25"/>
    <mergeCell ref="J13:K13"/>
    <mergeCell ref="N17:O18"/>
    <mergeCell ref="M17:M18"/>
    <mergeCell ref="B24:C24"/>
    <mergeCell ref="B26:C26"/>
    <mergeCell ref="B25:C25"/>
    <mergeCell ref="B15:C15"/>
    <mergeCell ref="N20:O20"/>
    <mergeCell ref="N21:O21"/>
    <mergeCell ref="P322:Q322"/>
    <mergeCell ref="J40:K40"/>
    <mergeCell ref="J34:K34"/>
    <mergeCell ref="J39:K39"/>
    <mergeCell ref="J41:K41"/>
    <mergeCell ref="P319:Q319"/>
    <mergeCell ref="J45:K45"/>
    <mergeCell ref="P317:Q318"/>
    <mergeCell ref="J46:K46"/>
    <mergeCell ref="D44:K44"/>
    <mergeCell ref="N45:O45"/>
    <mergeCell ref="N46:O46"/>
    <mergeCell ref="N47:O47"/>
    <mergeCell ref="J54:K54"/>
    <mergeCell ref="N48:O48"/>
    <mergeCell ref="N51:N52"/>
    <mergeCell ref="J48:K48"/>
    <mergeCell ref="J53:K53"/>
    <mergeCell ref="B13:C13"/>
    <mergeCell ref="B14:C14"/>
    <mergeCell ref="N27:O28"/>
    <mergeCell ref="B37:C37"/>
    <mergeCell ref="N22:O22"/>
    <mergeCell ref="J20:K20"/>
    <mergeCell ref="J21:K21"/>
    <mergeCell ref="J22:K22"/>
    <mergeCell ref="N26:Q26"/>
    <mergeCell ref="N29:Q29"/>
    <mergeCell ref="B23:C23"/>
    <mergeCell ref="J16:K16"/>
    <mergeCell ref="D32:K32"/>
    <mergeCell ref="D26:I26"/>
    <mergeCell ref="D24:K24"/>
    <mergeCell ref="J14:K14"/>
    <mergeCell ref="B16:C16"/>
    <mergeCell ref="B17:C17"/>
    <mergeCell ref="B18:C18"/>
    <mergeCell ref="B19:C19"/>
    <mergeCell ref="B20:C20"/>
    <mergeCell ref="B21:C21"/>
    <mergeCell ref="B22:C22"/>
    <mergeCell ref="J26:K26"/>
    <mergeCell ref="B308:C308"/>
    <mergeCell ref="E308:G308"/>
    <mergeCell ref="P308:R308"/>
    <mergeCell ref="B309:C309"/>
    <mergeCell ref="B310:C310"/>
    <mergeCell ref="D310:K310"/>
    <mergeCell ref="M310:R311"/>
    <mergeCell ref="B311:C311"/>
    <mergeCell ref="J311:K311"/>
    <mergeCell ref="B312:C312"/>
    <mergeCell ref="J312:K312"/>
    <mergeCell ref="B313:C313"/>
    <mergeCell ref="J313:K313"/>
    <mergeCell ref="B314:C314"/>
    <mergeCell ref="J314:K314"/>
    <mergeCell ref="B315:C315"/>
    <mergeCell ref="J315:K315"/>
    <mergeCell ref="B316:C316"/>
    <mergeCell ref="J316:K316"/>
    <mergeCell ref="B317:C317"/>
    <mergeCell ref="J317:K317"/>
    <mergeCell ref="B318:C318"/>
    <mergeCell ref="J318:K318"/>
    <mergeCell ref="B319:C319"/>
    <mergeCell ref="J319:K319"/>
    <mergeCell ref="N319:O319"/>
    <mergeCell ref="B320:C320"/>
    <mergeCell ref="J320:K320"/>
    <mergeCell ref="N320:O320"/>
    <mergeCell ref="N317:O318"/>
    <mergeCell ref="B321:C321"/>
    <mergeCell ref="J321:K321"/>
    <mergeCell ref="N321:O321"/>
    <mergeCell ref="B322:C322"/>
    <mergeCell ref="J322:K322"/>
    <mergeCell ref="N322:O322"/>
    <mergeCell ref="B323:C323"/>
    <mergeCell ref="J323:K323"/>
    <mergeCell ref="B324:C324"/>
    <mergeCell ref="D324:K324"/>
    <mergeCell ref="B325:C325"/>
    <mergeCell ref="J325:K325"/>
    <mergeCell ref="B326:C326"/>
    <mergeCell ref="D326:I326"/>
    <mergeCell ref="J326:K326"/>
    <mergeCell ref="N326:Q326"/>
    <mergeCell ref="B327:C327"/>
    <mergeCell ref="J327:K327"/>
    <mergeCell ref="N327:O328"/>
    <mergeCell ref="P327:Q328"/>
    <mergeCell ref="B328:C328"/>
    <mergeCell ref="J328:K328"/>
    <mergeCell ref="B329:C329"/>
    <mergeCell ref="J329:K329"/>
    <mergeCell ref="N329:Q329"/>
    <mergeCell ref="B330:C330"/>
    <mergeCell ref="J330:K330"/>
    <mergeCell ref="B331:C331"/>
    <mergeCell ref="B332:C332"/>
    <mergeCell ref="D332:K332"/>
    <mergeCell ref="B333:C333"/>
    <mergeCell ref="J333:K333"/>
    <mergeCell ref="J339:K339"/>
    <mergeCell ref="B340:C340"/>
    <mergeCell ref="J340:K340"/>
    <mergeCell ref="B341:C341"/>
    <mergeCell ref="J341:K341"/>
    <mergeCell ref="B342:C342"/>
    <mergeCell ref="D344:K344"/>
    <mergeCell ref="N344:O344"/>
    <mergeCell ref="B334:C334"/>
    <mergeCell ref="J334:K334"/>
    <mergeCell ref="B335:C335"/>
    <mergeCell ref="D335:K335"/>
    <mergeCell ref="B336:C336"/>
    <mergeCell ref="J336:K336"/>
    <mergeCell ref="B337:C337"/>
    <mergeCell ref="J337:K337"/>
    <mergeCell ref="B338:C338"/>
    <mergeCell ref="J338:K338"/>
    <mergeCell ref="B350:C350"/>
    <mergeCell ref="D350:H350"/>
    <mergeCell ref="J350:K350"/>
    <mergeCell ref="J351:K351"/>
    <mergeCell ref="M351:M352"/>
    <mergeCell ref="N351:N352"/>
    <mergeCell ref="J352:K352"/>
    <mergeCell ref="D347:H347"/>
    <mergeCell ref="J347:K347"/>
    <mergeCell ref="N347:O347"/>
    <mergeCell ref="B348:C348"/>
    <mergeCell ref="D348:H348"/>
    <mergeCell ref="J348:K348"/>
    <mergeCell ref="N348:O348"/>
    <mergeCell ref="B349:C349"/>
    <mergeCell ref="D349:H349"/>
    <mergeCell ref="J349:K349"/>
    <mergeCell ref="N349:O349"/>
    <mergeCell ref="J358:K358"/>
    <mergeCell ref="D359:H359"/>
    <mergeCell ref="J359:K359"/>
    <mergeCell ref="B353:C353"/>
    <mergeCell ref="J353:K353"/>
    <mergeCell ref="B354:C354"/>
    <mergeCell ref="D354:H354"/>
    <mergeCell ref="J354:K354"/>
    <mergeCell ref="B355:C355"/>
    <mergeCell ref="D355:K355"/>
    <mergeCell ref="B356:C356"/>
    <mergeCell ref="J357:K357"/>
    <mergeCell ref="AB68:AC68"/>
    <mergeCell ref="AB69:AC69"/>
    <mergeCell ref="AD38:AE38"/>
    <mergeCell ref="AD39:AE39"/>
    <mergeCell ref="AD40:AE40"/>
    <mergeCell ref="AD41:AE41"/>
    <mergeCell ref="Z38:AA38"/>
    <mergeCell ref="AB38:AC38"/>
    <mergeCell ref="D59:H59"/>
    <mergeCell ref="J57:K57"/>
    <mergeCell ref="J58:K58"/>
    <mergeCell ref="J59:K59"/>
    <mergeCell ref="P47:Q47"/>
    <mergeCell ref="P48:Q48"/>
    <mergeCell ref="N49:O49"/>
    <mergeCell ref="P49:Q49"/>
    <mergeCell ref="P44:Q44"/>
    <mergeCell ref="P45:Q45"/>
    <mergeCell ref="P46:Q46"/>
    <mergeCell ref="J49:K49"/>
    <mergeCell ref="J50:K50"/>
    <mergeCell ref="D46:H46"/>
    <mergeCell ref="M51:M52"/>
    <mergeCell ref="N44:O44"/>
    <mergeCell ref="P349:Q349"/>
    <mergeCell ref="P347:Q347"/>
    <mergeCell ref="Z68:AA68"/>
    <mergeCell ref="Z69:AA69"/>
    <mergeCell ref="B305:C305"/>
    <mergeCell ref="E305:G305"/>
    <mergeCell ref="P305:R305"/>
    <mergeCell ref="B306:C306"/>
    <mergeCell ref="E306:G306"/>
    <mergeCell ref="P306:R306"/>
    <mergeCell ref="B307:C307"/>
    <mergeCell ref="E307:G307"/>
    <mergeCell ref="P307:R307"/>
    <mergeCell ref="P348:Q348"/>
    <mergeCell ref="P344:Q344"/>
    <mergeCell ref="D345:H345"/>
    <mergeCell ref="J345:K345"/>
    <mergeCell ref="N345:O345"/>
    <mergeCell ref="P345:Q345"/>
    <mergeCell ref="D346:H346"/>
    <mergeCell ref="J346:K346"/>
    <mergeCell ref="N346:O346"/>
    <mergeCell ref="P346:Q346"/>
    <mergeCell ref="B339:C339"/>
  </mergeCells>
  <phoneticPr fontId="6" type="noConversion"/>
  <dataValidations count="1">
    <dataValidation type="list" allowBlank="1" showInputMessage="1" showErrorMessage="1" sqref="J17 J317">
      <formula1>$M$19:$M$22</formula1>
    </dataValidation>
  </dataValidations>
  <pageMargins left="0.75" right="0" top="0.5" bottom="0.5" header="0.5" footer="0.5"/>
  <pageSetup scale="53" orientation="portrait" r:id="rId2"/>
  <headerFooter alignWithMargins="0"/>
  <drawing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14:formula1>
            <xm:f>General!$O$115:$O$116</xm:f>
          </x14:formula1>
          <xm:sqref>J315:K315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G144"/>
  <sheetViews>
    <sheetView showGridLines="0" view="pageBreakPreview" zoomScale="80" zoomScaleNormal="70" zoomScaleSheetLayoutView="80" workbookViewId="0">
      <selection activeCell="N23" sqref="N23"/>
    </sheetView>
  </sheetViews>
  <sheetFormatPr defaultRowHeight="12.75"/>
  <cols>
    <col min="1" max="1" width="3.28515625" style="598" customWidth="1"/>
    <col min="2" max="2" width="3.7109375" style="600" customWidth="1"/>
    <col min="3" max="3" width="4.7109375" style="600" customWidth="1"/>
    <col min="4" max="6" width="8.7109375" style="600" customWidth="1"/>
    <col min="7" max="12" width="7.7109375" style="600" customWidth="1"/>
    <col min="13" max="13" width="9.7109375" style="600" customWidth="1"/>
    <col min="14" max="14" width="11" style="600" customWidth="1"/>
    <col min="15" max="15" width="14.85546875" style="600" bestFit="1" customWidth="1"/>
    <col min="16" max="16" width="5.7109375" style="600" customWidth="1"/>
    <col min="17" max="17" width="3.7109375" style="600" customWidth="1"/>
    <col min="18" max="18" width="10.7109375" style="600" customWidth="1"/>
    <col min="19" max="21" width="10.7109375" style="461" customWidth="1"/>
    <col min="22" max="16384" width="9.140625" style="461"/>
  </cols>
  <sheetData>
    <row r="1" spans="1:33" ht="13.5" thickBot="1">
      <c r="A1" s="613"/>
      <c r="B1" s="133"/>
      <c r="C1" s="133"/>
      <c r="D1" s="133"/>
      <c r="E1" s="133"/>
      <c r="F1" s="133"/>
      <c r="G1" s="133"/>
      <c r="H1" s="133"/>
      <c r="I1" s="133"/>
      <c r="J1" s="133"/>
      <c r="K1" s="133"/>
      <c r="L1" s="133"/>
      <c r="M1" s="133"/>
      <c r="N1" s="133"/>
      <c r="O1" s="133"/>
      <c r="P1" s="133"/>
      <c r="Q1" s="173" t="s">
        <v>211</v>
      </c>
      <c r="R1" s="599">
        <f>'API 2000 Calculation'!R1+1</f>
        <v>3</v>
      </c>
      <c r="S1" s="453"/>
      <c r="T1" s="453"/>
      <c r="U1" s="453"/>
    </row>
    <row r="2" spans="1:33" ht="15.75">
      <c r="A2" s="613"/>
      <c r="B2" s="106"/>
      <c r="C2" s="107"/>
      <c r="D2" s="107"/>
      <c r="E2" s="915" t="s">
        <v>218</v>
      </c>
      <c r="F2" s="915"/>
      <c r="G2" s="915"/>
      <c r="H2" s="915"/>
      <c r="I2" s="915"/>
      <c r="J2" s="915"/>
      <c r="K2" s="915"/>
      <c r="L2" s="915"/>
      <c r="M2" s="915"/>
      <c r="N2" s="915"/>
      <c r="O2" s="915"/>
      <c r="P2" s="918" t="s">
        <v>161</v>
      </c>
      <c r="Q2" s="919"/>
      <c r="R2" s="175" t="str">
        <f>IF(ISBLANK([2]General!$E$6),"",[2]General!$E$6)</f>
        <v>A</v>
      </c>
      <c r="S2" s="454"/>
      <c r="T2" s="454"/>
    </row>
    <row r="3" spans="1:33" ht="12.75" customHeight="1">
      <c r="A3" s="613"/>
      <c r="B3" s="108"/>
      <c r="C3" s="57"/>
      <c r="D3" s="58"/>
      <c r="E3" s="916"/>
      <c r="F3" s="916"/>
      <c r="G3" s="916"/>
      <c r="H3" s="916"/>
      <c r="I3" s="916"/>
      <c r="J3" s="916"/>
      <c r="K3" s="916"/>
      <c r="L3" s="916"/>
      <c r="M3" s="916"/>
      <c r="N3" s="916"/>
      <c r="O3" s="916"/>
      <c r="P3" s="920" t="s">
        <v>212</v>
      </c>
      <c r="Q3" s="921"/>
      <c r="R3" s="176" t="str">
        <f>IF(ISBLANK([2]General!$E$12),"",[2]General!$E$12)</f>
        <v>NRB</v>
      </c>
      <c r="S3" s="454"/>
      <c r="T3" s="454"/>
    </row>
    <row r="4" spans="1:33" ht="12.75" customHeight="1">
      <c r="A4" s="613"/>
      <c r="B4" s="108"/>
      <c r="C4" s="57"/>
      <c r="D4" s="58"/>
      <c r="E4" s="916"/>
      <c r="F4" s="916"/>
      <c r="G4" s="916"/>
      <c r="H4" s="916"/>
      <c r="I4" s="916"/>
      <c r="J4" s="916"/>
      <c r="K4" s="916"/>
      <c r="L4" s="916"/>
      <c r="M4" s="916"/>
      <c r="N4" s="916"/>
      <c r="O4" s="916"/>
      <c r="P4" s="920" t="s">
        <v>213</v>
      </c>
      <c r="Q4" s="921"/>
      <c r="R4" s="177">
        <f>IF(ISBLANK([2]General!$E$13),"",[2]General!$E$13)</f>
        <v>41813</v>
      </c>
      <c r="S4" s="455"/>
      <c r="T4" s="455"/>
    </row>
    <row r="5" spans="1:33" ht="12.75" customHeight="1">
      <c r="A5" s="613"/>
      <c r="B5" s="116"/>
      <c r="C5" s="56"/>
      <c r="D5" s="56"/>
      <c r="E5" s="917"/>
      <c r="F5" s="917"/>
      <c r="G5" s="917"/>
      <c r="H5" s="917"/>
      <c r="I5" s="917"/>
      <c r="J5" s="917"/>
      <c r="K5" s="917"/>
      <c r="L5" s="917"/>
      <c r="M5" s="917"/>
      <c r="N5" s="917"/>
      <c r="O5" s="917"/>
      <c r="P5" s="920" t="s">
        <v>214</v>
      </c>
      <c r="Q5" s="921"/>
      <c r="R5" s="178" t="str">
        <f>IF(ISBLANK([2]General!$E$14),"",[2]General!$E$14)</f>
        <v/>
      </c>
      <c r="S5" s="454"/>
      <c r="T5" s="454"/>
    </row>
    <row r="6" spans="1:33">
      <c r="A6" s="613"/>
      <c r="B6" s="924" t="s">
        <v>165</v>
      </c>
      <c r="C6" s="925"/>
      <c r="D6" s="926"/>
      <c r="E6" s="927" t="str">
        <f>IF(ISBLANK([2]General!$E$8),"",[2]General!$E$8)</f>
        <v>Flint Hills Resources</v>
      </c>
      <c r="F6" s="928"/>
      <c r="G6" s="928"/>
      <c r="H6" s="928"/>
      <c r="I6" s="928"/>
      <c r="J6" s="930" t="s">
        <v>215</v>
      </c>
      <c r="K6" s="931"/>
      <c r="L6" s="932"/>
      <c r="M6" s="927" t="str">
        <f>IF(ISBLANK([2]General!$C$30),"",[2]General!$C$30)</f>
        <v>High Pressure KO Drum</v>
      </c>
      <c r="N6" s="928"/>
      <c r="O6" s="928"/>
      <c r="P6" s="928"/>
      <c r="Q6" s="928"/>
      <c r="R6" s="933"/>
      <c r="S6" s="456"/>
      <c r="T6" s="456"/>
    </row>
    <row r="7" spans="1:33">
      <c r="A7" s="613"/>
      <c r="B7" s="895" t="s">
        <v>216</v>
      </c>
      <c r="C7" s="896"/>
      <c r="D7" s="897"/>
      <c r="E7" s="1126" t="str">
        <f>IF(ISBLANK([2]General!$E$9),"",[2]General!$E$9)</f>
        <v>EDCP</v>
      </c>
      <c r="F7" s="1127"/>
      <c r="G7" s="1127"/>
      <c r="H7" s="1127"/>
      <c r="I7" s="1128"/>
      <c r="J7" s="901" t="s">
        <v>217</v>
      </c>
      <c r="K7" s="902"/>
      <c r="L7" s="903"/>
      <c r="M7" s="1126" t="str">
        <f>IF(ISBLANK([2]General!$D$30),"",[2]General!$D$30)</f>
        <v>84V-11</v>
      </c>
      <c r="N7" s="1127"/>
      <c r="O7" s="1127"/>
      <c r="P7" s="1127"/>
      <c r="Q7" s="1127"/>
      <c r="R7" s="1132"/>
      <c r="S7" s="456"/>
      <c r="T7" s="456"/>
      <c r="U7" s="456"/>
    </row>
    <row r="8" spans="1:33" s="457" customFormat="1" ht="14.25" customHeight="1">
      <c r="B8" s="905" t="s">
        <v>176</v>
      </c>
      <c r="C8" s="906"/>
      <c r="D8" s="907"/>
      <c r="E8" s="908" t="str">
        <f>IF(ISBLANK([2]General!$E$17),"",[2]General!$E$17)</f>
        <v>Crude #3</v>
      </c>
      <c r="F8" s="909"/>
      <c r="G8" s="909"/>
      <c r="H8" s="909"/>
      <c r="I8" s="910"/>
      <c r="J8" s="911" t="s">
        <v>175</v>
      </c>
      <c r="K8" s="912"/>
      <c r="L8" s="913"/>
      <c r="M8" s="908" t="str">
        <f>IF(ISBLANK([2]General!$E$16),"",[2]General!$E$16)</f>
        <v>Corpus Christi, TX</v>
      </c>
      <c r="N8" s="909"/>
      <c r="O8" s="909"/>
      <c r="P8" s="909"/>
      <c r="Q8" s="909"/>
      <c r="R8" s="914"/>
      <c r="S8" s="456"/>
      <c r="T8" s="456"/>
      <c r="U8" s="456"/>
    </row>
    <row r="9" spans="1:33" s="614" customFormat="1" ht="15" customHeight="1">
      <c r="B9" s="1134" t="s">
        <v>397</v>
      </c>
      <c r="C9" s="1159"/>
      <c r="D9" s="1159"/>
      <c r="E9" s="1159"/>
      <c r="F9" s="1159"/>
      <c r="G9" s="1159"/>
      <c r="H9" s="1159"/>
      <c r="I9" s="1159"/>
      <c r="J9" s="1159"/>
      <c r="K9" s="1159"/>
      <c r="L9" s="1159"/>
      <c r="M9" s="1159"/>
      <c r="N9" s="1159"/>
      <c r="O9" s="1159"/>
      <c r="P9" s="1159"/>
      <c r="Q9" s="1159"/>
      <c r="R9" s="1136"/>
      <c r="S9" s="458"/>
      <c r="T9" s="458"/>
      <c r="U9" s="458"/>
      <c r="V9" s="459" t="s">
        <v>398</v>
      </c>
      <c r="W9" s="460"/>
      <c r="X9" s="460"/>
      <c r="Y9" s="460"/>
      <c r="Z9" s="460"/>
      <c r="AA9" s="484"/>
      <c r="AB9" s="484"/>
      <c r="AC9" s="484"/>
      <c r="AD9" s="484"/>
      <c r="AE9" s="484"/>
      <c r="AF9" s="484"/>
      <c r="AG9" s="461"/>
    </row>
    <row r="10" spans="1:33" ht="15" customHeight="1">
      <c r="A10" s="461"/>
      <c r="B10" s="462"/>
      <c r="C10" s="463"/>
      <c r="D10" s="464"/>
      <c r="E10" s="464"/>
      <c r="F10" s="465"/>
      <c r="G10" s="464"/>
      <c r="H10" s="464"/>
      <c r="I10" s="464"/>
      <c r="J10" s="464"/>
      <c r="K10" s="615"/>
      <c r="L10" s="502"/>
      <c r="M10" s="502"/>
      <c r="N10" s="464"/>
      <c r="O10" s="616"/>
      <c r="P10" s="617"/>
      <c r="Q10" s="464"/>
      <c r="R10" s="618"/>
      <c r="V10" s="632"/>
      <c r="W10" s="633"/>
      <c r="X10" s="632"/>
      <c r="Y10" s="634"/>
      <c r="Z10" s="634"/>
      <c r="AA10" s="633"/>
      <c r="AB10" s="632" t="s">
        <v>399</v>
      </c>
      <c r="AC10" s="634"/>
      <c r="AD10" s="633"/>
      <c r="AE10" s="635"/>
      <c r="AF10" s="635"/>
    </row>
    <row r="11" spans="1:33" ht="15" customHeight="1">
      <c r="A11" s="461"/>
      <c r="B11" s="466"/>
      <c r="C11" s="834" t="s">
        <v>400</v>
      </c>
      <c r="D11" s="1160"/>
      <c r="E11" s="1160"/>
      <c r="F11" s="1160"/>
      <c r="G11" s="1160"/>
      <c r="H11" s="1160"/>
      <c r="I11" s="1160"/>
      <c r="J11" s="1160"/>
      <c r="K11" s="1160"/>
      <c r="L11" s="1161"/>
      <c r="M11" s="1161"/>
      <c r="N11" s="1161"/>
      <c r="O11" s="1161"/>
      <c r="P11" s="1161"/>
      <c r="Q11" s="1161"/>
      <c r="R11" s="619"/>
      <c r="V11" s="636" t="s">
        <v>401</v>
      </c>
      <c r="W11" s="637"/>
      <c r="X11" s="636" t="s">
        <v>402</v>
      </c>
      <c r="Y11" s="638"/>
      <c r="Z11" s="638"/>
      <c r="AA11" s="637"/>
      <c r="AB11" s="639" t="s">
        <v>403</v>
      </c>
      <c r="AC11" s="640"/>
      <c r="AD11" s="641"/>
      <c r="AE11" s="467" t="s">
        <v>404</v>
      </c>
      <c r="AF11" s="467" t="s">
        <v>405</v>
      </c>
    </row>
    <row r="12" spans="1:33" ht="15" customHeight="1">
      <c r="A12" s="461"/>
      <c r="B12" s="466"/>
      <c r="C12" s="1162" t="s">
        <v>406</v>
      </c>
      <c r="D12" s="1163"/>
      <c r="E12" s="1163"/>
      <c r="F12" s="1163"/>
      <c r="G12" s="1163"/>
      <c r="H12" s="1163"/>
      <c r="I12" s="1163"/>
      <c r="J12" s="1163"/>
      <c r="K12" s="1163"/>
      <c r="L12" s="1163"/>
      <c r="M12" s="1163"/>
      <c r="N12" s="1163"/>
      <c r="O12" s="1163"/>
      <c r="P12" s="1163"/>
      <c r="Q12" s="1164"/>
      <c r="R12" s="619"/>
      <c r="V12" s="468" t="s">
        <v>407</v>
      </c>
      <c r="W12" s="469"/>
      <c r="X12" s="642" t="s">
        <v>408</v>
      </c>
      <c r="Y12" s="643"/>
      <c r="Z12" s="643"/>
      <c r="AA12" s="644"/>
      <c r="AB12" s="470" t="s">
        <v>409</v>
      </c>
      <c r="AC12" s="471"/>
      <c r="AD12" s="472"/>
      <c r="AE12" s="645">
        <v>0.7</v>
      </c>
      <c r="AF12" s="645">
        <v>0.9</v>
      </c>
    </row>
    <row r="13" spans="1:33" ht="15" customHeight="1">
      <c r="A13" s="461"/>
      <c r="B13" s="466"/>
      <c r="C13" s="1165"/>
      <c r="D13" s="1166"/>
      <c r="E13" s="1166"/>
      <c r="F13" s="1166"/>
      <c r="G13" s="1166"/>
      <c r="H13" s="1166"/>
      <c r="I13" s="1166"/>
      <c r="J13" s="1166"/>
      <c r="K13" s="1166"/>
      <c r="L13" s="1166"/>
      <c r="M13" s="1166"/>
      <c r="N13" s="1166"/>
      <c r="O13" s="1166"/>
      <c r="P13" s="1166"/>
      <c r="Q13" s="1167"/>
      <c r="R13" s="619"/>
      <c r="V13" s="473" t="s">
        <v>410</v>
      </c>
      <c r="W13" s="474"/>
      <c r="X13" s="642" t="s">
        <v>411</v>
      </c>
      <c r="Y13" s="643"/>
      <c r="Z13" s="643"/>
      <c r="AA13" s="644"/>
      <c r="AB13" s="475" t="s">
        <v>409</v>
      </c>
      <c r="AC13" s="476"/>
      <c r="AD13" s="477"/>
      <c r="AE13" s="478">
        <v>0.7</v>
      </c>
      <c r="AF13" s="478">
        <v>0.9</v>
      </c>
    </row>
    <row r="14" spans="1:33" s="484" customFormat="1" ht="15" customHeight="1">
      <c r="A14" s="479"/>
      <c r="B14" s="466"/>
      <c r="C14" s="1168" t="s">
        <v>412</v>
      </c>
      <c r="D14" s="1169"/>
      <c r="E14" s="1169"/>
      <c r="F14" s="1169"/>
      <c r="G14" s="1169"/>
      <c r="H14" s="1169"/>
      <c r="I14" s="1169"/>
      <c r="J14" s="1169"/>
      <c r="K14" s="1169"/>
      <c r="L14" s="1169"/>
      <c r="M14" s="1169"/>
      <c r="N14" s="1169"/>
      <c r="O14" s="1169"/>
      <c r="P14" s="1169"/>
      <c r="Q14" s="1170"/>
      <c r="R14" s="620"/>
      <c r="V14" s="473"/>
      <c r="W14" s="474"/>
      <c r="X14" s="642" t="s">
        <v>413</v>
      </c>
      <c r="Y14" s="643"/>
      <c r="Z14" s="643"/>
      <c r="AA14" s="644"/>
      <c r="AB14" s="470" t="s">
        <v>409</v>
      </c>
      <c r="AC14" s="471"/>
      <c r="AD14" s="472"/>
      <c r="AE14" s="480">
        <v>0.7</v>
      </c>
      <c r="AF14" s="480">
        <v>0.9</v>
      </c>
      <c r="AG14" s="461"/>
    </row>
    <row r="15" spans="1:33" s="484" customFormat="1" ht="15" customHeight="1">
      <c r="A15" s="479"/>
      <c r="B15" s="466"/>
      <c r="C15" s="1171"/>
      <c r="D15" s="1172"/>
      <c r="E15" s="1172"/>
      <c r="F15" s="1172"/>
      <c r="G15" s="1172"/>
      <c r="H15" s="1172"/>
      <c r="I15" s="1172"/>
      <c r="J15" s="1172"/>
      <c r="K15" s="1172"/>
      <c r="L15" s="1172"/>
      <c r="M15" s="1172"/>
      <c r="N15" s="1172"/>
      <c r="O15" s="1172"/>
      <c r="P15" s="1172"/>
      <c r="Q15" s="1173"/>
      <c r="R15" s="620"/>
      <c r="V15" s="473"/>
      <c r="W15" s="474"/>
      <c r="X15" s="481" t="s">
        <v>414</v>
      </c>
      <c r="Y15" s="482"/>
      <c r="Z15" s="482"/>
      <c r="AA15" s="483"/>
      <c r="AB15" s="470" t="s">
        <v>415</v>
      </c>
      <c r="AC15" s="471"/>
      <c r="AD15" s="472"/>
      <c r="AE15" s="480">
        <v>0.72</v>
      </c>
      <c r="AF15" s="480">
        <v>0.9</v>
      </c>
    </row>
    <row r="16" spans="1:33" s="484" customFormat="1" ht="15" customHeight="1">
      <c r="A16" s="479"/>
      <c r="B16" s="466"/>
      <c r="C16" s="621"/>
      <c r="D16" s="485"/>
      <c r="E16" s="486"/>
      <c r="F16" s="486"/>
      <c r="G16" s="486"/>
      <c r="H16" s="486"/>
      <c r="I16" s="487"/>
      <c r="J16" s="487"/>
      <c r="K16" s="486"/>
      <c r="L16" s="464"/>
      <c r="M16" s="464"/>
      <c r="N16" s="617"/>
      <c r="O16" s="488"/>
      <c r="P16" s="464"/>
      <c r="Q16" s="464"/>
      <c r="R16" s="622"/>
      <c r="V16" s="473"/>
      <c r="W16" s="474"/>
      <c r="X16" s="646" t="s">
        <v>416</v>
      </c>
      <c r="Y16" s="647"/>
      <c r="Z16" s="647"/>
      <c r="AA16" s="648"/>
      <c r="AB16" s="470" t="s">
        <v>417</v>
      </c>
      <c r="AC16" s="471"/>
      <c r="AD16" s="472"/>
      <c r="AE16" s="480">
        <v>0.55000000000000004</v>
      </c>
      <c r="AF16" s="480">
        <v>0.8</v>
      </c>
    </row>
    <row r="17" spans="1:32" s="484" customFormat="1" ht="15" customHeight="1">
      <c r="A17" s="479"/>
      <c r="B17" s="466"/>
      <c r="C17" s="625"/>
      <c r="D17" s="834" t="s">
        <v>418</v>
      </c>
      <c r="E17" s="1160"/>
      <c r="F17" s="1160"/>
      <c r="G17" s="1160"/>
      <c r="H17" s="1160"/>
      <c r="I17" s="1160"/>
      <c r="J17" s="1160"/>
      <c r="K17" s="1160"/>
      <c r="L17" s="1174" t="s">
        <v>419</v>
      </c>
      <c r="M17" s="1174"/>
      <c r="N17" s="1174"/>
      <c r="O17" s="489">
        <v>14.696</v>
      </c>
      <c r="P17" s="490" t="s">
        <v>278</v>
      </c>
      <c r="Q17" s="464"/>
      <c r="R17" s="622"/>
      <c r="V17" s="473"/>
      <c r="W17" s="474"/>
      <c r="X17" s="481" t="s">
        <v>420</v>
      </c>
      <c r="Y17" s="482"/>
      <c r="Z17" s="482"/>
      <c r="AA17" s="483"/>
      <c r="AB17" s="475" t="s">
        <v>421</v>
      </c>
      <c r="AC17" s="476"/>
      <c r="AD17" s="477"/>
      <c r="AE17" s="478">
        <v>0.68</v>
      </c>
      <c r="AF17" s="478">
        <v>0.9</v>
      </c>
    </row>
    <row r="18" spans="1:32" s="484" customFormat="1" ht="15" customHeight="1">
      <c r="A18" s="479"/>
      <c r="B18" s="466"/>
      <c r="C18" s="625"/>
      <c r="D18" s="1175" t="s">
        <v>376</v>
      </c>
      <c r="E18" s="1176"/>
      <c r="F18" s="1176"/>
      <c r="G18" s="1176"/>
      <c r="H18" s="1176"/>
      <c r="I18" s="1176"/>
      <c r="J18" s="1176"/>
      <c r="K18" s="1176"/>
      <c r="L18" s="1176"/>
      <c r="M18" s="1177"/>
      <c r="N18" s="611" t="s">
        <v>422</v>
      </c>
      <c r="O18" s="611" t="s">
        <v>423</v>
      </c>
      <c r="P18" s="1178" t="s">
        <v>424</v>
      </c>
      <c r="Q18" s="464"/>
      <c r="R18" s="622"/>
      <c r="V18" s="473"/>
      <c r="W18" s="474"/>
      <c r="X18" s="646" t="s">
        <v>425</v>
      </c>
      <c r="Y18" s="647"/>
      <c r="Z18" s="647"/>
      <c r="AA18" s="648"/>
      <c r="AB18" s="470" t="s">
        <v>426</v>
      </c>
      <c r="AC18" s="471"/>
      <c r="AD18" s="472"/>
      <c r="AE18" s="480">
        <v>0.68</v>
      </c>
      <c r="AF18" s="480">
        <v>0.9</v>
      </c>
    </row>
    <row r="19" spans="1:32" s="484" customFormat="1" ht="15" customHeight="1">
      <c r="A19" s="479"/>
      <c r="B19" s="466"/>
      <c r="C19" s="625"/>
      <c r="D19" s="1180" t="s">
        <v>427</v>
      </c>
      <c r="E19" s="1181"/>
      <c r="F19" s="1181"/>
      <c r="G19" s="1181"/>
      <c r="H19" s="1181"/>
      <c r="I19" s="1181"/>
      <c r="J19" s="1181"/>
      <c r="K19" s="1181"/>
      <c r="L19" s="1181"/>
      <c r="M19" s="1182"/>
      <c r="N19" s="612" t="s">
        <v>428</v>
      </c>
      <c r="O19" s="612" t="s">
        <v>429</v>
      </c>
      <c r="P19" s="1179"/>
      <c r="Q19" s="464"/>
      <c r="R19" s="622"/>
      <c r="V19" s="649"/>
      <c r="W19" s="650"/>
      <c r="X19" s="481" t="s">
        <v>430</v>
      </c>
      <c r="Y19" s="482"/>
      <c r="Z19" s="482"/>
      <c r="AA19" s="483"/>
      <c r="AB19" s="475" t="s">
        <v>421</v>
      </c>
      <c r="AC19" s="476"/>
      <c r="AD19" s="477"/>
      <c r="AE19" s="480">
        <v>0.68</v>
      </c>
      <c r="AF19" s="480">
        <v>0.9</v>
      </c>
    </row>
    <row r="20" spans="1:32" s="484" customFormat="1" ht="15" customHeight="1">
      <c r="A20" s="479"/>
      <c r="B20" s="466"/>
      <c r="C20" s="625"/>
      <c r="D20" s="1183" t="s">
        <v>431</v>
      </c>
      <c r="E20" s="1184"/>
      <c r="F20" s="1184"/>
      <c r="G20" s="1184"/>
      <c r="H20" s="1184"/>
      <c r="I20" s="1184"/>
      <c r="J20" s="1184"/>
      <c r="K20" s="1184"/>
      <c r="L20" s="1184"/>
      <c r="M20" s="1185"/>
      <c r="N20" s="603">
        <v>100</v>
      </c>
      <c r="O20" s="603">
        <v>275</v>
      </c>
      <c r="P20" s="491" t="s">
        <v>45</v>
      </c>
      <c r="Q20" s="464"/>
      <c r="R20" s="622"/>
      <c r="V20" s="649"/>
      <c r="W20" s="650"/>
      <c r="X20" s="646" t="s">
        <v>425</v>
      </c>
      <c r="Y20" s="647"/>
      <c r="Z20" s="647"/>
      <c r="AA20" s="648"/>
      <c r="AB20" s="470" t="s">
        <v>426</v>
      </c>
      <c r="AC20" s="471"/>
      <c r="AD20" s="472"/>
      <c r="AE20" s="480">
        <v>0.68</v>
      </c>
      <c r="AF20" s="480">
        <v>0.9</v>
      </c>
    </row>
    <row r="21" spans="1:32" s="484" customFormat="1" ht="15" customHeight="1">
      <c r="A21" s="479"/>
      <c r="B21" s="466"/>
      <c r="C21" s="625"/>
      <c r="D21" s="1156" t="s">
        <v>432</v>
      </c>
      <c r="E21" s="1157"/>
      <c r="F21" s="1157"/>
      <c r="G21" s="1157"/>
      <c r="H21" s="1157"/>
      <c r="I21" s="1157"/>
      <c r="J21" s="1157"/>
      <c r="K21" s="1157"/>
      <c r="L21" s="1157"/>
      <c r="M21" s="1158"/>
      <c r="N21" s="604">
        <v>0.15</v>
      </c>
      <c r="O21" s="604">
        <f>$N$21</f>
        <v>0.15</v>
      </c>
      <c r="P21" s="492" t="s">
        <v>45</v>
      </c>
      <c r="Q21" s="464"/>
      <c r="R21" s="622"/>
      <c r="V21" s="649"/>
      <c r="W21" s="650"/>
      <c r="X21" s="481" t="s">
        <v>433</v>
      </c>
      <c r="Y21" s="482"/>
      <c r="Z21" s="482"/>
      <c r="AA21" s="483"/>
      <c r="AB21" s="475" t="s">
        <v>421</v>
      </c>
      <c r="AC21" s="476"/>
      <c r="AD21" s="477"/>
      <c r="AE21" s="480">
        <v>0.75</v>
      </c>
      <c r="AF21" s="480">
        <v>0.9</v>
      </c>
    </row>
    <row r="22" spans="1:32" s="484" customFormat="1" ht="15" customHeight="1">
      <c r="A22" s="479"/>
      <c r="B22" s="466"/>
      <c r="C22" s="625"/>
      <c r="D22" s="1156" t="s">
        <v>434</v>
      </c>
      <c r="E22" s="1157"/>
      <c r="F22" s="1157"/>
      <c r="G22" s="1157"/>
      <c r="H22" s="1157"/>
      <c r="I22" s="1157"/>
      <c r="J22" s="1157"/>
      <c r="K22" s="1157"/>
      <c r="L22" s="1157"/>
      <c r="M22" s="1158"/>
      <c r="N22" s="605">
        <v>0.7</v>
      </c>
      <c r="O22" s="658">
        <f>$N$22</f>
        <v>0.7</v>
      </c>
      <c r="P22" s="493" t="s">
        <v>435</v>
      </c>
      <c r="Q22" s="464"/>
      <c r="R22" s="622"/>
      <c r="V22" s="651"/>
      <c r="W22" s="652"/>
      <c r="X22" s="646" t="s">
        <v>436</v>
      </c>
      <c r="Y22" s="647"/>
      <c r="Z22" s="647"/>
      <c r="AA22" s="648"/>
      <c r="AB22" s="470" t="s">
        <v>426</v>
      </c>
      <c r="AC22" s="471"/>
      <c r="AD22" s="472"/>
      <c r="AE22" s="480">
        <v>0.7</v>
      </c>
      <c r="AF22" s="480">
        <v>0.85</v>
      </c>
    </row>
    <row r="23" spans="1:32" s="484" customFormat="1" ht="15" customHeight="1">
      <c r="A23" s="479"/>
      <c r="B23" s="466"/>
      <c r="C23" s="625"/>
      <c r="D23" s="1156" t="s">
        <v>437</v>
      </c>
      <c r="E23" s="1157"/>
      <c r="F23" s="1157"/>
      <c r="G23" s="1157"/>
      <c r="H23" s="1157"/>
      <c r="I23" s="1157"/>
      <c r="J23" s="1157"/>
      <c r="K23" s="1157"/>
      <c r="L23" s="1157"/>
      <c r="M23" s="1158"/>
      <c r="N23" s="605">
        <v>1.33</v>
      </c>
      <c r="O23" s="605">
        <v>1.33</v>
      </c>
      <c r="P23" s="493" t="s">
        <v>435</v>
      </c>
      <c r="Q23" s="464"/>
      <c r="R23" s="622"/>
      <c r="V23" s="468" t="s">
        <v>407</v>
      </c>
      <c r="W23" s="469"/>
      <c r="X23" s="481" t="s">
        <v>438</v>
      </c>
      <c r="Y23" s="482"/>
      <c r="Z23" s="482"/>
      <c r="AA23" s="483"/>
      <c r="AB23" s="470" t="s">
        <v>439</v>
      </c>
      <c r="AC23" s="471"/>
      <c r="AD23" s="472"/>
      <c r="AE23" s="480">
        <v>0.75</v>
      </c>
      <c r="AF23" s="480">
        <v>0.9</v>
      </c>
    </row>
    <row r="24" spans="1:32" s="484" customFormat="1" ht="15" customHeight="1">
      <c r="A24" s="479"/>
      <c r="B24" s="466"/>
      <c r="C24" s="625"/>
      <c r="D24" s="1156" t="s">
        <v>440</v>
      </c>
      <c r="E24" s="1157"/>
      <c r="F24" s="1157"/>
      <c r="G24" s="1157"/>
      <c r="H24" s="1157"/>
      <c r="I24" s="1157"/>
      <c r="J24" s="1157"/>
      <c r="K24" s="1157"/>
      <c r="L24" s="1157"/>
      <c r="M24" s="1158"/>
      <c r="N24" s="606">
        <v>1.3320000000000001</v>
      </c>
      <c r="O24" s="606">
        <v>1.33</v>
      </c>
      <c r="P24" s="492" t="s">
        <v>110</v>
      </c>
      <c r="Q24" s="464"/>
      <c r="R24" s="622"/>
      <c r="V24" s="473" t="s">
        <v>441</v>
      </c>
      <c r="W24" s="494"/>
      <c r="X24" s="470" t="s">
        <v>442</v>
      </c>
      <c r="Y24" s="471"/>
      <c r="Z24" s="471"/>
      <c r="AA24" s="472"/>
      <c r="AB24" s="470" t="s">
        <v>409</v>
      </c>
      <c r="AC24" s="471"/>
      <c r="AD24" s="472"/>
      <c r="AE24" s="653">
        <v>0.7</v>
      </c>
      <c r="AF24" s="653">
        <v>0.85</v>
      </c>
    </row>
    <row r="25" spans="1:32" s="484" customFormat="1" ht="15" customHeight="1">
      <c r="A25" s="479"/>
      <c r="B25" s="466"/>
      <c r="C25" s="495"/>
      <c r="D25" s="1156" t="s">
        <v>443</v>
      </c>
      <c r="E25" s="1157"/>
      <c r="F25" s="1157"/>
      <c r="G25" s="1157"/>
      <c r="H25" s="1157"/>
      <c r="I25" s="1157"/>
      <c r="J25" s="1157"/>
      <c r="K25" s="1157"/>
      <c r="L25" s="1157"/>
      <c r="M25" s="1158"/>
      <c r="N25" s="659" t="str">
        <f>IF(OR(ISBLANK($N$20),ISTEXT($N$20)),"",IF(($N$20-$N$21)/($N$20+$O$17)&gt;=$N$22*$N$23/1.4,"Yes","No"))</f>
        <v>Yes</v>
      </c>
      <c r="O25" s="659" t="str">
        <f>IF(OR(ISBLANK($O$20),ISTEXT($O$20)),"",IF(($O$20-$O$21)/($O$20+$O$17)&gt;=$O$22*$O$23/1.4,"Yes","No"))</f>
        <v>Yes</v>
      </c>
      <c r="P25" s="493" t="s">
        <v>435</v>
      </c>
      <c r="Q25" s="464"/>
      <c r="R25" s="622"/>
      <c r="V25" s="468" t="s">
        <v>407</v>
      </c>
      <c r="W25" s="469"/>
      <c r="X25" s="481" t="s">
        <v>414</v>
      </c>
      <c r="Y25" s="482"/>
      <c r="Z25" s="482"/>
      <c r="AA25" s="483"/>
      <c r="AB25" s="470" t="s">
        <v>415</v>
      </c>
      <c r="AC25" s="471"/>
      <c r="AD25" s="472"/>
      <c r="AE25" s="480">
        <v>0.72</v>
      </c>
      <c r="AF25" s="480">
        <v>0.9</v>
      </c>
    </row>
    <row r="26" spans="1:32" s="484" customFormat="1" ht="15" customHeight="1">
      <c r="A26" s="479"/>
      <c r="B26" s="466"/>
      <c r="C26" s="463"/>
      <c r="D26" s="1156" t="s">
        <v>444</v>
      </c>
      <c r="E26" s="1157"/>
      <c r="F26" s="1157"/>
      <c r="G26" s="1157"/>
      <c r="H26" s="1157"/>
      <c r="I26" s="1157"/>
      <c r="J26" s="1157"/>
      <c r="K26" s="1157"/>
      <c r="L26" s="1157"/>
      <c r="M26" s="1158"/>
      <c r="N26" s="660">
        <f>IF(OR(ISBLANK($N$20),ISTEXT($N$20)),"",IF($N$25="Yes",$N$22*$N$23/1.4,($N$20-$N$21)/($N$20+$O$17)))</f>
        <v>0.66500000000000004</v>
      </c>
      <c r="O26" s="660">
        <f>IF(OR(ISBLANK($O$20),ISTEXT($O$20)),"",IF($O$25="Yes",$O$22*$O$23/1.4,($O$20-$O$21)/($O$20+$O$17)))</f>
        <v>0.66500000000000004</v>
      </c>
      <c r="P26" s="493" t="s">
        <v>435</v>
      </c>
      <c r="Q26" s="464"/>
      <c r="R26" s="622"/>
      <c r="V26" s="473" t="s">
        <v>445</v>
      </c>
      <c r="W26" s="474"/>
      <c r="X26" s="646" t="s">
        <v>416</v>
      </c>
      <c r="Y26" s="647"/>
      <c r="Z26" s="647"/>
      <c r="AA26" s="648"/>
      <c r="AB26" s="470" t="s">
        <v>417</v>
      </c>
      <c r="AC26" s="471"/>
      <c r="AD26" s="472"/>
      <c r="AE26" s="480">
        <v>0.65</v>
      </c>
      <c r="AF26" s="480">
        <v>0.8</v>
      </c>
    </row>
    <row r="27" spans="1:32" s="484" customFormat="1" ht="15" customHeight="1">
      <c r="A27" s="479"/>
      <c r="B27" s="466"/>
      <c r="C27" s="496"/>
      <c r="D27" s="1156" t="s">
        <v>446</v>
      </c>
      <c r="E27" s="1157"/>
      <c r="F27" s="1157"/>
      <c r="G27" s="1157"/>
      <c r="H27" s="1157"/>
      <c r="I27" s="1157"/>
      <c r="J27" s="1157"/>
      <c r="K27" s="1157"/>
      <c r="L27" s="1157"/>
      <c r="M27" s="1158"/>
      <c r="N27" s="660">
        <f>IF(OR(ISBLANK($N$20),ISTEXT($N$20)),"",IF($N$25="Yes",2/3,1-($N$20-$N$21)/($N$20+$O$17)/(3*$N$22*$N$23/1.4)))</f>
        <v>0.66666666666666663</v>
      </c>
      <c r="O27" s="660">
        <f>IF(OR(ISBLANK($O$20),ISTEXT($O$20)),"",IF($O$25="Yes",2/3,1-($O$20-$O$21)/($O$20+$O$17)/(3*$O$22*$O$23/1.4)))</f>
        <v>0.66666666666666663</v>
      </c>
      <c r="P27" s="493" t="s">
        <v>435</v>
      </c>
      <c r="Q27" s="464"/>
      <c r="R27" s="622"/>
      <c r="V27" s="473"/>
      <c r="W27" s="474"/>
      <c r="X27" s="481" t="s">
        <v>433</v>
      </c>
      <c r="Y27" s="482"/>
      <c r="Z27" s="482"/>
      <c r="AA27" s="483"/>
      <c r="AB27" s="475" t="s">
        <v>421</v>
      </c>
      <c r="AC27" s="476"/>
      <c r="AD27" s="477"/>
      <c r="AE27" s="480">
        <v>0.65</v>
      </c>
      <c r="AF27" s="480">
        <v>0.9</v>
      </c>
    </row>
    <row r="28" spans="1:32" s="484" customFormat="1" ht="15" customHeight="1">
      <c r="A28" s="479"/>
      <c r="B28" s="466"/>
      <c r="C28" s="496"/>
      <c r="D28" s="1156" t="s">
        <v>447</v>
      </c>
      <c r="E28" s="1157"/>
      <c r="F28" s="1157"/>
      <c r="G28" s="1157"/>
      <c r="H28" s="1157"/>
      <c r="I28" s="1157"/>
      <c r="J28" s="1157"/>
      <c r="K28" s="1157"/>
      <c r="L28" s="1157"/>
      <c r="M28" s="1158"/>
      <c r="N28" s="661">
        <f>IF(OR(ISBLANK($N$20),ISTEXT($N$20)),"",$N$29/63.3/$N$27/(($N$20+$O$17)*$N$24*$N$26)^0.5)</f>
        <v>24.499649641035223</v>
      </c>
      <c r="O28" s="604">
        <f>$N$28*1.5</f>
        <v>36.749474461552836</v>
      </c>
      <c r="P28" s="493" t="s">
        <v>435</v>
      </c>
      <c r="Q28" s="464"/>
      <c r="R28" s="622"/>
      <c r="V28" s="497"/>
      <c r="W28" s="498"/>
      <c r="X28" s="646" t="s">
        <v>436</v>
      </c>
      <c r="Y28" s="647"/>
      <c r="Z28" s="647"/>
      <c r="AA28" s="648"/>
      <c r="AB28" s="470" t="s">
        <v>426</v>
      </c>
      <c r="AC28" s="471"/>
      <c r="AD28" s="472"/>
      <c r="AE28" s="480">
        <v>0.6</v>
      </c>
      <c r="AF28" s="480">
        <v>0.85</v>
      </c>
    </row>
    <row r="29" spans="1:32" s="484" customFormat="1" ht="15" customHeight="1">
      <c r="A29" s="479"/>
      <c r="B29" s="466"/>
      <c r="C29" s="496"/>
      <c r="D29" s="1152" t="s">
        <v>279</v>
      </c>
      <c r="E29" s="1153"/>
      <c r="F29" s="1153"/>
      <c r="G29" s="1153"/>
      <c r="H29" s="1153"/>
      <c r="I29" s="1153"/>
      <c r="J29" s="1153"/>
      <c r="K29" s="1153"/>
      <c r="L29" s="1153"/>
      <c r="M29" s="1154"/>
      <c r="N29" s="607">
        <v>10421</v>
      </c>
      <c r="O29" s="662">
        <f>IF(OR(ISBLANK($O$20),ISTEXT($O$20)),"",63.3*$O$28*$O$27*(($O$26*($O$20+$O$17)*$O$24)^0.5))</f>
        <v>24823.983633657375</v>
      </c>
      <c r="P29" s="499" t="s">
        <v>111</v>
      </c>
      <c r="Q29" s="464"/>
      <c r="R29" s="622"/>
      <c r="V29" s="500"/>
      <c r="W29" s="501"/>
      <c r="X29" s="642" t="s">
        <v>448</v>
      </c>
      <c r="Y29" s="643"/>
      <c r="Z29" s="643"/>
      <c r="AA29" s="644"/>
      <c r="AB29" s="470" t="s">
        <v>417</v>
      </c>
      <c r="AC29" s="471"/>
      <c r="AD29" s="472"/>
      <c r="AE29" s="480">
        <v>0.2</v>
      </c>
      <c r="AF29" s="480">
        <v>0.5</v>
      </c>
    </row>
    <row r="30" spans="1:32" s="484" customFormat="1" ht="15" customHeight="1">
      <c r="A30" s="479"/>
      <c r="B30" s="466"/>
      <c r="C30" s="625"/>
      <c r="D30" s="502"/>
      <c r="E30" s="464"/>
      <c r="F30" s="464"/>
      <c r="G30" s="464"/>
      <c r="H30" s="464"/>
      <c r="I30" s="465"/>
      <c r="J30" s="465"/>
      <c r="K30" s="464"/>
      <c r="L30" s="464"/>
      <c r="M30" s="464"/>
      <c r="N30" s="617"/>
      <c r="O30" s="488"/>
      <c r="P30" s="464"/>
      <c r="Q30" s="464"/>
      <c r="R30" s="622"/>
      <c r="V30" s="468" t="s">
        <v>407</v>
      </c>
      <c r="W30" s="469"/>
      <c r="X30" s="470" t="s">
        <v>449</v>
      </c>
      <c r="Y30" s="471"/>
      <c r="Z30" s="471"/>
      <c r="AA30" s="472"/>
      <c r="AB30" s="475" t="s">
        <v>415</v>
      </c>
      <c r="AC30" s="476"/>
      <c r="AD30" s="477"/>
      <c r="AE30" s="654">
        <v>0.84</v>
      </c>
      <c r="AF30" s="654">
        <v>0.98</v>
      </c>
    </row>
    <row r="31" spans="1:32" s="484" customFormat="1" ht="15" customHeight="1">
      <c r="A31" s="479"/>
      <c r="B31" s="466"/>
      <c r="C31" s="625"/>
      <c r="D31" s="1155" t="s">
        <v>450</v>
      </c>
      <c r="E31" s="1155"/>
      <c r="F31" s="1155"/>
      <c r="G31" s="1155"/>
      <c r="H31" s="1155"/>
      <c r="I31" s="1155"/>
      <c r="J31" s="1155"/>
      <c r="K31" s="1155"/>
      <c r="L31" s="1155"/>
      <c r="M31" s="1155"/>
      <c r="N31" s="1155"/>
      <c r="O31" s="608">
        <f>O29</f>
        <v>24823.983633657375</v>
      </c>
      <c r="P31" s="609" t="s">
        <v>111</v>
      </c>
      <c r="Q31" s="464"/>
      <c r="R31" s="622"/>
      <c r="V31" s="473" t="s">
        <v>451</v>
      </c>
      <c r="W31" s="474"/>
      <c r="X31" s="646" t="s">
        <v>452</v>
      </c>
      <c r="Y31" s="647"/>
      <c r="Z31" s="647"/>
      <c r="AA31" s="648"/>
      <c r="AB31" s="475" t="s">
        <v>417</v>
      </c>
      <c r="AC31" s="476"/>
      <c r="AD31" s="477"/>
      <c r="AE31" s="478">
        <v>0.7</v>
      </c>
      <c r="AF31" s="478">
        <v>0.85</v>
      </c>
    </row>
    <row r="32" spans="1:32" s="484" customFormat="1" ht="15" customHeight="1">
      <c r="A32" s="479"/>
      <c r="B32" s="466"/>
      <c r="C32" s="625"/>
      <c r="D32" s="464"/>
      <c r="E32" s="464"/>
      <c r="F32" s="464"/>
      <c r="G32" s="464"/>
      <c r="H32" s="464"/>
      <c r="I32" s="465"/>
      <c r="J32" s="465"/>
      <c r="K32" s="464"/>
      <c r="L32" s="464"/>
      <c r="M32" s="464"/>
      <c r="N32" s="617"/>
      <c r="O32" s="488"/>
      <c r="P32" s="464"/>
      <c r="Q32" s="464"/>
      <c r="R32" s="622"/>
      <c r="V32" s="503"/>
      <c r="W32" s="494"/>
      <c r="X32" s="470" t="s">
        <v>453</v>
      </c>
      <c r="Y32" s="471"/>
      <c r="Z32" s="471"/>
      <c r="AA32" s="472"/>
      <c r="AB32" s="475" t="s">
        <v>415</v>
      </c>
      <c r="AC32" s="476"/>
      <c r="AD32" s="477"/>
      <c r="AE32" s="654">
        <v>0.84</v>
      </c>
      <c r="AF32" s="654">
        <v>0.95</v>
      </c>
    </row>
    <row r="33" spans="1:33" s="484" customFormat="1" ht="15" customHeight="1">
      <c r="A33" s="479"/>
      <c r="B33" s="466"/>
      <c r="C33" s="463"/>
      <c r="D33" s="464"/>
      <c r="E33" s="464"/>
      <c r="F33" s="464"/>
      <c r="G33" s="464"/>
      <c r="H33" s="464"/>
      <c r="I33" s="464"/>
      <c r="J33" s="464"/>
      <c r="K33" s="464"/>
      <c r="L33" s="464"/>
      <c r="M33" s="464"/>
      <c r="N33" s="464"/>
      <c r="O33" s="464"/>
      <c r="P33" s="464"/>
      <c r="Q33" s="464"/>
      <c r="R33" s="622"/>
      <c r="V33" s="468" t="s">
        <v>454</v>
      </c>
      <c r="W33" s="469"/>
      <c r="X33" s="481" t="s">
        <v>455</v>
      </c>
      <c r="Y33" s="482"/>
      <c r="Z33" s="482"/>
      <c r="AA33" s="483"/>
      <c r="AB33" s="470" t="s">
        <v>415</v>
      </c>
      <c r="AC33" s="471"/>
      <c r="AD33" s="472"/>
      <c r="AE33" s="480">
        <v>0.6</v>
      </c>
      <c r="AF33" s="480">
        <v>0.85</v>
      </c>
    </row>
    <row r="34" spans="1:33" s="484" customFormat="1" ht="15" customHeight="1">
      <c r="A34" s="479"/>
      <c r="B34" s="466"/>
      <c r="C34" s="463"/>
      <c r="D34" s="504"/>
      <c r="E34" s="464"/>
      <c r="F34" s="465"/>
      <c r="G34" s="464"/>
      <c r="H34" s="464"/>
      <c r="I34" s="464"/>
      <c r="J34" s="464"/>
      <c r="K34" s="615"/>
      <c r="L34" s="502"/>
      <c r="M34" s="502"/>
      <c r="N34" s="464"/>
      <c r="O34" s="488"/>
      <c r="P34" s="617"/>
      <c r="Q34" s="464"/>
      <c r="R34" s="622"/>
      <c r="V34" s="473"/>
      <c r="W34" s="474"/>
      <c r="X34" s="646" t="s">
        <v>456</v>
      </c>
      <c r="Y34" s="647"/>
      <c r="Z34" s="647"/>
      <c r="AA34" s="648"/>
      <c r="AB34" s="470" t="s">
        <v>417</v>
      </c>
      <c r="AC34" s="471"/>
      <c r="AD34" s="472"/>
      <c r="AE34" s="480">
        <v>0.4</v>
      </c>
      <c r="AF34" s="480">
        <v>0.68</v>
      </c>
    </row>
    <row r="35" spans="1:33" s="484" customFormat="1" ht="15" customHeight="1">
      <c r="A35" s="479"/>
      <c r="B35" s="466"/>
      <c r="C35" s="463"/>
      <c r="D35" s="504"/>
      <c r="E35" s="464"/>
      <c r="F35" s="465"/>
      <c r="G35" s="464"/>
      <c r="H35" s="464"/>
      <c r="I35" s="464"/>
      <c r="J35" s="464"/>
      <c r="K35" s="615"/>
      <c r="L35" s="502"/>
      <c r="M35" s="502"/>
      <c r="N35" s="464"/>
      <c r="O35" s="627"/>
      <c r="P35" s="617"/>
      <c r="Q35" s="464"/>
      <c r="R35" s="622"/>
      <c r="V35" s="473"/>
      <c r="W35" s="474"/>
      <c r="X35" s="481" t="s">
        <v>455</v>
      </c>
      <c r="Y35" s="482"/>
      <c r="Z35" s="482"/>
      <c r="AA35" s="483"/>
      <c r="AB35" s="470" t="s">
        <v>415</v>
      </c>
      <c r="AC35" s="471"/>
      <c r="AD35" s="472"/>
      <c r="AE35" s="480">
        <v>0.54</v>
      </c>
      <c r="AF35" s="480">
        <v>0.77</v>
      </c>
    </row>
    <row r="36" spans="1:33" s="484" customFormat="1" ht="15" customHeight="1">
      <c r="A36" s="479"/>
      <c r="B36" s="466"/>
      <c r="C36" s="463"/>
      <c r="D36" s="464"/>
      <c r="E36" s="464"/>
      <c r="F36" s="465"/>
      <c r="G36" s="464"/>
      <c r="H36" s="464"/>
      <c r="I36" s="464"/>
      <c r="J36" s="464"/>
      <c r="K36" s="615"/>
      <c r="L36" s="502"/>
      <c r="M36" s="502"/>
      <c r="N36" s="464"/>
      <c r="O36" s="616"/>
      <c r="P36" s="617"/>
      <c r="Q36" s="464"/>
      <c r="R36" s="622"/>
      <c r="V36" s="500"/>
      <c r="W36" s="501"/>
      <c r="X36" s="646" t="s">
        <v>457</v>
      </c>
      <c r="Y36" s="647"/>
      <c r="Z36" s="647"/>
      <c r="AA36" s="648"/>
      <c r="AB36" s="470" t="s">
        <v>417</v>
      </c>
      <c r="AC36" s="471"/>
      <c r="AD36" s="472"/>
      <c r="AE36" s="480">
        <v>0.55000000000000004</v>
      </c>
      <c r="AF36" s="480">
        <v>0.79</v>
      </c>
    </row>
    <row r="37" spans="1:33" s="484" customFormat="1" ht="15" customHeight="1">
      <c r="A37" s="479"/>
      <c r="B37" s="466"/>
      <c r="C37" s="505"/>
      <c r="D37" s="628"/>
      <c r="E37" s="464"/>
      <c r="F37" s="465"/>
      <c r="G37" s="464"/>
      <c r="H37" s="464"/>
      <c r="I37" s="464"/>
      <c r="J37" s="464"/>
      <c r="K37" s="615"/>
      <c r="L37" s="502"/>
      <c r="M37" s="502"/>
      <c r="N37" s="464"/>
      <c r="O37" s="616"/>
      <c r="P37" s="617"/>
      <c r="Q37" s="464"/>
      <c r="R37" s="622"/>
      <c r="V37" s="468" t="s">
        <v>458</v>
      </c>
      <c r="W37" s="469"/>
      <c r="X37" s="470" t="s">
        <v>459</v>
      </c>
      <c r="Y37" s="471"/>
      <c r="Z37" s="471"/>
      <c r="AA37" s="472"/>
      <c r="AB37" s="470" t="s">
        <v>409</v>
      </c>
      <c r="AC37" s="471"/>
      <c r="AD37" s="472"/>
      <c r="AE37" s="653">
        <v>0.35</v>
      </c>
      <c r="AF37" s="653">
        <v>0.62</v>
      </c>
    </row>
    <row r="38" spans="1:33" s="484" customFormat="1" ht="15" customHeight="1">
      <c r="A38" s="479"/>
      <c r="B38" s="466"/>
      <c r="C38" s="463"/>
      <c r="D38" s="464"/>
      <c r="E38" s="464"/>
      <c r="F38" s="465"/>
      <c r="G38" s="464"/>
      <c r="H38" s="464"/>
      <c r="I38" s="464"/>
      <c r="J38" s="464"/>
      <c r="K38" s="615"/>
      <c r="L38" s="502"/>
      <c r="M38" s="502"/>
      <c r="N38" s="464"/>
      <c r="O38" s="616"/>
      <c r="P38" s="617"/>
      <c r="Q38" s="464"/>
      <c r="R38" s="622"/>
      <c r="V38" s="503" t="s">
        <v>460</v>
      </c>
      <c r="W38" s="494"/>
      <c r="X38" s="470" t="s">
        <v>461</v>
      </c>
      <c r="Y38" s="471"/>
      <c r="Z38" s="471"/>
      <c r="AA38" s="472"/>
      <c r="AB38" s="475" t="s">
        <v>409</v>
      </c>
      <c r="AC38" s="476"/>
      <c r="AD38" s="477"/>
      <c r="AE38" s="478">
        <v>0.42</v>
      </c>
      <c r="AF38" s="478">
        <v>0.7</v>
      </c>
      <c r="AG38" s="461"/>
    </row>
    <row r="39" spans="1:33" s="484" customFormat="1" ht="15" customHeight="1">
      <c r="A39" s="479"/>
      <c r="B39" s="466"/>
      <c r="C39" s="463"/>
      <c r="D39" s="464"/>
      <c r="E39" s="464"/>
      <c r="F39" s="465"/>
      <c r="G39" s="464"/>
      <c r="H39" s="464"/>
      <c r="I39" s="464"/>
      <c r="J39" s="464"/>
      <c r="K39" s="615"/>
      <c r="L39" s="502"/>
      <c r="M39" s="502"/>
      <c r="N39" s="464"/>
      <c r="O39" s="616"/>
      <c r="P39" s="617"/>
      <c r="Q39" s="464"/>
      <c r="R39" s="622"/>
      <c r="V39" s="468" t="s">
        <v>458</v>
      </c>
      <c r="W39" s="469"/>
      <c r="X39" s="470" t="s">
        <v>462</v>
      </c>
      <c r="Y39" s="471"/>
      <c r="Z39" s="471"/>
      <c r="AA39" s="472"/>
      <c r="AB39" s="470" t="s">
        <v>409</v>
      </c>
      <c r="AC39" s="471"/>
      <c r="AD39" s="472"/>
      <c r="AE39" s="653">
        <v>0.38</v>
      </c>
      <c r="AF39" s="653">
        <v>0.67</v>
      </c>
      <c r="AG39" s="461"/>
    </row>
    <row r="40" spans="1:33" s="484" customFormat="1" ht="15" customHeight="1">
      <c r="A40" s="479"/>
      <c r="B40" s="466"/>
      <c r="C40" s="506"/>
      <c r="D40" s="507"/>
      <c r="E40" s="464"/>
      <c r="F40" s="465"/>
      <c r="G40" s="464"/>
      <c r="H40" s="464"/>
      <c r="I40" s="464"/>
      <c r="J40" s="464"/>
      <c r="K40" s="615"/>
      <c r="L40" s="502"/>
      <c r="M40" s="502"/>
      <c r="N40" s="464"/>
      <c r="O40" s="616"/>
      <c r="P40" s="617"/>
      <c r="Q40" s="464"/>
      <c r="R40" s="622"/>
      <c r="V40" s="503" t="s">
        <v>463</v>
      </c>
      <c r="W40" s="494"/>
      <c r="X40" s="470" t="s">
        <v>464</v>
      </c>
      <c r="Y40" s="471"/>
      <c r="Z40" s="471"/>
      <c r="AA40" s="472"/>
      <c r="AB40" s="475" t="s">
        <v>409</v>
      </c>
      <c r="AC40" s="476"/>
      <c r="AD40" s="477"/>
      <c r="AE40" s="478">
        <v>0.35</v>
      </c>
      <c r="AF40" s="478">
        <v>0.67</v>
      </c>
      <c r="AG40" s="461"/>
    </row>
    <row r="41" spans="1:33" s="484" customFormat="1" ht="15" customHeight="1">
      <c r="A41" s="479"/>
      <c r="B41" s="466"/>
      <c r="C41" s="463"/>
      <c r="D41" s="464"/>
      <c r="E41" s="464"/>
      <c r="F41" s="465"/>
      <c r="G41" s="464"/>
      <c r="H41" s="464"/>
      <c r="I41" s="464"/>
      <c r="J41" s="464"/>
      <c r="K41" s="615"/>
      <c r="L41" s="502"/>
      <c r="M41" s="502"/>
      <c r="N41" s="464"/>
      <c r="O41" s="616"/>
      <c r="P41" s="617"/>
      <c r="Q41" s="464"/>
      <c r="R41" s="622"/>
      <c r="V41" s="468" t="s">
        <v>465</v>
      </c>
      <c r="W41" s="469"/>
      <c r="X41" s="470" t="s">
        <v>466</v>
      </c>
      <c r="Y41" s="471"/>
      <c r="Z41" s="471"/>
      <c r="AA41" s="472"/>
      <c r="AB41" s="470" t="s">
        <v>409</v>
      </c>
      <c r="AC41" s="471"/>
      <c r="AD41" s="472"/>
      <c r="AE41" s="653">
        <v>0.42</v>
      </c>
      <c r="AF41" s="653">
        <v>0.74</v>
      </c>
      <c r="AG41" s="461"/>
    </row>
    <row r="42" spans="1:33" s="484" customFormat="1" ht="15" customHeight="1">
      <c r="A42" s="479"/>
      <c r="B42" s="466"/>
      <c r="C42" s="463"/>
      <c r="D42" s="464"/>
      <c r="E42" s="464"/>
      <c r="F42" s="465"/>
      <c r="G42" s="464"/>
      <c r="H42" s="464"/>
      <c r="I42" s="464"/>
      <c r="J42" s="464"/>
      <c r="K42" s="615"/>
      <c r="L42" s="502"/>
      <c r="M42" s="502"/>
      <c r="N42" s="464"/>
      <c r="O42" s="616"/>
      <c r="P42" s="617"/>
      <c r="Q42" s="464"/>
      <c r="R42" s="622"/>
      <c r="V42" s="503"/>
      <c r="W42" s="494"/>
      <c r="X42" s="470" t="s">
        <v>467</v>
      </c>
      <c r="Y42" s="471"/>
      <c r="Z42" s="471"/>
      <c r="AA42" s="472"/>
      <c r="AB42" s="475" t="s">
        <v>409</v>
      </c>
      <c r="AC42" s="476"/>
      <c r="AD42" s="477"/>
      <c r="AE42" s="478">
        <v>0.3</v>
      </c>
      <c r="AF42" s="478">
        <v>0.6</v>
      </c>
      <c r="AG42" s="461"/>
    </row>
    <row r="43" spans="1:33" s="484" customFormat="1" ht="15" customHeight="1">
      <c r="A43" s="479"/>
      <c r="B43" s="466"/>
      <c r="C43" s="463"/>
      <c r="D43" s="464"/>
      <c r="E43" s="464"/>
      <c r="F43" s="465"/>
      <c r="G43" s="464"/>
      <c r="H43" s="464"/>
      <c r="I43" s="464"/>
      <c r="J43" s="464"/>
      <c r="K43" s="615"/>
      <c r="L43" s="502"/>
      <c r="M43" s="502"/>
      <c r="N43" s="464"/>
      <c r="O43" s="616"/>
      <c r="P43" s="617"/>
      <c r="Q43" s="464"/>
      <c r="R43" s="622"/>
      <c r="V43" s="468" t="s">
        <v>468</v>
      </c>
      <c r="W43" s="469"/>
      <c r="X43" s="470" t="s">
        <v>469</v>
      </c>
      <c r="Y43" s="471"/>
      <c r="Z43" s="471"/>
      <c r="AA43" s="472"/>
      <c r="AB43" s="475" t="s">
        <v>409</v>
      </c>
      <c r="AC43" s="476"/>
      <c r="AD43" s="477"/>
      <c r="AE43" s="508">
        <v>0.81200000000000006</v>
      </c>
      <c r="AF43" s="478">
        <v>0.97</v>
      </c>
      <c r="AG43" s="461"/>
    </row>
    <row r="44" spans="1:33" s="484" customFormat="1" ht="15" customHeight="1">
      <c r="A44" s="479"/>
      <c r="B44" s="466"/>
      <c r="C44" s="463"/>
      <c r="D44" s="464"/>
      <c r="E44" s="464"/>
      <c r="F44" s="465"/>
      <c r="G44" s="464"/>
      <c r="H44" s="464"/>
      <c r="I44" s="464"/>
      <c r="J44" s="464"/>
      <c r="K44" s="615"/>
      <c r="L44" s="502"/>
      <c r="M44" s="502"/>
      <c r="N44" s="464"/>
      <c r="O44" s="616"/>
      <c r="P44" s="617"/>
      <c r="Q44" s="464"/>
      <c r="R44" s="622"/>
      <c r="V44" s="473" t="s">
        <v>470</v>
      </c>
      <c r="W44" s="474"/>
      <c r="X44" s="470" t="s">
        <v>471</v>
      </c>
      <c r="Y44" s="471"/>
      <c r="Z44" s="471"/>
      <c r="AA44" s="472"/>
      <c r="AB44" s="475" t="s">
        <v>409</v>
      </c>
      <c r="AC44" s="476"/>
      <c r="AD44" s="477"/>
      <c r="AE44" s="508">
        <v>0.88800000000000001</v>
      </c>
      <c r="AF44" s="478">
        <v>0.99</v>
      </c>
      <c r="AG44" s="461"/>
    </row>
    <row r="45" spans="1:33" s="484" customFormat="1" ht="15" customHeight="1">
      <c r="A45" s="479"/>
      <c r="B45" s="466"/>
      <c r="C45" s="496"/>
      <c r="D45" s="629"/>
      <c r="E45" s="464"/>
      <c r="F45" s="465"/>
      <c r="G45" s="464"/>
      <c r="H45" s="464"/>
      <c r="I45" s="464"/>
      <c r="J45" s="464"/>
      <c r="K45" s="615"/>
      <c r="L45" s="502"/>
      <c r="M45" s="502"/>
      <c r="N45" s="464"/>
      <c r="O45" s="616"/>
      <c r="P45" s="617"/>
      <c r="Q45" s="464"/>
      <c r="R45" s="622"/>
      <c r="V45" s="473" t="s">
        <v>472</v>
      </c>
      <c r="W45" s="474"/>
      <c r="X45" s="470" t="s">
        <v>473</v>
      </c>
      <c r="Y45" s="471"/>
      <c r="Z45" s="471"/>
      <c r="AA45" s="472"/>
      <c r="AB45" s="475" t="s">
        <v>409</v>
      </c>
      <c r="AC45" s="476"/>
      <c r="AD45" s="477"/>
      <c r="AE45" s="508">
        <v>0.92500000000000004</v>
      </c>
      <c r="AF45" s="478">
        <v>0.99</v>
      </c>
      <c r="AG45" s="461"/>
    </row>
    <row r="46" spans="1:33" s="484" customFormat="1" ht="15" customHeight="1">
      <c r="A46" s="479"/>
      <c r="B46" s="466"/>
      <c r="C46" s="496"/>
      <c r="D46" s="630"/>
      <c r="E46" s="464"/>
      <c r="F46" s="465"/>
      <c r="G46" s="464"/>
      <c r="H46" s="464"/>
      <c r="I46" s="464"/>
      <c r="J46" s="464"/>
      <c r="K46" s="615"/>
      <c r="L46" s="502"/>
      <c r="M46" s="502"/>
      <c r="N46" s="464"/>
      <c r="O46" s="616"/>
      <c r="P46" s="617"/>
      <c r="Q46" s="464"/>
      <c r="R46" s="622"/>
      <c r="V46" s="503" t="s">
        <v>474</v>
      </c>
      <c r="W46" s="494"/>
      <c r="X46" s="470" t="s">
        <v>475</v>
      </c>
      <c r="Y46" s="471"/>
      <c r="Z46" s="471"/>
      <c r="AA46" s="472"/>
      <c r="AB46" s="475" t="s">
        <v>409</v>
      </c>
      <c r="AC46" s="476"/>
      <c r="AD46" s="477"/>
      <c r="AE46" s="508">
        <v>0.95</v>
      </c>
      <c r="AF46" s="478">
        <v>0.99</v>
      </c>
      <c r="AG46" s="461"/>
    </row>
    <row r="47" spans="1:33" s="484" customFormat="1" ht="15" customHeight="1">
      <c r="A47" s="479"/>
      <c r="B47" s="466"/>
      <c r="C47" s="496"/>
      <c r="D47" s="629"/>
      <c r="E47" s="464"/>
      <c r="F47" s="465"/>
      <c r="G47" s="464"/>
      <c r="H47" s="464"/>
      <c r="I47" s="464"/>
      <c r="J47" s="464"/>
      <c r="K47" s="615"/>
      <c r="L47" s="502"/>
      <c r="M47" s="502"/>
      <c r="N47" s="464"/>
      <c r="O47" s="616"/>
      <c r="P47" s="617"/>
      <c r="Q47" s="464"/>
      <c r="R47" s="622"/>
      <c r="V47" s="468" t="s">
        <v>468</v>
      </c>
      <c r="W47" s="469"/>
      <c r="X47" s="470" t="s">
        <v>476</v>
      </c>
      <c r="Y47" s="471"/>
      <c r="Z47" s="471"/>
      <c r="AA47" s="472"/>
      <c r="AB47" s="475" t="s">
        <v>409</v>
      </c>
      <c r="AC47" s="476"/>
      <c r="AD47" s="477"/>
      <c r="AE47" s="508">
        <v>0.89500000000000002</v>
      </c>
      <c r="AF47" s="478">
        <v>0.97</v>
      </c>
      <c r="AG47" s="461"/>
    </row>
    <row r="48" spans="1:33" s="484" customFormat="1" ht="15" customHeight="1">
      <c r="A48" s="479"/>
      <c r="B48" s="466"/>
      <c r="C48" s="496"/>
      <c r="D48" s="630"/>
      <c r="E48" s="464"/>
      <c r="F48" s="465"/>
      <c r="G48" s="464"/>
      <c r="H48" s="464"/>
      <c r="I48" s="464"/>
      <c r="J48" s="464"/>
      <c r="K48" s="615"/>
      <c r="L48" s="502"/>
      <c r="M48" s="502"/>
      <c r="N48" s="464"/>
      <c r="O48" s="616"/>
      <c r="P48" s="617"/>
      <c r="Q48" s="464"/>
      <c r="R48" s="622"/>
      <c r="V48" s="473" t="s">
        <v>470</v>
      </c>
      <c r="W48" s="474"/>
      <c r="X48" s="470" t="s">
        <v>477</v>
      </c>
      <c r="Y48" s="471"/>
      <c r="Z48" s="471"/>
      <c r="AA48" s="472"/>
      <c r="AB48" s="475" t="s">
        <v>409</v>
      </c>
      <c r="AC48" s="476"/>
      <c r="AD48" s="477"/>
      <c r="AE48" s="508">
        <v>0.93500000000000005</v>
      </c>
      <c r="AF48" s="478">
        <v>0.99</v>
      </c>
      <c r="AG48" s="461"/>
    </row>
    <row r="49" spans="1:33" s="484" customFormat="1" ht="15" customHeight="1">
      <c r="A49" s="479"/>
      <c r="B49" s="466"/>
      <c r="C49" s="496"/>
      <c r="D49" s="629"/>
      <c r="E49" s="464"/>
      <c r="F49" s="465"/>
      <c r="G49" s="464"/>
      <c r="H49" s="464"/>
      <c r="I49" s="464"/>
      <c r="J49" s="464"/>
      <c r="K49" s="615"/>
      <c r="L49" s="502"/>
      <c r="M49" s="502"/>
      <c r="N49" s="464"/>
      <c r="O49" s="616"/>
      <c r="P49" s="617"/>
      <c r="Q49" s="464"/>
      <c r="R49" s="622"/>
      <c r="V49" s="503" t="s">
        <v>478</v>
      </c>
      <c r="W49" s="494"/>
      <c r="X49" s="470" t="s">
        <v>479</v>
      </c>
      <c r="Y49" s="471"/>
      <c r="Z49" s="471"/>
      <c r="AA49" s="472"/>
      <c r="AB49" s="475" t="s">
        <v>409</v>
      </c>
      <c r="AC49" s="476"/>
      <c r="AD49" s="477"/>
      <c r="AE49" s="508">
        <v>0.96</v>
      </c>
      <c r="AF49" s="478">
        <v>0.99</v>
      </c>
      <c r="AG49" s="461"/>
    </row>
    <row r="50" spans="1:33" s="484" customFormat="1" ht="15" customHeight="1">
      <c r="A50" s="479"/>
      <c r="B50" s="466"/>
      <c r="C50" s="496"/>
      <c r="D50" s="630"/>
      <c r="E50" s="464"/>
      <c r="F50" s="465"/>
      <c r="G50" s="464"/>
      <c r="H50" s="464"/>
      <c r="I50" s="464"/>
      <c r="J50" s="464"/>
      <c r="K50" s="615"/>
      <c r="L50" s="502"/>
      <c r="M50" s="502"/>
      <c r="N50" s="464"/>
      <c r="O50" s="616"/>
      <c r="P50" s="617"/>
      <c r="Q50" s="464"/>
      <c r="R50" s="622"/>
      <c r="V50" s="655" t="s">
        <v>480</v>
      </c>
      <c r="W50" s="656"/>
      <c r="AA50" s="461"/>
      <c r="AB50" s="461"/>
      <c r="AC50" s="461"/>
      <c r="AD50" s="461"/>
      <c r="AE50" s="461"/>
      <c r="AF50" s="461"/>
      <c r="AG50" s="461"/>
    </row>
    <row r="51" spans="1:33" s="484" customFormat="1" ht="15" customHeight="1">
      <c r="A51" s="479"/>
      <c r="B51" s="466"/>
      <c r="C51" s="496"/>
      <c r="D51" s="629"/>
      <c r="E51" s="464"/>
      <c r="F51" s="465"/>
      <c r="G51" s="464"/>
      <c r="H51" s="464"/>
      <c r="I51" s="464"/>
      <c r="J51" s="464"/>
      <c r="K51" s="615"/>
      <c r="L51" s="502"/>
      <c r="M51" s="502"/>
      <c r="N51" s="464"/>
      <c r="O51" s="616"/>
      <c r="P51" s="617"/>
      <c r="Q51" s="464"/>
      <c r="R51" s="622"/>
      <c r="V51" s="655" t="s">
        <v>481</v>
      </c>
      <c r="W51" s="656"/>
      <c r="AA51" s="461"/>
      <c r="AB51" s="461"/>
      <c r="AC51" s="461"/>
      <c r="AD51" s="461"/>
      <c r="AE51" s="461"/>
      <c r="AF51" s="461"/>
      <c r="AG51" s="461"/>
    </row>
    <row r="52" spans="1:33" s="484" customFormat="1" ht="15" customHeight="1">
      <c r="A52" s="479"/>
      <c r="B52" s="466"/>
      <c r="C52" s="463"/>
      <c r="D52" s="630"/>
      <c r="E52" s="464"/>
      <c r="F52" s="465"/>
      <c r="G52" s="464"/>
      <c r="H52" s="464"/>
      <c r="I52" s="464"/>
      <c r="J52" s="464"/>
      <c r="K52" s="615"/>
      <c r="L52" s="502"/>
      <c r="M52" s="502"/>
      <c r="N52" s="464"/>
      <c r="O52" s="616"/>
      <c r="P52" s="617"/>
      <c r="Q52" s="464"/>
      <c r="R52" s="622"/>
      <c r="V52" s="655" t="s">
        <v>482</v>
      </c>
      <c r="W52" s="656"/>
      <c r="AA52" s="461"/>
      <c r="AB52" s="461"/>
      <c r="AC52" s="461"/>
      <c r="AD52" s="461"/>
      <c r="AE52" s="461"/>
      <c r="AF52" s="461"/>
      <c r="AG52" s="461"/>
    </row>
    <row r="53" spans="1:33" s="484" customFormat="1" ht="15" customHeight="1">
      <c r="A53" s="479"/>
      <c r="B53" s="466"/>
      <c r="C53" s="463"/>
      <c r="D53" s="629"/>
      <c r="E53" s="464"/>
      <c r="F53" s="465"/>
      <c r="G53" s="464"/>
      <c r="H53" s="464"/>
      <c r="I53" s="464"/>
      <c r="J53" s="464"/>
      <c r="K53" s="615"/>
      <c r="L53" s="502"/>
      <c r="M53" s="502"/>
      <c r="N53" s="464"/>
      <c r="O53" s="616"/>
      <c r="P53" s="617"/>
      <c r="Q53" s="464"/>
      <c r="R53" s="622"/>
      <c r="V53" s="657" t="s">
        <v>483</v>
      </c>
      <c r="W53" s="656"/>
      <c r="AA53" s="461"/>
      <c r="AB53" s="461"/>
      <c r="AC53" s="461"/>
      <c r="AD53" s="461"/>
      <c r="AE53" s="461"/>
      <c r="AF53" s="461"/>
      <c r="AG53" s="461"/>
    </row>
    <row r="54" spans="1:33" s="484" customFormat="1" ht="15" customHeight="1">
      <c r="A54" s="479"/>
      <c r="B54" s="466"/>
      <c r="C54" s="506"/>
      <c r="D54" s="507"/>
      <c r="E54" s="464"/>
      <c r="F54" s="465"/>
      <c r="G54" s="464"/>
      <c r="H54" s="464"/>
      <c r="I54" s="464"/>
      <c r="J54" s="464"/>
      <c r="K54" s="615"/>
      <c r="L54" s="502"/>
      <c r="M54" s="502"/>
      <c r="N54" s="464"/>
      <c r="O54" s="616"/>
      <c r="P54" s="617"/>
      <c r="Q54" s="464"/>
      <c r="R54" s="622"/>
    </row>
    <row r="55" spans="1:33" s="484" customFormat="1" ht="15" customHeight="1">
      <c r="A55" s="479"/>
      <c r="B55" s="466"/>
      <c r="C55" s="463"/>
      <c r="D55" s="631"/>
      <c r="E55" s="464"/>
      <c r="F55" s="465"/>
      <c r="G55" s="464"/>
      <c r="H55" s="464"/>
      <c r="I55" s="464"/>
      <c r="J55" s="464"/>
      <c r="K55" s="615"/>
      <c r="L55" s="502"/>
      <c r="M55" s="502"/>
      <c r="N55" s="464"/>
      <c r="O55" s="616"/>
      <c r="P55" s="617"/>
      <c r="Q55" s="464"/>
      <c r="R55" s="622"/>
    </row>
    <row r="56" spans="1:33" s="484" customFormat="1" ht="15" customHeight="1">
      <c r="A56" s="479"/>
      <c r="B56" s="466"/>
      <c r="C56" s="496"/>
      <c r="D56" s="629"/>
      <c r="E56" s="464"/>
      <c r="F56" s="465"/>
      <c r="G56" s="464"/>
      <c r="H56" s="464"/>
      <c r="I56" s="464"/>
      <c r="J56" s="464"/>
      <c r="K56" s="615"/>
      <c r="L56" s="502"/>
      <c r="M56" s="502"/>
      <c r="N56" s="464"/>
      <c r="O56" s="616"/>
      <c r="P56" s="617"/>
      <c r="Q56" s="464"/>
      <c r="R56" s="622"/>
    </row>
    <row r="57" spans="1:33" s="484" customFormat="1" ht="15" customHeight="1">
      <c r="A57" s="479"/>
      <c r="B57" s="466"/>
      <c r="C57" s="496"/>
      <c r="D57" s="629"/>
      <c r="E57" s="464"/>
      <c r="F57" s="465"/>
      <c r="G57" s="464"/>
      <c r="H57" s="464"/>
      <c r="I57" s="464"/>
      <c r="J57" s="464"/>
      <c r="K57" s="615"/>
      <c r="L57" s="502"/>
      <c r="M57" s="502"/>
      <c r="N57" s="464"/>
      <c r="O57" s="616"/>
      <c r="P57" s="617"/>
      <c r="Q57" s="464"/>
      <c r="R57" s="622"/>
    </row>
    <row r="58" spans="1:33" s="484" customFormat="1" ht="15" customHeight="1">
      <c r="A58" s="479"/>
      <c r="B58" s="466"/>
      <c r="C58" s="463"/>
      <c r="D58" s="630"/>
      <c r="E58" s="464"/>
      <c r="F58" s="465"/>
      <c r="G58" s="464"/>
      <c r="H58" s="464"/>
      <c r="I58" s="464"/>
      <c r="J58" s="464"/>
      <c r="K58" s="615"/>
      <c r="L58" s="502"/>
      <c r="M58" s="502"/>
      <c r="N58" s="464"/>
      <c r="O58" s="616"/>
      <c r="P58" s="617"/>
      <c r="Q58" s="464"/>
      <c r="R58" s="622"/>
    </row>
    <row r="59" spans="1:33" s="484" customFormat="1" ht="15" customHeight="1">
      <c r="A59" s="479"/>
      <c r="B59" s="466"/>
      <c r="C59" s="496"/>
      <c r="D59" s="629"/>
      <c r="E59" s="464"/>
      <c r="F59" s="465"/>
      <c r="G59" s="464"/>
      <c r="H59" s="464"/>
      <c r="I59" s="464"/>
      <c r="J59" s="464"/>
      <c r="K59" s="615"/>
      <c r="L59" s="502"/>
      <c r="M59" s="502"/>
      <c r="N59" s="464"/>
      <c r="O59" s="616"/>
      <c r="P59" s="617"/>
      <c r="Q59" s="464"/>
      <c r="R59" s="622"/>
    </row>
    <row r="60" spans="1:33" s="484" customFormat="1" ht="15" customHeight="1">
      <c r="A60" s="479"/>
      <c r="B60" s="466"/>
      <c r="C60" s="463"/>
      <c r="D60" s="464"/>
      <c r="E60" s="464"/>
      <c r="F60" s="464"/>
      <c r="G60" s="464"/>
      <c r="H60" s="464"/>
      <c r="I60" s="464"/>
      <c r="J60" s="464"/>
      <c r="K60" s="464"/>
      <c r="L60" s="464"/>
      <c r="M60" s="464"/>
      <c r="N60" s="464"/>
      <c r="O60" s="464"/>
      <c r="P60" s="464"/>
      <c r="Q60" s="464"/>
      <c r="R60" s="622"/>
    </row>
    <row r="61" spans="1:33" s="484" customFormat="1" ht="15" customHeight="1">
      <c r="A61" s="479"/>
      <c r="B61" s="466"/>
      <c r="C61" s="463"/>
      <c r="D61" s="464"/>
      <c r="E61" s="464"/>
      <c r="F61" s="464"/>
      <c r="G61" s="464"/>
      <c r="H61" s="464"/>
      <c r="I61" s="464"/>
      <c r="J61" s="464"/>
      <c r="K61" s="464"/>
      <c r="L61" s="464"/>
      <c r="M61" s="464"/>
      <c r="N61" s="464"/>
      <c r="O61" s="464"/>
      <c r="P61" s="464"/>
      <c r="Q61" s="464"/>
      <c r="R61" s="622"/>
    </row>
    <row r="62" spans="1:33" s="484" customFormat="1" ht="15" customHeight="1">
      <c r="A62" s="479"/>
      <c r="B62" s="466"/>
      <c r="C62" s="463"/>
      <c r="D62" s="464"/>
      <c r="E62" s="464"/>
      <c r="F62" s="465"/>
      <c r="G62" s="464"/>
      <c r="H62" s="464"/>
      <c r="I62" s="464"/>
      <c r="J62" s="464"/>
      <c r="K62" s="615"/>
      <c r="L62" s="502"/>
      <c r="M62" s="502"/>
      <c r="N62" s="464"/>
      <c r="O62" s="616"/>
      <c r="P62" s="617"/>
      <c r="Q62" s="464"/>
      <c r="R62" s="622"/>
    </row>
    <row r="63" spans="1:33" s="484" customFormat="1" ht="15" customHeight="1" thickBot="1">
      <c r="A63" s="479"/>
      <c r="B63" s="509"/>
      <c r="C63" s="626"/>
      <c r="D63" s="623"/>
      <c r="E63" s="623"/>
      <c r="F63" s="623"/>
      <c r="G63" s="623"/>
      <c r="H63" s="623"/>
      <c r="I63" s="623"/>
      <c r="J63" s="623"/>
      <c r="K63" s="623"/>
      <c r="L63" s="623"/>
      <c r="M63" s="623"/>
      <c r="N63" s="623"/>
      <c r="O63" s="623"/>
      <c r="P63" s="623"/>
      <c r="Q63" s="623"/>
      <c r="R63" s="624"/>
    </row>
    <row r="64" spans="1:33" s="484" customFormat="1" ht="15" customHeight="1">
      <c r="A64" s="602"/>
      <c r="B64" s="601"/>
      <c r="C64" s="601"/>
      <c r="D64" s="601"/>
      <c r="E64" s="601"/>
      <c r="F64" s="601"/>
      <c r="G64" s="601"/>
      <c r="H64" s="601"/>
      <c r="I64" s="601"/>
      <c r="J64" s="601"/>
      <c r="K64" s="601"/>
      <c r="L64" s="601"/>
      <c r="M64" s="601"/>
      <c r="N64" s="601"/>
      <c r="O64" s="601"/>
      <c r="P64" s="601"/>
      <c r="Q64" s="601"/>
      <c r="R64" s="601"/>
    </row>
    <row r="65" spans="1:18" s="484" customFormat="1" ht="15" customHeight="1">
      <c r="A65" s="602"/>
      <c r="B65" s="601"/>
      <c r="C65" s="601"/>
      <c r="D65" s="610"/>
      <c r="E65" s="601"/>
      <c r="F65" s="601"/>
      <c r="G65" s="601"/>
      <c r="H65" s="601"/>
      <c r="I65" s="601"/>
      <c r="J65" s="601"/>
      <c r="K65" s="601"/>
      <c r="L65" s="610"/>
      <c r="M65" s="601"/>
      <c r="N65" s="601"/>
      <c r="O65" s="601"/>
      <c r="P65" s="601"/>
      <c r="Q65" s="601"/>
      <c r="R65" s="601"/>
    </row>
    <row r="66" spans="1:18" s="484" customFormat="1" ht="15" customHeight="1">
      <c r="A66" s="602"/>
      <c r="B66" s="601"/>
      <c r="C66" s="601"/>
      <c r="D66" s="610"/>
      <c r="E66" s="601"/>
      <c r="F66" s="601"/>
      <c r="G66" s="601"/>
      <c r="H66" s="601"/>
      <c r="I66" s="601"/>
      <c r="J66" s="601"/>
      <c r="K66" s="601"/>
      <c r="L66" s="610"/>
      <c r="M66" s="601"/>
      <c r="N66" s="601"/>
      <c r="O66" s="601"/>
      <c r="P66" s="601"/>
      <c r="Q66" s="601"/>
      <c r="R66" s="601"/>
    </row>
    <row r="67" spans="1:18" s="484" customFormat="1" ht="15" customHeight="1">
      <c r="A67" s="602"/>
      <c r="B67" s="601"/>
      <c r="C67" s="601"/>
      <c r="D67" s="610"/>
      <c r="E67" s="601"/>
      <c r="F67" s="601"/>
      <c r="G67" s="601"/>
      <c r="H67" s="601"/>
      <c r="I67" s="601"/>
      <c r="J67" s="601"/>
      <c r="K67" s="601"/>
      <c r="L67" s="610"/>
      <c r="M67" s="601"/>
      <c r="N67" s="601"/>
      <c r="O67" s="601"/>
      <c r="P67" s="601"/>
      <c r="Q67" s="601"/>
      <c r="R67" s="601"/>
    </row>
    <row r="68" spans="1:18" s="484" customFormat="1" ht="15" customHeight="1">
      <c r="A68" s="602"/>
      <c r="B68" s="601"/>
      <c r="C68" s="601"/>
      <c r="D68" s="610"/>
      <c r="E68" s="601"/>
      <c r="F68" s="601"/>
      <c r="G68" s="601"/>
      <c r="H68" s="601"/>
      <c r="I68" s="601"/>
      <c r="J68" s="601"/>
      <c r="K68" s="601"/>
      <c r="L68" s="610"/>
      <c r="M68" s="601"/>
      <c r="N68" s="601"/>
      <c r="O68" s="601"/>
      <c r="P68" s="601"/>
      <c r="Q68" s="601"/>
      <c r="R68" s="601"/>
    </row>
    <row r="69" spans="1:18" s="484" customFormat="1" ht="15" customHeight="1">
      <c r="A69" s="602"/>
      <c r="B69" s="601"/>
      <c r="C69" s="601"/>
      <c r="D69" s="610"/>
      <c r="E69" s="601"/>
      <c r="F69" s="601"/>
      <c r="G69" s="601"/>
      <c r="H69" s="601"/>
      <c r="I69" s="601"/>
      <c r="J69" s="601"/>
      <c r="K69" s="601"/>
      <c r="L69" s="610"/>
      <c r="M69" s="601"/>
      <c r="N69" s="601"/>
      <c r="O69" s="601"/>
      <c r="P69" s="601"/>
      <c r="Q69" s="601"/>
      <c r="R69" s="601"/>
    </row>
    <row r="70" spans="1:18" s="484" customFormat="1" ht="15" customHeight="1">
      <c r="A70" s="602"/>
      <c r="B70" s="601"/>
      <c r="C70" s="601"/>
      <c r="D70" s="610"/>
      <c r="E70" s="601"/>
      <c r="F70" s="601"/>
      <c r="G70" s="601"/>
      <c r="H70" s="601"/>
      <c r="I70" s="601"/>
      <c r="J70" s="601"/>
      <c r="K70" s="601"/>
      <c r="L70" s="610"/>
      <c r="M70" s="601"/>
      <c r="N70" s="601"/>
      <c r="O70" s="601"/>
      <c r="P70" s="601"/>
      <c r="Q70" s="601"/>
      <c r="R70" s="601"/>
    </row>
    <row r="71" spans="1:18" s="484" customFormat="1" ht="15" customHeight="1">
      <c r="A71" s="602"/>
      <c r="B71" s="601"/>
      <c r="C71" s="601"/>
      <c r="D71" s="610"/>
      <c r="E71" s="601"/>
      <c r="F71" s="601"/>
      <c r="G71" s="601"/>
      <c r="H71" s="601"/>
      <c r="I71" s="601"/>
      <c r="J71" s="601"/>
      <c r="K71" s="601"/>
      <c r="L71" s="610"/>
      <c r="M71" s="601"/>
      <c r="N71" s="601"/>
      <c r="O71" s="601"/>
      <c r="P71" s="601"/>
      <c r="Q71" s="601"/>
      <c r="R71" s="601"/>
    </row>
    <row r="72" spans="1:18" s="484" customFormat="1" ht="15" customHeight="1">
      <c r="A72" s="602"/>
      <c r="B72" s="601"/>
      <c r="C72" s="601"/>
      <c r="D72" s="610"/>
      <c r="E72" s="601"/>
      <c r="F72" s="601"/>
      <c r="G72" s="601"/>
      <c r="H72" s="601"/>
      <c r="I72" s="601"/>
      <c r="J72" s="601"/>
      <c r="K72" s="601"/>
      <c r="L72" s="610"/>
      <c r="M72" s="601"/>
      <c r="N72" s="601"/>
      <c r="O72" s="601"/>
      <c r="P72" s="601"/>
      <c r="Q72" s="601"/>
      <c r="R72" s="601"/>
    </row>
    <row r="73" spans="1:18" s="484" customFormat="1">
      <c r="A73" s="602"/>
      <c r="B73" s="601"/>
      <c r="C73" s="601"/>
      <c r="D73" s="610"/>
      <c r="E73" s="601"/>
      <c r="F73" s="601"/>
      <c r="G73" s="601"/>
      <c r="H73" s="601"/>
      <c r="I73" s="601"/>
      <c r="J73" s="601"/>
      <c r="K73" s="601"/>
      <c r="L73" s="610"/>
      <c r="M73" s="601"/>
      <c r="N73" s="601"/>
      <c r="O73" s="601"/>
      <c r="P73" s="601"/>
      <c r="Q73" s="601"/>
      <c r="R73" s="601"/>
    </row>
    <row r="74" spans="1:18" s="484" customFormat="1">
      <c r="A74" s="602"/>
      <c r="B74" s="601"/>
      <c r="C74" s="601"/>
      <c r="D74" s="610"/>
      <c r="E74" s="601"/>
      <c r="F74" s="601"/>
      <c r="G74" s="601"/>
      <c r="H74" s="601"/>
      <c r="I74" s="601"/>
      <c r="J74" s="601"/>
      <c r="K74" s="601"/>
      <c r="L74" s="610"/>
      <c r="M74" s="601"/>
      <c r="N74" s="601"/>
      <c r="O74" s="601"/>
      <c r="P74" s="601"/>
      <c r="Q74" s="601"/>
      <c r="R74" s="601"/>
    </row>
    <row r="75" spans="1:18" s="484" customFormat="1">
      <c r="A75" s="602"/>
      <c r="B75" s="601"/>
      <c r="C75" s="601"/>
      <c r="D75" s="610"/>
      <c r="E75" s="601"/>
      <c r="F75" s="601"/>
      <c r="G75" s="601"/>
      <c r="H75" s="601"/>
      <c r="I75" s="601"/>
      <c r="J75" s="601"/>
      <c r="K75" s="601"/>
      <c r="L75" s="610"/>
      <c r="M75" s="601"/>
      <c r="N75" s="601"/>
      <c r="O75" s="601"/>
      <c r="P75" s="601"/>
      <c r="Q75" s="601"/>
      <c r="R75" s="601"/>
    </row>
    <row r="76" spans="1:18" s="484" customFormat="1">
      <c r="A76" s="602"/>
      <c r="B76" s="601"/>
      <c r="C76" s="601"/>
      <c r="D76" s="610"/>
      <c r="E76" s="601"/>
      <c r="F76" s="601"/>
      <c r="G76" s="601"/>
      <c r="H76" s="601"/>
      <c r="I76" s="601"/>
      <c r="J76" s="601"/>
      <c r="K76" s="601"/>
      <c r="L76" s="610"/>
      <c r="M76" s="601"/>
      <c r="N76" s="601"/>
      <c r="O76" s="601"/>
      <c r="P76" s="601"/>
      <c r="Q76" s="601"/>
      <c r="R76" s="601"/>
    </row>
    <row r="77" spans="1:18" s="484" customFormat="1">
      <c r="A77" s="602"/>
      <c r="B77" s="601"/>
      <c r="C77" s="601"/>
      <c r="D77" s="601"/>
      <c r="E77" s="601"/>
      <c r="F77" s="601"/>
      <c r="G77" s="601"/>
      <c r="H77" s="601"/>
      <c r="I77" s="601"/>
      <c r="J77" s="601"/>
      <c r="K77" s="601"/>
      <c r="L77" s="601"/>
      <c r="M77" s="601"/>
      <c r="N77" s="601"/>
      <c r="O77" s="601"/>
      <c r="P77" s="601"/>
      <c r="Q77" s="601"/>
      <c r="R77" s="601"/>
    </row>
    <row r="78" spans="1:18" s="484" customFormat="1">
      <c r="A78" s="602"/>
      <c r="B78" s="601"/>
      <c r="C78" s="601"/>
      <c r="D78" s="601"/>
      <c r="E78" s="601"/>
      <c r="F78" s="601"/>
      <c r="G78" s="601"/>
      <c r="H78" s="601"/>
      <c r="I78" s="601"/>
      <c r="J78" s="601"/>
      <c r="K78" s="601"/>
      <c r="L78" s="601"/>
      <c r="M78" s="601"/>
      <c r="N78" s="601"/>
      <c r="O78" s="601"/>
      <c r="P78" s="601"/>
      <c r="Q78" s="601"/>
      <c r="R78" s="601"/>
    </row>
    <row r="79" spans="1:18" s="484" customFormat="1">
      <c r="A79" s="602"/>
      <c r="B79" s="601"/>
      <c r="C79" s="601"/>
      <c r="D79" s="601"/>
      <c r="E79" s="601"/>
      <c r="F79" s="601"/>
      <c r="G79" s="601"/>
      <c r="H79" s="601"/>
      <c r="I79" s="601"/>
      <c r="J79" s="601"/>
      <c r="K79" s="601"/>
      <c r="L79" s="601"/>
      <c r="M79" s="601"/>
      <c r="N79" s="601"/>
      <c r="O79" s="601"/>
      <c r="P79" s="601"/>
      <c r="Q79" s="601"/>
      <c r="R79" s="601"/>
    </row>
    <row r="80" spans="1:18" s="484" customFormat="1">
      <c r="A80" s="602"/>
      <c r="B80" s="601"/>
      <c r="C80" s="601"/>
      <c r="D80" s="601"/>
      <c r="E80" s="601"/>
      <c r="F80" s="601"/>
      <c r="G80" s="601"/>
      <c r="H80" s="601"/>
      <c r="I80" s="601"/>
      <c r="J80" s="601"/>
      <c r="K80" s="601"/>
      <c r="L80" s="601"/>
      <c r="M80" s="601"/>
      <c r="N80" s="601"/>
      <c r="O80" s="601"/>
      <c r="P80" s="601"/>
      <c r="Q80" s="601"/>
      <c r="R80" s="601"/>
    </row>
    <row r="81" spans="1:18" s="484" customFormat="1">
      <c r="A81" s="602"/>
      <c r="B81" s="601"/>
      <c r="C81" s="601"/>
      <c r="D81" s="601"/>
      <c r="E81" s="601"/>
      <c r="F81" s="601"/>
      <c r="G81" s="601"/>
      <c r="H81" s="601"/>
      <c r="I81" s="601"/>
      <c r="J81" s="601"/>
      <c r="K81" s="601"/>
      <c r="L81" s="601"/>
      <c r="M81" s="601"/>
      <c r="N81" s="601"/>
      <c r="O81" s="601"/>
      <c r="P81" s="601"/>
      <c r="Q81" s="601"/>
      <c r="R81" s="601"/>
    </row>
    <row r="82" spans="1:18" s="484" customFormat="1">
      <c r="A82" s="602"/>
      <c r="B82" s="601"/>
      <c r="C82" s="601"/>
      <c r="D82" s="601"/>
      <c r="E82" s="601"/>
      <c r="F82" s="601"/>
      <c r="G82" s="601"/>
      <c r="H82" s="601"/>
      <c r="I82" s="601"/>
      <c r="J82" s="601"/>
      <c r="K82" s="601"/>
      <c r="L82" s="601"/>
      <c r="M82" s="601"/>
      <c r="N82" s="601"/>
      <c r="O82" s="601"/>
      <c r="P82" s="601"/>
      <c r="Q82" s="601"/>
      <c r="R82" s="601"/>
    </row>
    <row r="83" spans="1:18" s="484" customFormat="1">
      <c r="A83" s="602"/>
      <c r="B83" s="601"/>
      <c r="C83" s="601"/>
      <c r="D83" s="601"/>
      <c r="E83" s="601"/>
      <c r="F83" s="601"/>
      <c r="G83" s="601"/>
      <c r="H83" s="601"/>
      <c r="I83" s="601"/>
      <c r="J83" s="601"/>
      <c r="K83" s="601"/>
      <c r="L83" s="601"/>
      <c r="M83" s="601"/>
      <c r="N83" s="601"/>
      <c r="O83" s="601"/>
      <c r="P83" s="601"/>
      <c r="Q83" s="601"/>
      <c r="R83" s="601"/>
    </row>
    <row r="84" spans="1:18" s="484" customFormat="1">
      <c r="A84" s="602"/>
      <c r="B84" s="601"/>
      <c r="C84" s="601"/>
      <c r="D84" s="601"/>
      <c r="E84" s="601"/>
      <c r="F84" s="601"/>
      <c r="G84" s="601"/>
      <c r="H84" s="601"/>
      <c r="I84" s="601"/>
      <c r="J84" s="601"/>
      <c r="K84" s="601"/>
      <c r="L84" s="601"/>
      <c r="M84" s="601"/>
      <c r="N84" s="601"/>
      <c r="O84" s="601"/>
      <c r="P84" s="601"/>
      <c r="Q84" s="601"/>
      <c r="R84" s="601"/>
    </row>
    <row r="85" spans="1:18" s="484" customFormat="1">
      <c r="A85" s="602"/>
      <c r="B85" s="601"/>
      <c r="C85" s="601"/>
      <c r="D85" s="601"/>
      <c r="E85" s="601"/>
      <c r="F85" s="601"/>
      <c r="G85" s="601"/>
      <c r="H85" s="601"/>
      <c r="I85" s="601"/>
      <c r="J85" s="601"/>
      <c r="K85" s="601"/>
      <c r="L85" s="601"/>
      <c r="M85" s="601"/>
      <c r="N85" s="601"/>
      <c r="O85" s="601"/>
      <c r="P85" s="601"/>
      <c r="Q85" s="601"/>
      <c r="R85" s="601"/>
    </row>
    <row r="86" spans="1:18" s="484" customFormat="1">
      <c r="A86" s="602"/>
      <c r="B86" s="601"/>
      <c r="C86" s="601"/>
      <c r="D86" s="601"/>
      <c r="E86" s="601"/>
      <c r="F86" s="601"/>
      <c r="G86" s="601"/>
      <c r="H86" s="601"/>
      <c r="I86" s="601"/>
      <c r="J86" s="601"/>
      <c r="K86" s="601"/>
      <c r="L86" s="601"/>
      <c r="M86" s="601"/>
      <c r="N86" s="601"/>
      <c r="O86" s="601"/>
      <c r="P86" s="601"/>
      <c r="Q86" s="601"/>
      <c r="R86" s="601"/>
    </row>
    <row r="87" spans="1:18" s="484" customFormat="1">
      <c r="A87" s="602"/>
      <c r="B87" s="601"/>
      <c r="C87" s="601"/>
      <c r="D87" s="601"/>
      <c r="E87" s="601"/>
      <c r="F87" s="601"/>
      <c r="G87" s="601"/>
      <c r="H87" s="601"/>
      <c r="I87" s="601"/>
      <c r="J87" s="601"/>
      <c r="K87" s="601"/>
      <c r="L87" s="601"/>
      <c r="M87" s="601"/>
      <c r="N87" s="601"/>
      <c r="O87" s="601"/>
      <c r="P87" s="601"/>
      <c r="Q87" s="601"/>
      <c r="R87" s="601"/>
    </row>
    <row r="88" spans="1:18" s="484" customFormat="1">
      <c r="A88" s="602"/>
      <c r="B88" s="601"/>
      <c r="C88" s="601"/>
      <c r="D88" s="601"/>
      <c r="E88" s="601"/>
      <c r="F88" s="601"/>
      <c r="G88" s="601"/>
      <c r="H88" s="601"/>
      <c r="I88" s="601"/>
      <c r="J88" s="601"/>
      <c r="K88" s="601"/>
      <c r="L88" s="601"/>
      <c r="M88" s="601"/>
      <c r="N88" s="601"/>
      <c r="O88" s="601"/>
      <c r="P88" s="601"/>
      <c r="Q88" s="601"/>
      <c r="R88" s="601"/>
    </row>
    <row r="89" spans="1:18" s="484" customFormat="1">
      <c r="A89" s="602"/>
      <c r="B89" s="601"/>
      <c r="C89" s="601"/>
      <c r="D89" s="601"/>
      <c r="E89" s="601"/>
      <c r="F89" s="601"/>
      <c r="G89" s="601"/>
      <c r="H89" s="601"/>
      <c r="I89" s="601"/>
      <c r="J89" s="601"/>
      <c r="K89" s="601"/>
      <c r="L89" s="601"/>
      <c r="M89" s="601"/>
      <c r="N89" s="601"/>
      <c r="O89" s="601"/>
      <c r="P89" s="601"/>
      <c r="Q89" s="601"/>
      <c r="R89" s="601"/>
    </row>
    <row r="90" spans="1:18" s="484" customFormat="1">
      <c r="A90" s="602"/>
      <c r="B90" s="601"/>
      <c r="C90" s="601"/>
      <c r="D90" s="601"/>
      <c r="E90" s="601"/>
      <c r="F90" s="601"/>
      <c r="G90" s="601"/>
      <c r="H90" s="601"/>
      <c r="I90" s="601"/>
      <c r="J90" s="601"/>
      <c r="K90" s="601"/>
      <c r="L90" s="601"/>
      <c r="M90" s="601"/>
      <c r="N90" s="601"/>
      <c r="O90" s="601"/>
      <c r="P90" s="601"/>
      <c r="Q90" s="601"/>
      <c r="R90" s="601"/>
    </row>
    <row r="91" spans="1:18" s="484" customFormat="1">
      <c r="A91" s="602"/>
      <c r="B91" s="601"/>
      <c r="C91" s="601"/>
      <c r="D91" s="601"/>
      <c r="E91" s="601"/>
      <c r="F91" s="601"/>
      <c r="G91" s="601"/>
      <c r="H91" s="601"/>
      <c r="I91" s="601"/>
      <c r="J91" s="601"/>
      <c r="K91" s="601"/>
      <c r="L91" s="601"/>
      <c r="M91" s="601"/>
      <c r="N91" s="601"/>
      <c r="O91" s="601"/>
      <c r="P91" s="601"/>
      <c r="Q91" s="601"/>
      <c r="R91" s="601"/>
    </row>
    <row r="92" spans="1:18" s="484" customFormat="1">
      <c r="A92" s="602"/>
      <c r="B92" s="601"/>
      <c r="C92" s="601"/>
      <c r="D92" s="601"/>
      <c r="E92" s="601"/>
      <c r="F92" s="601"/>
      <c r="G92" s="601"/>
      <c r="H92" s="601"/>
      <c r="I92" s="601"/>
      <c r="J92" s="601"/>
      <c r="K92" s="601"/>
      <c r="L92" s="601"/>
      <c r="M92" s="601"/>
      <c r="N92" s="601"/>
      <c r="O92" s="601"/>
      <c r="P92" s="601"/>
      <c r="Q92" s="601"/>
      <c r="R92" s="601"/>
    </row>
    <row r="93" spans="1:18" s="484" customFormat="1">
      <c r="A93" s="602"/>
      <c r="B93" s="601"/>
      <c r="C93" s="601"/>
      <c r="D93" s="601"/>
      <c r="E93" s="601"/>
      <c r="F93" s="601"/>
      <c r="G93" s="601"/>
      <c r="H93" s="601"/>
      <c r="I93" s="601"/>
      <c r="J93" s="601"/>
      <c r="K93" s="601"/>
      <c r="L93" s="601"/>
      <c r="M93" s="601"/>
      <c r="N93" s="601"/>
      <c r="O93" s="601"/>
      <c r="P93" s="601"/>
      <c r="Q93" s="601"/>
      <c r="R93" s="601"/>
    </row>
    <row r="94" spans="1:18" s="484" customFormat="1">
      <c r="A94" s="602"/>
      <c r="B94" s="601"/>
      <c r="C94" s="601"/>
      <c r="D94" s="601"/>
      <c r="E94" s="601"/>
      <c r="F94" s="601"/>
      <c r="G94" s="601"/>
      <c r="H94" s="601"/>
      <c r="I94" s="601"/>
      <c r="J94" s="601"/>
      <c r="K94" s="601"/>
      <c r="L94" s="601"/>
      <c r="M94" s="601"/>
      <c r="N94" s="601"/>
      <c r="O94" s="601"/>
      <c r="P94" s="601"/>
      <c r="Q94" s="601"/>
      <c r="R94" s="601"/>
    </row>
    <row r="95" spans="1:18" s="484" customFormat="1">
      <c r="A95" s="602"/>
      <c r="B95" s="601"/>
      <c r="C95" s="601"/>
      <c r="D95" s="601"/>
      <c r="E95" s="601"/>
      <c r="F95" s="601"/>
      <c r="G95" s="601"/>
      <c r="H95" s="601"/>
      <c r="I95" s="601"/>
      <c r="J95" s="601"/>
      <c r="K95" s="601"/>
      <c r="L95" s="601"/>
      <c r="M95" s="601"/>
      <c r="N95" s="601"/>
      <c r="O95" s="601"/>
      <c r="P95" s="601"/>
      <c r="Q95" s="601"/>
      <c r="R95" s="601"/>
    </row>
    <row r="96" spans="1:18" s="484" customFormat="1">
      <c r="A96" s="602"/>
      <c r="B96" s="601"/>
      <c r="C96" s="601"/>
      <c r="D96" s="601"/>
      <c r="E96" s="601"/>
      <c r="F96" s="601"/>
      <c r="G96" s="601"/>
      <c r="H96" s="601"/>
      <c r="I96" s="601"/>
      <c r="J96" s="601"/>
      <c r="K96" s="601"/>
      <c r="L96" s="601"/>
      <c r="M96" s="601"/>
      <c r="N96" s="601"/>
      <c r="O96" s="601"/>
      <c r="P96" s="601"/>
      <c r="Q96" s="601"/>
      <c r="R96" s="601"/>
    </row>
    <row r="97" spans="1:18" s="484" customFormat="1">
      <c r="A97" s="602"/>
      <c r="B97" s="601"/>
      <c r="C97" s="601"/>
      <c r="D97" s="601"/>
      <c r="E97" s="601"/>
      <c r="F97" s="601"/>
      <c r="G97" s="601"/>
      <c r="H97" s="601"/>
      <c r="I97" s="601"/>
      <c r="J97" s="601"/>
      <c r="K97" s="601"/>
      <c r="L97" s="601"/>
      <c r="M97" s="601"/>
      <c r="N97" s="601"/>
      <c r="O97" s="601"/>
      <c r="P97" s="601"/>
      <c r="Q97" s="601"/>
      <c r="R97" s="601"/>
    </row>
    <row r="98" spans="1:18" s="484" customFormat="1">
      <c r="A98" s="602"/>
      <c r="B98" s="601"/>
      <c r="C98" s="601"/>
      <c r="D98" s="601"/>
      <c r="E98" s="601"/>
      <c r="F98" s="601"/>
      <c r="G98" s="601"/>
      <c r="H98" s="601"/>
      <c r="I98" s="601"/>
      <c r="J98" s="601"/>
      <c r="K98" s="601"/>
      <c r="L98" s="601"/>
      <c r="M98" s="601"/>
      <c r="N98" s="601"/>
      <c r="O98" s="601"/>
      <c r="P98" s="601"/>
      <c r="Q98" s="601"/>
      <c r="R98" s="601"/>
    </row>
    <row r="99" spans="1:18" s="484" customFormat="1">
      <c r="A99" s="602"/>
      <c r="B99" s="601"/>
      <c r="C99" s="601"/>
      <c r="D99" s="601"/>
      <c r="E99" s="601"/>
      <c r="F99" s="601"/>
      <c r="G99" s="601"/>
      <c r="H99" s="601"/>
      <c r="I99" s="601"/>
      <c r="J99" s="601"/>
      <c r="K99" s="601"/>
      <c r="L99" s="601"/>
      <c r="M99" s="601"/>
      <c r="N99" s="601"/>
      <c r="O99" s="601"/>
      <c r="P99" s="601"/>
      <c r="Q99" s="601"/>
      <c r="R99" s="601"/>
    </row>
    <row r="100" spans="1:18" s="484" customFormat="1">
      <c r="A100" s="602"/>
      <c r="B100" s="601"/>
      <c r="C100" s="601"/>
      <c r="D100" s="601"/>
      <c r="E100" s="601"/>
      <c r="F100" s="601"/>
      <c r="G100" s="601"/>
      <c r="H100" s="601"/>
      <c r="I100" s="601"/>
      <c r="J100" s="601"/>
      <c r="K100" s="601"/>
      <c r="L100" s="601"/>
      <c r="M100" s="601"/>
      <c r="N100" s="601"/>
      <c r="O100" s="601"/>
      <c r="P100" s="601"/>
      <c r="Q100" s="601"/>
      <c r="R100" s="601"/>
    </row>
    <row r="101" spans="1:18" s="484" customFormat="1">
      <c r="A101" s="602"/>
      <c r="B101" s="601"/>
      <c r="C101" s="601"/>
      <c r="D101" s="601"/>
      <c r="E101" s="601"/>
      <c r="F101" s="601"/>
      <c r="G101" s="601"/>
      <c r="H101" s="601"/>
      <c r="I101" s="601"/>
      <c r="J101" s="601"/>
      <c r="K101" s="601"/>
      <c r="L101" s="601"/>
      <c r="M101" s="601"/>
      <c r="N101" s="601"/>
      <c r="O101" s="601"/>
      <c r="P101" s="601"/>
      <c r="Q101" s="601"/>
      <c r="R101" s="601"/>
    </row>
    <row r="102" spans="1:18" s="484" customFormat="1">
      <c r="A102" s="602"/>
      <c r="B102" s="601"/>
      <c r="C102" s="601"/>
      <c r="D102" s="601"/>
      <c r="E102" s="601"/>
      <c r="F102" s="601"/>
      <c r="G102" s="601"/>
      <c r="H102" s="601"/>
      <c r="I102" s="601"/>
      <c r="J102" s="601"/>
      <c r="K102" s="601"/>
      <c r="L102" s="601"/>
      <c r="M102" s="601"/>
      <c r="N102" s="601"/>
      <c r="O102" s="601"/>
      <c r="P102" s="601"/>
      <c r="Q102" s="601"/>
      <c r="R102" s="601"/>
    </row>
    <row r="103" spans="1:18" s="484" customFormat="1">
      <c r="A103" s="602"/>
      <c r="B103" s="601"/>
      <c r="C103" s="601"/>
      <c r="D103" s="601"/>
      <c r="E103" s="601"/>
      <c r="F103" s="601"/>
      <c r="G103" s="601"/>
      <c r="H103" s="601"/>
      <c r="I103" s="601"/>
      <c r="J103" s="601"/>
      <c r="K103" s="601"/>
      <c r="L103" s="601"/>
      <c r="M103" s="601"/>
      <c r="N103" s="601"/>
      <c r="O103" s="601"/>
      <c r="P103" s="601"/>
      <c r="Q103" s="601"/>
      <c r="R103" s="601"/>
    </row>
    <row r="104" spans="1:18" s="484" customFormat="1">
      <c r="A104" s="602"/>
      <c r="B104" s="601"/>
      <c r="C104" s="601"/>
      <c r="D104" s="601"/>
      <c r="E104" s="601"/>
      <c r="F104" s="601"/>
      <c r="G104" s="601"/>
      <c r="H104" s="601"/>
      <c r="I104" s="601"/>
      <c r="J104" s="601"/>
      <c r="K104" s="601"/>
      <c r="L104" s="601"/>
      <c r="M104" s="601"/>
      <c r="N104" s="601"/>
      <c r="O104" s="601"/>
      <c r="P104" s="601"/>
      <c r="Q104" s="601"/>
      <c r="R104" s="601"/>
    </row>
    <row r="105" spans="1:18" s="484" customFormat="1">
      <c r="A105" s="602"/>
      <c r="B105" s="601"/>
      <c r="C105" s="601"/>
      <c r="D105" s="601"/>
      <c r="E105" s="601"/>
      <c r="F105" s="601"/>
      <c r="G105" s="601"/>
      <c r="H105" s="601"/>
      <c r="I105" s="601"/>
      <c r="J105" s="601"/>
      <c r="K105" s="601"/>
      <c r="L105" s="601"/>
      <c r="M105" s="601"/>
      <c r="N105" s="601"/>
      <c r="O105" s="601"/>
      <c r="P105" s="601"/>
      <c r="Q105" s="601"/>
      <c r="R105" s="601"/>
    </row>
    <row r="106" spans="1:18" s="484" customFormat="1">
      <c r="A106" s="602"/>
      <c r="B106" s="601"/>
      <c r="C106" s="601"/>
      <c r="D106" s="601"/>
      <c r="E106" s="601"/>
      <c r="F106" s="601"/>
      <c r="G106" s="601"/>
      <c r="H106" s="601"/>
      <c r="I106" s="601"/>
      <c r="J106" s="601"/>
      <c r="K106" s="601"/>
      <c r="L106" s="601"/>
      <c r="M106" s="601"/>
      <c r="N106" s="601"/>
      <c r="O106" s="601"/>
      <c r="P106" s="601"/>
      <c r="Q106" s="601"/>
      <c r="R106" s="601"/>
    </row>
    <row r="107" spans="1:18" s="484" customFormat="1">
      <c r="A107" s="602"/>
      <c r="B107" s="601"/>
      <c r="C107" s="601"/>
      <c r="D107" s="601"/>
      <c r="E107" s="601"/>
      <c r="F107" s="601"/>
      <c r="G107" s="601"/>
      <c r="H107" s="601"/>
      <c r="I107" s="601"/>
      <c r="J107" s="601"/>
      <c r="K107" s="601"/>
      <c r="L107" s="601"/>
      <c r="M107" s="601"/>
      <c r="N107" s="601"/>
      <c r="O107" s="601"/>
      <c r="P107" s="601"/>
      <c r="Q107" s="601"/>
      <c r="R107" s="601"/>
    </row>
    <row r="108" spans="1:18" s="484" customFormat="1">
      <c r="A108" s="602"/>
      <c r="B108" s="601"/>
      <c r="C108" s="601"/>
      <c r="D108" s="601"/>
      <c r="E108" s="601"/>
      <c r="F108" s="601"/>
      <c r="G108" s="601"/>
      <c r="H108" s="601"/>
      <c r="I108" s="601"/>
      <c r="J108" s="601"/>
      <c r="K108" s="601"/>
      <c r="L108" s="601"/>
      <c r="M108" s="601"/>
      <c r="N108" s="601"/>
      <c r="O108" s="601"/>
      <c r="P108" s="601"/>
      <c r="Q108" s="601"/>
      <c r="R108" s="601"/>
    </row>
    <row r="109" spans="1:18" s="484" customFormat="1">
      <c r="A109" s="602"/>
      <c r="B109" s="601"/>
      <c r="C109" s="601"/>
      <c r="D109" s="601"/>
      <c r="E109" s="601"/>
      <c r="F109" s="601"/>
      <c r="G109" s="601"/>
      <c r="H109" s="601"/>
      <c r="I109" s="601"/>
      <c r="J109" s="601"/>
      <c r="K109" s="601"/>
      <c r="L109" s="601"/>
      <c r="M109" s="601"/>
      <c r="N109" s="601"/>
      <c r="O109" s="601"/>
      <c r="P109" s="601"/>
      <c r="Q109" s="601"/>
      <c r="R109" s="601"/>
    </row>
    <row r="110" spans="1:18" s="484" customFormat="1">
      <c r="A110" s="602"/>
      <c r="B110" s="601"/>
      <c r="C110" s="601"/>
      <c r="D110" s="601"/>
      <c r="E110" s="601"/>
      <c r="F110" s="601"/>
      <c r="G110" s="601"/>
      <c r="H110" s="601"/>
      <c r="I110" s="601"/>
      <c r="J110" s="601"/>
      <c r="K110" s="601"/>
      <c r="L110" s="601"/>
      <c r="M110" s="601"/>
      <c r="N110" s="601"/>
      <c r="O110" s="601"/>
      <c r="P110" s="601"/>
      <c r="Q110" s="601"/>
      <c r="R110" s="601"/>
    </row>
    <row r="111" spans="1:18" s="484" customFormat="1">
      <c r="A111" s="602"/>
      <c r="B111" s="601"/>
      <c r="C111" s="601"/>
      <c r="D111" s="601"/>
      <c r="E111" s="601"/>
      <c r="F111" s="601"/>
      <c r="G111" s="601"/>
      <c r="H111" s="601"/>
      <c r="I111" s="601"/>
      <c r="J111" s="601"/>
      <c r="K111" s="601"/>
      <c r="L111" s="601"/>
      <c r="M111" s="601"/>
      <c r="N111" s="601"/>
      <c r="O111" s="601"/>
      <c r="P111" s="601"/>
      <c r="Q111" s="601"/>
      <c r="R111" s="601"/>
    </row>
    <row r="112" spans="1:18" s="484" customFormat="1">
      <c r="A112" s="602"/>
      <c r="B112" s="601"/>
      <c r="C112" s="601"/>
      <c r="D112" s="601"/>
      <c r="E112" s="601"/>
      <c r="F112" s="601"/>
      <c r="G112" s="601"/>
      <c r="H112" s="601"/>
      <c r="I112" s="601"/>
      <c r="J112" s="601"/>
      <c r="K112" s="601"/>
      <c r="L112" s="601"/>
      <c r="M112" s="601"/>
      <c r="N112" s="601"/>
      <c r="O112" s="601"/>
      <c r="P112" s="601"/>
      <c r="Q112" s="601"/>
      <c r="R112" s="601"/>
    </row>
    <row r="113" spans="1:18" s="484" customFormat="1">
      <c r="A113" s="602"/>
      <c r="B113" s="601"/>
      <c r="C113" s="601"/>
      <c r="D113" s="601"/>
      <c r="E113" s="601"/>
      <c r="F113" s="601"/>
      <c r="G113" s="601"/>
      <c r="H113" s="601"/>
      <c r="I113" s="601"/>
      <c r="J113" s="601"/>
      <c r="K113" s="601"/>
      <c r="L113" s="601"/>
      <c r="M113" s="601"/>
      <c r="N113" s="601"/>
      <c r="O113" s="601"/>
      <c r="P113" s="601"/>
      <c r="Q113" s="601"/>
      <c r="R113" s="601"/>
    </row>
    <row r="114" spans="1:18" s="484" customFormat="1">
      <c r="A114" s="602"/>
      <c r="B114" s="601"/>
      <c r="C114" s="601"/>
      <c r="D114" s="601"/>
      <c r="E114" s="601"/>
      <c r="F114" s="601"/>
      <c r="G114" s="601"/>
      <c r="H114" s="601"/>
      <c r="I114" s="601"/>
      <c r="J114" s="601"/>
      <c r="K114" s="601"/>
      <c r="L114" s="601"/>
      <c r="M114" s="601"/>
      <c r="N114" s="601"/>
      <c r="O114" s="601"/>
      <c r="P114" s="601"/>
      <c r="Q114" s="601"/>
      <c r="R114" s="601"/>
    </row>
    <row r="115" spans="1:18" s="484" customFormat="1">
      <c r="A115" s="602"/>
      <c r="B115" s="601"/>
      <c r="C115" s="601"/>
      <c r="D115" s="601"/>
      <c r="E115" s="601"/>
      <c r="F115" s="601"/>
      <c r="G115" s="601"/>
      <c r="H115" s="601"/>
      <c r="I115" s="601"/>
      <c r="J115" s="601"/>
      <c r="K115" s="601"/>
      <c r="L115" s="601"/>
      <c r="M115" s="601"/>
      <c r="N115" s="601"/>
      <c r="O115" s="601"/>
      <c r="P115" s="601"/>
      <c r="Q115" s="601"/>
      <c r="R115" s="601"/>
    </row>
    <row r="116" spans="1:18" s="484" customFormat="1">
      <c r="A116" s="602"/>
      <c r="B116" s="601"/>
      <c r="C116" s="601"/>
      <c r="D116" s="601"/>
      <c r="E116" s="601"/>
      <c r="F116" s="601"/>
      <c r="G116" s="601"/>
      <c r="H116" s="601"/>
      <c r="I116" s="601"/>
      <c r="J116" s="601"/>
      <c r="K116" s="601"/>
      <c r="L116" s="601"/>
      <c r="M116" s="601"/>
      <c r="N116" s="601"/>
      <c r="O116" s="601"/>
      <c r="P116" s="601"/>
      <c r="Q116" s="601"/>
      <c r="R116" s="601"/>
    </row>
    <row r="117" spans="1:18" s="484" customFormat="1">
      <c r="A117" s="602"/>
      <c r="B117" s="601"/>
      <c r="C117" s="601"/>
      <c r="D117" s="601"/>
      <c r="E117" s="601"/>
      <c r="F117" s="601"/>
      <c r="G117" s="601"/>
      <c r="H117" s="601"/>
      <c r="I117" s="601"/>
      <c r="J117" s="601"/>
      <c r="K117" s="601"/>
      <c r="L117" s="601"/>
      <c r="M117" s="601"/>
      <c r="N117" s="601"/>
      <c r="O117" s="601"/>
      <c r="P117" s="601"/>
      <c r="Q117" s="601"/>
      <c r="R117" s="601"/>
    </row>
    <row r="118" spans="1:18" s="484" customFormat="1">
      <c r="A118" s="602"/>
      <c r="B118" s="601"/>
      <c r="C118" s="601"/>
      <c r="D118" s="601"/>
      <c r="E118" s="601"/>
      <c r="F118" s="601"/>
      <c r="G118" s="601"/>
      <c r="H118" s="601"/>
      <c r="I118" s="601"/>
      <c r="J118" s="601"/>
      <c r="K118" s="601"/>
      <c r="L118" s="601"/>
      <c r="M118" s="601"/>
      <c r="N118" s="601"/>
      <c r="O118" s="601"/>
      <c r="P118" s="601"/>
      <c r="Q118" s="601"/>
      <c r="R118" s="601"/>
    </row>
    <row r="119" spans="1:18" s="484" customFormat="1">
      <c r="A119" s="602"/>
      <c r="B119" s="601"/>
      <c r="C119" s="601"/>
      <c r="D119" s="601"/>
      <c r="E119" s="601"/>
      <c r="F119" s="601"/>
      <c r="G119" s="601"/>
      <c r="H119" s="601"/>
      <c r="I119" s="601"/>
      <c r="J119" s="601"/>
      <c r="K119" s="601"/>
      <c r="L119" s="601"/>
      <c r="M119" s="601"/>
      <c r="N119" s="601"/>
      <c r="O119" s="601"/>
      <c r="P119" s="601"/>
      <c r="Q119" s="601"/>
      <c r="R119" s="601"/>
    </row>
    <row r="120" spans="1:18" s="484" customFormat="1">
      <c r="A120" s="602"/>
      <c r="B120" s="601"/>
      <c r="C120" s="601"/>
      <c r="D120" s="601"/>
      <c r="E120" s="601"/>
      <c r="F120" s="601"/>
      <c r="G120" s="601"/>
      <c r="H120" s="601"/>
      <c r="I120" s="601"/>
      <c r="J120" s="601"/>
      <c r="K120" s="601"/>
      <c r="L120" s="601"/>
      <c r="M120" s="601"/>
      <c r="N120" s="601"/>
      <c r="O120" s="601"/>
      <c r="P120" s="601"/>
      <c r="Q120" s="601"/>
      <c r="R120" s="601"/>
    </row>
    <row r="121" spans="1:18" s="484" customFormat="1">
      <c r="A121" s="602"/>
      <c r="B121" s="601"/>
      <c r="C121" s="601"/>
      <c r="D121" s="601"/>
      <c r="E121" s="601"/>
      <c r="F121" s="601"/>
      <c r="G121" s="601"/>
      <c r="H121" s="601"/>
      <c r="I121" s="601"/>
      <c r="J121" s="601"/>
      <c r="K121" s="601"/>
      <c r="L121" s="601"/>
      <c r="M121" s="601"/>
      <c r="N121" s="601"/>
      <c r="O121" s="601"/>
      <c r="P121" s="601"/>
      <c r="Q121" s="601"/>
      <c r="R121" s="601"/>
    </row>
    <row r="122" spans="1:18" s="484" customFormat="1">
      <c r="A122" s="602"/>
      <c r="B122" s="601"/>
      <c r="C122" s="601"/>
      <c r="D122" s="601"/>
      <c r="E122" s="601"/>
      <c r="F122" s="601"/>
      <c r="G122" s="601"/>
      <c r="H122" s="601"/>
      <c r="I122" s="601"/>
      <c r="J122" s="601"/>
      <c r="K122" s="601"/>
      <c r="L122" s="601"/>
      <c r="M122" s="601"/>
      <c r="N122" s="601"/>
      <c r="O122" s="601"/>
      <c r="P122" s="601"/>
      <c r="Q122" s="601"/>
      <c r="R122" s="601"/>
    </row>
    <row r="123" spans="1:18" s="484" customFormat="1">
      <c r="A123" s="602"/>
      <c r="B123" s="601"/>
      <c r="C123" s="601"/>
      <c r="D123" s="601"/>
      <c r="E123" s="601"/>
      <c r="F123" s="601"/>
      <c r="G123" s="601"/>
      <c r="H123" s="601"/>
      <c r="I123" s="601"/>
      <c r="J123" s="601"/>
      <c r="K123" s="601"/>
      <c r="L123" s="601"/>
      <c r="M123" s="601"/>
      <c r="N123" s="601"/>
      <c r="O123" s="601"/>
      <c r="P123" s="601"/>
      <c r="Q123" s="601"/>
      <c r="R123" s="601"/>
    </row>
    <row r="124" spans="1:18" s="484" customFormat="1">
      <c r="A124" s="602"/>
      <c r="B124" s="601"/>
      <c r="C124" s="601"/>
      <c r="D124" s="601"/>
      <c r="E124" s="601"/>
      <c r="F124" s="601"/>
      <c r="G124" s="601"/>
      <c r="H124" s="601"/>
      <c r="I124" s="601"/>
      <c r="J124" s="601"/>
      <c r="K124" s="601"/>
      <c r="L124" s="601"/>
      <c r="M124" s="601"/>
      <c r="N124" s="601"/>
      <c r="O124" s="601"/>
      <c r="P124" s="601"/>
      <c r="Q124" s="601"/>
      <c r="R124" s="601"/>
    </row>
    <row r="125" spans="1:18" s="484" customFormat="1">
      <c r="A125" s="602"/>
      <c r="B125" s="601"/>
      <c r="C125" s="601"/>
      <c r="D125" s="601"/>
      <c r="E125" s="601"/>
      <c r="F125" s="601"/>
      <c r="G125" s="601"/>
      <c r="H125" s="601"/>
      <c r="I125" s="601"/>
      <c r="J125" s="601"/>
      <c r="K125" s="601"/>
      <c r="L125" s="601"/>
      <c r="M125" s="601"/>
      <c r="N125" s="601"/>
      <c r="O125" s="601"/>
      <c r="P125" s="601"/>
      <c r="Q125" s="601"/>
      <c r="R125" s="601"/>
    </row>
    <row r="126" spans="1:18" s="484" customFormat="1">
      <c r="A126" s="602"/>
      <c r="B126" s="601"/>
      <c r="C126" s="601"/>
      <c r="D126" s="601"/>
      <c r="E126" s="601"/>
      <c r="F126" s="601"/>
      <c r="G126" s="601"/>
      <c r="H126" s="601"/>
      <c r="I126" s="601"/>
      <c r="J126" s="601"/>
      <c r="K126" s="601"/>
      <c r="L126" s="601"/>
      <c r="M126" s="601"/>
      <c r="N126" s="601"/>
      <c r="O126" s="601"/>
      <c r="P126" s="601"/>
      <c r="Q126" s="601"/>
      <c r="R126" s="601"/>
    </row>
    <row r="127" spans="1:18" s="484" customFormat="1">
      <c r="A127" s="602"/>
      <c r="B127" s="601"/>
      <c r="C127" s="601"/>
      <c r="D127" s="601"/>
      <c r="E127" s="601"/>
      <c r="F127" s="601"/>
      <c r="G127" s="601"/>
      <c r="H127" s="601"/>
      <c r="I127" s="601"/>
      <c r="J127" s="601"/>
      <c r="K127" s="601"/>
      <c r="L127" s="601"/>
      <c r="M127" s="601"/>
      <c r="N127" s="601"/>
      <c r="O127" s="601"/>
      <c r="P127" s="601"/>
      <c r="Q127" s="601"/>
      <c r="R127" s="601"/>
    </row>
    <row r="128" spans="1:18" s="484" customFormat="1">
      <c r="A128" s="602"/>
      <c r="B128" s="601"/>
      <c r="C128" s="601"/>
      <c r="D128" s="601"/>
      <c r="E128" s="601"/>
      <c r="F128" s="601"/>
      <c r="G128" s="601"/>
      <c r="H128" s="601"/>
      <c r="I128" s="601"/>
      <c r="J128" s="601"/>
      <c r="K128" s="601"/>
      <c r="L128" s="601"/>
      <c r="M128" s="601"/>
      <c r="N128" s="601"/>
      <c r="O128" s="601"/>
      <c r="P128" s="601"/>
      <c r="Q128" s="601"/>
      <c r="R128" s="601"/>
    </row>
    <row r="129" spans="1:18" s="484" customFormat="1">
      <c r="A129" s="602"/>
      <c r="B129" s="601"/>
      <c r="C129" s="601"/>
      <c r="D129" s="601"/>
      <c r="E129" s="601"/>
      <c r="F129" s="601"/>
      <c r="G129" s="601"/>
      <c r="H129" s="601"/>
      <c r="I129" s="601"/>
      <c r="J129" s="601"/>
      <c r="K129" s="601"/>
      <c r="L129" s="601"/>
      <c r="M129" s="601"/>
      <c r="N129" s="601"/>
      <c r="O129" s="601"/>
      <c r="P129" s="601"/>
      <c r="Q129" s="601"/>
      <c r="R129" s="601"/>
    </row>
    <row r="130" spans="1:18" s="484" customFormat="1">
      <c r="A130" s="602"/>
      <c r="B130" s="601"/>
      <c r="C130" s="601"/>
      <c r="D130" s="601"/>
      <c r="E130" s="601"/>
      <c r="F130" s="601"/>
      <c r="G130" s="601"/>
      <c r="H130" s="601"/>
      <c r="I130" s="601"/>
      <c r="J130" s="601"/>
      <c r="K130" s="601"/>
      <c r="L130" s="601"/>
      <c r="M130" s="601"/>
      <c r="N130" s="601"/>
      <c r="O130" s="601"/>
      <c r="P130" s="601"/>
      <c r="Q130" s="601"/>
      <c r="R130" s="601"/>
    </row>
    <row r="131" spans="1:18" s="484" customFormat="1">
      <c r="A131" s="602"/>
      <c r="B131" s="601"/>
      <c r="C131" s="601"/>
      <c r="D131" s="601"/>
      <c r="E131" s="601"/>
      <c r="F131" s="601"/>
      <c r="G131" s="601"/>
      <c r="H131" s="601"/>
      <c r="I131" s="601"/>
      <c r="J131" s="601"/>
      <c r="K131" s="601"/>
      <c r="L131" s="601"/>
      <c r="M131" s="601"/>
      <c r="N131" s="601"/>
      <c r="O131" s="601"/>
      <c r="P131" s="601"/>
      <c r="Q131" s="601"/>
      <c r="R131" s="601"/>
    </row>
    <row r="132" spans="1:18" s="484" customFormat="1">
      <c r="A132" s="602"/>
      <c r="B132" s="601"/>
      <c r="C132" s="601"/>
      <c r="D132" s="601"/>
      <c r="E132" s="601"/>
      <c r="F132" s="601"/>
      <c r="G132" s="601"/>
      <c r="H132" s="601"/>
      <c r="I132" s="601"/>
      <c r="J132" s="601"/>
      <c r="K132" s="601"/>
      <c r="L132" s="601"/>
      <c r="M132" s="601"/>
      <c r="N132" s="601"/>
      <c r="O132" s="601"/>
      <c r="P132" s="601"/>
      <c r="Q132" s="601"/>
      <c r="R132" s="601"/>
    </row>
    <row r="133" spans="1:18" s="484" customFormat="1">
      <c r="A133" s="602"/>
      <c r="B133" s="601"/>
      <c r="C133" s="601"/>
      <c r="D133" s="601"/>
      <c r="E133" s="601"/>
      <c r="F133" s="601"/>
      <c r="G133" s="601"/>
      <c r="H133" s="601"/>
      <c r="I133" s="601"/>
      <c r="J133" s="601"/>
      <c r="K133" s="601"/>
      <c r="L133" s="601"/>
      <c r="M133" s="601"/>
      <c r="N133" s="601"/>
      <c r="O133" s="601"/>
      <c r="P133" s="601"/>
      <c r="Q133" s="601"/>
      <c r="R133" s="601"/>
    </row>
    <row r="134" spans="1:18" s="484" customFormat="1">
      <c r="A134" s="602"/>
      <c r="B134" s="601"/>
      <c r="C134" s="601"/>
      <c r="D134" s="601"/>
      <c r="E134" s="601"/>
      <c r="F134" s="601"/>
      <c r="G134" s="601"/>
      <c r="H134" s="601"/>
      <c r="I134" s="601"/>
      <c r="J134" s="601"/>
      <c r="K134" s="601"/>
      <c r="L134" s="601"/>
      <c r="M134" s="601"/>
      <c r="N134" s="601"/>
      <c r="O134" s="601"/>
      <c r="P134" s="601"/>
      <c r="Q134" s="601"/>
      <c r="R134" s="601"/>
    </row>
    <row r="135" spans="1:18" s="484" customFormat="1">
      <c r="A135" s="602"/>
      <c r="B135" s="601"/>
      <c r="C135" s="601"/>
      <c r="D135" s="601"/>
      <c r="E135" s="601"/>
      <c r="F135" s="601"/>
      <c r="G135" s="601"/>
      <c r="H135" s="601"/>
      <c r="I135" s="601"/>
      <c r="J135" s="601"/>
      <c r="K135" s="601"/>
      <c r="L135" s="601"/>
      <c r="M135" s="601"/>
      <c r="N135" s="601"/>
      <c r="O135" s="601"/>
      <c r="P135" s="601"/>
      <c r="Q135" s="601"/>
      <c r="R135" s="601"/>
    </row>
    <row r="136" spans="1:18" s="484" customFormat="1">
      <c r="A136" s="602"/>
      <c r="B136" s="601"/>
      <c r="C136" s="601"/>
      <c r="D136" s="601"/>
      <c r="E136" s="601"/>
      <c r="F136" s="601"/>
      <c r="G136" s="601"/>
      <c r="H136" s="601"/>
      <c r="I136" s="601"/>
      <c r="J136" s="601"/>
      <c r="K136" s="601"/>
      <c r="L136" s="601"/>
      <c r="M136" s="601"/>
      <c r="N136" s="601"/>
      <c r="O136" s="601"/>
      <c r="P136" s="601"/>
      <c r="Q136" s="601"/>
      <c r="R136" s="601"/>
    </row>
    <row r="137" spans="1:18" s="484" customFormat="1">
      <c r="A137" s="602"/>
      <c r="B137" s="601"/>
      <c r="C137" s="601"/>
      <c r="D137" s="601"/>
      <c r="E137" s="601"/>
      <c r="F137" s="601"/>
      <c r="G137" s="601"/>
      <c r="H137" s="601"/>
      <c r="I137" s="601"/>
      <c r="J137" s="601"/>
      <c r="K137" s="601"/>
      <c r="L137" s="601"/>
      <c r="M137" s="601"/>
      <c r="N137" s="601"/>
      <c r="O137" s="601"/>
      <c r="P137" s="601"/>
      <c r="Q137" s="601"/>
      <c r="R137" s="601"/>
    </row>
    <row r="138" spans="1:18" s="484" customFormat="1">
      <c r="A138" s="602"/>
      <c r="B138" s="601"/>
      <c r="C138" s="601"/>
      <c r="D138" s="601"/>
      <c r="E138" s="601"/>
      <c r="F138" s="601"/>
      <c r="G138" s="601"/>
      <c r="H138" s="601"/>
      <c r="I138" s="601"/>
      <c r="J138" s="601"/>
      <c r="K138" s="601"/>
      <c r="L138" s="601"/>
      <c r="M138" s="601"/>
      <c r="N138" s="601"/>
      <c r="O138" s="601"/>
      <c r="P138" s="601"/>
      <c r="Q138" s="601"/>
      <c r="R138" s="601"/>
    </row>
    <row r="139" spans="1:18" s="484" customFormat="1">
      <c r="A139" s="602"/>
      <c r="B139" s="601"/>
      <c r="C139" s="601"/>
      <c r="D139" s="601"/>
      <c r="E139" s="601"/>
      <c r="F139" s="601"/>
      <c r="G139" s="601"/>
      <c r="H139" s="601"/>
      <c r="I139" s="601"/>
      <c r="J139" s="601"/>
      <c r="K139" s="601"/>
      <c r="L139" s="601"/>
      <c r="M139" s="601"/>
      <c r="N139" s="601"/>
      <c r="O139" s="601"/>
      <c r="P139" s="601"/>
      <c r="Q139" s="601"/>
      <c r="R139" s="601"/>
    </row>
    <row r="140" spans="1:18" s="484" customFormat="1">
      <c r="A140" s="602"/>
      <c r="B140" s="601"/>
      <c r="C140" s="601"/>
      <c r="D140" s="601"/>
      <c r="E140" s="601"/>
      <c r="F140" s="601"/>
      <c r="G140" s="601"/>
      <c r="H140" s="601"/>
      <c r="I140" s="601"/>
      <c r="J140" s="601"/>
      <c r="K140" s="601"/>
      <c r="L140" s="601"/>
      <c r="M140" s="601"/>
      <c r="N140" s="601"/>
      <c r="O140" s="601"/>
      <c r="P140" s="601"/>
      <c r="Q140" s="601"/>
      <c r="R140" s="601"/>
    </row>
    <row r="141" spans="1:18" s="484" customFormat="1">
      <c r="A141" s="602"/>
      <c r="B141" s="600"/>
      <c r="C141" s="600"/>
      <c r="D141" s="600"/>
      <c r="E141" s="600"/>
      <c r="F141" s="600"/>
      <c r="G141" s="600"/>
      <c r="H141" s="600"/>
      <c r="I141" s="600"/>
      <c r="J141" s="600"/>
      <c r="K141" s="600"/>
      <c r="L141" s="600"/>
      <c r="M141" s="600"/>
      <c r="N141" s="600"/>
      <c r="O141" s="600"/>
      <c r="P141" s="600"/>
      <c r="Q141" s="600"/>
      <c r="R141" s="601"/>
    </row>
    <row r="142" spans="1:18" s="484" customFormat="1">
      <c r="A142" s="602"/>
      <c r="B142" s="600"/>
      <c r="C142" s="600"/>
      <c r="D142" s="600"/>
      <c r="E142" s="600"/>
      <c r="F142" s="600"/>
      <c r="G142" s="600"/>
      <c r="H142" s="600"/>
      <c r="I142" s="600"/>
      <c r="J142" s="600"/>
      <c r="K142" s="600"/>
      <c r="L142" s="600"/>
      <c r="M142" s="600"/>
      <c r="N142" s="600"/>
      <c r="O142" s="600"/>
      <c r="P142" s="600"/>
      <c r="Q142" s="600"/>
      <c r="R142" s="601"/>
    </row>
    <row r="143" spans="1:18" s="484" customFormat="1">
      <c r="A143" s="602"/>
      <c r="B143" s="600"/>
      <c r="C143" s="600"/>
      <c r="D143" s="600"/>
      <c r="E143" s="600"/>
      <c r="F143" s="600"/>
      <c r="G143" s="600"/>
      <c r="H143" s="600"/>
      <c r="I143" s="600"/>
      <c r="J143" s="600"/>
      <c r="K143" s="600"/>
      <c r="L143" s="600"/>
      <c r="M143" s="600"/>
      <c r="N143" s="600"/>
      <c r="O143" s="600"/>
      <c r="P143" s="600"/>
      <c r="Q143" s="600"/>
      <c r="R143" s="601"/>
    </row>
    <row r="144" spans="1:18" s="484" customFormat="1">
      <c r="A144" s="602"/>
      <c r="B144" s="600"/>
      <c r="C144" s="600"/>
      <c r="D144" s="600"/>
      <c r="E144" s="600"/>
      <c r="F144" s="600"/>
      <c r="G144" s="600"/>
      <c r="H144" s="600"/>
      <c r="I144" s="600"/>
      <c r="J144" s="600"/>
      <c r="K144" s="600"/>
      <c r="L144" s="600"/>
      <c r="M144" s="600"/>
      <c r="N144" s="600"/>
      <c r="O144" s="600"/>
      <c r="P144" s="600"/>
      <c r="Q144" s="600"/>
      <c r="R144" s="601"/>
    </row>
  </sheetData>
  <sheetProtection formatCells="0" selectLockedCells="1"/>
  <mergeCells count="38">
    <mergeCell ref="B6:D6"/>
    <mergeCell ref="E6:I6"/>
    <mergeCell ref="J6:L6"/>
    <mergeCell ref="M6:R6"/>
    <mergeCell ref="E2:O5"/>
    <mergeCell ref="P2:Q2"/>
    <mergeCell ref="P3:Q3"/>
    <mergeCell ref="P4:Q4"/>
    <mergeCell ref="P5:Q5"/>
    <mergeCell ref="B7:D7"/>
    <mergeCell ref="E7:I7"/>
    <mergeCell ref="J7:L7"/>
    <mergeCell ref="M7:R7"/>
    <mergeCell ref="B8:D8"/>
    <mergeCell ref="E8:I8"/>
    <mergeCell ref="J8:L8"/>
    <mergeCell ref="M8:R8"/>
    <mergeCell ref="D22:M22"/>
    <mergeCell ref="B9:R9"/>
    <mergeCell ref="C11:K11"/>
    <mergeCell ref="L11:Q11"/>
    <mergeCell ref="C12:Q13"/>
    <mergeCell ref="C14:Q15"/>
    <mergeCell ref="D17:K17"/>
    <mergeCell ref="L17:N17"/>
    <mergeCell ref="D18:M18"/>
    <mergeCell ref="P18:P19"/>
    <mergeCell ref="D19:M19"/>
    <mergeCell ref="D20:M20"/>
    <mergeCell ref="D21:M21"/>
    <mergeCell ref="D29:M29"/>
    <mergeCell ref="D31:N31"/>
    <mergeCell ref="D23:M23"/>
    <mergeCell ref="D24:M24"/>
    <mergeCell ref="D25:M25"/>
    <mergeCell ref="D26:M26"/>
    <mergeCell ref="D27:M27"/>
    <mergeCell ref="D28:M28"/>
  </mergeCells>
  <dataValidations count="2">
    <dataValidation type="decimal" operator="greaterThanOrEqual" allowBlank="1" showInputMessage="1" showErrorMessage="1" sqref="O34">
      <formula1>0</formula1>
    </dataValidation>
    <dataValidation operator="greaterThanOrEqual" allowBlank="1" showInputMessage="1" showErrorMessage="1" sqref="O31"/>
  </dataValidations>
  <printOptions horizontalCentered="1"/>
  <pageMargins left="0.75" right="0.35" top="0.6" bottom="0.55000000000000004" header="0.5" footer="0.4"/>
  <pageSetup scale="67" orientation="portrait" r:id="rId1"/>
  <headerFooter alignWithMargins="0">
    <oddFooter>&amp;L&amp;"Arial,Italic"&amp;8File: &amp;F&amp;R&amp;"Arial,Italic"&amp;8Printed: &amp;D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180"/>
  <sheetViews>
    <sheetView view="pageBreakPreview" zoomScale="80" zoomScaleNormal="80" zoomScaleSheetLayoutView="80" workbookViewId="0">
      <selection activeCell="N14" sqref="N14"/>
    </sheetView>
  </sheetViews>
  <sheetFormatPr defaultRowHeight="12.75"/>
  <cols>
    <col min="1" max="1" width="3.28515625" style="573" customWidth="1"/>
    <col min="2" max="2" width="3.7109375" style="517" customWidth="1"/>
    <col min="3" max="3" width="4.7109375" style="517" customWidth="1"/>
    <col min="4" max="12" width="9.7109375" style="517" customWidth="1"/>
    <col min="13" max="13" width="6" style="517" customWidth="1"/>
    <col min="14" max="14" width="9.140625" style="517" customWidth="1"/>
    <col min="15" max="18" width="10.7109375" style="516" customWidth="1"/>
    <col min="19" max="20" width="10.7109375" style="668" customWidth="1"/>
    <col min="21" max="21" width="11.85546875" style="668" customWidth="1"/>
    <col min="22" max="24" width="10.7109375" style="668" customWidth="1"/>
    <col min="25" max="25" width="14.28515625" style="668" customWidth="1"/>
    <col min="26" max="26" width="10.7109375" style="668" customWidth="1"/>
    <col min="27" max="27" width="10.7109375" style="669" customWidth="1"/>
    <col min="28" max="29" width="10.7109375" style="670" customWidth="1"/>
    <col min="30" max="30" width="13.42578125" style="670" customWidth="1"/>
    <col min="31" max="32" width="10.7109375" style="670" customWidth="1"/>
    <col min="33" max="33" width="17" style="670" customWidth="1"/>
    <col min="34" max="34" width="10.7109375" style="670" customWidth="1"/>
    <col min="35" max="35" width="15.7109375" style="670" customWidth="1"/>
    <col min="36" max="42" width="10.7109375" style="670" customWidth="1"/>
    <col min="43" max="16384" width="9.140625" style="670"/>
  </cols>
  <sheetData>
    <row r="1" spans="1:42" s="510" customFormat="1" ht="30" customHeight="1" thickBot="1">
      <c r="B1" s="133"/>
      <c r="C1" s="133"/>
      <c r="D1" s="133"/>
      <c r="E1" s="133"/>
      <c r="F1" s="133"/>
      <c r="G1" s="133"/>
      <c r="H1" s="133"/>
      <c r="I1" s="133"/>
      <c r="J1" s="133"/>
      <c r="K1" s="133"/>
      <c r="L1" s="133"/>
      <c r="M1" s="133"/>
      <c r="N1" s="133"/>
      <c r="O1" s="133"/>
      <c r="P1" s="133"/>
      <c r="Q1" s="173" t="s">
        <v>211</v>
      </c>
      <c r="R1" s="174">
        <f>'Inlet Blanketting Failure'!R1+1</f>
        <v>4</v>
      </c>
      <c r="S1" s="511"/>
      <c r="T1" s="511"/>
    </row>
    <row r="2" spans="1:42" s="133" customFormat="1" ht="16.5" customHeight="1">
      <c r="B2" s="106"/>
      <c r="C2" s="107"/>
      <c r="D2" s="107"/>
      <c r="E2" s="915" t="s">
        <v>218</v>
      </c>
      <c r="F2" s="915"/>
      <c r="G2" s="915"/>
      <c r="H2" s="915"/>
      <c r="I2" s="915"/>
      <c r="J2" s="915"/>
      <c r="K2" s="915"/>
      <c r="L2" s="915"/>
      <c r="M2" s="915"/>
      <c r="N2" s="915"/>
      <c r="O2" s="915"/>
      <c r="P2" s="918" t="s">
        <v>161</v>
      </c>
      <c r="Q2" s="919"/>
      <c r="R2" s="175" t="str">
        <f>IF(ISBLANK([2]General!$E$6),"",[2]General!$E$6)</f>
        <v>A</v>
      </c>
    </row>
    <row r="3" spans="1:42" s="133" customFormat="1" ht="16.5" customHeight="1">
      <c r="B3" s="108"/>
      <c r="C3" s="57"/>
      <c r="D3" s="58"/>
      <c r="E3" s="916"/>
      <c r="F3" s="916"/>
      <c r="G3" s="916"/>
      <c r="H3" s="916"/>
      <c r="I3" s="916"/>
      <c r="J3" s="916"/>
      <c r="K3" s="916"/>
      <c r="L3" s="916"/>
      <c r="M3" s="916"/>
      <c r="N3" s="916"/>
      <c r="O3" s="916"/>
      <c r="P3" s="920" t="s">
        <v>212</v>
      </c>
      <c r="Q3" s="921"/>
      <c r="R3" s="176" t="str">
        <f>IF(ISBLANK([2]General!$E$12),"",[2]General!$E$12)</f>
        <v>NRB</v>
      </c>
    </row>
    <row r="4" spans="1:42" s="25" customFormat="1" ht="16.5" customHeight="1">
      <c r="B4" s="108"/>
      <c r="C4" s="57"/>
      <c r="D4" s="58"/>
      <c r="E4" s="916"/>
      <c r="F4" s="916"/>
      <c r="G4" s="916"/>
      <c r="H4" s="916"/>
      <c r="I4" s="916"/>
      <c r="J4" s="916"/>
      <c r="K4" s="916"/>
      <c r="L4" s="916"/>
      <c r="M4" s="916"/>
      <c r="N4" s="916"/>
      <c r="O4" s="916"/>
      <c r="P4" s="920" t="s">
        <v>213</v>
      </c>
      <c r="Q4" s="921"/>
      <c r="R4" s="177">
        <f>IF(ISBLANK([2]General!$E$13),"",[2]General!$E$13)</f>
        <v>41813</v>
      </c>
      <c r="AJ4" s="133"/>
      <c r="AK4" s="133"/>
      <c r="AL4" s="133"/>
      <c r="AM4" s="133"/>
      <c r="AN4" s="133"/>
    </row>
    <row r="5" spans="1:42" s="25" customFormat="1" ht="16.5" customHeight="1">
      <c r="B5" s="116"/>
      <c r="C5" s="56"/>
      <c r="D5" s="56"/>
      <c r="E5" s="917"/>
      <c r="F5" s="917"/>
      <c r="G5" s="917"/>
      <c r="H5" s="917"/>
      <c r="I5" s="917"/>
      <c r="J5" s="917"/>
      <c r="K5" s="917"/>
      <c r="L5" s="917"/>
      <c r="M5" s="917"/>
      <c r="N5" s="917"/>
      <c r="O5" s="917"/>
      <c r="P5" s="920" t="s">
        <v>214</v>
      </c>
      <c r="Q5" s="921"/>
      <c r="R5" s="178" t="str">
        <f>IF(ISBLANK([2]General!$E$14),"",[2]General!$E$14)</f>
        <v/>
      </c>
      <c r="AJ5" s="133"/>
      <c r="AK5" s="133"/>
      <c r="AL5" s="133"/>
      <c r="AM5" s="133"/>
      <c r="AN5" s="133"/>
    </row>
    <row r="6" spans="1:42" s="25" customFormat="1" ht="16.5" customHeight="1">
      <c r="B6" s="924" t="s">
        <v>165</v>
      </c>
      <c r="C6" s="925"/>
      <c r="D6" s="926"/>
      <c r="E6" s="927" t="str">
        <f>IF(ISBLANK([2]General!$E$8),"",[2]General!$E$8)</f>
        <v>Flint Hills Resources</v>
      </c>
      <c r="F6" s="928"/>
      <c r="G6" s="928"/>
      <c r="H6" s="928"/>
      <c r="I6" s="928"/>
      <c r="J6" s="930" t="s">
        <v>215</v>
      </c>
      <c r="K6" s="931"/>
      <c r="L6" s="932"/>
      <c r="M6" s="927" t="str">
        <f>IF(ISBLANK([2]General!$C$30),"",[2]General!$C$30)</f>
        <v>High Pressure KO Drum</v>
      </c>
      <c r="N6" s="928"/>
      <c r="O6" s="928"/>
      <c r="P6" s="928"/>
      <c r="Q6" s="928"/>
      <c r="R6" s="933"/>
      <c r="AJ6" s="133"/>
      <c r="AK6" s="133"/>
      <c r="AL6" s="133"/>
      <c r="AM6" s="133"/>
      <c r="AN6" s="133"/>
    </row>
    <row r="7" spans="1:42" s="25" customFormat="1" ht="16.5" customHeight="1">
      <c r="B7" s="895" t="s">
        <v>216</v>
      </c>
      <c r="C7" s="896"/>
      <c r="D7" s="897"/>
      <c r="E7" s="1126" t="str">
        <f>IF(ISBLANK([2]General!$E$9),"",[2]General!$E$9)</f>
        <v>EDCP</v>
      </c>
      <c r="F7" s="1127"/>
      <c r="G7" s="1127"/>
      <c r="H7" s="1127"/>
      <c r="I7" s="1128"/>
      <c r="J7" s="901" t="s">
        <v>217</v>
      </c>
      <c r="K7" s="902"/>
      <c r="L7" s="903"/>
      <c r="M7" s="1126" t="str">
        <f>IF(ISBLANK([2]General!$D$30),"",[2]General!$D$30)</f>
        <v>84V-11</v>
      </c>
      <c r="N7" s="1127"/>
      <c r="O7" s="1127"/>
      <c r="P7" s="1127"/>
      <c r="Q7" s="1127"/>
      <c r="R7" s="1132"/>
      <c r="AJ7" s="133"/>
      <c r="AK7" s="133"/>
      <c r="AL7" s="133"/>
      <c r="AM7" s="133"/>
      <c r="AN7" s="133"/>
    </row>
    <row r="8" spans="1:42" s="133" customFormat="1" ht="16.5" customHeight="1">
      <c r="B8" s="905" t="s">
        <v>176</v>
      </c>
      <c r="C8" s="906"/>
      <c r="D8" s="907"/>
      <c r="E8" s="908" t="str">
        <f>IF(ISBLANK([2]General!$E$17),"",[2]General!$E$17)</f>
        <v>Crude #3</v>
      </c>
      <c r="F8" s="909"/>
      <c r="G8" s="909"/>
      <c r="H8" s="909"/>
      <c r="I8" s="910"/>
      <c r="J8" s="911" t="s">
        <v>175</v>
      </c>
      <c r="K8" s="912"/>
      <c r="L8" s="913"/>
      <c r="M8" s="908" t="str">
        <f>IF(ISBLANK([2]General!$E$16),"",[2]General!$E$16)</f>
        <v>Corpus Christi, TX</v>
      </c>
      <c r="N8" s="909"/>
      <c r="O8" s="909"/>
      <c r="P8" s="909"/>
      <c r="Q8" s="909"/>
      <c r="R8" s="914"/>
    </row>
    <row r="9" spans="1:42" s="133" customFormat="1" ht="16.5" customHeight="1">
      <c r="B9" s="1134" t="s">
        <v>397</v>
      </c>
      <c r="C9" s="1159"/>
      <c r="D9" s="1159"/>
      <c r="E9" s="1159"/>
      <c r="F9" s="1159"/>
      <c r="G9" s="1159"/>
      <c r="H9" s="1159"/>
      <c r="I9" s="1159"/>
      <c r="J9" s="1159"/>
      <c r="K9" s="1159"/>
      <c r="L9" s="1159"/>
      <c r="M9" s="1159"/>
      <c r="N9" s="1159"/>
      <c r="O9" s="1159"/>
      <c r="P9" s="1159"/>
      <c r="Q9" s="1159"/>
      <c r="R9" s="1136"/>
    </row>
    <row r="10" spans="1:42" ht="15" customHeight="1">
      <c r="A10" s="512"/>
      <c r="B10" s="513"/>
      <c r="C10" s="514"/>
      <c r="D10" s="708"/>
      <c r="E10" s="708"/>
      <c r="F10" s="708"/>
      <c r="G10" s="708"/>
      <c r="H10" s="708"/>
      <c r="I10" s="709"/>
      <c r="J10" s="710"/>
      <c r="K10" s="709"/>
      <c r="L10" s="709"/>
      <c r="M10" s="709"/>
      <c r="N10" s="711"/>
      <c r="O10" s="712"/>
      <c r="P10" s="515"/>
      <c r="Q10" s="712"/>
      <c r="R10" s="713"/>
    </row>
    <row r="11" spans="1:42" ht="15" customHeight="1" thickBot="1">
      <c r="A11" s="512"/>
      <c r="B11" s="518"/>
      <c r="C11" s="519"/>
      <c r="D11" s="520"/>
      <c r="E11" s="520"/>
      <c r="F11" s="521"/>
      <c r="G11" s="521"/>
      <c r="H11" s="1206" t="s">
        <v>419</v>
      </c>
      <c r="I11" s="1206"/>
      <c r="J11" s="1206"/>
      <c r="K11" s="522" t="e">
        <f>Patm</f>
        <v>#NAME?</v>
      </c>
      <c r="L11" s="523" t="str">
        <f>[2]General!$F$21</f>
        <v>psia</v>
      </c>
      <c r="M11" s="714"/>
      <c r="N11" s="714"/>
      <c r="O11" s="715"/>
      <c r="P11" s="715"/>
      <c r="Q11" s="715"/>
      <c r="R11" s="716"/>
      <c r="AB11" s="671"/>
      <c r="AC11" s="671"/>
      <c r="AD11" s="671"/>
      <c r="AE11" s="671"/>
      <c r="AF11" s="671"/>
      <c r="AG11" s="671"/>
      <c r="AH11" s="671"/>
      <c r="AI11" s="671"/>
      <c r="AJ11" s="671"/>
      <c r="AK11" s="671"/>
      <c r="AL11" s="671"/>
      <c r="AM11" s="671"/>
      <c r="AN11" s="671"/>
      <c r="AO11" s="671"/>
      <c r="AP11" s="671"/>
    </row>
    <row r="12" spans="1:42" ht="15" customHeight="1">
      <c r="A12" s="512"/>
      <c r="B12" s="518"/>
      <c r="C12" s="519"/>
      <c r="D12" s="714"/>
      <c r="E12" s="714"/>
      <c r="F12" s="1207"/>
      <c r="G12" s="1208"/>
      <c r="H12" s="1208"/>
      <c r="I12" s="1208"/>
      <c r="J12" s="1208"/>
      <c r="K12" s="1208"/>
      <c r="L12" s="724"/>
      <c r="M12" s="717" t="s">
        <v>484</v>
      </c>
      <c r="N12" s="717" t="s">
        <v>485</v>
      </c>
      <c r="O12" s="712"/>
      <c r="P12" s="718"/>
      <c r="Q12" s="719"/>
      <c r="R12" s="720"/>
      <c r="S12" s="672"/>
      <c r="U12" s="1209" t="s">
        <v>486</v>
      </c>
      <c r="V12" s="1210"/>
      <c r="W12" s="1210"/>
      <c r="X12" s="1210"/>
      <c r="Y12" s="1210"/>
      <c r="Z12" s="1210"/>
      <c r="AA12" s="1211"/>
      <c r="AB12" s="673"/>
      <c r="AC12" s="1209" t="s">
        <v>487</v>
      </c>
      <c r="AD12" s="1210"/>
      <c r="AE12" s="1210"/>
      <c r="AF12" s="1210"/>
      <c r="AG12" s="1210"/>
      <c r="AH12" s="1210"/>
      <c r="AI12" s="1211"/>
    </row>
    <row r="13" spans="1:42" ht="15" customHeight="1">
      <c r="A13" s="512"/>
      <c r="B13" s="518"/>
      <c r="C13" s="519"/>
      <c r="D13" s="714"/>
      <c r="E13" s="714"/>
      <c r="F13" s="1198" t="s">
        <v>488</v>
      </c>
      <c r="G13" s="1199"/>
      <c r="H13" s="1199"/>
      <c r="I13" s="1199"/>
      <c r="J13" s="1199"/>
      <c r="K13" s="1199"/>
      <c r="L13" s="725"/>
      <c r="M13" s="524" t="s">
        <v>45</v>
      </c>
      <c r="N13" s="525">
        <v>269.12</v>
      </c>
      <c r="O13" s="712"/>
      <c r="P13" s="718"/>
      <c r="Q13" s="721"/>
      <c r="R13" s="722"/>
      <c r="S13" s="674"/>
      <c r="U13" s="1212"/>
      <c r="V13" s="1213"/>
      <c r="W13" s="1213"/>
      <c r="X13" s="1213"/>
      <c r="Y13" s="1213"/>
      <c r="Z13" s="1213"/>
      <c r="AA13" s="1214"/>
      <c r="AC13" s="1212"/>
      <c r="AD13" s="1213"/>
      <c r="AE13" s="1213"/>
      <c r="AF13" s="1213"/>
      <c r="AG13" s="1213"/>
      <c r="AH13" s="1213"/>
      <c r="AI13" s="1214"/>
    </row>
    <row r="14" spans="1:42" ht="15" customHeight="1">
      <c r="A14" s="512"/>
      <c r="B14" s="518"/>
      <c r="C14" s="519"/>
      <c r="D14" s="714"/>
      <c r="E14" s="714"/>
      <c r="F14" s="1198" t="s">
        <v>489</v>
      </c>
      <c r="G14" s="1199"/>
      <c r="H14" s="1199"/>
      <c r="I14" s="1199"/>
      <c r="J14" s="1199"/>
      <c r="K14" s="1199"/>
      <c r="L14" s="725"/>
      <c r="M14" s="526" t="s">
        <v>45</v>
      </c>
      <c r="N14" s="527">
        <v>60</v>
      </c>
      <c r="O14" s="712"/>
      <c r="P14" s="723"/>
      <c r="Q14" s="721"/>
      <c r="R14" s="722"/>
      <c r="S14" s="674"/>
      <c r="U14" s="528"/>
      <c r="V14" s="529"/>
      <c r="W14" s="675" t="s">
        <v>490</v>
      </c>
      <c r="X14" s="676">
        <v>0.99</v>
      </c>
      <c r="Y14" s="677" t="s">
        <v>491</v>
      </c>
      <c r="Z14" s="529">
        <f>(2/(N15+1))^((N15+1)/(N15-1))</f>
        <v>0.34017216136234951</v>
      </c>
      <c r="AA14" s="678"/>
      <c r="AC14" s="528"/>
      <c r="AD14" s="529"/>
      <c r="AE14" s="675" t="s">
        <v>490</v>
      </c>
      <c r="AF14" s="676">
        <v>0.99</v>
      </c>
      <c r="AG14" s="677" t="s">
        <v>491</v>
      </c>
      <c r="AH14" s="529">
        <f>(2/(N15+1))^((N15+1)/(N15-1))</f>
        <v>0.34017216136234951</v>
      </c>
      <c r="AI14" s="678"/>
    </row>
    <row r="15" spans="1:42" ht="15" customHeight="1">
      <c r="A15" s="512"/>
      <c r="B15" s="518"/>
      <c r="C15" s="519"/>
      <c r="D15" s="714"/>
      <c r="E15" s="714"/>
      <c r="F15" s="1198" t="s">
        <v>492</v>
      </c>
      <c r="G15" s="1199"/>
      <c r="H15" s="1199"/>
      <c r="I15" s="1199"/>
      <c r="J15" s="1199"/>
      <c r="K15" s="1199"/>
      <c r="L15" s="725"/>
      <c r="M15" s="530" t="s">
        <v>435</v>
      </c>
      <c r="N15" s="531">
        <v>1.33</v>
      </c>
      <c r="O15" s="712"/>
      <c r="P15" s="723"/>
      <c r="Q15" s="721"/>
      <c r="R15" s="722"/>
      <c r="S15" s="674"/>
      <c r="U15" s="679"/>
      <c r="V15" s="676"/>
      <c r="W15" s="675" t="s">
        <v>493</v>
      </c>
      <c r="X15" s="676">
        <f>(-0.2262*N21^4.1)</f>
        <v>-7.5243114315753502E-9</v>
      </c>
      <c r="Y15" s="676" t="s">
        <v>494</v>
      </c>
      <c r="Z15" s="676">
        <f>PI()*0.25*N19*N19*0.0069444</f>
        <v>3.0679419408171974E-3</v>
      </c>
      <c r="AA15" s="678"/>
      <c r="AC15" s="679"/>
      <c r="AD15" s="676"/>
      <c r="AE15" s="675" t="s">
        <v>493</v>
      </c>
      <c r="AF15" s="676">
        <f>(-0.2262*N21^4.1)</f>
        <v>-7.5243114315753502E-9</v>
      </c>
      <c r="AG15" s="676" t="s">
        <v>494</v>
      </c>
      <c r="AH15" s="676">
        <f>PI()*0.25*N19*N19*0.0069444</f>
        <v>3.0679419408171974E-3</v>
      </c>
      <c r="AI15" s="678"/>
    </row>
    <row r="16" spans="1:42" ht="15" customHeight="1">
      <c r="A16" s="512"/>
      <c r="B16" s="518"/>
      <c r="C16" s="532"/>
      <c r="D16" s="714"/>
      <c r="E16" s="714"/>
      <c r="F16" s="1198" t="s">
        <v>495</v>
      </c>
      <c r="G16" s="1199"/>
      <c r="H16" s="1199"/>
      <c r="I16" s="1199"/>
      <c r="J16" s="1199"/>
      <c r="K16" s="1199"/>
      <c r="L16" s="725"/>
      <c r="M16" s="526" t="s">
        <v>298</v>
      </c>
      <c r="N16" s="533">
        <v>1.3599999999999999E-2</v>
      </c>
      <c r="O16" s="712"/>
      <c r="P16" s="723"/>
      <c r="Q16" s="721"/>
      <c r="R16" s="722"/>
      <c r="S16" s="674"/>
      <c r="U16" s="680" t="s">
        <v>496</v>
      </c>
      <c r="V16" s="681">
        <v>1</v>
      </c>
      <c r="W16" s="675" t="s">
        <v>497</v>
      </c>
      <c r="X16" s="676">
        <f>-(((0.00175*N21^2)-(0.0033*N21^4.15))*((1000000/V27)^1.15))</f>
        <v>-4.2854775411453973E-7</v>
      </c>
      <c r="Y16" s="682" t="s">
        <v>498</v>
      </c>
      <c r="Z16" s="676">
        <f>(N13/0.0069444)/(1/N17)</f>
        <v>39075.182305166752</v>
      </c>
      <c r="AA16" s="678"/>
      <c r="AC16" s="680" t="s">
        <v>496</v>
      </c>
      <c r="AD16" s="681">
        <v>1</v>
      </c>
      <c r="AE16" s="675" t="s">
        <v>497</v>
      </c>
      <c r="AF16" s="676">
        <f>-(((0.00175*N21^2)-(0.0033*N21^4.15))*((1000000/AD27)^1.15))</f>
        <v>-1.7268097831244354E-7</v>
      </c>
      <c r="AG16" s="682" t="s">
        <v>498</v>
      </c>
      <c r="AH16" s="676">
        <f>((N13*0.1450377)/0.0069444)/(1/(N17*0.06242796))</f>
        <v>353.80263287495666</v>
      </c>
      <c r="AI16" s="678"/>
    </row>
    <row r="17" spans="1:35" ht="15" customHeight="1">
      <c r="A17" s="512"/>
      <c r="B17" s="518"/>
      <c r="C17" s="532"/>
      <c r="D17" s="714"/>
      <c r="E17" s="714"/>
      <c r="F17" s="1198" t="s">
        <v>499</v>
      </c>
      <c r="G17" s="1199"/>
      <c r="H17" s="1199"/>
      <c r="I17" s="1199"/>
      <c r="J17" s="1199"/>
      <c r="K17" s="1199"/>
      <c r="L17" s="725"/>
      <c r="M17" s="526" t="s">
        <v>110</v>
      </c>
      <c r="N17" s="533">
        <v>1.0083</v>
      </c>
      <c r="O17" s="712"/>
      <c r="P17" s="723"/>
      <c r="Q17" s="721"/>
      <c r="R17" s="722"/>
      <c r="S17" s="674"/>
      <c r="U17" s="680" t="s">
        <v>500</v>
      </c>
      <c r="V17" s="681">
        <v>6</v>
      </c>
      <c r="W17" s="675"/>
      <c r="X17" s="676"/>
      <c r="Y17" s="682" t="s">
        <v>501</v>
      </c>
      <c r="Z17" s="676">
        <f>32.17*N15</f>
        <v>42.786100000000005</v>
      </c>
      <c r="AA17" s="534"/>
      <c r="AC17" s="680" t="s">
        <v>500</v>
      </c>
      <c r="AD17" s="681">
        <v>6</v>
      </c>
      <c r="AE17" s="675"/>
      <c r="AF17" s="676"/>
      <c r="AG17" s="682" t="s">
        <v>501</v>
      </c>
      <c r="AH17" s="676">
        <f>32.17*N15</f>
        <v>42.786100000000005</v>
      </c>
      <c r="AI17" s="534"/>
    </row>
    <row r="18" spans="1:35" ht="15" customHeight="1">
      <c r="A18" s="512"/>
      <c r="B18" s="518"/>
      <c r="C18" s="532"/>
      <c r="D18" s="714"/>
      <c r="E18" s="714"/>
      <c r="F18" s="1198" t="s">
        <v>502</v>
      </c>
      <c r="G18" s="1199"/>
      <c r="H18" s="1199"/>
      <c r="I18" s="1199"/>
      <c r="J18" s="1199"/>
      <c r="K18" s="1199"/>
      <c r="L18" s="725"/>
      <c r="M18" s="526" t="s">
        <v>307</v>
      </c>
      <c r="N18" s="535">
        <v>50</v>
      </c>
      <c r="O18" s="712"/>
      <c r="P18" s="723"/>
      <c r="Q18" s="721"/>
      <c r="R18" s="722"/>
      <c r="S18" s="674"/>
      <c r="U18" s="680" t="s">
        <v>503</v>
      </c>
      <c r="V18" s="683">
        <f>2*V17/(1-$N$21)</f>
        <v>12.18274111675127</v>
      </c>
      <c r="W18" s="675"/>
      <c r="X18" s="676"/>
      <c r="Y18" s="676"/>
      <c r="Z18" s="676"/>
      <c r="AA18" s="684"/>
      <c r="AC18" s="680" t="s">
        <v>503</v>
      </c>
      <c r="AD18" s="683">
        <f>2*AD17/(1-$N$21)</f>
        <v>12.18274111675127</v>
      </c>
      <c r="AE18" s="675"/>
      <c r="AF18" s="676"/>
      <c r="AG18" s="676"/>
      <c r="AH18" s="676"/>
      <c r="AI18" s="684"/>
    </row>
    <row r="19" spans="1:35">
      <c r="A19" s="512"/>
      <c r="B19" s="518"/>
      <c r="C19" s="532"/>
      <c r="D19" s="714"/>
      <c r="E19" s="714"/>
      <c r="F19" s="1198" t="s">
        <v>504</v>
      </c>
      <c r="G19" s="1199"/>
      <c r="H19" s="1199"/>
      <c r="I19" s="1199"/>
      <c r="J19" s="1199"/>
      <c r="K19" s="1199"/>
      <c r="L19" s="725"/>
      <c r="M19" s="526" t="s">
        <v>307</v>
      </c>
      <c r="N19" s="533">
        <v>0.75</v>
      </c>
      <c r="O19" s="712"/>
      <c r="P19" s="723"/>
      <c r="Q19" s="721"/>
      <c r="R19" s="722"/>
      <c r="S19" s="674"/>
      <c r="U19" s="680" t="s">
        <v>505</v>
      </c>
      <c r="V19" s="685"/>
      <c r="W19" s="675" t="s">
        <v>506</v>
      </c>
      <c r="X19" s="686">
        <f>SUM(X14:X17)</f>
        <v>0.98999956392793453</v>
      </c>
      <c r="Y19" s="676"/>
      <c r="Z19" s="676" t="b">
        <f>X19=X27</f>
        <v>1</v>
      </c>
      <c r="AA19" s="678"/>
      <c r="AC19" s="680" t="s">
        <v>505</v>
      </c>
      <c r="AD19" s="685"/>
      <c r="AE19" s="675" t="s">
        <v>506</v>
      </c>
      <c r="AF19" s="686">
        <f>SUM(AF14:AF17)</f>
        <v>0.9899998197947103</v>
      </c>
      <c r="AG19" s="676"/>
      <c r="AH19" s="676" t="b">
        <f>AF19=AF27</f>
        <v>1</v>
      </c>
      <c r="AI19" s="678"/>
    </row>
    <row r="20" spans="1:35" ht="15.75">
      <c r="A20" s="512"/>
      <c r="B20" s="518"/>
      <c r="C20" s="532"/>
      <c r="D20" s="714"/>
      <c r="E20" s="714"/>
      <c r="F20" s="1198" t="s">
        <v>507</v>
      </c>
      <c r="G20" s="1199"/>
      <c r="H20" s="1199"/>
      <c r="I20" s="1199"/>
      <c r="J20" s="1199"/>
      <c r="K20" s="1199"/>
      <c r="L20" s="725"/>
      <c r="M20" s="530" t="s">
        <v>435</v>
      </c>
      <c r="N20" s="536">
        <v>9.9999999999999995E-7</v>
      </c>
      <c r="O20" s="712"/>
      <c r="P20" s="723"/>
      <c r="Q20" s="721"/>
      <c r="R20" s="722"/>
      <c r="S20" s="674"/>
      <c r="U20" s="687"/>
      <c r="V20" s="688"/>
      <c r="W20" s="689"/>
      <c r="X20" s="690"/>
      <c r="Y20" s="691"/>
      <c r="Z20" s="690"/>
      <c r="AA20" s="678"/>
      <c r="AC20" s="687"/>
      <c r="AD20" s="688"/>
      <c r="AE20" s="689"/>
      <c r="AF20" s="690"/>
      <c r="AG20" s="691"/>
      <c r="AH20" s="690"/>
      <c r="AI20" s="678"/>
    </row>
    <row r="21" spans="1:35">
      <c r="A21" s="512"/>
      <c r="B21" s="518"/>
      <c r="C21" s="532"/>
      <c r="D21" s="714"/>
      <c r="E21" s="714"/>
      <c r="F21" s="1198" t="s">
        <v>508</v>
      </c>
      <c r="G21" s="1199"/>
      <c r="H21" s="1199"/>
      <c r="I21" s="1199"/>
      <c r="J21" s="1199"/>
      <c r="K21" s="1199"/>
      <c r="L21" s="725"/>
      <c r="M21" s="530" t="s">
        <v>435</v>
      </c>
      <c r="N21" s="537">
        <f>IF(AND(ISNUMBER(N13),ISNUMBER(N14),ISNUMBER(N15),ISNUMBER(N16),ISNUMBER(N17),ISNUMBER(N18),ISNUMBER(N19)),N19/N18,"")</f>
        <v>1.4999999999999999E-2</v>
      </c>
      <c r="O21" s="712"/>
      <c r="P21" s="723"/>
      <c r="Q21" s="721"/>
      <c r="R21" s="722"/>
      <c r="S21" s="674"/>
      <c r="U21" s="687"/>
      <c r="V21" s="692"/>
      <c r="W21" s="689"/>
      <c r="X21" s="690"/>
      <c r="Y21" s="690"/>
      <c r="Z21" s="690"/>
      <c r="AA21" s="678"/>
      <c r="AC21" s="687"/>
      <c r="AD21" s="692"/>
      <c r="AE21" s="689"/>
      <c r="AF21" s="690"/>
      <c r="AG21" s="690"/>
      <c r="AH21" s="690"/>
      <c r="AI21" s="678"/>
    </row>
    <row r="22" spans="1:35">
      <c r="A22" s="512"/>
      <c r="B22" s="518"/>
      <c r="C22" s="532"/>
      <c r="D22" s="714"/>
      <c r="E22" s="714"/>
      <c r="F22" s="1198" t="s">
        <v>509</v>
      </c>
      <c r="G22" s="1199"/>
      <c r="H22" s="1199"/>
      <c r="I22" s="1199"/>
      <c r="J22" s="1199"/>
      <c r="K22" s="1199"/>
      <c r="L22" s="725"/>
      <c r="M22" s="530" t="s">
        <v>435</v>
      </c>
      <c r="N22" s="538">
        <f>(2/(N15+1))^(N15/(N15-1))</f>
        <v>0.54036401763594966</v>
      </c>
      <c r="O22" s="712"/>
      <c r="P22" s="723"/>
      <c r="Q22" s="721"/>
      <c r="R22" s="722"/>
      <c r="S22" s="674"/>
      <c r="U22" s="687"/>
      <c r="V22" s="693"/>
      <c r="W22" s="689"/>
      <c r="X22" s="694"/>
      <c r="Y22" s="690"/>
      <c r="Z22" s="690"/>
      <c r="AA22" s="678"/>
      <c r="AC22" s="687"/>
      <c r="AD22" s="693"/>
      <c r="AE22" s="689"/>
      <c r="AF22" s="694"/>
      <c r="AG22" s="690"/>
      <c r="AH22" s="690"/>
      <c r="AI22" s="678"/>
    </row>
    <row r="23" spans="1:35">
      <c r="A23" s="512"/>
      <c r="B23" s="518"/>
      <c r="C23" s="519"/>
      <c r="D23" s="714"/>
      <c r="E23" s="714"/>
      <c r="F23" s="1198" t="s">
        <v>510</v>
      </c>
      <c r="G23" s="1199"/>
      <c r="H23" s="1199"/>
      <c r="I23" s="1199"/>
      <c r="J23" s="1199"/>
      <c r="K23" s="1199"/>
      <c r="L23" s="725"/>
      <c r="M23" s="530" t="s">
        <v>277</v>
      </c>
      <c r="N23" s="539" t="e">
        <f>IF(AND(ISNUMBER(N13),ISNUMBER(N14),ISNUMBER(N15),ISNUMBER(N16),ISNUMBER(N17),ISNUMBER(N18),ISNUMBER(N19)),N13-((N13+K11)*N22-K11),"")</f>
        <v>#NAME?</v>
      </c>
      <c r="O23" s="712"/>
      <c r="P23" s="723"/>
      <c r="Q23" s="721"/>
      <c r="R23" s="722"/>
      <c r="S23" s="674"/>
      <c r="U23" s="540"/>
      <c r="V23" s="690"/>
      <c r="W23" s="690"/>
      <c r="X23" s="690"/>
      <c r="Y23" s="690"/>
      <c r="Z23" s="690"/>
      <c r="AA23" s="678"/>
      <c r="AC23" s="540"/>
      <c r="AD23" s="690"/>
      <c r="AE23" s="690"/>
      <c r="AF23" s="690"/>
      <c r="AG23" s="690"/>
      <c r="AH23" s="690"/>
      <c r="AI23" s="678"/>
    </row>
    <row r="24" spans="1:35">
      <c r="A24" s="512"/>
      <c r="B24" s="518"/>
      <c r="C24" s="519"/>
      <c r="D24" s="714"/>
      <c r="E24" s="714"/>
      <c r="F24" s="1198" t="s">
        <v>511</v>
      </c>
      <c r="G24" s="1199"/>
      <c r="H24" s="1199"/>
      <c r="I24" s="1199"/>
      <c r="J24" s="1199"/>
      <c r="K24" s="1199"/>
      <c r="L24" s="725"/>
      <c r="M24" s="530" t="s">
        <v>435</v>
      </c>
      <c r="N24" s="541">
        <f>IF(AND(ISNUMBER(N13),ISNUMBER(N14),ISNUMBER(N15),ISNUMBER(N16),ISNUMBER(N17),ISNUMBER(N18),ISNUMBER(N19)),IF(AA58&lt;=N20,V58,"Not Conv."),"")</f>
        <v>76588.925268900857</v>
      </c>
      <c r="O24" s="712"/>
      <c r="P24" s="723"/>
      <c r="Q24" s="721"/>
      <c r="R24" s="722"/>
      <c r="S24" s="674"/>
      <c r="U24" s="695" t="s">
        <v>512</v>
      </c>
      <c r="V24" s="690"/>
      <c r="W24" s="690"/>
      <c r="X24" s="690"/>
      <c r="Y24" s="690"/>
      <c r="Z24" s="690"/>
      <c r="AA24" s="678"/>
      <c r="AC24" s="695" t="s">
        <v>512</v>
      </c>
      <c r="AD24" s="690"/>
      <c r="AE24" s="690"/>
      <c r="AF24" s="690"/>
      <c r="AG24" s="690"/>
      <c r="AH24" s="690"/>
      <c r="AI24" s="678"/>
    </row>
    <row r="25" spans="1:35">
      <c r="A25" s="512"/>
      <c r="B25" s="518"/>
      <c r="C25" s="532"/>
      <c r="D25" s="714"/>
      <c r="E25" s="714"/>
      <c r="F25" s="1198" t="s">
        <v>513</v>
      </c>
      <c r="G25" s="1199"/>
      <c r="H25" s="1199"/>
      <c r="I25" s="1199"/>
      <c r="J25" s="1199"/>
      <c r="K25" s="1199"/>
      <c r="L25" s="725"/>
      <c r="M25" s="530" t="s">
        <v>435</v>
      </c>
      <c r="N25" s="537">
        <f>IF(AND(ISNUMBER(N13),ISNUMBER(N14),ISNUMBER(N15),ISNUMBER(N16),ISNUMBER(N17),ISNUMBER(N18),ISNUMBER(N19)),IF(AA58&lt;=N20,X58,"Not Conv."),"")</f>
        <v>0.98999243578681428</v>
      </c>
      <c r="O25" s="712"/>
      <c r="P25" s="723"/>
      <c r="Q25" s="721"/>
      <c r="R25" s="722"/>
      <c r="S25" s="674"/>
      <c r="U25" s="687" t="s">
        <v>514</v>
      </c>
      <c r="V25" s="689" t="s">
        <v>515</v>
      </c>
      <c r="W25" s="689"/>
      <c r="X25" s="689" t="s">
        <v>506</v>
      </c>
      <c r="Y25" s="689" t="s">
        <v>516</v>
      </c>
      <c r="Z25" s="689" t="s">
        <v>514</v>
      </c>
      <c r="AA25" s="696" t="s">
        <v>517</v>
      </c>
      <c r="AC25" s="687" t="s">
        <v>514</v>
      </c>
      <c r="AD25" s="689" t="s">
        <v>515</v>
      </c>
      <c r="AE25" s="689"/>
      <c r="AF25" s="689" t="s">
        <v>506</v>
      </c>
      <c r="AG25" s="689" t="s">
        <v>516</v>
      </c>
      <c r="AH25" s="689" t="s">
        <v>514</v>
      </c>
      <c r="AI25" s="696" t="s">
        <v>517</v>
      </c>
    </row>
    <row r="26" spans="1:35" ht="14.25">
      <c r="A26" s="512"/>
      <c r="B26" s="518"/>
      <c r="C26" s="532"/>
      <c r="D26" s="714"/>
      <c r="E26" s="714"/>
      <c r="F26" s="1198" t="s">
        <v>518</v>
      </c>
      <c r="G26" s="1199"/>
      <c r="H26" s="1199"/>
      <c r="I26" s="1199"/>
      <c r="J26" s="1199"/>
      <c r="K26" s="1199"/>
      <c r="L26" s="726"/>
      <c r="M26" s="530" t="s">
        <v>435</v>
      </c>
      <c r="N26" s="537">
        <f>IF(AND(ISNUMBER(N13),ISNUMBER(N14),ISNUMBER(N15),ISNUMBER(N16),ISNUMBER(N17),ISNUMBER(N18),ISNUMBER(N19)),IF(AA58&lt;=N20,Y58,"Not Conv."),"")</f>
        <v>0.98999246084599879</v>
      </c>
      <c r="O26" s="712"/>
      <c r="P26" s="723"/>
      <c r="Q26" s="721"/>
      <c r="R26" s="722"/>
      <c r="S26" s="674"/>
      <c r="U26" s="687" t="s">
        <v>111</v>
      </c>
      <c r="V26" s="697" t="s">
        <v>435</v>
      </c>
      <c r="W26" s="697"/>
      <c r="X26" s="697" t="s">
        <v>435</v>
      </c>
      <c r="Y26" s="697" t="s">
        <v>435</v>
      </c>
      <c r="Z26" s="697" t="s">
        <v>111</v>
      </c>
      <c r="AA26" s="698" t="s">
        <v>435</v>
      </c>
      <c r="AC26" s="687" t="s">
        <v>111</v>
      </c>
      <c r="AD26" s="697" t="s">
        <v>435</v>
      </c>
      <c r="AE26" s="697"/>
      <c r="AF26" s="697" t="s">
        <v>435</v>
      </c>
      <c r="AG26" s="697" t="s">
        <v>435</v>
      </c>
      <c r="AH26" s="697" t="s">
        <v>111</v>
      </c>
      <c r="AI26" s="698" t="s">
        <v>435</v>
      </c>
    </row>
    <row r="27" spans="1:35">
      <c r="A27" s="512"/>
      <c r="B27" s="518"/>
      <c r="C27" s="532"/>
      <c r="D27" s="714"/>
      <c r="E27" s="714"/>
      <c r="F27" s="1198" t="s">
        <v>519</v>
      </c>
      <c r="G27" s="1199"/>
      <c r="H27" s="1199"/>
      <c r="I27" s="1199"/>
      <c r="J27" s="1199"/>
      <c r="K27" s="1199"/>
      <c r="L27" s="725"/>
      <c r="M27" s="526" t="s">
        <v>307</v>
      </c>
      <c r="N27" s="533">
        <v>0.99</v>
      </c>
      <c r="O27" s="712"/>
      <c r="P27" s="723"/>
      <c r="Q27" s="721"/>
      <c r="R27" s="722"/>
      <c r="S27" s="674"/>
      <c r="U27" s="699">
        <v>100000</v>
      </c>
      <c r="V27" s="700">
        <f t="shared" ref="V27:V58" si="0">6.316*U27/$N$18/$N$16</f>
        <v>928823.52941176482</v>
      </c>
      <c r="W27" s="694"/>
      <c r="X27" s="694">
        <f t="shared" ref="X27:X58" si="1">0.99-(0.2262*$N$21^4.1)-(((0.00175*$N$21^2)-(0.0033*$N$21^4.15))*((1000000/V27)^1.15))</f>
        <v>0.98999956392793453</v>
      </c>
      <c r="Y27" s="694">
        <f t="shared" ref="Y27:Y58" si="2">X27/(1-$N$21^4)^0.5</f>
        <v>0.98999958898729945</v>
      </c>
      <c r="Z27" s="700">
        <f>3600*Y27*$Z$15*($Z$14*$Z$16*$Z$17)^0.5</f>
        <v>8245.8587986889979</v>
      </c>
      <c r="AA27" s="701">
        <f>U27-Z27</f>
        <v>91754.141201310995</v>
      </c>
      <c r="AC27" s="699">
        <v>100000</v>
      </c>
      <c r="AD27" s="700">
        <f t="shared" ref="AD27:AD58" si="3">6.315*AC27*2.20462/$N$18/$N$16</f>
        <v>2047378.720588235</v>
      </c>
      <c r="AE27" s="694"/>
      <c r="AF27" s="694">
        <f t="shared" ref="AF27:AF58" si="4">0.99-(0.2262*$N$21^4.1)-(((0.00175*$N$21^2)-(0.0033*$N$21^4.15))*((1000000/AD27)^1.15))</f>
        <v>0.9899998197947103</v>
      </c>
      <c r="AG27" s="694">
        <f t="shared" ref="AG27:AG58" si="5">AF27/(1-$N$21^4)^0.5</f>
        <v>0.98999984485408166</v>
      </c>
      <c r="AH27" s="700">
        <f>3600*AG27*$AH$15*($AH$14*$AH$16*$AH$17)^0.5</f>
        <v>784.6320244834144</v>
      </c>
      <c r="AI27" s="701">
        <f>AC27-AH27</f>
        <v>99215.367975516579</v>
      </c>
    </row>
    <row r="28" spans="1:35">
      <c r="A28" s="512"/>
      <c r="B28" s="518"/>
      <c r="C28" s="532"/>
      <c r="D28" s="714"/>
      <c r="E28" s="714"/>
      <c r="F28" s="1198" t="s">
        <v>520</v>
      </c>
      <c r="G28" s="1199"/>
      <c r="H28" s="1199"/>
      <c r="I28" s="1199"/>
      <c r="J28" s="1199"/>
      <c r="K28" s="1199"/>
      <c r="L28" s="726"/>
      <c r="M28" s="542" t="s">
        <v>435</v>
      </c>
      <c r="N28" s="543" t="e">
        <f>IF(AND(ISNUMBER(N13),ISNUMBER(N14),ISNUMBER(N15),ISNUMBER(N16),ISNUMBER(N17),ISNUMBER(N18),ISNUMBER(N19)),IF((N13-N14)&gt;=N23,"Choked","Not Choked"),"")</f>
        <v>#NAME?</v>
      </c>
      <c r="O28" s="712"/>
      <c r="P28" s="723"/>
      <c r="Q28" s="721"/>
      <c r="R28" s="722"/>
      <c r="S28" s="674"/>
      <c r="U28" s="702">
        <f>Z27</f>
        <v>8245.8587986889979</v>
      </c>
      <c r="V28" s="700">
        <f t="shared" si="0"/>
        <v>76589.476724293694</v>
      </c>
      <c r="W28" s="694"/>
      <c r="X28" s="694">
        <f t="shared" si="1"/>
        <v>0.9899924358493849</v>
      </c>
      <c r="Y28" s="694">
        <f t="shared" si="2"/>
        <v>0.9899924609085694</v>
      </c>
      <c r="Z28" s="700">
        <f t="shared" ref="Z28:Z58" si="6">3600*Y28*$Z$15*($Z$14*$Z$16*$Z$17)^0.5</f>
        <v>8245.7994278252445</v>
      </c>
      <c r="AA28" s="703">
        <f>U28-Z28</f>
        <v>5.9370863753429148E-2</v>
      </c>
      <c r="AC28" s="702">
        <f>AH27</f>
        <v>784.6320244834144</v>
      </c>
      <c r="AD28" s="700">
        <f t="shared" si="3"/>
        <v>16064.389104194101</v>
      </c>
      <c r="AE28" s="694"/>
      <c r="AF28" s="694">
        <f t="shared" si="4"/>
        <v>0.9899544539919366</v>
      </c>
      <c r="AG28" s="694">
        <f t="shared" si="5"/>
        <v>0.98995447905015965</v>
      </c>
      <c r="AH28" s="700">
        <f t="shared" ref="AH28:AH58" si="7">3600*AG28*$AH$15*($AH$14*$AH$16*$AH$17)^0.5</f>
        <v>784.59606946507915</v>
      </c>
      <c r="AI28" s="703">
        <f>AC28-AH28</f>
        <v>3.5955018335243949E-2</v>
      </c>
    </row>
    <row r="29" spans="1:35">
      <c r="A29" s="512"/>
      <c r="B29" s="518"/>
      <c r="C29" s="532"/>
      <c r="D29" s="714"/>
      <c r="E29" s="714"/>
      <c r="F29" s="1198"/>
      <c r="G29" s="1199"/>
      <c r="H29" s="1199"/>
      <c r="I29" s="1199"/>
      <c r="J29" s="1199"/>
      <c r="K29" s="1199"/>
      <c r="L29" s="550"/>
      <c r="M29" s="544"/>
      <c r="N29" s="545"/>
      <c r="O29" s="712"/>
      <c r="P29" s="723"/>
      <c r="Q29" s="721"/>
      <c r="R29" s="722"/>
      <c r="S29" s="674"/>
      <c r="U29" s="702">
        <f t="shared" ref="U29:U58" si="8">Z28</f>
        <v>8245.7994278252445</v>
      </c>
      <c r="V29" s="700">
        <f t="shared" si="0"/>
        <v>76588.925273741537</v>
      </c>
      <c r="W29" s="694"/>
      <c r="X29" s="694">
        <f t="shared" si="1"/>
        <v>0.98999243578681484</v>
      </c>
      <c r="Y29" s="694">
        <f t="shared" si="2"/>
        <v>0.98999246084599934</v>
      </c>
      <c r="Z29" s="700">
        <f t="shared" si="6"/>
        <v>8245.7994273040877</v>
      </c>
      <c r="AA29" s="703">
        <f t="shared" ref="AA29:AA58" si="9">U29-Z29</f>
        <v>5.2115683502051979E-7</v>
      </c>
      <c r="AC29" s="702">
        <f t="shared" ref="AC29:AC58" si="10">AH28</f>
        <v>784.59606946507915</v>
      </c>
      <c r="AD29" s="700">
        <f t="shared" si="3"/>
        <v>16063.652968799719</v>
      </c>
      <c r="AE29" s="694"/>
      <c r="AF29" s="694">
        <f t="shared" si="4"/>
        <v>0.98995445159204687</v>
      </c>
      <c r="AG29" s="694">
        <f t="shared" si="5"/>
        <v>0.98995447665026992</v>
      </c>
      <c r="AH29" s="700">
        <f t="shared" si="7"/>
        <v>784.59606756302799</v>
      </c>
      <c r="AI29" s="703">
        <f t="shared" ref="AI29:AI58" si="11">AC29-AH29</f>
        <v>1.9020511672351859E-6</v>
      </c>
    </row>
    <row r="30" spans="1:35" ht="15.75">
      <c r="A30" s="512"/>
      <c r="B30" s="518"/>
      <c r="C30" s="532"/>
      <c r="D30" s="714"/>
      <c r="E30" s="714"/>
      <c r="F30" s="1198" t="s">
        <v>521</v>
      </c>
      <c r="G30" s="1199"/>
      <c r="H30" s="1199"/>
      <c r="I30" s="1199"/>
      <c r="J30" s="1199"/>
      <c r="K30" s="1199"/>
      <c r="L30" s="727"/>
      <c r="M30" s="546" t="s">
        <v>111</v>
      </c>
      <c r="N30" s="547">
        <f>IF(AND(ISNUMBER(N13),ISNUMBER(N14),ISNUMBER(N15),ISNUMBER(N16),ISNUMBER(N17),ISNUMBER(N18),ISNUMBER(N19)),IF(AA58&lt;=N20,3600*N27*Z15*(Z16*Z14*Z17)^0.5,"Not Conv."),"")</f>
        <v>8245.8622220769776</v>
      </c>
      <c r="O30" s="712"/>
      <c r="P30" s="723"/>
      <c r="Q30" s="721"/>
      <c r="R30" s="722"/>
      <c r="S30" s="674"/>
      <c r="U30" s="702">
        <f t="shared" si="8"/>
        <v>8245.7994273040877</v>
      </c>
      <c r="V30" s="700">
        <f t="shared" si="0"/>
        <v>76588.925268900915</v>
      </c>
      <c r="W30" s="694"/>
      <c r="X30" s="694">
        <f t="shared" si="1"/>
        <v>0.98999243578681428</v>
      </c>
      <c r="Y30" s="694">
        <f t="shared" si="2"/>
        <v>0.98999246084599879</v>
      </c>
      <c r="Z30" s="700">
        <f t="shared" si="6"/>
        <v>8245.799427304084</v>
      </c>
      <c r="AA30" s="703">
        <f t="shared" si="9"/>
        <v>0</v>
      </c>
      <c r="AC30" s="702">
        <f t="shared" si="10"/>
        <v>784.59606756302799</v>
      </c>
      <c r="AD30" s="700">
        <f t="shared" si="3"/>
        <v>16063.652929857531</v>
      </c>
      <c r="AE30" s="694"/>
      <c r="AF30" s="694">
        <f t="shared" si="4"/>
        <v>0.98995445159191997</v>
      </c>
      <c r="AG30" s="694">
        <f t="shared" si="5"/>
        <v>0.98995447665014302</v>
      </c>
      <c r="AH30" s="700">
        <f t="shared" si="7"/>
        <v>784.59606756292737</v>
      </c>
      <c r="AI30" s="703">
        <f t="shared" si="11"/>
        <v>1.0061285138363019E-10</v>
      </c>
    </row>
    <row r="31" spans="1:35">
      <c r="A31" s="512"/>
      <c r="B31" s="518"/>
      <c r="C31" s="532"/>
      <c r="D31" s="714"/>
      <c r="E31" s="714"/>
      <c r="F31" s="1200" t="s">
        <v>522</v>
      </c>
      <c r="G31" s="1201"/>
      <c r="H31" s="1201"/>
      <c r="I31" s="1201"/>
      <c r="J31" s="1201"/>
      <c r="K31" s="1201"/>
      <c r="L31" s="728"/>
      <c r="M31" s="548" t="s">
        <v>111</v>
      </c>
      <c r="N31" s="549" t="e">
        <f>IF(N28 = "Choked", N30*2, N/A)</f>
        <v>#NAME?</v>
      </c>
      <c r="O31" s="712"/>
      <c r="P31" s="723"/>
      <c r="Q31" s="721"/>
      <c r="R31" s="722"/>
      <c r="S31" s="674"/>
      <c r="U31" s="702">
        <f t="shared" si="8"/>
        <v>8245.799427304084</v>
      </c>
      <c r="V31" s="700">
        <f t="shared" si="0"/>
        <v>76588.925268900857</v>
      </c>
      <c r="W31" s="694"/>
      <c r="X31" s="694">
        <f t="shared" si="1"/>
        <v>0.98999243578681428</v>
      </c>
      <c r="Y31" s="694">
        <f t="shared" si="2"/>
        <v>0.98999246084599879</v>
      </c>
      <c r="Z31" s="700">
        <f t="shared" si="6"/>
        <v>8245.799427304084</v>
      </c>
      <c r="AA31" s="703">
        <f t="shared" si="9"/>
        <v>0</v>
      </c>
      <c r="AC31" s="702">
        <f t="shared" si="10"/>
        <v>784.59606756292737</v>
      </c>
      <c r="AD31" s="700">
        <f t="shared" si="3"/>
        <v>16063.652929855469</v>
      </c>
      <c r="AE31" s="694"/>
      <c r="AF31" s="694">
        <f t="shared" si="4"/>
        <v>0.98995445159191986</v>
      </c>
      <c r="AG31" s="694">
        <f t="shared" si="5"/>
        <v>0.98995447665014291</v>
      </c>
      <c r="AH31" s="700">
        <f t="shared" si="7"/>
        <v>784.59606756292726</v>
      </c>
      <c r="AI31" s="703">
        <f t="shared" si="11"/>
        <v>0</v>
      </c>
    </row>
    <row r="32" spans="1:35">
      <c r="A32" s="512"/>
      <c r="B32" s="518"/>
      <c r="C32" s="532"/>
      <c r="D32" s="709"/>
      <c r="E32" s="709"/>
      <c r="F32" s="709"/>
      <c r="G32" s="709"/>
      <c r="H32" s="709"/>
      <c r="I32" s="709"/>
      <c r="J32" s="709"/>
      <c r="K32" s="709"/>
      <c r="L32" s="709"/>
      <c r="M32" s="550"/>
      <c r="N32" s="729"/>
      <c r="O32" s="712"/>
      <c r="P32" s="723"/>
      <c r="Q32" s="721"/>
      <c r="R32" s="722"/>
      <c r="S32" s="674"/>
      <c r="U32" s="702">
        <f t="shared" si="8"/>
        <v>8245.799427304084</v>
      </c>
      <c r="V32" s="700">
        <f t="shared" si="0"/>
        <v>76588.925268900857</v>
      </c>
      <c r="W32" s="694"/>
      <c r="X32" s="694">
        <f t="shared" si="1"/>
        <v>0.98999243578681428</v>
      </c>
      <c r="Y32" s="694">
        <f t="shared" si="2"/>
        <v>0.98999246084599879</v>
      </c>
      <c r="Z32" s="700">
        <f t="shared" si="6"/>
        <v>8245.799427304084</v>
      </c>
      <c r="AA32" s="703">
        <f t="shared" si="9"/>
        <v>0</v>
      </c>
      <c r="AC32" s="702">
        <f t="shared" si="10"/>
        <v>784.59606756292726</v>
      </c>
      <c r="AD32" s="700">
        <f t="shared" si="3"/>
        <v>16063.652929855467</v>
      </c>
      <c r="AE32" s="694"/>
      <c r="AF32" s="694">
        <f t="shared" si="4"/>
        <v>0.98995445159191986</v>
      </c>
      <c r="AG32" s="694">
        <f t="shared" si="5"/>
        <v>0.98995447665014291</v>
      </c>
      <c r="AH32" s="700">
        <f t="shared" si="7"/>
        <v>784.59606756292726</v>
      </c>
      <c r="AI32" s="703">
        <f t="shared" si="11"/>
        <v>0</v>
      </c>
    </row>
    <row r="33" spans="1:35">
      <c r="A33" s="512"/>
      <c r="B33" s="518"/>
      <c r="C33" s="834" t="s">
        <v>396</v>
      </c>
      <c r="D33" s="1160"/>
      <c r="E33" s="1160"/>
      <c r="F33" s="1160"/>
      <c r="G33" s="1160"/>
      <c r="H33" s="1160"/>
      <c r="I33" s="1160"/>
      <c r="J33" s="1160"/>
      <c r="K33" s="1160"/>
      <c r="L33" s="1160"/>
      <c r="M33" s="1160"/>
      <c r="N33" s="1160"/>
      <c r="O33" s="1160"/>
      <c r="P33" s="1160"/>
      <c r="Q33" s="1160"/>
      <c r="R33" s="1160"/>
      <c r="S33" s="674"/>
      <c r="U33" s="702">
        <f t="shared" si="8"/>
        <v>8245.799427304084</v>
      </c>
      <c r="V33" s="700">
        <f t="shared" si="0"/>
        <v>76588.925268900857</v>
      </c>
      <c r="W33" s="694"/>
      <c r="X33" s="694">
        <f t="shared" si="1"/>
        <v>0.98999243578681428</v>
      </c>
      <c r="Y33" s="694">
        <f t="shared" si="2"/>
        <v>0.98999246084599879</v>
      </c>
      <c r="Z33" s="700">
        <f t="shared" si="6"/>
        <v>8245.799427304084</v>
      </c>
      <c r="AA33" s="703">
        <f t="shared" si="9"/>
        <v>0</v>
      </c>
      <c r="AC33" s="702">
        <f t="shared" si="10"/>
        <v>784.59606756292726</v>
      </c>
      <c r="AD33" s="700">
        <f t="shared" si="3"/>
        <v>16063.652929855467</v>
      </c>
      <c r="AE33" s="694"/>
      <c r="AF33" s="694">
        <f t="shared" si="4"/>
        <v>0.98995445159191986</v>
      </c>
      <c r="AG33" s="694">
        <f t="shared" si="5"/>
        <v>0.98995447665014291</v>
      </c>
      <c r="AH33" s="700">
        <f t="shared" si="7"/>
        <v>784.59606756292726</v>
      </c>
      <c r="AI33" s="703">
        <f t="shared" si="11"/>
        <v>0</v>
      </c>
    </row>
    <row r="34" spans="1:35">
      <c r="A34" s="512"/>
      <c r="B34" s="518"/>
      <c r="C34" s="551">
        <v>1</v>
      </c>
      <c r="D34" s="1202" t="s">
        <v>523</v>
      </c>
      <c r="E34" s="1202"/>
      <c r="F34" s="1202"/>
      <c r="G34" s="1202"/>
      <c r="H34" s="1202"/>
      <c r="I34" s="1202"/>
      <c r="J34" s="1202"/>
      <c r="K34" s="1202"/>
      <c r="L34" s="1202"/>
      <c r="M34" s="1202"/>
      <c r="N34" s="1202"/>
      <c r="O34" s="1202"/>
      <c r="P34" s="1202"/>
      <c r="Q34" s="1202"/>
      <c r="R34" s="1203"/>
      <c r="S34" s="674"/>
      <c r="U34" s="702">
        <f t="shared" si="8"/>
        <v>8245.799427304084</v>
      </c>
      <c r="V34" s="700">
        <f t="shared" si="0"/>
        <v>76588.925268900857</v>
      </c>
      <c r="W34" s="694"/>
      <c r="X34" s="694">
        <f t="shared" si="1"/>
        <v>0.98999243578681428</v>
      </c>
      <c r="Y34" s="694">
        <f t="shared" si="2"/>
        <v>0.98999246084599879</v>
      </c>
      <c r="Z34" s="700">
        <f t="shared" si="6"/>
        <v>8245.799427304084</v>
      </c>
      <c r="AA34" s="703">
        <f t="shared" si="9"/>
        <v>0</v>
      </c>
      <c r="AC34" s="702">
        <f t="shared" si="10"/>
        <v>784.59606756292726</v>
      </c>
      <c r="AD34" s="700">
        <f t="shared" si="3"/>
        <v>16063.652929855467</v>
      </c>
      <c r="AE34" s="694"/>
      <c r="AF34" s="694">
        <f t="shared" si="4"/>
        <v>0.98995445159191986</v>
      </c>
      <c r="AG34" s="694">
        <f t="shared" si="5"/>
        <v>0.98995447665014291</v>
      </c>
      <c r="AH34" s="700">
        <f t="shared" si="7"/>
        <v>784.59606756292726</v>
      </c>
      <c r="AI34" s="703">
        <f t="shared" si="11"/>
        <v>0</v>
      </c>
    </row>
    <row r="35" spans="1:35">
      <c r="A35" s="512"/>
      <c r="B35" s="518"/>
      <c r="C35" s="552">
        <v>2</v>
      </c>
      <c r="D35" s="1194" t="s">
        <v>524</v>
      </c>
      <c r="E35" s="1194"/>
      <c r="F35" s="1194"/>
      <c r="G35" s="1194"/>
      <c r="H35" s="1194"/>
      <c r="I35" s="1194"/>
      <c r="J35" s="1194"/>
      <c r="K35" s="1194"/>
      <c r="L35" s="1194"/>
      <c r="M35" s="1194"/>
      <c r="N35" s="1194"/>
      <c r="O35" s="1194"/>
      <c r="P35" s="1194"/>
      <c r="Q35" s="1194"/>
      <c r="R35" s="1195"/>
      <c r="S35" s="674"/>
      <c r="U35" s="702">
        <f t="shared" si="8"/>
        <v>8245.799427304084</v>
      </c>
      <c r="V35" s="700">
        <f t="shared" si="0"/>
        <v>76588.925268900857</v>
      </c>
      <c r="W35" s="694"/>
      <c r="X35" s="694">
        <f t="shared" si="1"/>
        <v>0.98999243578681428</v>
      </c>
      <c r="Y35" s="694">
        <f t="shared" si="2"/>
        <v>0.98999246084599879</v>
      </c>
      <c r="Z35" s="700">
        <f t="shared" si="6"/>
        <v>8245.799427304084</v>
      </c>
      <c r="AA35" s="703">
        <f t="shared" si="9"/>
        <v>0</v>
      </c>
      <c r="AC35" s="702">
        <f t="shared" si="10"/>
        <v>784.59606756292726</v>
      </c>
      <c r="AD35" s="700">
        <f t="shared" si="3"/>
        <v>16063.652929855467</v>
      </c>
      <c r="AE35" s="694"/>
      <c r="AF35" s="694">
        <f t="shared" si="4"/>
        <v>0.98995445159191986</v>
      </c>
      <c r="AG35" s="694">
        <f t="shared" si="5"/>
        <v>0.98995447665014291</v>
      </c>
      <c r="AH35" s="700">
        <f t="shared" si="7"/>
        <v>784.59606756292726</v>
      </c>
      <c r="AI35" s="703">
        <f t="shared" si="11"/>
        <v>0</v>
      </c>
    </row>
    <row r="36" spans="1:35">
      <c r="A36" s="512"/>
      <c r="B36" s="518"/>
      <c r="C36" s="552"/>
      <c r="D36" s="1194" t="s">
        <v>525</v>
      </c>
      <c r="E36" s="1194"/>
      <c r="F36" s="1194"/>
      <c r="G36" s="1194"/>
      <c r="H36" s="1194"/>
      <c r="I36" s="1194"/>
      <c r="J36" s="1194"/>
      <c r="K36" s="1194"/>
      <c r="L36" s="1194"/>
      <c r="M36" s="1194"/>
      <c r="N36" s="1194"/>
      <c r="O36" s="1194"/>
      <c r="P36" s="1194"/>
      <c r="Q36" s="1194"/>
      <c r="R36" s="1195"/>
      <c r="S36" s="674"/>
      <c r="U36" s="702">
        <f t="shared" si="8"/>
        <v>8245.799427304084</v>
      </c>
      <c r="V36" s="700">
        <f t="shared" si="0"/>
        <v>76588.925268900857</v>
      </c>
      <c r="W36" s="694"/>
      <c r="X36" s="694">
        <f t="shared" si="1"/>
        <v>0.98999243578681428</v>
      </c>
      <c r="Y36" s="694">
        <f t="shared" si="2"/>
        <v>0.98999246084599879</v>
      </c>
      <c r="Z36" s="700">
        <f t="shared" si="6"/>
        <v>8245.799427304084</v>
      </c>
      <c r="AA36" s="703">
        <f t="shared" si="9"/>
        <v>0</v>
      </c>
      <c r="AC36" s="702">
        <f t="shared" si="10"/>
        <v>784.59606756292726</v>
      </c>
      <c r="AD36" s="700">
        <f t="shared" si="3"/>
        <v>16063.652929855467</v>
      </c>
      <c r="AE36" s="694"/>
      <c r="AF36" s="694">
        <f t="shared" si="4"/>
        <v>0.98995445159191986</v>
      </c>
      <c r="AG36" s="694">
        <f t="shared" si="5"/>
        <v>0.98995447665014291</v>
      </c>
      <c r="AH36" s="700">
        <f t="shared" si="7"/>
        <v>784.59606756292726</v>
      </c>
      <c r="AI36" s="703">
        <f t="shared" si="11"/>
        <v>0</v>
      </c>
    </row>
    <row r="37" spans="1:35">
      <c r="A37" s="512"/>
      <c r="B37" s="518"/>
      <c r="C37" s="553"/>
      <c r="D37" s="1204"/>
      <c r="E37" s="1204"/>
      <c r="F37" s="1204"/>
      <c r="G37" s="1204"/>
      <c r="H37" s="1204"/>
      <c r="I37" s="1204"/>
      <c r="J37" s="1204"/>
      <c r="K37" s="1204"/>
      <c r="L37" s="1204"/>
      <c r="M37" s="1204"/>
      <c r="N37" s="1204"/>
      <c r="O37" s="1204"/>
      <c r="P37" s="1204"/>
      <c r="Q37" s="1204"/>
      <c r="R37" s="1205"/>
      <c r="S37" s="674"/>
      <c r="U37" s="702">
        <f t="shared" si="8"/>
        <v>8245.799427304084</v>
      </c>
      <c r="V37" s="700">
        <f t="shared" si="0"/>
        <v>76588.925268900857</v>
      </c>
      <c r="W37" s="694"/>
      <c r="X37" s="694">
        <f t="shared" si="1"/>
        <v>0.98999243578681428</v>
      </c>
      <c r="Y37" s="694">
        <f t="shared" si="2"/>
        <v>0.98999246084599879</v>
      </c>
      <c r="Z37" s="700">
        <f t="shared" si="6"/>
        <v>8245.799427304084</v>
      </c>
      <c r="AA37" s="703">
        <f t="shared" si="9"/>
        <v>0</v>
      </c>
      <c r="AC37" s="702">
        <f t="shared" si="10"/>
        <v>784.59606756292726</v>
      </c>
      <c r="AD37" s="700">
        <f t="shared" si="3"/>
        <v>16063.652929855467</v>
      </c>
      <c r="AE37" s="694"/>
      <c r="AF37" s="694">
        <f t="shared" si="4"/>
        <v>0.98995445159191986</v>
      </c>
      <c r="AG37" s="694">
        <f t="shared" si="5"/>
        <v>0.98995447665014291</v>
      </c>
      <c r="AH37" s="700">
        <f t="shared" si="7"/>
        <v>784.59606756292726</v>
      </c>
      <c r="AI37" s="703">
        <f t="shared" si="11"/>
        <v>0</v>
      </c>
    </row>
    <row r="38" spans="1:35">
      <c r="A38" s="512"/>
      <c r="B38" s="518"/>
      <c r="C38" s="552"/>
      <c r="D38" s="1194"/>
      <c r="E38" s="1194"/>
      <c r="F38" s="1194"/>
      <c r="G38" s="1194"/>
      <c r="H38" s="1194"/>
      <c r="I38" s="1194"/>
      <c r="J38" s="1194"/>
      <c r="K38" s="1194"/>
      <c r="L38" s="1194"/>
      <c r="M38" s="1194"/>
      <c r="N38" s="1194"/>
      <c r="O38" s="1194"/>
      <c r="P38" s="1194"/>
      <c r="Q38" s="1194"/>
      <c r="R38" s="1195"/>
      <c r="S38" s="674"/>
      <c r="U38" s="702">
        <f t="shared" si="8"/>
        <v>8245.799427304084</v>
      </c>
      <c r="V38" s="700">
        <f t="shared" si="0"/>
        <v>76588.925268900857</v>
      </c>
      <c r="W38" s="694"/>
      <c r="X38" s="694">
        <f t="shared" si="1"/>
        <v>0.98999243578681428</v>
      </c>
      <c r="Y38" s="694">
        <f t="shared" si="2"/>
        <v>0.98999246084599879</v>
      </c>
      <c r="Z38" s="700">
        <f t="shared" si="6"/>
        <v>8245.799427304084</v>
      </c>
      <c r="AA38" s="703">
        <f t="shared" si="9"/>
        <v>0</v>
      </c>
      <c r="AC38" s="702">
        <f t="shared" si="10"/>
        <v>784.59606756292726</v>
      </c>
      <c r="AD38" s="700">
        <f t="shared" si="3"/>
        <v>16063.652929855467</v>
      </c>
      <c r="AE38" s="694"/>
      <c r="AF38" s="694">
        <f t="shared" si="4"/>
        <v>0.98995445159191986</v>
      </c>
      <c r="AG38" s="694">
        <f t="shared" si="5"/>
        <v>0.98995447665014291</v>
      </c>
      <c r="AH38" s="700">
        <f t="shared" si="7"/>
        <v>784.59606756292726</v>
      </c>
      <c r="AI38" s="703">
        <f t="shared" si="11"/>
        <v>0</v>
      </c>
    </row>
    <row r="39" spans="1:35">
      <c r="A39" s="512"/>
      <c r="B39" s="518"/>
      <c r="C39" s="552"/>
      <c r="D39" s="1194"/>
      <c r="E39" s="1194"/>
      <c r="F39" s="1194"/>
      <c r="G39" s="1194"/>
      <c r="H39" s="1194"/>
      <c r="I39" s="1194"/>
      <c r="J39" s="1194"/>
      <c r="K39" s="1194"/>
      <c r="L39" s="1194"/>
      <c r="M39" s="1194"/>
      <c r="N39" s="1194"/>
      <c r="O39" s="1194"/>
      <c r="P39" s="1194"/>
      <c r="Q39" s="1194"/>
      <c r="R39" s="1195"/>
      <c r="S39" s="674"/>
      <c r="U39" s="702">
        <f t="shared" si="8"/>
        <v>8245.799427304084</v>
      </c>
      <c r="V39" s="700">
        <f t="shared" si="0"/>
        <v>76588.925268900857</v>
      </c>
      <c r="W39" s="694"/>
      <c r="X39" s="694">
        <f t="shared" si="1"/>
        <v>0.98999243578681428</v>
      </c>
      <c r="Y39" s="694">
        <f t="shared" si="2"/>
        <v>0.98999246084599879</v>
      </c>
      <c r="Z39" s="700">
        <f t="shared" si="6"/>
        <v>8245.799427304084</v>
      </c>
      <c r="AA39" s="703">
        <f t="shared" si="9"/>
        <v>0</v>
      </c>
      <c r="AC39" s="702">
        <f t="shared" si="10"/>
        <v>784.59606756292726</v>
      </c>
      <c r="AD39" s="700">
        <f t="shared" si="3"/>
        <v>16063.652929855467</v>
      </c>
      <c r="AE39" s="694"/>
      <c r="AF39" s="694">
        <f t="shared" si="4"/>
        <v>0.98995445159191986</v>
      </c>
      <c r="AG39" s="694">
        <f t="shared" si="5"/>
        <v>0.98995447665014291</v>
      </c>
      <c r="AH39" s="700">
        <f t="shared" si="7"/>
        <v>784.59606756292726</v>
      </c>
      <c r="AI39" s="703">
        <f t="shared" si="11"/>
        <v>0</v>
      </c>
    </row>
    <row r="40" spans="1:35">
      <c r="A40" s="512"/>
      <c r="B40" s="518"/>
      <c r="C40" s="552"/>
      <c r="D40" s="1194"/>
      <c r="E40" s="1194"/>
      <c r="F40" s="1194"/>
      <c r="G40" s="1194"/>
      <c r="H40" s="1194"/>
      <c r="I40" s="1194"/>
      <c r="J40" s="1194"/>
      <c r="K40" s="1194"/>
      <c r="L40" s="1194"/>
      <c r="M40" s="1194"/>
      <c r="N40" s="1194"/>
      <c r="O40" s="1194"/>
      <c r="P40" s="1194"/>
      <c r="Q40" s="1194"/>
      <c r="R40" s="1195"/>
      <c r="S40" s="674"/>
      <c r="U40" s="702">
        <f t="shared" si="8"/>
        <v>8245.799427304084</v>
      </c>
      <c r="V40" s="700">
        <f t="shared" si="0"/>
        <v>76588.925268900857</v>
      </c>
      <c r="W40" s="694"/>
      <c r="X40" s="694">
        <f t="shared" si="1"/>
        <v>0.98999243578681428</v>
      </c>
      <c r="Y40" s="694">
        <f t="shared" si="2"/>
        <v>0.98999246084599879</v>
      </c>
      <c r="Z40" s="700">
        <f t="shared" si="6"/>
        <v>8245.799427304084</v>
      </c>
      <c r="AA40" s="703">
        <f t="shared" si="9"/>
        <v>0</v>
      </c>
      <c r="AC40" s="702">
        <f t="shared" si="10"/>
        <v>784.59606756292726</v>
      </c>
      <c r="AD40" s="700">
        <f t="shared" si="3"/>
        <v>16063.652929855467</v>
      </c>
      <c r="AE40" s="694"/>
      <c r="AF40" s="694">
        <f t="shared" si="4"/>
        <v>0.98995445159191986</v>
      </c>
      <c r="AG40" s="694">
        <f t="shared" si="5"/>
        <v>0.98995447665014291</v>
      </c>
      <c r="AH40" s="700">
        <f t="shared" si="7"/>
        <v>784.59606756292726</v>
      </c>
      <c r="AI40" s="703">
        <f t="shared" si="11"/>
        <v>0</v>
      </c>
    </row>
    <row r="41" spans="1:35">
      <c r="A41" s="512"/>
      <c r="B41" s="518"/>
      <c r="C41" s="552"/>
      <c r="D41" s="1194"/>
      <c r="E41" s="1194"/>
      <c r="F41" s="1194"/>
      <c r="G41" s="1194"/>
      <c r="H41" s="1194"/>
      <c r="I41" s="1194"/>
      <c r="J41" s="1194"/>
      <c r="K41" s="1194"/>
      <c r="L41" s="1194"/>
      <c r="M41" s="1194"/>
      <c r="N41" s="1194"/>
      <c r="O41" s="1194"/>
      <c r="P41" s="1194"/>
      <c r="Q41" s="1194"/>
      <c r="R41" s="1195"/>
      <c r="S41" s="674"/>
      <c r="U41" s="702">
        <f t="shared" si="8"/>
        <v>8245.799427304084</v>
      </c>
      <c r="V41" s="700">
        <f t="shared" si="0"/>
        <v>76588.925268900857</v>
      </c>
      <c r="W41" s="694"/>
      <c r="X41" s="694">
        <f t="shared" si="1"/>
        <v>0.98999243578681428</v>
      </c>
      <c r="Y41" s="694">
        <f t="shared" si="2"/>
        <v>0.98999246084599879</v>
      </c>
      <c r="Z41" s="700">
        <f t="shared" si="6"/>
        <v>8245.799427304084</v>
      </c>
      <c r="AA41" s="703">
        <f t="shared" si="9"/>
        <v>0</v>
      </c>
      <c r="AC41" s="702">
        <f t="shared" si="10"/>
        <v>784.59606756292726</v>
      </c>
      <c r="AD41" s="700">
        <f t="shared" si="3"/>
        <v>16063.652929855467</v>
      </c>
      <c r="AE41" s="694"/>
      <c r="AF41" s="694">
        <f t="shared" si="4"/>
        <v>0.98995445159191986</v>
      </c>
      <c r="AG41" s="694">
        <f t="shared" si="5"/>
        <v>0.98995447665014291</v>
      </c>
      <c r="AH41" s="700">
        <f t="shared" si="7"/>
        <v>784.59606756292726</v>
      </c>
      <c r="AI41" s="703">
        <f t="shared" si="11"/>
        <v>0</v>
      </c>
    </row>
    <row r="42" spans="1:35">
      <c r="A42" s="512"/>
      <c r="B42" s="518"/>
      <c r="C42" s="552"/>
      <c r="D42" s="1194"/>
      <c r="E42" s="1194"/>
      <c r="F42" s="1194"/>
      <c r="G42" s="1194"/>
      <c r="H42" s="1194"/>
      <c r="I42" s="1194"/>
      <c r="J42" s="1194"/>
      <c r="K42" s="1194"/>
      <c r="L42" s="1194"/>
      <c r="M42" s="1194"/>
      <c r="N42" s="1194"/>
      <c r="O42" s="1194"/>
      <c r="P42" s="1194"/>
      <c r="Q42" s="1194"/>
      <c r="R42" s="1195"/>
      <c r="S42" s="674"/>
      <c r="U42" s="702">
        <f t="shared" si="8"/>
        <v>8245.799427304084</v>
      </c>
      <c r="V42" s="700">
        <f t="shared" si="0"/>
        <v>76588.925268900857</v>
      </c>
      <c r="W42" s="694"/>
      <c r="X42" s="694">
        <f t="shared" si="1"/>
        <v>0.98999243578681428</v>
      </c>
      <c r="Y42" s="694">
        <f t="shared" si="2"/>
        <v>0.98999246084599879</v>
      </c>
      <c r="Z42" s="700">
        <f t="shared" si="6"/>
        <v>8245.799427304084</v>
      </c>
      <c r="AA42" s="703">
        <f t="shared" si="9"/>
        <v>0</v>
      </c>
      <c r="AC42" s="702">
        <f t="shared" si="10"/>
        <v>784.59606756292726</v>
      </c>
      <c r="AD42" s="700">
        <f t="shared" si="3"/>
        <v>16063.652929855467</v>
      </c>
      <c r="AE42" s="694"/>
      <c r="AF42" s="694">
        <f t="shared" si="4"/>
        <v>0.98995445159191986</v>
      </c>
      <c r="AG42" s="694">
        <f t="shared" si="5"/>
        <v>0.98995447665014291</v>
      </c>
      <c r="AH42" s="700">
        <f t="shared" si="7"/>
        <v>784.59606756292726</v>
      </c>
      <c r="AI42" s="703">
        <f t="shared" si="11"/>
        <v>0</v>
      </c>
    </row>
    <row r="43" spans="1:35">
      <c r="A43" s="512"/>
      <c r="B43" s="518"/>
      <c r="C43" s="552"/>
      <c r="D43" s="1194"/>
      <c r="E43" s="1194"/>
      <c r="F43" s="1194"/>
      <c r="G43" s="1194"/>
      <c r="H43" s="1194"/>
      <c r="I43" s="1194"/>
      <c r="J43" s="1194"/>
      <c r="K43" s="1194"/>
      <c r="L43" s="1194"/>
      <c r="M43" s="1194"/>
      <c r="N43" s="1194"/>
      <c r="O43" s="1194"/>
      <c r="P43" s="1194"/>
      <c r="Q43" s="1194"/>
      <c r="R43" s="1195"/>
      <c r="S43" s="674"/>
      <c r="U43" s="702">
        <f t="shared" si="8"/>
        <v>8245.799427304084</v>
      </c>
      <c r="V43" s="700">
        <f t="shared" si="0"/>
        <v>76588.925268900857</v>
      </c>
      <c r="W43" s="694"/>
      <c r="X43" s="694">
        <f t="shared" si="1"/>
        <v>0.98999243578681428</v>
      </c>
      <c r="Y43" s="694">
        <f t="shared" si="2"/>
        <v>0.98999246084599879</v>
      </c>
      <c r="Z43" s="700">
        <f t="shared" si="6"/>
        <v>8245.799427304084</v>
      </c>
      <c r="AA43" s="703">
        <f t="shared" si="9"/>
        <v>0</v>
      </c>
      <c r="AC43" s="702">
        <f t="shared" si="10"/>
        <v>784.59606756292726</v>
      </c>
      <c r="AD43" s="700">
        <f t="shared" si="3"/>
        <v>16063.652929855467</v>
      </c>
      <c r="AE43" s="694"/>
      <c r="AF43" s="694">
        <f t="shared" si="4"/>
        <v>0.98995445159191986</v>
      </c>
      <c r="AG43" s="694">
        <f t="shared" si="5"/>
        <v>0.98995447665014291</v>
      </c>
      <c r="AH43" s="700">
        <f t="shared" si="7"/>
        <v>784.59606756292726</v>
      </c>
      <c r="AI43" s="703">
        <f t="shared" si="11"/>
        <v>0</v>
      </c>
    </row>
    <row r="44" spans="1:35">
      <c r="A44" s="512"/>
      <c r="B44" s="518"/>
      <c r="C44" s="552"/>
      <c r="D44" s="1194"/>
      <c r="E44" s="1194"/>
      <c r="F44" s="1194"/>
      <c r="G44" s="1194"/>
      <c r="H44" s="1194"/>
      <c r="I44" s="1194"/>
      <c r="J44" s="1194"/>
      <c r="K44" s="1194"/>
      <c r="L44" s="1194"/>
      <c r="M44" s="1194"/>
      <c r="N44" s="1194"/>
      <c r="O44" s="1194"/>
      <c r="P44" s="1194"/>
      <c r="Q44" s="1194"/>
      <c r="R44" s="1195"/>
      <c r="S44" s="674"/>
      <c r="U44" s="702">
        <f t="shared" si="8"/>
        <v>8245.799427304084</v>
      </c>
      <c r="V44" s="700">
        <f t="shared" si="0"/>
        <v>76588.925268900857</v>
      </c>
      <c r="W44" s="694"/>
      <c r="X44" s="694">
        <f t="shared" si="1"/>
        <v>0.98999243578681428</v>
      </c>
      <c r="Y44" s="694">
        <f t="shared" si="2"/>
        <v>0.98999246084599879</v>
      </c>
      <c r="Z44" s="700">
        <f t="shared" si="6"/>
        <v>8245.799427304084</v>
      </c>
      <c r="AA44" s="703">
        <f t="shared" si="9"/>
        <v>0</v>
      </c>
      <c r="AC44" s="702">
        <f t="shared" si="10"/>
        <v>784.59606756292726</v>
      </c>
      <c r="AD44" s="700">
        <f t="shared" si="3"/>
        <v>16063.652929855467</v>
      </c>
      <c r="AE44" s="694"/>
      <c r="AF44" s="694">
        <f t="shared" si="4"/>
        <v>0.98995445159191986</v>
      </c>
      <c r="AG44" s="694">
        <f t="shared" si="5"/>
        <v>0.98995447665014291</v>
      </c>
      <c r="AH44" s="700">
        <f t="shared" si="7"/>
        <v>784.59606756292726</v>
      </c>
      <c r="AI44" s="703">
        <f t="shared" si="11"/>
        <v>0</v>
      </c>
    </row>
    <row r="45" spans="1:35">
      <c r="A45" s="512"/>
      <c r="B45" s="518"/>
      <c r="C45" s="552"/>
      <c r="D45" s="1194"/>
      <c r="E45" s="1194"/>
      <c r="F45" s="1194"/>
      <c r="G45" s="1194"/>
      <c r="H45" s="1194"/>
      <c r="I45" s="1194"/>
      <c r="J45" s="1194"/>
      <c r="K45" s="1194"/>
      <c r="L45" s="1194"/>
      <c r="M45" s="1194"/>
      <c r="N45" s="1194"/>
      <c r="O45" s="1194"/>
      <c r="P45" s="1194"/>
      <c r="Q45" s="1194"/>
      <c r="R45" s="1195"/>
      <c r="U45" s="702">
        <f t="shared" si="8"/>
        <v>8245.799427304084</v>
      </c>
      <c r="V45" s="700">
        <f t="shared" si="0"/>
        <v>76588.925268900857</v>
      </c>
      <c r="W45" s="694"/>
      <c r="X45" s="694">
        <f t="shared" si="1"/>
        <v>0.98999243578681428</v>
      </c>
      <c r="Y45" s="694">
        <f t="shared" si="2"/>
        <v>0.98999246084599879</v>
      </c>
      <c r="Z45" s="700">
        <f t="shared" si="6"/>
        <v>8245.799427304084</v>
      </c>
      <c r="AA45" s="703">
        <f t="shared" si="9"/>
        <v>0</v>
      </c>
      <c r="AC45" s="702">
        <f t="shared" si="10"/>
        <v>784.59606756292726</v>
      </c>
      <c r="AD45" s="700">
        <f t="shared" si="3"/>
        <v>16063.652929855467</v>
      </c>
      <c r="AE45" s="694"/>
      <c r="AF45" s="694">
        <f t="shared" si="4"/>
        <v>0.98995445159191986</v>
      </c>
      <c r="AG45" s="694">
        <f t="shared" si="5"/>
        <v>0.98995447665014291</v>
      </c>
      <c r="AH45" s="700">
        <f t="shared" si="7"/>
        <v>784.59606756292726</v>
      </c>
      <c r="AI45" s="703">
        <f t="shared" si="11"/>
        <v>0</v>
      </c>
    </row>
    <row r="46" spans="1:35">
      <c r="A46" s="512"/>
      <c r="B46" s="518"/>
      <c r="C46" s="552"/>
      <c r="D46" s="1194"/>
      <c r="E46" s="1194"/>
      <c r="F46" s="1194"/>
      <c r="G46" s="1194"/>
      <c r="H46" s="1194"/>
      <c r="I46" s="1194"/>
      <c r="J46" s="1194"/>
      <c r="K46" s="1194"/>
      <c r="L46" s="1194"/>
      <c r="M46" s="1194"/>
      <c r="N46" s="1194"/>
      <c r="O46" s="1194"/>
      <c r="P46" s="1194"/>
      <c r="Q46" s="1194"/>
      <c r="R46" s="1195"/>
      <c r="U46" s="702">
        <f t="shared" si="8"/>
        <v>8245.799427304084</v>
      </c>
      <c r="V46" s="700">
        <f t="shared" si="0"/>
        <v>76588.925268900857</v>
      </c>
      <c r="W46" s="694"/>
      <c r="X46" s="694">
        <f t="shared" si="1"/>
        <v>0.98999243578681428</v>
      </c>
      <c r="Y46" s="694">
        <f t="shared" si="2"/>
        <v>0.98999246084599879</v>
      </c>
      <c r="Z46" s="700">
        <f t="shared" si="6"/>
        <v>8245.799427304084</v>
      </c>
      <c r="AA46" s="703">
        <f t="shared" si="9"/>
        <v>0</v>
      </c>
      <c r="AC46" s="702">
        <f t="shared" si="10"/>
        <v>784.59606756292726</v>
      </c>
      <c r="AD46" s="700">
        <f t="shared" si="3"/>
        <v>16063.652929855467</v>
      </c>
      <c r="AE46" s="694"/>
      <c r="AF46" s="694">
        <f t="shared" si="4"/>
        <v>0.98995445159191986</v>
      </c>
      <c r="AG46" s="694">
        <f t="shared" si="5"/>
        <v>0.98995447665014291</v>
      </c>
      <c r="AH46" s="700">
        <f t="shared" si="7"/>
        <v>784.59606756292726</v>
      </c>
      <c r="AI46" s="703">
        <f t="shared" si="11"/>
        <v>0</v>
      </c>
    </row>
    <row r="47" spans="1:35">
      <c r="A47" s="512"/>
      <c r="B47" s="518"/>
      <c r="C47" s="552"/>
      <c r="D47" s="1194"/>
      <c r="E47" s="1194"/>
      <c r="F47" s="1194"/>
      <c r="G47" s="1194"/>
      <c r="H47" s="1194"/>
      <c r="I47" s="1194"/>
      <c r="J47" s="1194"/>
      <c r="K47" s="1194"/>
      <c r="L47" s="1194"/>
      <c r="M47" s="1194"/>
      <c r="N47" s="1194"/>
      <c r="O47" s="1194"/>
      <c r="P47" s="1194"/>
      <c r="Q47" s="1194"/>
      <c r="R47" s="1195"/>
      <c r="U47" s="702">
        <f t="shared" si="8"/>
        <v>8245.799427304084</v>
      </c>
      <c r="V47" s="700">
        <f t="shared" si="0"/>
        <v>76588.925268900857</v>
      </c>
      <c r="W47" s="694"/>
      <c r="X47" s="694">
        <f t="shared" si="1"/>
        <v>0.98999243578681428</v>
      </c>
      <c r="Y47" s="694">
        <f t="shared" si="2"/>
        <v>0.98999246084599879</v>
      </c>
      <c r="Z47" s="700">
        <f t="shared" si="6"/>
        <v>8245.799427304084</v>
      </c>
      <c r="AA47" s="703">
        <f t="shared" si="9"/>
        <v>0</v>
      </c>
      <c r="AC47" s="702">
        <f t="shared" si="10"/>
        <v>784.59606756292726</v>
      </c>
      <c r="AD47" s="700">
        <f t="shared" si="3"/>
        <v>16063.652929855467</v>
      </c>
      <c r="AE47" s="694"/>
      <c r="AF47" s="694">
        <f t="shared" si="4"/>
        <v>0.98995445159191986</v>
      </c>
      <c r="AG47" s="694">
        <f t="shared" si="5"/>
        <v>0.98995447665014291</v>
      </c>
      <c r="AH47" s="700">
        <f t="shared" si="7"/>
        <v>784.59606756292726</v>
      </c>
      <c r="AI47" s="703">
        <f t="shared" si="11"/>
        <v>0</v>
      </c>
    </row>
    <row r="48" spans="1:35">
      <c r="A48" s="512"/>
      <c r="B48" s="518"/>
      <c r="C48" s="552"/>
      <c r="D48" s="1194"/>
      <c r="E48" s="1194"/>
      <c r="F48" s="1194"/>
      <c r="G48" s="1194"/>
      <c r="H48" s="1194"/>
      <c r="I48" s="1194"/>
      <c r="J48" s="1194"/>
      <c r="K48" s="1194"/>
      <c r="L48" s="1194"/>
      <c r="M48" s="1194"/>
      <c r="N48" s="1194"/>
      <c r="O48" s="1194"/>
      <c r="P48" s="1194"/>
      <c r="Q48" s="1194"/>
      <c r="R48" s="1195"/>
      <c r="U48" s="702">
        <f t="shared" si="8"/>
        <v>8245.799427304084</v>
      </c>
      <c r="V48" s="700">
        <f t="shared" si="0"/>
        <v>76588.925268900857</v>
      </c>
      <c r="W48" s="694"/>
      <c r="X48" s="694">
        <f t="shared" si="1"/>
        <v>0.98999243578681428</v>
      </c>
      <c r="Y48" s="694">
        <f t="shared" si="2"/>
        <v>0.98999246084599879</v>
      </c>
      <c r="Z48" s="700">
        <f t="shared" si="6"/>
        <v>8245.799427304084</v>
      </c>
      <c r="AA48" s="703">
        <f t="shared" si="9"/>
        <v>0</v>
      </c>
      <c r="AC48" s="702">
        <f t="shared" si="10"/>
        <v>784.59606756292726</v>
      </c>
      <c r="AD48" s="700">
        <f t="shared" si="3"/>
        <v>16063.652929855467</v>
      </c>
      <c r="AE48" s="694"/>
      <c r="AF48" s="694">
        <f t="shared" si="4"/>
        <v>0.98995445159191986</v>
      </c>
      <c r="AG48" s="694">
        <f t="shared" si="5"/>
        <v>0.98995447665014291</v>
      </c>
      <c r="AH48" s="700">
        <f t="shared" si="7"/>
        <v>784.59606756292726</v>
      </c>
      <c r="AI48" s="703">
        <f t="shared" si="11"/>
        <v>0</v>
      </c>
    </row>
    <row r="49" spans="1:42">
      <c r="A49" s="512"/>
      <c r="B49" s="518"/>
      <c r="C49" s="554"/>
      <c r="D49" s="1196"/>
      <c r="E49" s="1196"/>
      <c r="F49" s="1196"/>
      <c r="G49" s="1196"/>
      <c r="H49" s="1196"/>
      <c r="I49" s="1196"/>
      <c r="J49" s="1196"/>
      <c r="K49" s="1196"/>
      <c r="L49" s="1196"/>
      <c r="M49" s="1196"/>
      <c r="N49" s="1196"/>
      <c r="O49" s="1196"/>
      <c r="P49" s="1196"/>
      <c r="Q49" s="1196"/>
      <c r="R49" s="1197"/>
      <c r="U49" s="702">
        <f t="shared" si="8"/>
        <v>8245.799427304084</v>
      </c>
      <c r="V49" s="700">
        <f t="shared" si="0"/>
        <v>76588.925268900857</v>
      </c>
      <c r="W49" s="694"/>
      <c r="X49" s="694">
        <f t="shared" si="1"/>
        <v>0.98999243578681428</v>
      </c>
      <c r="Y49" s="694">
        <f t="shared" si="2"/>
        <v>0.98999246084599879</v>
      </c>
      <c r="Z49" s="700">
        <f t="shared" si="6"/>
        <v>8245.799427304084</v>
      </c>
      <c r="AA49" s="703">
        <f t="shared" si="9"/>
        <v>0</v>
      </c>
      <c r="AC49" s="702">
        <f t="shared" si="10"/>
        <v>784.59606756292726</v>
      </c>
      <c r="AD49" s="700">
        <f t="shared" si="3"/>
        <v>16063.652929855467</v>
      </c>
      <c r="AE49" s="694"/>
      <c r="AF49" s="694">
        <f t="shared" si="4"/>
        <v>0.98995445159191986</v>
      </c>
      <c r="AG49" s="694">
        <f t="shared" si="5"/>
        <v>0.98995447665014291</v>
      </c>
      <c r="AH49" s="700">
        <f t="shared" si="7"/>
        <v>784.59606756292726</v>
      </c>
      <c r="AI49" s="703">
        <f t="shared" si="11"/>
        <v>0</v>
      </c>
    </row>
    <row r="50" spans="1:42">
      <c r="A50" s="512"/>
      <c r="B50" s="518"/>
      <c r="C50" s="834" t="s">
        <v>526</v>
      </c>
      <c r="D50" s="1160"/>
      <c r="E50" s="1160"/>
      <c r="F50" s="1160"/>
      <c r="G50" s="1160"/>
      <c r="H50" s="1160"/>
      <c r="I50" s="1160"/>
      <c r="J50" s="1160"/>
      <c r="K50" s="1160"/>
      <c r="L50" s="1160"/>
      <c r="M50" s="1160"/>
      <c r="N50" s="1160"/>
      <c r="O50" s="1160"/>
      <c r="P50" s="1160"/>
      <c r="Q50" s="1160"/>
      <c r="R50" s="1160"/>
      <c r="U50" s="702">
        <f t="shared" si="8"/>
        <v>8245.799427304084</v>
      </c>
      <c r="V50" s="700">
        <f t="shared" si="0"/>
        <v>76588.925268900857</v>
      </c>
      <c r="W50" s="694"/>
      <c r="X50" s="694">
        <f t="shared" si="1"/>
        <v>0.98999243578681428</v>
      </c>
      <c r="Y50" s="694">
        <f t="shared" si="2"/>
        <v>0.98999246084599879</v>
      </c>
      <c r="Z50" s="700">
        <f t="shared" si="6"/>
        <v>8245.799427304084</v>
      </c>
      <c r="AA50" s="703">
        <f t="shared" si="9"/>
        <v>0</v>
      </c>
      <c r="AC50" s="702">
        <f t="shared" si="10"/>
        <v>784.59606756292726</v>
      </c>
      <c r="AD50" s="700">
        <f t="shared" si="3"/>
        <v>16063.652929855467</v>
      </c>
      <c r="AE50" s="694"/>
      <c r="AF50" s="694">
        <f t="shared" si="4"/>
        <v>0.98995445159191986</v>
      </c>
      <c r="AG50" s="694">
        <f t="shared" si="5"/>
        <v>0.98995447665014291</v>
      </c>
      <c r="AH50" s="700">
        <f t="shared" si="7"/>
        <v>784.59606756292726</v>
      </c>
      <c r="AI50" s="703">
        <f t="shared" si="11"/>
        <v>0</v>
      </c>
    </row>
    <row r="51" spans="1:42" ht="15" customHeight="1">
      <c r="A51" s="512"/>
      <c r="B51" s="518"/>
      <c r="C51" s="1190" t="s">
        <v>513</v>
      </c>
      <c r="D51" s="1191"/>
      <c r="E51" s="1191"/>
      <c r="F51" s="1191"/>
      <c r="G51" s="1192" t="s">
        <v>527</v>
      </c>
      <c r="H51" s="1192"/>
      <c r="I51" s="1192"/>
      <c r="J51" s="1192"/>
      <c r="K51" s="1192"/>
      <c r="L51" s="1192"/>
      <c r="M51" s="1192"/>
      <c r="N51" s="1192"/>
      <c r="O51" s="1192"/>
      <c r="P51" s="1192"/>
      <c r="Q51" s="1192"/>
      <c r="R51" s="1193"/>
      <c r="U51" s="702">
        <f t="shared" si="8"/>
        <v>8245.799427304084</v>
      </c>
      <c r="V51" s="700">
        <f t="shared" si="0"/>
        <v>76588.925268900857</v>
      </c>
      <c r="W51" s="694"/>
      <c r="X51" s="694">
        <f t="shared" si="1"/>
        <v>0.98999243578681428</v>
      </c>
      <c r="Y51" s="694">
        <f t="shared" si="2"/>
        <v>0.98999246084599879</v>
      </c>
      <c r="Z51" s="700">
        <f t="shared" si="6"/>
        <v>8245.799427304084</v>
      </c>
      <c r="AA51" s="703">
        <f t="shared" si="9"/>
        <v>0</v>
      </c>
      <c r="AC51" s="702">
        <f t="shared" si="10"/>
        <v>784.59606756292726</v>
      </c>
      <c r="AD51" s="700">
        <f t="shared" si="3"/>
        <v>16063.652929855467</v>
      </c>
      <c r="AE51" s="694"/>
      <c r="AF51" s="694">
        <f t="shared" si="4"/>
        <v>0.98995445159191986</v>
      </c>
      <c r="AG51" s="694">
        <f t="shared" si="5"/>
        <v>0.98995447665014291</v>
      </c>
      <c r="AH51" s="700">
        <f t="shared" si="7"/>
        <v>784.59606756292726</v>
      </c>
      <c r="AI51" s="703">
        <f t="shared" si="11"/>
        <v>0</v>
      </c>
    </row>
    <row r="52" spans="1:42" ht="15" customHeight="1">
      <c r="A52" s="512"/>
      <c r="B52" s="518"/>
      <c r="C52" s="1186" t="s">
        <v>509</v>
      </c>
      <c r="D52" s="1187"/>
      <c r="E52" s="1187"/>
      <c r="F52" s="1187"/>
      <c r="G52" s="1188" t="s">
        <v>528</v>
      </c>
      <c r="H52" s="1188"/>
      <c r="I52" s="1188"/>
      <c r="J52" s="1188"/>
      <c r="K52" s="1188"/>
      <c r="L52" s="1188"/>
      <c r="M52" s="1188"/>
      <c r="N52" s="1188"/>
      <c r="O52" s="1188"/>
      <c r="P52" s="1188"/>
      <c r="Q52" s="1188"/>
      <c r="R52" s="1189"/>
      <c r="U52" s="702">
        <f t="shared" si="8"/>
        <v>8245.799427304084</v>
      </c>
      <c r="V52" s="700">
        <f t="shared" si="0"/>
        <v>76588.925268900857</v>
      </c>
      <c r="W52" s="694"/>
      <c r="X52" s="694">
        <f t="shared" si="1"/>
        <v>0.98999243578681428</v>
      </c>
      <c r="Y52" s="694">
        <f t="shared" si="2"/>
        <v>0.98999246084599879</v>
      </c>
      <c r="Z52" s="700">
        <f t="shared" si="6"/>
        <v>8245.799427304084</v>
      </c>
      <c r="AA52" s="703">
        <f t="shared" si="9"/>
        <v>0</v>
      </c>
      <c r="AC52" s="702">
        <f t="shared" si="10"/>
        <v>784.59606756292726</v>
      </c>
      <c r="AD52" s="700">
        <f t="shared" si="3"/>
        <v>16063.652929855467</v>
      </c>
      <c r="AE52" s="694"/>
      <c r="AF52" s="694">
        <f t="shared" si="4"/>
        <v>0.98995445159191986</v>
      </c>
      <c r="AG52" s="694">
        <f t="shared" si="5"/>
        <v>0.98995447665014291</v>
      </c>
      <c r="AH52" s="700">
        <f t="shared" si="7"/>
        <v>784.59606756292726</v>
      </c>
      <c r="AI52" s="703">
        <f t="shared" si="11"/>
        <v>0</v>
      </c>
    </row>
    <row r="53" spans="1:42" s="668" customFormat="1" ht="15" customHeight="1">
      <c r="A53" s="512"/>
      <c r="B53" s="518"/>
      <c r="C53" s="1186" t="s">
        <v>511</v>
      </c>
      <c r="D53" s="1187"/>
      <c r="E53" s="1187"/>
      <c r="F53" s="1187"/>
      <c r="G53" s="1188" t="s">
        <v>529</v>
      </c>
      <c r="H53" s="1188"/>
      <c r="I53" s="1188"/>
      <c r="J53" s="1188"/>
      <c r="K53" s="1188"/>
      <c r="L53" s="1188"/>
      <c r="M53" s="1188"/>
      <c r="N53" s="1188"/>
      <c r="O53" s="1188"/>
      <c r="P53" s="1188"/>
      <c r="Q53" s="1188"/>
      <c r="R53" s="1189"/>
      <c r="U53" s="702">
        <f t="shared" si="8"/>
        <v>8245.799427304084</v>
      </c>
      <c r="V53" s="700">
        <f t="shared" si="0"/>
        <v>76588.925268900857</v>
      </c>
      <c r="W53" s="694"/>
      <c r="X53" s="694">
        <f t="shared" si="1"/>
        <v>0.98999243578681428</v>
      </c>
      <c r="Y53" s="694">
        <f t="shared" si="2"/>
        <v>0.98999246084599879</v>
      </c>
      <c r="Z53" s="700">
        <f t="shared" si="6"/>
        <v>8245.799427304084</v>
      </c>
      <c r="AA53" s="703">
        <f t="shared" si="9"/>
        <v>0</v>
      </c>
      <c r="AB53" s="670"/>
      <c r="AC53" s="702">
        <f t="shared" si="10"/>
        <v>784.59606756292726</v>
      </c>
      <c r="AD53" s="700">
        <f t="shared" si="3"/>
        <v>16063.652929855467</v>
      </c>
      <c r="AE53" s="694"/>
      <c r="AF53" s="694">
        <f t="shared" si="4"/>
        <v>0.98995445159191986</v>
      </c>
      <c r="AG53" s="694">
        <f t="shared" si="5"/>
        <v>0.98995447665014291</v>
      </c>
      <c r="AH53" s="700">
        <f t="shared" si="7"/>
        <v>784.59606756292726</v>
      </c>
      <c r="AI53" s="703">
        <f t="shared" si="11"/>
        <v>0</v>
      </c>
      <c r="AJ53" s="670"/>
      <c r="AK53" s="670"/>
      <c r="AL53" s="670"/>
      <c r="AM53" s="670"/>
      <c r="AN53" s="670"/>
      <c r="AO53" s="670"/>
      <c r="AP53" s="670"/>
    </row>
    <row r="54" spans="1:42" s="668" customFormat="1" ht="15" customHeight="1">
      <c r="A54" s="512"/>
      <c r="B54" s="518"/>
      <c r="C54" s="1186" t="s">
        <v>530</v>
      </c>
      <c r="D54" s="1187"/>
      <c r="E54" s="1187"/>
      <c r="F54" s="1187"/>
      <c r="G54" s="1188" t="s">
        <v>531</v>
      </c>
      <c r="H54" s="1188"/>
      <c r="I54" s="1188"/>
      <c r="J54" s="1188"/>
      <c r="K54" s="1188"/>
      <c r="L54" s="1188"/>
      <c r="M54" s="1188"/>
      <c r="N54" s="1188"/>
      <c r="O54" s="1188"/>
      <c r="P54" s="1188"/>
      <c r="Q54" s="1188"/>
      <c r="R54" s="1189"/>
      <c r="U54" s="702">
        <f t="shared" si="8"/>
        <v>8245.799427304084</v>
      </c>
      <c r="V54" s="700">
        <f t="shared" si="0"/>
        <v>76588.925268900857</v>
      </c>
      <c r="W54" s="694"/>
      <c r="X54" s="694">
        <f t="shared" si="1"/>
        <v>0.98999243578681428</v>
      </c>
      <c r="Y54" s="694">
        <f t="shared" si="2"/>
        <v>0.98999246084599879</v>
      </c>
      <c r="Z54" s="700">
        <f t="shared" si="6"/>
        <v>8245.799427304084</v>
      </c>
      <c r="AA54" s="703">
        <f t="shared" si="9"/>
        <v>0</v>
      </c>
      <c r="AB54" s="670"/>
      <c r="AC54" s="702">
        <f t="shared" si="10"/>
        <v>784.59606756292726</v>
      </c>
      <c r="AD54" s="700">
        <f t="shared" si="3"/>
        <v>16063.652929855467</v>
      </c>
      <c r="AE54" s="694"/>
      <c r="AF54" s="694">
        <f t="shared" si="4"/>
        <v>0.98995445159191986</v>
      </c>
      <c r="AG54" s="694">
        <f t="shared" si="5"/>
        <v>0.98995447665014291</v>
      </c>
      <c r="AH54" s="700">
        <f t="shared" si="7"/>
        <v>784.59606756292726</v>
      </c>
      <c r="AI54" s="703">
        <f t="shared" si="11"/>
        <v>0</v>
      </c>
      <c r="AJ54" s="670"/>
      <c r="AK54" s="670"/>
      <c r="AL54" s="670"/>
      <c r="AM54" s="670"/>
      <c r="AN54" s="670"/>
      <c r="AO54" s="670"/>
      <c r="AP54" s="670"/>
    </row>
    <row r="55" spans="1:42" s="668" customFormat="1" ht="15" customHeight="1">
      <c r="A55" s="512"/>
      <c r="B55" s="518"/>
      <c r="C55" s="555"/>
      <c r="D55" s="556"/>
      <c r="E55" s="557"/>
      <c r="F55" s="558"/>
      <c r="G55" s="559"/>
      <c r="H55" s="559"/>
      <c r="I55" s="559"/>
      <c r="J55" s="560"/>
      <c r="K55" s="561"/>
      <c r="L55" s="562"/>
      <c r="M55" s="562"/>
      <c r="N55" s="563"/>
      <c r="O55" s="564"/>
      <c r="P55" s="564"/>
      <c r="Q55" s="564"/>
      <c r="R55" s="565"/>
      <c r="U55" s="702">
        <f t="shared" si="8"/>
        <v>8245.799427304084</v>
      </c>
      <c r="V55" s="700">
        <f t="shared" si="0"/>
        <v>76588.925268900857</v>
      </c>
      <c r="W55" s="694"/>
      <c r="X55" s="694">
        <f t="shared" si="1"/>
        <v>0.98999243578681428</v>
      </c>
      <c r="Y55" s="694">
        <f t="shared" si="2"/>
        <v>0.98999246084599879</v>
      </c>
      <c r="Z55" s="700">
        <f t="shared" si="6"/>
        <v>8245.799427304084</v>
      </c>
      <c r="AA55" s="703">
        <f t="shared" si="9"/>
        <v>0</v>
      </c>
      <c r="AB55" s="670"/>
      <c r="AC55" s="702">
        <f t="shared" si="10"/>
        <v>784.59606756292726</v>
      </c>
      <c r="AD55" s="700">
        <f t="shared" si="3"/>
        <v>16063.652929855467</v>
      </c>
      <c r="AE55" s="694"/>
      <c r="AF55" s="694">
        <f t="shared" si="4"/>
        <v>0.98995445159191986</v>
      </c>
      <c r="AG55" s="694">
        <f t="shared" si="5"/>
        <v>0.98995447665014291</v>
      </c>
      <c r="AH55" s="700">
        <f t="shared" si="7"/>
        <v>784.59606756292726</v>
      </c>
      <c r="AI55" s="703">
        <f t="shared" si="11"/>
        <v>0</v>
      </c>
      <c r="AJ55" s="670"/>
      <c r="AK55" s="670"/>
      <c r="AL55" s="670"/>
      <c r="AM55" s="670"/>
      <c r="AN55" s="670"/>
      <c r="AO55" s="670"/>
      <c r="AP55" s="670"/>
    </row>
    <row r="56" spans="1:42" s="668" customFormat="1" ht="15" customHeight="1">
      <c r="A56" s="512"/>
      <c r="B56" s="518"/>
      <c r="C56" s="555"/>
      <c r="D56" s="556"/>
      <c r="E56" s="557"/>
      <c r="F56" s="558"/>
      <c r="G56" s="559"/>
      <c r="H56" s="559"/>
      <c r="I56" s="559"/>
      <c r="J56" s="560"/>
      <c r="K56" s="561"/>
      <c r="L56" s="562"/>
      <c r="M56" s="562"/>
      <c r="N56" s="563"/>
      <c r="O56" s="564"/>
      <c r="P56" s="564"/>
      <c r="Q56" s="564"/>
      <c r="R56" s="565"/>
      <c r="U56" s="702">
        <f t="shared" si="8"/>
        <v>8245.799427304084</v>
      </c>
      <c r="V56" s="700">
        <f t="shared" si="0"/>
        <v>76588.925268900857</v>
      </c>
      <c r="W56" s="694"/>
      <c r="X56" s="694">
        <f t="shared" si="1"/>
        <v>0.98999243578681428</v>
      </c>
      <c r="Y56" s="694">
        <f t="shared" si="2"/>
        <v>0.98999246084599879</v>
      </c>
      <c r="Z56" s="700">
        <f t="shared" si="6"/>
        <v>8245.799427304084</v>
      </c>
      <c r="AA56" s="703">
        <f t="shared" si="9"/>
        <v>0</v>
      </c>
      <c r="AB56" s="670"/>
      <c r="AC56" s="702">
        <f t="shared" si="10"/>
        <v>784.59606756292726</v>
      </c>
      <c r="AD56" s="700">
        <f t="shared" si="3"/>
        <v>16063.652929855467</v>
      </c>
      <c r="AE56" s="694"/>
      <c r="AF56" s="694">
        <f t="shared" si="4"/>
        <v>0.98995445159191986</v>
      </c>
      <c r="AG56" s="694">
        <f t="shared" si="5"/>
        <v>0.98995447665014291</v>
      </c>
      <c r="AH56" s="700">
        <f t="shared" si="7"/>
        <v>784.59606756292726</v>
      </c>
      <c r="AI56" s="703">
        <f t="shared" si="11"/>
        <v>0</v>
      </c>
      <c r="AJ56" s="670"/>
      <c r="AK56" s="670"/>
      <c r="AL56" s="670"/>
      <c r="AM56" s="670"/>
      <c r="AN56" s="670"/>
      <c r="AO56" s="670"/>
      <c r="AP56" s="670"/>
    </row>
    <row r="57" spans="1:42" s="668" customFormat="1" ht="15" customHeight="1">
      <c r="A57" s="512"/>
      <c r="B57" s="518"/>
      <c r="C57" s="555"/>
      <c r="D57" s="556"/>
      <c r="E57" s="557"/>
      <c r="F57" s="558"/>
      <c r="G57" s="559"/>
      <c r="H57" s="559"/>
      <c r="I57" s="559"/>
      <c r="J57" s="560"/>
      <c r="K57" s="561"/>
      <c r="L57" s="562"/>
      <c r="M57" s="562"/>
      <c r="N57" s="563"/>
      <c r="O57" s="564"/>
      <c r="P57" s="564"/>
      <c r="Q57" s="564"/>
      <c r="R57" s="565"/>
      <c r="U57" s="702">
        <f t="shared" si="8"/>
        <v>8245.799427304084</v>
      </c>
      <c r="V57" s="700">
        <f t="shared" si="0"/>
        <v>76588.925268900857</v>
      </c>
      <c r="W57" s="694"/>
      <c r="X57" s="694">
        <f t="shared" si="1"/>
        <v>0.98999243578681428</v>
      </c>
      <c r="Y57" s="694">
        <f t="shared" si="2"/>
        <v>0.98999246084599879</v>
      </c>
      <c r="Z57" s="700">
        <f t="shared" si="6"/>
        <v>8245.799427304084</v>
      </c>
      <c r="AA57" s="703">
        <f t="shared" si="9"/>
        <v>0</v>
      </c>
      <c r="AB57" s="670"/>
      <c r="AC57" s="702">
        <f t="shared" si="10"/>
        <v>784.59606756292726</v>
      </c>
      <c r="AD57" s="700">
        <f t="shared" si="3"/>
        <v>16063.652929855467</v>
      </c>
      <c r="AE57" s="694"/>
      <c r="AF57" s="694">
        <f t="shared" si="4"/>
        <v>0.98995445159191986</v>
      </c>
      <c r="AG57" s="694">
        <f t="shared" si="5"/>
        <v>0.98995447665014291</v>
      </c>
      <c r="AH57" s="700">
        <f t="shared" si="7"/>
        <v>784.59606756292726</v>
      </c>
      <c r="AI57" s="703">
        <f t="shared" si="11"/>
        <v>0</v>
      </c>
      <c r="AJ57" s="670"/>
      <c r="AK57" s="670"/>
      <c r="AL57" s="670"/>
      <c r="AM57" s="670"/>
      <c r="AN57" s="670"/>
      <c r="AO57" s="670"/>
      <c r="AP57" s="670"/>
    </row>
    <row r="58" spans="1:42" s="668" customFormat="1" ht="15" customHeight="1" thickBot="1">
      <c r="A58" s="512"/>
      <c r="B58" s="566"/>
      <c r="C58" s="567"/>
      <c r="D58" s="568"/>
      <c r="E58" s="568"/>
      <c r="F58" s="568"/>
      <c r="G58" s="569"/>
      <c r="H58" s="569"/>
      <c r="I58" s="569"/>
      <c r="J58" s="569"/>
      <c r="K58" s="568"/>
      <c r="L58" s="568"/>
      <c r="M58" s="568"/>
      <c r="N58" s="570"/>
      <c r="O58" s="571"/>
      <c r="P58" s="571"/>
      <c r="Q58" s="571"/>
      <c r="R58" s="572"/>
      <c r="U58" s="702">
        <f t="shared" si="8"/>
        <v>8245.799427304084</v>
      </c>
      <c r="V58" s="700">
        <f t="shared" si="0"/>
        <v>76588.925268900857</v>
      </c>
      <c r="W58" s="694"/>
      <c r="X58" s="694">
        <f t="shared" si="1"/>
        <v>0.98999243578681428</v>
      </c>
      <c r="Y58" s="694">
        <f t="shared" si="2"/>
        <v>0.98999246084599879</v>
      </c>
      <c r="Z58" s="700">
        <f t="shared" si="6"/>
        <v>8245.799427304084</v>
      </c>
      <c r="AA58" s="703">
        <f t="shared" si="9"/>
        <v>0</v>
      </c>
      <c r="AB58" s="670"/>
      <c r="AC58" s="702">
        <f t="shared" si="10"/>
        <v>784.59606756292726</v>
      </c>
      <c r="AD58" s="700">
        <f t="shared" si="3"/>
        <v>16063.652929855467</v>
      </c>
      <c r="AE58" s="694"/>
      <c r="AF58" s="694">
        <f t="shared" si="4"/>
        <v>0.98995445159191986</v>
      </c>
      <c r="AG58" s="694">
        <f t="shared" si="5"/>
        <v>0.98995447665014291</v>
      </c>
      <c r="AH58" s="700">
        <f t="shared" si="7"/>
        <v>784.59606756292726</v>
      </c>
      <c r="AI58" s="703">
        <f t="shared" si="11"/>
        <v>0</v>
      </c>
      <c r="AJ58" s="670"/>
      <c r="AK58" s="670"/>
      <c r="AL58" s="670"/>
      <c r="AM58" s="670"/>
      <c r="AN58" s="670"/>
      <c r="AO58" s="670"/>
      <c r="AP58" s="670"/>
    </row>
    <row r="59" spans="1:42" s="668" customFormat="1" ht="15.95" customHeight="1">
      <c r="A59" s="512"/>
      <c r="B59" s="517"/>
      <c r="C59" s="517"/>
      <c r="D59" s="517"/>
      <c r="E59" s="517"/>
      <c r="F59" s="517"/>
      <c r="G59" s="517"/>
      <c r="H59" s="517"/>
      <c r="I59" s="517"/>
      <c r="J59" s="517"/>
      <c r="K59" s="517"/>
      <c r="L59" s="517"/>
      <c r="M59" s="517"/>
      <c r="N59" s="517"/>
      <c r="O59" s="516"/>
      <c r="P59" s="516"/>
      <c r="Q59" s="516"/>
      <c r="R59" s="516"/>
      <c r="U59" s="695"/>
      <c r="V59" s="690"/>
      <c r="W59" s="690"/>
      <c r="X59" s="690"/>
      <c r="Y59" s="690"/>
      <c r="Z59" s="690"/>
      <c r="AA59" s="678"/>
      <c r="AB59" s="670"/>
      <c r="AC59" s="695"/>
      <c r="AD59" s="690"/>
      <c r="AE59" s="690"/>
      <c r="AF59" s="690"/>
      <c r="AG59" s="690"/>
      <c r="AH59" s="690"/>
      <c r="AI59" s="678"/>
      <c r="AJ59" s="670"/>
      <c r="AK59" s="670"/>
      <c r="AL59" s="670"/>
      <c r="AM59" s="670"/>
      <c r="AN59" s="670"/>
      <c r="AO59" s="670"/>
      <c r="AP59" s="670"/>
    </row>
    <row r="60" spans="1:42" s="668" customFormat="1" ht="15.95" customHeight="1" thickBot="1">
      <c r="A60" s="512"/>
      <c r="B60" s="517"/>
      <c r="C60" s="517"/>
      <c r="D60" s="517"/>
      <c r="E60" s="517"/>
      <c r="F60" s="517"/>
      <c r="G60" s="517"/>
      <c r="H60" s="517"/>
      <c r="I60" s="517"/>
      <c r="J60" s="517"/>
      <c r="K60" s="517"/>
      <c r="L60" s="517"/>
      <c r="M60" s="517"/>
      <c r="N60" s="517"/>
      <c r="O60" s="516"/>
      <c r="P60" s="516"/>
      <c r="Q60" s="516"/>
      <c r="R60" s="516"/>
      <c r="U60" s="704"/>
      <c r="V60" s="705"/>
      <c r="W60" s="705"/>
      <c r="X60" s="705"/>
      <c r="Y60" s="705"/>
      <c r="Z60" s="705"/>
      <c r="AA60" s="706"/>
      <c r="AB60" s="670"/>
      <c r="AC60" s="704"/>
      <c r="AD60" s="705"/>
      <c r="AE60" s="705"/>
      <c r="AF60" s="705"/>
      <c r="AG60" s="705"/>
      <c r="AH60" s="705"/>
      <c r="AI60" s="706"/>
      <c r="AJ60" s="670"/>
      <c r="AK60" s="670"/>
      <c r="AL60" s="670"/>
      <c r="AM60" s="670"/>
      <c r="AN60" s="670"/>
      <c r="AO60" s="670"/>
      <c r="AP60" s="670"/>
    </row>
    <row r="61" spans="1:42" s="668" customFormat="1" ht="15.95" customHeight="1">
      <c r="A61" s="512"/>
      <c r="B61" s="517"/>
      <c r="C61" s="517"/>
      <c r="D61" s="517"/>
      <c r="E61" s="517"/>
      <c r="F61" s="517"/>
      <c r="G61" s="517"/>
      <c r="H61" s="517"/>
      <c r="I61" s="517"/>
      <c r="J61" s="517"/>
      <c r="K61" s="517"/>
      <c r="L61" s="517"/>
      <c r="M61" s="517"/>
      <c r="N61" s="517"/>
      <c r="O61" s="516"/>
      <c r="P61" s="516"/>
      <c r="Q61" s="516"/>
      <c r="R61" s="516"/>
      <c r="AA61" s="669"/>
      <c r="AB61" s="670"/>
      <c r="AC61" s="670"/>
      <c r="AD61" s="670"/>
      <c r="AE61" s="670"/>
      <c r="AF61" s="670"/>
      <c r="AG61" s="670"/>
      <c r="AH61" s="670"/>
      <c r="AI61" s="670"/>
      <c r="AJ61" s="670"/>
      <c r="AK61" s="670"/>
      <c r="AL61" s="670"/>
      <c r="AM61" s="670"/>
      <c r="AN61" s="670"/>
      <c r="AO61" s="670"/>
      <c r="AP61" s="670"/>
    </row>
    <row r="62" spans="1:42" s="668" customFormat="1" ht="15.95" customHeight="1">
      <c r="A62" s="512"/>
      <c r="B62" s="517"/>
      <c r="C62" s="517"/>
      <c r="D62" s="517"/>
      <c r="E62" s="517"/>
      <c r="F62" s="517"/>
      <c r="G62" s="517"/>
      <c r="H62" s="517"/>
      <c r="I62" s="517"/>
      <c r="J62" s="517"/>
      <c r="K62" s="517"/>
      <c r="L62" s="517"/>
      <c r="M62" s="517"/>
      <c r="N62" s="517"/>
      <c r="O62" s="516"/>
      <c r="P62" s="516"/>
      <c r="Q62" s="516"/>
      <c r="R62" s="516"/>
      <c r="AA62" s="669"/>
      <c r="AB62" s="670"/>
      <c r="AC62" s="670"/>
      <c r="AD62" s="670"/>
      <c r="AE62" s="670"/>
      <c r="AF62" s="670"/>
      <c r="AG62" s="670"/>
      <c r="AH62" s="670"/>
      <c r="AI62" s="670"/>
      <c r="AJ62" s="670"/>
      <c r="AK62" s="670"/>
      <c r="AL62" s="670"/>
      <c r="AM62" s="670"/>
      <c r="AN62" s="670"/>
      <c r="AO62" s="670"/>
      <c r="AP62" s="670"/>
    </row>
    <row r="63" spans="1:42" s="668" customFormat="1" ht="15.95" customHeight="1">
      <c r="A63" s="512"/>
      <c r="B63" s="517"/>
      <c r="C63" s="517"/>
      <c r="D63" s="517"/>
      <c r="E63" s="517"/>
      <c r="F63" s="517"/>
      <c r="G63" s="517"/>
      <c r="H63" s="517"/>
      <c r="I63" s="517"/>
      <c r="J63" s="517"/>
      <c r="K63" s="517"/>
      <c r="L63" s="517"/>
      <c r="M63" s="517"/>
      <c r="N63" s="517"/>
      <c r="O63" s="516"/>
      <c r="P63" s="516"/>
      <c r="Q63" s="516"/>
      <c r="R63" s="516"/>
      <c r="W63" s="671" t="s">
        <v>532</v>
      </c>
      <c r="X63" s="668">
        <v>6894.7569999999996</v>
      </c>
      <c r="Y63" s="668" t="s">
        <v>533</v>
      </c>
      <c r="AA63" s="669"/>
      <c r="AB63" s="670"/>
      <c r="AC63" s="670"/>
      <c r="AD63" s="670"/>
      <c r="AE63" s="670"/>
      <c r="AF63" s="670"/>
      <c r="AG63" s="670"/>
      <c r="AH63" s="670"/>
      <c r="AI63" s="670"/>
      <c r="AJ63" s="670"/>
      <c r="AK63" s="670"/>
      <c r="AL63" s="670"/>
      <c r="AM63" s="670"/>
      <c r="AN63" s="670"/>
      <c r="AO63" s="670"/>
      <c r="AP63" s="670"/>
    </row>
    <row r="64" spans="1:42" s="668" customFormat="1" ht="15.95" customHeight="1">
      <c r="A64" s="512"/>
      <c r="B64" s="517"/>
      <c r="C64" s="517"/>
      <c r="D64" s="517"/>
      <c r="E64" s="517"/>
      <c r="F64" s="516"/>
      <c r="G64" s="516"/>
      <c r="H64" s="516"/>
      <c r="I64" s="516"/>
      <c r="J64" s="516"/>
      <c r="K64" s="516"/>
      <c r="L64" s="516"/>
      <c r="M64" s="516"/>
      <c r="N64" s="516"/>
      <c r="O64" s="516"/>
      <c r="P64" s="516"/>
      <c r="Q64" s="516"/>
      <c r="R64" s="516"/>
      <c r="W64" s="668" t="s">
        <v>534</v>
      </c>
      <c r="X64" s="668">
        <v>248.64107000000001</v>
      </c>
      <c r="Y64" s="668" t="s">
        <v>533</v>
      </c>
      <c r="AA64" s="669"/>
      <c r="AB64" s="670"/>
      <c r="AC64" s="670"/>
      <c r="AD64" s="670"/>
      <c r="AE64" s="670"/>
      <c r="AF64" s="670"/>
      <c r="AG64" s="670"/>
      <c r="AH64" s="670"/>
      <c r="AI64" s="670"/>
      <c r="AJ64" s="670"/>
      <c r="AK64" s="670"/>
      <c r="AL64" s="670"/>
      <c r="AM64" s="670"/>
      <c r="AN64" s="670"/>
      <c r="AO64" s="670"/>
      <c r="AP64" s="670"/>
    </row>
    <row r="65" spans="1:42" s="668" customFormat="1" ht="15.95" customHeight="1">
      <c r="A65" s="512"/>
      <c r="B65" s="517"/>
      <c r="C65" s="517"/>
      <c r="D65" s="517"/>
      <c r="E65" s="517"/>
      <c r="F65" s="516"/>
      <c r="G65" s="516"/>
      <c r="H65" s="516"/>
      <c r="I65" s="516"/>
      <c r="J65" s="516"/>
      <c r="K65" s="516"/>
      <c r="L65" s="516"/>
      <c r="M65" s="516"/>
      <c r="N65" s="516"/>
      <c r="O65" s="516"/>
      <c r="P65" s="516"/>
      <c r="Q65" s="516"/>
      <c r="R65" s="516"/>
      <c r="W65" s="707" t="s">
        <v>532</v>
      </c>
      <c r="X65" s="668">
        <f>X63/X64</f>
        <v>27.729759206715123</v>
      </c>
      <c r="Y65" s="668" t="s">
        <v>535</v>
      </c>
      <c r="AA65" s="669"/>
      <c r="AB65" s="670"/>
      <c r="AC65" s="670"/>
      <c r="AD65" s="670"/>
      <c r="AE65" s="670"/>
      <c r="AF65" s="670"/>
      <c r="AG65" s="670"/>
      <c r="AH65" s="670"/>
      <c r="AI65" s="670"/>
      <c r="AJ65" s="670"/>
      <c r="AK65" s="670"/>
      <c r="AL65" s="670"/>
      <c r="AM65" s="670"/>
      <c r="AN65" s="670"/>
      <c r="AO65" s="670"/>
      <c r="AP65" s="670"/>
    </row>
    <row r="66" spans="1:42" s="668" customFormat="1" ht="15.95" customHeight="1">
      <c r="A66" s="512"/>
      <c r="B66" s="517"/>
      <c r="C66" s="517"/>
      <c r="D66" s="517"/>
      <c r="E66" s="517"/>
      <c r="F66" s="516"/>
      <c r="G66" s="516"/>
      <c r="H66" s="516"/>
      <c r="I66" s="516"/>
      <c r="J66" s="516"/>
      <c r="K66" s="516"/>
      <c r="L66" s="516"/>
      <c r="M66" s="516"/>
      <c r="N66" s="516"/>
      <c r="O66" s="516"/>
      <c r="P66" s="516"/>
      <c r="Q66" s="516"/>
      <c r="R66" s="516"/>
      <c r="V66" s="671"/>
      <c r="W66" s="671" t="s">
        <v>277</v>
      </c>
      <c r="X66" s="671" t="s">
        <v>535</v>
      </c>
      <c r="AA66" s="669"/>
      <c r="AB66" s="670"/>
      <c r="AC66" s="670"/>
      <c r="AD66" s="670"/>
      <c r="AE66" s="670"/>
      <c r="AF66" s="670"/>
      <c r="AG66" s="670"/>
      <c r="AH66" s="670"/>
      <c r="AI66" s="670"/>
      <c r="AJ66" s="670"/>
      <c r="AK66" s="670"/>
      <c r="AL66" s="670"/>
      <c r="AM66" s="670"/>
      <c r="AN66" s="670"/>
      <c r="AO66" s="670"/>
      <c r="AP66" s="670"/>
    </row>
    <row r="67" spans="1:42" s="668" customFormat="1" ht="15.95" customHeight="1">
      <c r="A67" s="573"/>
      <c r="B67" s="517"/>
      <c r="C67" s="517"/>
      <c r="D67" s="517"/>
      <c r="E67" s="517"/>
      <c r="F67" s="516"/>
      <c r="G67" s="516"/>
      <c r="H67" s="516"/>
      <c r="I67" s="516"/>
      <c r="J67" s="516"/>
      <c r="K67" s="516"/>
      <c r="L67" s="516"/>
      <c r="M67" s="516"/>
      <c r="N67" s="516"/>
      <c r="O67" s="516"/>
      <c r="P67" s="516"/>
      <c r="Q67" s="516"/>
      <c r="R67" s="516"/>
      <c r="V67" s="671"/>
      <c r="W67" s="707"/>
      <c r="X67" s="707"/>
      <c r="AA67" s="669"/>
      <c r="AB67" s="670"/>
      <c r="AC67" s="670"/>
      <c r="AD67" s="670"/>
      <c r="AE67" s="670"/>
      <c r="AF67" s="670"/>
      <c r="AG67" s="670"/>
      <c r="AH67" s="670"/>
      <c r="AI67" s="670"/>
      <c r="AJ67" s="670"/>
      <c r="AK67" s="670"/>
      <c r="AL67" s="670"/>
      <c r="AM67" s="670"/>
      <c r="AN67" s="670"/>
      <c r="AO67" s="670"/>
      <c r="AP67" s="670"/>
    </row>
    <row r="68" spans="1:42" s="668" customFormat="1" ht="15.95" customHeight="1">
      <c r="A68" s="573"/>
      <c r="B68" s="517"/>
      <c r="C68" s="517"/>
      <c r="D68" s="517"/>
      <c r="E68" s="517"/>
      <c r="F68" s="516"/>
      <c r="G68" s="516"/>
      <c r="H68" s="516"/>
      <c r="I68" s="516"/>
      <c r="J68" s="516"/>
      <c r="K68" s="516"/>
      <c r="L68" s="516"/>
      <c r="M68" s="516"/>
      <c r="N68" s="516"/>
      <c r="O68" s="516"/>
      <c r="P68" s="516"/>
      <c r="Q68" s="516"/>
      <c r="R68" s="516"/>
      <c r="AA68" s="669"/>
      <c r="AB68" s="670"/>
      <c r="AC68" s="670"/>
      <c r="AD68" s="670"/>
      <c r="AE68" s="670"/>
      <c r="AF68" s="670"/>
      <c r="AG68" s="670"/>
      <c r="AH68" s="670"/>
      <c r="AI68" s="670"/>
      <c r="AJ68" s="670"/>
      <c r="AK68" s="670"/>
      <c r="AL68" s="670"/>
      <c r="AM68" s="670"/>
      <c r="AN68" s="670"/>
      <c r="AO68" s="670"/>
      <c r="AP68" s="670"/>
    </row>
    <row r="69" spans="1:42" s="668" customFormat="1" ht="15.95" customHeight="1">
      <c r="A69" s="573"/>
      <c r="B69" s="517"/>
      <c r="C69" s="517"/>
      <c r="D69" s="517"/>
      <c r="E69" s="517"/>
      <c r="F69" s="516"/>
      <c r="G69" s="516"/>
      <c r="H69" s="516"/>
      <c r="I69" s="516"/>
      <c r="J69" s="516"/>
      <c r="K69" s="516"/>
      <c r="L69" s="516"/>
      <c r="M69" s="516"/>
      <c r="N69" s="516"/>
      <c r="O69" s="516"/>
      <c r="P69" s="516"/>
      <c r="Q69" s="516"/>
      <c r="R69" s="516"/>
      <c r="AA69" s="669"/>
      <c r="AB69" s="670"/>
      <c r="AC69" s="670"/>
      <c r="AD69" s="670"/>
      <c r="AE69" s="670"/>
      <c r="AF69" s="670"/>
      <c r="AG69" s="670"/>
      <c r="AH69" s="670"/>
      <c r="AI69" s="670"/>
      <c r="AJ69" s="670"/>
      <c r="AK69" s="670"/>
      <c r="AL69" s="670"/>
      <c r="AM69" s="670"/>
      <c r="AN69" s="670"/>
      <c r="AO69" s="670"/>
      <c r="AP69" s="670"/>
    </row>
    <row r="70" spans="1:42" s="668" customFormat="1" ht="15.95" customHeight="1">
      <c r="A70" s="573"/>
      <c r="B70" s="517"/>
      <c r="C70" s="517"/>
      <c r="D70" s="517"/>
      <c r="E70" s="517"/>
      <c r="F70" s="516"/>
      <c r="G70" s="516"/>
      <c r="H70" s="516"/>
      <c r="I70" s="516"/>
      <c r="J70" s="516"/>
      <c r="K70" s="516"/>
      <c r="L70" s="516"/>
      <c r="M70" s="516"/>
      <c r="N70" s="516"/>
      <c r="O70" s="516"/>
      <c r="P70" s="516"/>
      <c r="Q70" s="516"/>
      <c r="R70" s="516"/>
      <c r="AA70" s="669"/>
      <c r="AB70" s="670"/>
      <c r="AC70" s="670"/>
      <c r="AD70" s="670"/>
      <c r="AE70" s="670"/>
      <c r="AF70" s="670"/>
      <c r="AG70" s="670"/>
      <c r="AH70" s="670"/>
      <c r="AI70" s="670"/>
      <c r="AJ70" s="670"/>
      <c r="AK70" s="670"/>
      <c r="AL70" s="670"/>
      <c r="AM70" s="670"/>
      <c r="AN70" s="670"/>
      <c r="AO70" s="670"/>
      <c r="AP70" s="670"/>
    </row>
    <row r="71" spans="1:42" s="512" customFormat="1" ht="15.95" customHeight="1">
      <c r="A71" s="573"/>
      <c r="B71" s="517"/>
      <c r="C71" s="517"/>
      <c r="D71" s="517"/>
      <c r="E71" s="517"/>
      <c r="F71" s="573"/>
      <c r="G71" s="573"/>
      <c r="H71" s="573"/>
      <c r="I71" s="573"/>
      <c r="J71" s="573"/>
      <c r="K71" s="573"/>
      <c r="L71" s="573"/>
      <c r="M71" s="573"/>
      <c r="N71" s="573"/>
      <c r="O71" s="516"/>
      <c r="P71" s="516"/>
      <c r="Q71" s="516"/>
      <c r="R71" s="516"/>
      <c r="S71" s="668"/>
      <c r="T71" s="668"/>
      <c r="U71" s="668"/>
      <c r="V71" s="668"/>
      <c r="W71" s="668"/>
      <c r="X71" s="668"/>
      <c r="Y71" s="668"/>
      <c r="Z71" s="668"/>
      <c r="AA71" s="669"/>
      <c r="AB71" s="670"/>
      <c r="AC71" s="670"/>
      <c r="AD71" s="670"/>
      <c r="AE71" s="670"/>
      <c r="AF71" s="670"/>
      <c r="AG71" s="670"/>
      <c r="AH71" s="670"/>
      <c r="AI71" s="670"/>
      <c r="AJ71" s="670"/>
      <c r="AK71" s="670"/>
      <c r="AL71" s="670"/>
      <c r="AM71" s="670"/>
      <c r="AN71" s="670"/>
      <c r="AO71" s="670"/>
      <c r="AP71" s="670"/>
    </row>
    <row r="72" spans="1:42" s="512" customFormat="1" ht="15.95" customHeight="1">
      <c r="A72" s="573"/>
      <c r="B72" s="517"/>
      <c r="C72" s="517"/>
      <c r="D72" s="517"/>
      <c r="E72" s="517"/>
      <c r="F72" s="573"/>
      <c r="G72" s="573"/>
      <c r="H72" s="573"/>
      <c r="I72" s="573"/>
      <c r="J72" s="573"/>
      <c r="K72" s="573"/>
      <c r="L72" s="573"/>
      <c r="M72" s="573"/>
      <c r="N72" s="573"/>
      <c r="O72" s="516"/>
      <c r="P72" s="516"/>
      <c r="Q72" s="516"/>
      <c r="R72" s="516"/>
      <c r="S72" s="668"/>
      <c r="T72" s="668"/>
      <c r="U72" s="668"/>
      <c r="V72" s="668"/>
      <c r="W72" s="668"/>
      <c r="X72" s="668"/>
      <c r="Y72" s="668"/>
      <c r="Z72" s="668"/>
      <c r="AA72" s="669"/>
      <c r="AB72" s="670"/>
      <c r="AC72" s="670"/>
      <c r="AD72" s="670"/>
      <c r="AE72" s="670"/>
      <c r="AF72" s="670"/>
      <c r="AG72" s="670"/>
      <c r="AH72" s="670"/>
      <c r="AI72" s="670"/>
      <c r="AJ72" s="670"/>
      <c r="AK72" s="670"/>
      <c r="AL72" s="670"/>
      <c r="AM72" s="670"/>
      <c r="AN72" s="670"/>
      <c r="AO72" s="670"/>
      <c r="AP72" s="670"/>
    </row>
    <row r="73" spans="1:42" s="512" customFormat="1" ht="15.95" customHeight="1">
      <c r="A73" s="573"/>
      <c r="B73" s="517"/>
      <c r="C73" s="517"/>
      <c r="D73" s="517"/>
      <c r="E73" s="517"/>
      <c r="F73" s="573"/>
      <c r="G73" s="573"/>
      <c r="H73" s="573"/>
      <c r="I73" s="573"/>
      <c r="J73" s="573"/>
      <c r="K73" s="573"/>
      <c r="L73" s="573"/>
      <c r="M73" s="573"/>
      <c r="N73" s="573"/>
      <c r="O73" s="516"/>
      <c r="P73" s="516"/>
      <c r="Q73" s="516"/>
      <c r="R73" s="516"/>
      <c r="S73" s="668"/>
      <c r="T73" s="668"/>
      <c r="U73" s="668"/>
      <c r="V73" s="668"/>
      <c r="W73" s="668"/>
      <c r="X73" s="668"/>
      <c r="Y73" s="668"/>
      <c r="Z73" s="668"/>
      <c r="AA73" s="669"/>
      <c r="AB73" s="670"/>
      <c r="AC73" s="670"/>
      <c r="AD73" s="670"/>
      <c r="AE73" s="670"/>
      <c r="AF73" s="670"/>
      <c r="AG73" s="670"/>
      <c r="AH73" s="670"/>
      <c r="AI73" s="670"/>
      <c r="AJ73" s="670"/>
      <c r="AK73" s="670"/>
      <c r="AL73" s="670"/>
      <c r="AM73" s="670"/>
      <c r="AN73" s="670"/>
      <c r="AO73" s="670"/>
      <c r="AP73" s="670"/>
    </row>
    <row r="74" spans="1:42" s="512" customFormat="1" ht="15.95" customHeight="1">
      <c r="A74" s="573"/>
      <c r="B74" s="517"/>
      <c r="C74" s="517"/>
      <c r="D74" s="517"/>
      <c r="E74" s="517"/>
      <c r="F74" s="573"/>
      <c r="G74" s="573"/>
      <c r="H74" s="573"/>
      <c r="I74" s="573"/>
      <c r="J74" s="573"/>
      <c r="K74" s="573"/>
      <c r="L74" s="573"/>
      <c r="M74" s="573"/>
      <c r="N74" s="573"/>
      <c r="O74" s="516"/>
      <c r="P74" s="516"/>
      <c r="Q74" s="516"/>
      <c r="R74" s="516"/>
      <c r="S74" s="668"/>
      <c r="T74" s="668"/>
      <c r="U74" s="668"/>
      <c r="V74" s="668"/>
      <c r="W74" s="668"/>
      <c r="X74" s="668"/>
      <c r="Y74" s="668"/>
      <c r="Z74" s="668"/>
      <c r="AA74" s="669"/>
      <c r="AB74" s="670"/>
      <c r="AC74" s="670"/>
      <c r="AD74" s="670"/>
      <c r="AE74" s="670"/>
      <c r="AF74" s="670"/>
      <c r="AG74" s="670"/>
      <c r="AH74" s="670"/>
      <c r="AI74" s="670"/>
      <c r="AJ74" s="670"/>
      <c r="AK74" s="670"/>
      <c r="AL74" s="670"/>
      <c r="AM74" s="670"/>
      <c r="AN74" s="670"/>
      <c r="AO74" s="670"/>
      <c r="AP74" s="670"/>
    </row>
    <row r="75" spans="1:42" s="512" customFormat="1" ht="15.95" customHeight="1">
      <c r="A75" s="573"/>
      <c r="B75" s="517"/>
      <c r="C75" s="517"/>
      <c r="D75" s="517"/>
      <c r="E75" s="517"/>
      <c r="F75" s="573"/>
      <c r="G75" s="573"/>
      <c r="H75" s="573"/>
      <c r="I75" s="573"/>
      <c r="J75" s="573"/>
      <c r="K75" s="573"/>
      <c r="L75" s="573"/>
      <c r="M75" s="573"/>
      <c r="N75" s="573"/>
      <c r="O75" s="516"/>
      <c r="P75" s="516"/>
      <c r="Q75" s="516"/>
      <c r="R75" s="516"/>
      <c r="S75" s="668"/>
      <c r="T75" s="668"/>
      <c r="U75" s="668"/>
      <c r="V75" s="668"/>
      <c r="W75" s="668"/>
      <c r="X75" s="668"/>
      <c r="Y75" s="668"/>
      <c r="Z75" s="668"/>
      <c r="AA75" s="669"/>
      <c r="AB75" s="670"/>
      <c r="AC75" s="670"/>
      <c r="AD75" s="670"/>
      <c r="AE75" s="670"/>
      <c r="AF75" s="670"/>
      <c r="AG75" s="670"/>
      <c r="AH75" s="670"/>
      <c r="AI75" s="670"/>
      <c r="AJ75" s="670"/>
      <c r="AK75" s="670"/>
      <c r="AL75" s="670"/>
      <c r="AM75" s="670"/>
      <c r="AN75" s="670"/>
      <c r="AO75" s="670"/>
      <c r="AP75" s="670"/>
    </row>
    <row r="76" spans="1:42" s="512" customFormat="1" ht="15.95" customHeight="1">
      <c r="A76" s="573"/>
      <c r="B76" s="517"/>
      <c r="C76" s="517"/>
      <c r="D76" s="517"/>
      <c r="E76" s="517"/>
      <c r="F76" s="573"/>
      <c r="G76" s="573"/>
      <c r="H76" s="573"/>
      <c r="I76" s="573"/>
      <c r="J76" s="573"/>
      <c r="K76" s="573"/>
      <c r="L76" s="573"/>
      <c r="M76" s="573"/>
      <c r="N76" s="573"/>
      <c r="O76" s="516"/>
      <c r="P76" s="516"/>
      <c r="Q76" s="516"/>
      <c r="R76" s="516"/>
      <c r="S76" s="668"/>
      <c r="T76" s="668"/>
      <c r="U76" s="668"/>
      <c r="V76" s="668"/>
      <c r="W76" s="668"/>
      <c r="X76" s="668"/>
      <c r="Y76" s="668"/>
      <c r="Z76" s="668"/>
      <c r="AA76" s="669"/>
      <c r="AB76" s="670"/>
      <c r="AC76" s="670"/>
      <c r="AD76" s="670"/>
      <c r="AE76" s="670"/>
      <c r="AF76" s="670"/>
      <c r="AG76" s="670"/>
      <c r="AH76" s="670"/>
      <c r="AI76" s="670"/>
      <c r="AJ76" s="670"/>
      <c r="AK76" s="670"/>
      <c r="AL76" s="670"/>
      <c r="AM76" s="670"/>
      <c r="AN76" s="670"/>
      <c r="AO76" s="670"/>
      <c r="AP76" s="670"/>
    </row>
    <row r="77" spans="1:42" s="512" customFormat="1" ht="15.95" customHeight="1">
      <c r="A77" s="573"/>
      <c r="B77" s="517"/>
      <c r="C77" s="517"/>
      <c r="D77" s="517"/>
      <c r="E77" s="517"/>
      <c r="F77" s="573"/>
      <c r="G77" s="573"/>
      <c r="H77" s="573"/>
      <c r="I77" s="573"/>
      <c r="J77" s="573"/>
      <c r="K77" s="573"/>
      <c r="L77" s="573"/>
      <c r="M77" s="573"/>
      <c r="N77" s="573"/>
      <c r="O77" s="516"/>
      <c r="P77" s="516"/>
      <c r="Q77" s="516"/>
      <c r="R77" s="516"/>
      <c r="S77" s="668"/>
      <c r="T77" s="668"/>
      <c r="U77" s="668"/>
      <c r="V77" s="668"/>
      <c r="W77" s="668"/>
      <c r="X77" s="668"/>
      <c r="Y77" s="668"/>
      <c r="Z77" s="668"/>
      <c r="AA77" s="669"/>
      <c r="AB77" s="670"/>
      <c r="AC77" s="670"/>
      <c r="AD77" s="670"/>
      <c r="AE77" s="670"/>
      <c r="AF77" s="670"/>
      <c r="AG77" s="670"/>
      <c r="AH77" s="670"/>
      <c r="AI77" s="670"/>
      <c r="AJ77" s="670"/>
      <c r="AK77" s="670"/>
      <c r="AL77" s="670"/>
      <c r="AM77" s="670"/>
      <c r="AN77" s="670"/>
      <c r="AO77" s="670"/>
      <c r="AP77" s="670"/>
    </row>
    <row r="78" spans="1:42" s="512" customFormat="1" ht="15.95" customHeight="1">
      <c r="A78" s="573"/>
      <c r="B78" s="517"/>
      <c r="C78" s="517"/>
      <c r="D78" s="517"/>
      <c r="E78" s="517"/>
      <c r="F78" s="573"/>
      <c r="G78" s="573"/>
      <c r="H78" s="573"/>
      <c r="I78" s="573"/>
      <c r="J78" s="573"/>
      <c r="K78" s="573"/>
      <c r="L78" s="573"/>
      <c r="M78" s="573"/>
      <c r="N78" s="573"/>
      <c r="O78" s="516"/>
      <c r="P78" s="516"/>
      <c r="Q78" s="516"/>
      <c r="R78" s="516"/>
      <c r="S78" s="668"/>
      <c r="T78" s="668"/>
      <c r="U78" s="668"/>
      <c r="V78" s="668"/>
      <c r="W78" s="668"/>
      <c r="X78" s="668"/>
      <c r="Y78" s="668"/>
      <c r="Z78" s="668"/>
      <c r="AA78" s="669"/>
      <c r="AB78" s="670"/>
      <c r="AC78" s="670"/>
      <c r="AD78" s="670"/>
      <c r="AE78" s="670"/>
      <c r="AF78" s="670"/>
      <c r="AG78" s="670"/>
      <c r="AH78" s="670"/>
      <c r="AI78" s="670"/>
      <c r="AJ78" s="670"/>
      <c r="AK78" s="670"/>
      <c r="AL78" s="670"/>
      <c r="AM78" s="670"/>
      <c r="AN78" s="670"/>
      <c r="AO78" s="670"/>
      <c r="AP78" s="670"/>
    </row>
    <row r="79" spans="1:42" s="512" customFormat="1" ht="15.95" customHeight="1">
      <c r="A79" s="573"/>
      <c r="B79" s="517"/>
      <c r="C79" s="517"/>
      <c r="D79" s="517"/>
      <c r="E79" s="517"/>
      <c r="F79" s="573"/>
      <c r="G79" s="573"/>
      <c r="H79" s="573"/>
      <c r="I79" s="573"/>
      <c r="J79" s="573"/>
      <c r="K79" s="573"/>
      <c r="L79" s="573"/>
      <c r="M79" s="573"/>
      <c r="N79" s="573"/>
      <c r="O79" s="516"/>
      <c r="P79" s="516"/>
      <c r="Q79" s="516"/>
      <c r="R79" s="516"/>
      <c r="S79" s="668"/>
      <c r="T79" s="668"/>
      <c r="U79" s="668"/>
      <c r="V79" s="668"/>
      <c r="W79" s="668"/>
      <c r="X79" s="668"/>
      <c r="Y79" s="668"/>
      <c r="Z79" s="668"/>
      <c r="AA79" s="669"/>
      <c r="AB79" s="670"/>
      <c r="AC79" s="670"/>
      <c r="AD79" s="670"/>
      <c r="AE79" s="670"/>
      <c r="AF79" s="670"/>
      <c r="AG79" s="670"/>
      <c r="AH79" s="670"/>
      <c r="AI79" s="670"/>
      <c r="AJ79" s="670"/>
      <c r="AK79" s="670"/>
      <c r="AL79" s="670"/>
      <c r="AM79" s="670"/>
      <c r="AN79" s="670"/>
      <c r="AO79" s="670"/>
      <c r="AP79" s="670"/>
    </row>
    <row r="80" spans="1:42" s="512" customFormat="1" ht="15.95" customHeight="1">
      <c r="A80" s="573"/>
      <c r="B80" s="517"/>
      <c r="C80" s="517"/>
      <c r="D80" s="517"/>
      <c r="E80" s="517"/>
      <c r="F80" s="573"/>
      <c r="G80" s="573"/>
      <c r="H80" s="573"/>
      <c r="I80" s="573"/>
      <c r="J80" s="573"/>
      <c r="K80" s="573"/>
      <c r="L80" s="573"/>
      <c r="M80" s="573"/>
      <c r="N80" s="573"/>
      <c r="O80" s="516"/>
      <c r="P80" s="516"/>
      <c r="Q80" s="516"/>
      <c r="R80" s="516"/>
      <c r="S80" s="668"/>
      <c r="T80" s="668"/>
      <c r="U80" s="668"/>
      <c r="V80" s="668"/>
      <c r="W80" s="668"/>
      <c r="X80" s="668"/>
      <c r="Y80" s="668"/>
      <c r="Z80" s="668"/>
      <c r="AA80" s="669"/>
      <c r="AB80" s="670"/>
      <c r="AC80" s="670"/>
      <c r="AD80" s="670"/>
      <c r="AE80" s="670"/>
      <c r="AF80" s="670"/>
      <c r="AG80" s="670"/>
      <c r="AH80" s="670"/>
      <c r="AI80" s="670"/>
      <c r="AJ80" s="670"/>
      <c r="AK80" s="670"/>
      <c r="AL80" s="670"/>
      <c r="AM80" s="670"/>
      <c r="AN80" s="670"/>
      <c r="AO80" s="670"/>
      <c r="AP80" s="670"/>
    </row>
    <row r="81" spans="1:42" s="512" customFormat="1" ht="15.95" customHeight="1">
      <c r="A81" s="573"/>
      <c r="B81" s="517"/>
      <c r="C81" s="517"/>
      <c r="D81" s="517"/>
      <c r="E81" s="517"/>
      <c r="F81" s="573"/>
      <c r="G81" s="573"/>
      <c r="H81" s="573"/>
      <c r="I81" s="573"/>
      <c r="J81" s="573"/>
      <c r="K81" s="573"/>
      <c r="L81" s="573"/>
      <c r="M81" s="573"/>
      <c r="N81" s="573"/>
      <c r="O81" s="516"/>
      <c r="P81" s="516"/>
      <c r="Q81" s="516"/>
      <c r="R81" s="516"/>
      <c r="S81" s="668"/>
      <c r="T81" s="668"/>
      <c r="U81" s="668"/>
      <c r="V81" s="668"/>
      <c r="W81" s="668"/>
      <c r="X81" s="668"/>
      <c r="Y81" s="668"/>
      <c r="Z81" s="668"/>
      <c r="AA81" s="669"/>
      <c r="AB81" s="670"/>
      <c r="AC81" s="670"/>
      <c r="AD81" s="670"/>
      <c r="AE81" s="670"/>
      <c r="AF81" s="670"/>
      <c r="AG81" s="670"/>
      <c r="AH81" s="670"/>
      <c r="AI81" s="670"/>
      <c r="AJ81" s="670"/>
      <c r="AK81" s="670"/>
      <c r="AL81" s="670"/>
      <c r="AM81" s="670"/>
      <c r="AN81" s="670"/>
      <c r="AO81" s="670"/>
      <c r="AP81" s="670"/>
    </row>
    <row r="82" spans="1:42" s="512" customFormat="1" ht="15.95" customHeight="1">
      <c r="A82" s="573"/>
      <c r="B82" s="517"/>
      <c r="C82" s="517"/>
      <c r="D82" s="517"/>
      <c r="E82" s="517"/>
      <c r="F82" s="573"/>
      <c r="G82" s="573"/>
      <c r="H82" s="573"/>
      <c r="I82" s="573"/>
      <c r="J82" s="573"/>
      <c r="K82" s="573"/>
      <c r="L82" s="573"/>
      <c r="M82" s="573"/>
      <c r="N82" s="573"/>
      <c r="O82" s="516"/>
      <c r="P82" s="516"/>
      <c r="Q82" s="516"/>
      <c r="R82" s="516"/>
      <c r="S82" s="668"/>
      <c r="T82" s="668"/>
      <c r="U82" s="668"/>
      <c r="V82" s="668"/>
      <c r="W82" s="668"/>
      <c r="X82" s="668"/>
      <c r="Y82" s="668"/>
      <c r="Z82" s="668"/>
      <c r="AA82" s="669"/>
      <c r="AB82" s="670"/>
      <c r="AC82" s="670"/>
      <c r="AD82" s="670"/>
      <c r="AE82" s="670"/>
      <c r="AF82" s="670"/>
      <c r="AG82" s="670"/>
      <c r="AH82" s="670"/>
      <c r="AI82" s="670"/>
      <c r="AJ82" s="670"/>
      <c r="AK82" s="670"/>
      <c r="AL82" s="670"/>
      <c r="AM82" s="670"/>
      <c r="AN82" s="670"/>
      <c r="AO82" s="670"/>
      <c r="AP82" s="670"/>
    </row>
    <row r="83" spans="1:42" s="512" customFormat="1" ht="15.95" customHeight="1">
      <c r="A83" s="573"/>
      <c r="B83" s="517"/>
      <c r="C83" s="517"/>
      <c r="D83" s="517"/>
      <c r="E83" s="517"/>
      <c r="F83" s="573"/>
      <c r="G83" s="573"/>
      <c r="H83" s="573"/>
      <c r="I83" s="573"/>
      <c r="J83" s="573"/>
      <c r="K83" s="573"/>
      <c r="L83" s="573"/>
      <c r="M83" s="573"/>
      <c r="N83" s="573"/>
      <c r="O83" s="516"/>
      <c r="P83" s="516"/>
      <c r="Q83" s="516"/>
      <c r="R83" s="516"/>
      <c r="S83" s="668"/>
      <c r="T83" s="668"/>
      <c r="U83" s="668"/>
      <c r="V83" s="668"/>
      <c r="W83" s="668"/>
      <c r="X83" s="668"/>
      <c r="Y83" s="668"/>
      <c r="Z83" s="668"/>
      <c r="AA83" s="669"/>
      <c r="AB83" s="670"/>
      <c r="AC83" s="670"/>
      <c r="AD83" s="670"/>
      <c r="AE83" s="670"/>
      <c r="AF83" s="670"/>
      <c r="AG83" s="670"/>
      <c r="AH83" s="670"/>
      <c r="AI83" s="670"/>
      <c r="AJ83" s="670"/>
      <c r="AK83" s="670"/>
      <c r="AL83" s="670"/>
      <c r="AM83" s="670"/>
      <c r="AN83" s="670"/>
      <c r="AO83" s="670"/>
      <c r="AP83" s="670"/>
    </row>
    <row r="84" spans="1:42" s="512" customFormat="1" ht="15.95" customHeight="1">
      <c r="A84" s="573"/>
      <c r="B84" s="517"/>
      <c r="C84" s="517"/>
      <c r="D84" s="517"/>
      <c r="E84" s="517"/>
      <c r="F84" s="517"/>
      <c r="G84" s="517"/>
      <c r="H84" s="517"/>
      <c r="I84" s="517"/>
      <c r="J84" s="517"/>
      <c r="K84" s="517"/>
      <c r="L84" s="517"/>
      <c r="M84" s="517"/>
      <c r="N84" s="517"/>
      <c r="O84" s="516"/>
      <c r="P84" s="516"/>
      <c r="Q84" s="516"/>
      <c r="R84" s="516"/>
      <c r="S84" s="668"/>
      <c r="T84" s="668"/>
      <c r="U84" s="668"/>
      <c r="V84" s="668"/>
      <c r="W84" s="668"/>
      <c r="X84" s="668"/>
      <c r="Y84" s="668"/>
      <c r="Z84" s="668"/>
      <c r="AA84" s="669"/>
      <c r="AB84" s="670"/>
      <c r="AC84" s="670"/>
      <c r="AD84" s="670"/>
      <c r="AE84" s="670"/>
      <c r="AF84" s="670"/>
      <c r="AG84" s="670"/>
      <c r="AH84" s="670"/>
      <c r="AI84" s="670"/>
      <c r="AJ84" s="670"/>
      <c r="AK84" s="670"/>
      <c r="AL84" s="670"/>
      <c r="AM84" s="670"/>
      <c r="AN84" s="670"/>
      <c r="AO84" s="670"/>
      <c r="AP84" s="670"/>
    </row>
    <row r="85" spans="1:42" s="512" customFormat="1" ht="15.95" customHeight="1">
      <c r="A85" s="573"/>
      <c r="B85" s="517"/>
      <c r="C85" s="517"/>
      <c r="D85" s="517"/>
      <c r="E85" s="517"/>
      <c r="F85" s="517"/>
      <c r="G85" s="517"/>
      <c r="H85" s="517"/>
      <c r="I85" s="517"/>
      <c r="J85" s="517"/>
      <c r="K85" s="517"/>
      <c r="L85" s="517"/>
      <c r="M85" s="517"/>
      <c r="N85" s="517"/>
      <c r="O85" s="516"/>
      <c r="P85" s="516"/>
      <c r="Q85" s="516"/>
      <c r="R85" s="516"/>
      <c r="S85" s="668"/>
      <c r="T85" s="668"/>
      <c r="U85" s="668"/>
      <c r="V85" s="668"/>
      <c r="W85" s="668"/>
      <c r="X85" s="668"/>
      <c r="Y85" s="668"/>
      <c r="Z85" s="668"/>
      <c r="AA85" s="669"/>
      <c r="AB85" s="670"/>
      <c r="AC85" s="670"/>
      <c r="AD85" s="670"/>
      <c r="AE85" s="670"/>
      <c r="AF85" s="670"/>
      <c r="AG85" s="670"/>
      <c r="AH85" s="670"/>
      <c r="AI85" s="670"/>
      <c r="AJ85" s="670"/>
      <c r="AK85" s="670"/>
      <c r="AL85" s="670"/>
      <c r="AM85" s="670"/>
      <c r="AN85" s="670"/>
      <c r="AO85" s="670"/>
      <c r="AP85" s="670"/>
    </row>
    <row r="86" spans="1:42" s="512" customFormat="1" ht="15.95" customHeight="1">
      <c r="A86" s="573"/>
      <c r="B86" s="517"/>
      <c r="C86" s="517"/>
      <c r="D86" s="517"/>
      <c r="E86" s="517"/>
      <c r="F86" s="517"/>
      <c r="G86" s="517"/>
      <c r="H86" s="517"/>
      <c r="I86" s="517"/>
      <c r="J86" s="517"/>
      <c r="K86" s="517"/>
      <c r="L86" s="517"/>
      <c r="M86" s="517"/>
      <c r="N86" s="517"/>
      <c r="O86" s="516"/>
      <c r="P86" s="516"/>
      <c r="Q86" s="516"/>
      <c r="R86" s="516"/>
      <c r="S86" s="668"/>
      <c r="T86" s="668"/>
      <c r="U86" s="668"/>
      <c r="V86" s="668"/>
      <c r="W86" s="668"/>
      <c r="X86" s="668"/>
      <c r="Y86" s="668"/>
      <c r="Z86" s="668"/>
      <c r="AA86" s="669"/>
      <c r="AB86" s="670"/>
      <c r="AC86" s="670"/>
      <c r="AD86" s="670"/>
      <c r="AE86" s="670"/>
      <c r="AF86" s="670"/>
      <c r="AG86" s="670"/>
      <c r="AH86" s="670"/>
      <c r="AI86" s="670"/>
      <c r="AJ86" s="670"/>
      <c r="AK86" s="670"/>
      <c r="AL86" s="670"/>
      <c r="AM86" s="670"/>
      <c r="AN86" s="670"/>
      <c r="AO86" s="670"/>
      <c r="AP86" s="670"/>
    </row>
    <row r="87" spans="1:42" s="512" customFormat="1" ht="15.95" customHeight="1">
      <c r="A87" s="573"/>
      <c r="B87" s="517"/>
      <c r="C87" s="517"/>
      <c r="D87" s="517"/>
      <c r="E87" s="517"/>
      <c r="F87" s="517"/>
      <c r="G87" s="517"/>
      <c r="H87" s="517"/>
      <c r="I87" s="517"/>
      <c r="J87" s="517"/>
      <c r="K87" s="517"/>
      <c r="L87" s="517"/>
      <c r="M87" s="517"/>
      <c r="N87" s="517"/>
      <c r="O87" s="516"/>
      <c r="P87" s="516"/>
      <c r="Q87" s="516"/>
      <c r="R87" s="516"/>
      <c r="S87" s="668"/>
      <c r="T87" s="668"/>
      <c r="U87" s="668"/>
      <c r="V87" s="668"/>
      <c r="W87" s="668"/>
      <c r="X87" s="668"/>
      <c r="Y87" s="668"/>
      <c r="Z87" s="668"/>
      <c r="AA87" s="669"/>
      <c r="AB87" s="670"/>
      <c r="AC87" s="670"/>
      <c r="AD87" s="670"/>
      <c r="AE87" s="670"/>
      <c r="AF87" s="670"/>
      <c r="AG87" s="670"/>
      <c r="AH87" s="670"/>
      <c r="AI87" s="670"/>
      <c r="AJ87" s="670"/>
      <c r="AK87" s="670"/>
      <c r="AL87" s="670"/>
      <c r="AM87" s="670"/>
      <c r="AN87" s="670"/>
      <c r="AO87" s="670"/>
      <c r="AP87" s="670"/>
    </row>
    <row r="88" spans="1:42" s="512" customFormat="1" ht="15.95" customHeight="1">
      <c r="A88" s="573"/>
      <c r="B88" s="517"/>
      <c r="C88" s="517"/>
      <c r="D88" s="517"/>
      <c r="E88" s="517"/>
      <c r="F88" s="517"/>
      <c r="G88" s="517"/>
      <c r="H88" s="517"/>
      <c r="I88" s="517"/>
      <c r="J88" s="517"/>
      <c r="K88" s="517"/>
      <c r="L88" s="517"/>
      <c r="M88" s="517"/>
      <c r="N88" s="517"/>
      <c r="O88" s="516"/>
      <c r="P88" s="516"/>
      <c r="Q88" s="516"/>
      <c r="R88" s="516"/>
      <c r="S88" s="668"/>
      <c r="T88" s="668"/>
      <c r="U88" s="668"/>
      <c r="V88" s="668"/>
      <c r="W88" s="668"/>
      <c r="X88" s="668"/>
      <c r="Y88" s="668"/>
      <c r="Z88" s="668"/>
      <c r="AA88" s="669"/>
      <c r="AB88" s="670"/>
      <c r="AC88" s="670"/>
      <c r="AD88" s="670"/>
      <c r="AE88" s="670"/>
      <c r="AF88" s="670"/>
      <c r="AG88" s="670"/>
      <c r="AH88" s="670"/>
      <c r="AI88" s="670"/>
      <c r="AJ88" s="670"/>
      <c r="AK88" s="670"/>
      <c r="AL88" s="670"/>
      <c r="AM88" s="670"/>
      <c r="AN88" s="670"/>
      <c r="AO88" s="670"/>
      <c r="AP88" s="670"/>
    </row>
    <row r="89" spans="1:42" s="512" customFormat="1" ht="15.95" customHeight="1">
      <c r="A89" s="573"/>
      <c r="B89" s="517"/>
      <c r="C89" s="517"/>
      <c r="D89" s="517"/>
      <c r="E89" s="517"/>
      <c r="F89" s="517"/>
      <c r="G89" s="517"/>
      <c r="H89" s="517"/>
      <c r="I89" s="517"/>
      <c r="J89" s="517"/>
      <c r="K89" s="517"/>
      <c r="L89" s="517"/>
      <c r="M89" s="517"/>
      <c r="N89" s="517"/>
      <c r="O89" s="516"/>
      <c r="P89" s="516"/>
      <c r="Q89" s="516"/>
      <c r="R89" s="516"/>
      <c r="S89" s="668"/>
      <c r="T89" s="668"/>
      <c r="U89" s="668"/>
      <c r="V89" s="668"/>
      <c r="W89" s="668"/>
      <c r="X89" s="668"/>
      <c r="Y89" s="668"/>
      <c r="Z89" s="668"/>
      <c r="AA89" s="669"/>
      <c r="AB89" s="670"/>
      <c r="AC89" s="670"/>
      <c r="AD89" s="670"/>
      <c r="AE89" s="670"/>
      <c r="AF89" s="670"/>
      <c r="AG89" s="670"/>
      <c r="AH89" s="670"/>
      <c r="AI89" s="670"/>
      <c r="AJ89" s="670"/>
      <c r="AK89" s="670"/>
      <c r="AL89" s="670"/>
      <c r="AM89" s="670"/>
      <c r="AN89" s="670"/>
      <c r="AO89" s="670"/>
      <c r="AP89" s="670"/>
    </row>
    <row r="90" spans="1:42" s="512" customFormat="1" ht="15.95" customHeight="1">
      <c r="A90" s="573"/>
      <c r="B90" s="517"/>
      <c r="C90" s="517"/>
      <c r="D90" s="517"/>
      <c r="E90" s="517"/>
      <c r="F90" s="517"/>
      <c r="G90" s="517"/>
      <c r="H90" s="517"/>
      <c r="I90" s="517"/>
      <c r="J90" s="517"/>
      <c r="K90" s="517"/>
      <c r="L90" s="517"/>
      <c r="M90" s="517"/>
      <c r="N90" s="517"/>
      <c r="O90" s="516"/>
      <c r="P90" s="516"/>
      <c r="Q90" s="516"/>
      <c r="R90" s="516"/>
      <c r="S90" s="668"/>
      <c r="T90" s="668"/>
      <c r="U90" s="668"/>
      <c r="V90" s="668"/>
      <c r="W90" s="668"/>
      <c r="X90" s="668"/>
      <c r="Y90" s="668"/>
      <c r="Z90" s="668"/>
      <c r="AA90" s="669"/>
      <c r="AB90" s="670"/>
      <c r="AC90" s="670"/>
      <c r="AD90" s="670"/>
      <c r="AE90" s="670"/>
      <c r="AF90" s="670"/>
      <c r="AG90" s="670"/>
      <c r="AH90" s="670"/>
      <c r="AI90" s="670"/>
      <c r="AJ90" s="670"/>
      <c r="AK90" s="670"/>
      <c r="AL90" s="670"/>
      <c r="AM90" s="670"/>
      <c r="AN90" s="670"/>
      <c r="AO90" s="670"/>
      <c r="AP90" s="670"/>
    </row>
    <row r="91" spans="1:42" s="512" customFormat="1" ht="15.95" customHeight="1">
      <c r="A91" s="573"/>
      <c r="B91" s="517"/>
      <c r="C91" s="517"/>
      <c r="D91" s="517"/>
      <c r="E91" s="517"/>
      <c r="F91" s="517"/>
      <c r="G91" s="517"/>
      <c r="H91" s="517"/>
      <c r="I91" s="517"/>
      <c r="J91" s="517"/>
      <c r="K91" s="517"/>
      <c r="L91" s="517"/>
      <c r="M91" s="517"/>
      <c r="N91" s="517"/>
      <c r="O91" s="516"/>
      <c r="P91" s="516"/>
      <c r="Q91" s="516"/>
      <c r="R91" s="516"/>
      <c r="S91" s="668"/>
      <c r="T91" s="668"/>
      <c r="U91" s="668"/>
      <c r="V91" s="668"/>
      <c r="W91" s="668"/>
      <c r="X91" s="668"/>
      <c r="Y91" s="668"/>
      <c r="Z91" s="668"/>
      <c r="AA91" s="669"/>
      <c r="AB91" s="670"/>
      <c r="AC91" s="670"/>
      <c r="AD91" s="670"/>
      <c r="AE91" s="670"/>
      <c r="AF91" s="670"/>
      <c r="AG91" s="670"/>
      <c r="AH91" s="670"/>
      <c r="AI91" s="670"/>
      <c r="AJ91" s="670"/>
      <c r="AK91" s="670"/>
      <c r="AL91" s="670"/>
      <c r="AM91" s="670"/>
      <c r="AN91" s="670"/>
      <c r="AO91" s="670"/>
      <c r="AP91" s="670"/>
    </row>
    <row r="92" spans="1:42" s="512" customFormat="1" ht="15.95" customHeight="1">
      <c r="A92" s="573"/>
      <c r="B92" s="517"/>
      <c r="C92" s="517"/>
      <c r="D92" s="517"/>
      <c r="E92" s="517"/>
      <c r="F92" s="517"/>
      <c r="G92" s="517"/>
      <c r="H92" s="517"/>
      <c r="I92" s="517"/>
      <c r="J92" s="517"/>
      <c r="K92" s="517"/>
      <c r="L92" s="517"/>
      <c r="M92" s="517"/>
      <c r="N92" s="517"/>
      <c r="O92" s="516"/>
      <c r="P92" s="516"/>
      <c r="Q92" s="516"/>
      <c r="R92" s="516"/>
      <c r="S92" s="668"/>
      <c r="T92" s="668"/>
      <c r="U92" s="668"/>
      <c r="V92" s="668"/>
      <c r="W92" s="668"/>
      <c r="X92" s="668"/>
      <c r="Y92" s="668"/>
      <c r="Z92" s="668"/>
      <c r="AA92" s="669"/>
      <c r="AB92" s="670"/>
      <c r="AC92" s="670"/>
      <c r="AD92" s="670"/>
      <c r="AE92" s="670"/>
      <c r="AF92" s="670"/>
      <c r="AG92" s="670"/>
      <c r="AH92" s="670"/>
      <c r="AI92" s="670"/>
      <c r="AJ92" s="670"/>
      <c r="AK92" s="670"/>
      <c r="AL92" s="670"/>
      <c r="AM92" s="670"/>
      <c r="AN92" s="670"/>
      <c r="AO92" s="670"/>
      <c r="AP92" s="670"/>
    </row>
    <row r="93" spans="1:42" s="512" customFormat="1" ht="15.95" customHeight="1">
      <c r="A93" s="573"/>
      <c r="B93" s="517"/>
      <c r="C93" s="517"/>
      <c r="D93" s="517"/>
      <c r="E93" s="517"/>
      <c r="F93" s="517"/>
      <c r="G93" s="517"/>
      <c r="H93" s="517"/>
      <c r="I93" s="517"/>
      <c r="J93" s="517"/>
      <c r="K93" s="517"/>
      <c r="L93" s="517"/>
      <c r="M93" s="517"/>
      <c r="N93" s="517"/>
      <c r="O93" s="516"/>
      <c r="P93" s="516"/>
      <c r="Q93" s="516"/>
      <c r="R93" s="516"/>
      <c r="S93" s="668"/>
      <c r="T93" s="668"/>
      <c r="U93" s="668"/>
      <c r="V93" s="668"/>
      <c r="W93" s="668"/>
      <c r="X93" s="668"/>
      <c r="Y93" s="668"/>
      <c r="Z93" s="668"/>
      <c r="AA93" s="669"/>
      <c r="AB93" s="670"/>
      <c r="AC93" s="670"/>
      <c r="AD93" s="670"/>
      <c r="AE93" s="670"/>
      <c r="AF93" s="670"/>
      <c r="AG93" s="670"/>
      <c r="AH93" s="670"/>
      <c r="AI93" s="670"/>
      <c r="AJ93" s="670"/>
      <c r="AK93" s="670"/>
      <c r="AL93" s="670"/>
      <c r="AM93" s="670"/>
      <c r="AN93" s="670"/>
      <c r="AO93" s="670"/>
      <c r="AP93" s="670"/>
    </row>
    <row r="94" spans="1:42" s="512" customFormat="1" ht="15.95" customHeight="1">
      <c r="A94" s="573"/>
      <c r="B94" s="517"/>
      <c r="C94" s="517"/>
      <c r="D94" s="517"/>
      <c r="E94" s="517"/>
      <c r="F94" s="517"/>
      <c r="G94" s="517"/>
      <c r="H94" s="517"/>
      <c r="I94" s="517"/>
      <c r="J94" s="517"/>
      <c r="K94" s="517"/>
      <c r="L94" s="517"/>
      <c r="M94" s="517"/>
      <c r="N94" s="517"/>
      <c r="O94" s="516"/>
      <c r="P94" s="516"/>
      <c r="Q94" s="516"/>
      <c r="R94" s="516"/>
      <c r="S94" s="668"/>
      <c r="T94" s="668"/>
      <c r="U94" s="668"/>
      <c r="V94" s="668"/>
      <c r="W94" s="668"/>
      <c r="X94" s="668"/>
      <c r="Y94" s="668"/>
      <c r="Z94" s="668"/>
      <c r="AA94" s="669"/>
      <c r="AB94" s="670"/>
      <c r="AC94" s="670"/>
      <c r="AD94" s="670"/>
      <c r="AE94" s="670"/>
      <c r="AF94" s="670"/>
      <c r="AG94" s="670"/>
      <c r="AH94" s="670"/>
      <c r="AI94" s="670"/>
      <c r="AJ94" s="670"/>
      <c r="AK94" s="670"/>
      <c r="AL94" s="670"/>
      <c r="AM94" s="670"/>
      <c r="AN94" s="670"/>
      <c r="AO94" s="670"/>
      <c r="AP94" s="670"/>
    </row>
    <row r="95" spans="1:42" s="512" customFormat="1" ht="15.95" customHeight="1">
      <c r="A95" s="573"/>
      <c r="B95" s="517"/>
      <c r="C95" s="517"/>
      <c r="D95" s="517"/>
      <c r="E95" s="517"/>
      <c r="F95" s="517"/>
      <c r="G95" s="517"/>
      <c r="H95" s="517"/>
      <c r="I95" s="517"/>
      <c r="J95" s="517"/>
      <c r="K95" s="517"/>
      <c r="L95" s="517"/>
      <c r="M95" s="517"/>
      <c r="N95" s="517"/>
      <c r="O95" s="516"/>
      <c r="P95" s="516"/>
      <c r="Q95" s="516"/>
      <c r="R95" s="516"/>
      <c r="S95" s="668"/>
      <c r="T95" s="668"/>
      <c r="U95" s="668"/>
      <c r="V95" s="668"/>
      <c r="W95" s="668"/>
      <c r="X95" s="668"/>
      <c r="Y95" s="668"/>
      <c r="Z95" s="668"/>
      <c r="AA95" s="669"/>
      <c r="AB95" s="670"/>
      <c r="AC95" s="670"/>
      <c r="AD95" s="670"/>
      <c r="AE95" s="670"/>
      <c r="AF95" s="670"/>
      <c r="AG95" s="670"/>
      <c r="AH95" s="670"/>
      <c r="AI95" s="670"/>
      <c r="AJ95" s="670"/>
      <c r="AK95" s="670"/>
      <c r="AL95" s="670"/>
      <c r="AM95" s="670"/>
      <c r="AN95" s="670"/>
      <c r="AO95" s="670"/>
      <c r="AP95" s="670"/>
    </row>
    <row r="96" spans="1:42" s="512" customFormat="1" ht="15.95" customHeight="1">
      <c r="A96" s="573"/>
      <c r="B96" s="517"/>
      <c r="C96" s="517"/>
      <c r="D96" s="517"/>
      <c r="E96" s="517"/>
      <c r="F96" s="517"/>
      <c r="G96" s="517"/>
      <c r="H96" s="517"/>
      <c r="I96" s="517"/>
      <c r="J96" s="517"/>
      <c r="K96" s="517"/>
      <c r="L96" s="517"/>
      <c r="M96" s="517"/>
      <c r="N96" s="517"/>
      <c r="O96" s="516"/>
      <c r="P96" s="516"/>
      <c r="Q96" s="516"/>
      <c r="R96" s="516"/>
      <c r="S96" s="668"/>
      <c r="T96" s="668"/>
      <c r="U96" s="668"/>
      <c r="V96" s="668"/>
      <c r="W96" s="668"/>
      <c r="X96" s="668"/>
      <c r="Y96" s="668"/>
      <c r="Z96" s="668"/>
      <c r="AA96" s="669"/>
      <c r="AB96" s="670"/>
      <c r="AC96" s="670"/>
      <c r="AD96" s="670"/>
      <c r="AE96" s="670"/>
      <c r="AF96" s="670"/>
      <c r="AG96" s="670"/>
      <c r="AH96" s="670"/>
      <c r="AI96" s="670"/>
      <c r="AJ96" s="670"/>
      <c r="AK96" s="670"/>
      <c r="AL96" s="670"/>
      <c r="AM96" s="670"/>
      <c r="AN96" s="670"/>
      <c r="AO96" s="670"/>
      <c r="AP96" s="670"/>
    </row>
    <row r="97" spans="1:42" s="512" customFormat="1" ht="15.95" customHeight="1">
      <c r="A97" s="573"/>
      <c r="B97" s="517"/>
      <c r="C97" s="517"/>
      <c r="D97" s="517"/>
      <c r="E97" s="517"/>
      <c r="F97" s="517"/>
      <c r="G97" s="517"/>
      <c r="H97" s="517"/>
      <c r="I97" s="517"/>
      <c r="J97" s="517"/>
      <c r="K97" s="517"/>
      <c r="L97" s="517"/>
      <c r="M97" s="517"/>
      <c r="N97" s="517"/>
      <c r="O97" s="516"/>
      <c r="P97" s="516"/>
      <c r="Q97" s="516"/>
      <c r="R97" s="516"/>
      <c r="S97" s="668"/>
      <c r="T97" s="668"/>
      <c r="U97" s="668"/>
      <c r="V97" s="668"/>
      <c r="W97" s="668"/>
      <c r="X97" s="668"/>
      <c r="Y97" s="668"/>
      <c r="Z97" s="668"/>
      <c r="AA97" s="669"/>
      <c r="AB97" s="670"/>
      <c r="AC97" s="670"/>
      <c r="AD97" s="670"/>
      <c r="AE97" s="670"/>
      <c r="AF97" s="670"/>
      <c r="AG97" s="670"/>
      <c r="AH97" s="670"/>
      <c r="AI97" s="670"/>
      <c r="AJ97" s="670"/>
      <c r="AK97" s="670"/>
      <c r="AL97" s="670"/>
      <c r="AM97" s="670"/>
      <c r="AN97" s="670"/>
      <c r="AO97" s="670"/>
      <c r="AP97" s="670"/>
    </row>
    <row r="98" spans="1:42" s="512" customFormat="1" ht="15.95" customHeight="1">
      <c r="A98" s="573"/>
      <c r="B98" s="517"/>
      <c r="C98" s="517"/>
      <c r="D98" s="517"/>
      <c r="E98" s="517"/>
      <c r="F98" s="517"/>
      <c r="G98" s="517"/>
      <c r="H98" s="517"/>
      <c r="I98" s="517"/>
      <c r="J98" s="517"/>
      <c r="K98" s="517"/>
      <c r="L98" s="517"/>
      <c r="M98" s="517"/>
      <c r="N98" s="517"/>
      <c r="O98" s="516"/>
      <c r="P98" s="516"/>
      <c r="Q98" s="516"/>
      <c r="R98" s="516"/>
      <c r="S98" s="668"/>
      <c r="T98" s="668"/>
      <c r="U98" s="668"/>
      <c r="V98" s="668"/>
      <c r="W98" s="668"/>
      <c r="X98" s="668"/>
      <c r="Y98" s="668"/>
      <c r="Z98" s="668"/>
      <c r="AA98" s="669"/>
      <c r="AB98" s="670"/>
      <c r="AC98" s="670"/>
      <c r="AD98" s="670"/>
      <c r="AE98" s="670"/>
      <c r="AF98" s="670"/>
      <c r="AG98" s="670"/>
      <c r="AH98" s="670"/>
      <c r="AI98" s="670"/>
      <c r="AJ98" s="670"/>
      <c r="AK98" s="670"/>
      <c r="AL98" s="670"/>
      <c r="AM98" s="670"/>
      <c r="AN98" s="670"/>
      <c r="AO98" s="670"/>
      <c r="AP98" s="670"/>
    </row>
    <row r="99" spans="1:42" s="512" customFormat="1" ht="15.95" customHeight="1">
      <c r="A99" s="573"/>
      <c r="B99" s="517"/>
      <c r="C99" s="517"/>
      <c r="D99" s="517"/>
      <c r="E99" s="517"/>
      <c r="F99" s="517"/>
      <c r="G99" s="517"/>
      <c r="H99" s="517"/>
      <c r="I99" s="517"/>
      <c r="J99" s="517"/>
      <c r="K99" s="517"/>
      <c r="L99" s="517"/>
      <c r="M99" s="517"/>
      <c r="N99" s="517"/>
      <c r="O99" s="516"/>
      <c r="P99" s="516"/>
      <c r="Q99" s="516"/>
      <c r="R99" s="516"/>
      <c r="S99" s="668"/>
      <c r="T99" s="668"/>
      <c r="U99" s="668"/>
      <c r="V99" s="668"/>
      <c r="W99" s="668"/>
      <c r="X99" s="668"/>
      <c r="Y99" s="668"/>
      <c r="Z99" s="668"/>
      <c r="AA99" s="669"/>
      <c r="AB99" s="670"/>
      <c r="AC99" s="670"/>
      <c r="AD99" s="670"/>
      <c r="AE99" s="670"/>
      <c r="AF99" s="670"/>
      <c r="AG99" s="670"/>
      <c r="AH99" s="670"/>
      <c r="AI99" s="670"/>
      <c r="AJ99" s="670"/>
      <c r="AK99" s="670"/>
      <c r="AL99" s="670"/>
      <c r="AM99" s="670"/>
      <c r="AN99" s="670"/>
      <c r="AO99" s="670"/>
      <c r="AP99" s="670"/>
    </row>
    <row r="100" spans="1:42" s="512" customFormat="1" ht="15.95" customHeight="1">
      <c r="A100" s="573"/>
      <c r="B100" s="517"/>
      <c r="C100" s="517"/>
      <c r="D100" s="517"/>
      <c r="E100" s="517"/>
      <c r="F100" s="517"/>
      <c r="G100" s="517"/>
      <c r="H100" s="517"/>
      <c r="I100" s="517"/>
      <c r="J100" s="517"/>
      <c r="K100" s="517"/>
      <c r="L100" s="517"/>
      <c r="M100" s="517"/>
      <c r="N100" s="517"/>
      <c r="O100" s="516"/>
      <c r="P100" s="516"/>
      <c r="Q100" s="516"/>
      <c r="R100" s="516"/>
      <c r="S100" s="668"/>
      <c r="T100" s="668"/>
      <c r="U100" s="668"/>
      <c r="V100" s="668"/>
      <c r="W100" s="668"/>
      <c r="X100" s="668"/>
      <c r="Y100" s="668"/>
      <c r="Z100" s="668"/>
      <c r="AA100" s="669"/>
      <c r="AB100" s="670"/>
      <c r="AC100" s="670"/>
      <c r="AD100" s="670"/>
      <c r="AE100" s="670"/>
      <c r="AF100" s="670"/>
      <c r="AG100" s="670"/>
      <c r="AH100" s="670"/>
      <c r="AI100" s="670"/>
      <c r="AJ100" s="670"/>
      <c r="AK100" s="670"/>
      <c r="AL100" s="670"/>
      <c r="AM100" s="670"/>
      <c r="AN100" s="670"/>
      <c r="AO100" s="670"/>
      <c r="AP100" s="670"/>
    </row>
    <row r="101" spans="1:42" s="512" customFormat="1" ht="15.95" customHeight="1">
      <c r="A101" s="573"/>
      <c r="B101" s="517"/>
      <c r="C101" s="517"/>
      <c r="D101" s="517"/>
      <c r="E101" s="517"/>
      <c r="F101" s="517"/>
      <c r="G101" s="517"/>
      <c r="H101" s="517"/>
      <c r="I101" s="517"/>
      <c r="J101" s="517"/>
      <c r="K101" s="517"/>
      <c r="L101" s="517"/>
      <c r="M101" s="517"/>
      <c r="N101" s="517"/>
      <c r="O101" s="516"/>
      <c r="P101" s="516"/>
      <c r="Q101" s="516"/>
      <c r="R101" s="516"/>
      <c r="S101" s="668"/>
      <c r="T101" s="668"/>
      <c r="U101" s="668"/>
      <c r="V101" s="668"/>
      <c r="W101" s="668"/>
      <c r="X101" s="668"/>
      <c r="Y101" s="668"/>
      <c r="Z101" s="668"/>
      <c r="AA101" s="669"/>
      <c r="AB101" s="670"/>
      <c r="AC101" s="670"/>
      <c r="AD101" s="670"/>
      <c r="AE101" s="670"/>
      <c r="AF101" s="670"/>
      <c r="AG101" s="670"/>
      <c r="AH101" s="670"/>
      <c r="AI101" s="670"/>
      <c r="AJ101" s="670"/>
      <c r="AK101" s="670"/>
      <c r="AL101" s="670"/>
      <c r="AM101" s="670"/>
      <c r="AN101" s="670"/>
      <c r="AO101" s="670"/>
      <c r="AP101" s="670"/>
    </row>
    <row r="102" spans="1:42" s="512" customFormat="1" ht="15.95" customHeight="1">
      <c r="A102" s="573"/>
      <c r="B102" s="517"/>
      <c r="C102" s="517"/>
      <c r="D102" s="517"/>
      <c r="E102" s="517"/>
      <c r="F102" s="517"/>
      <c r="G102" s="517"/>
      <c r="H102" s="517"/>
      <c r="I102" s="517"/>
      <c r="J102" s="517"/>
      <c r="K102" s="517"/>
      <c r="L102" s="517"/>
      <c r="M102" s="517"/>
      <c r="N102" s="517"/>
      <c r="O102" s="516"/>
      <c r="P102" s="516"/>
      <c r="Q102" s="516"/>
      <c r="R102" s="516"/>
      <c r="S102" s="668"/>
      <c r="T102" s="668"/>
      <c r="U102" s="668"/>
      <c r="V102" s="668"/>
      <c r="W102" s="668"/>
      <c r="X102" s="668"/>
      <c r="Y102" s="668"/>
      <c r="Z102" s="668"/>
      <c r="AA102" s="669"/>
      <c r="AB102" s="670"/>
      <c r="AC102" s="670"/>
      <c r="AD102" s="670"/>
      <c r="AE102" s="670"/>
      <c r="AF102" s="670"/>
      <c r="AG102" s="670"/>
      <c r="AH102" s="670"/>
      <c r="AI102" s="670"/>
      <c r="AJ102" s="670"/>
      <c r="AK102" s="670"/>
      <c r="AL102" s="670"/>
      <c r="AM102" s="670"/>
      <c r="AN102" s="670"/>
      <c r="AO102" s="670"/>
      <c r="AP102" s="670"/>
    </row>
    <row r="103" spans="1:42" s="512" customFormat="1" ht="15.95" customHeight="1">
      <c r="A103" s="573"/>
      <c r="B103" s="517"/>
      <c r="C103" s="517"/>
      <c r="D103" s="517"/>
      <c r="E103" s="517"/>
      <c r="F103" s="517"/>
      <c r="G103" s="517"/>
      <c r="H103" s="517"/>
      <c r="I103" s="517"/>
      <c r="J103" s="517"/>
      <c r="K103" s="517"/>
      <c r="L103" s="517"/>
      <c r="M103" s="517"/>
      <c r="N103" s="517"/>
      <c r="O103" s="516"/>
      <c r="P103" s="516"/>
      <c r="Q103" s="516"/>
      <c r="R103" s="516"/>
      <c r="S103" s="668"/>
      <c r="T103" s="668"/>
      <c r="U103" s="668"/>
      <c r="V103" s="668"/>
      <c r="W103" s="668"/>
      <c r="X103" s="668"/>
      <c r="Y103" s="668"/>
      <c r="Z103" s="668"/>
      <c r="AA103" s="669"/>
      <c r="AB103" s="670"/>
      <c r="AC103" s="670"/>
      <c r="AD103" s="670"/>
      <c r="AE103" s="670"/>
      <c r="AF103" s="670"/>
      <c r="AG103" s="670"/>
      <c r="AH103" s="670"/>
      <c r="AI103" s="670"/>
      <c r="AJ103" s="670"/>
      <c r="AK103" s="670"/>
      <c r="AL103" s="670"/>
      <c r="AM103" s="670"/>
      <c r="AN103" s="670"/>
      <c r="AO103" s="670"/>
      <c r="AP103" s="670"/>
    </row>
    <row r="104" spans="1:42" s="512" customFormat="1" ht="15.95" customHeight="1">
      <c r="A104" s="573"/>
      <c r="B104" s="517"/>
      <c r="C104" s="517"/>
      <c r="D104" s="517"/>
      <c r="E104" s="517"/>
      <c r="F104" s="517"/>
      <c r="G104" s="517"/>
      <c r="H104" s="517"/>
      <c r="I104" s="517"/>
      <c r="J104" s="517"/>
      <c r="K104" s="517"/>
      <c r="L104" s="517"/>
      <c r="M104" s="517"/>
      <c r="N104" s="517"/>
      <c r="O104" s="516"/>
      <c r="P104" s="516"/>
      <c r="Q104" s="516"/>
      <c r="R104" s="516"/>
      <c r="S104" s="668"/>
      <c r="T104" s="668"/>
      <c r="U104" s="668"/>
      <c r="V104" s="668"/>
      <c r="W104" s="668"/>
      <c r="X104" s="668"/>
      <c r="Y104" s="668"/>
      <c r="Z104" s="668"/>
      <c r="AA104" s="669"/>
      <c r="AB104" s="670"/>
      <c r="AC104" s="670"/>
      <c r="AD104" s="670"/>
      <c r="AE104" s="670"/>
      <c r="AF104" s="670"/>
      <c r="AG104" s="670"/>
      <c r="AH104" s="670"/>
      <c r="AI104" s="670"/>
      <c r="AJ104" s="670"/>
      <c r="AK104" s="670"/>
      <c r="AL104" s="670"/>
      <c r="AM104" s="670"/>
      <c r="AN104" s="670"/>
      <c r="AO104" s="670"/>
      <c r="AP104" s="670"/>
    </row>
    <row r="105" spans="1:42" s="512" customFormat="1" ht="15.95" customHeight="1">
      <c r="A105" s="573"/>
      <c r="B105" s="517"/>
      <c r="C105" s="517"/>
      <c r="D105" s="517"/>
      <c r="E105" s="517"/>
      <c r="F105" s="517"/>
      <c r="G105" s="517"/>
      <c r="H105" s="517"/>
      <c r="I105" s="517"/>
      <c r="J105" s="517"/>
      <c r="K105" s="517"/>
      <c r="L105" s="517"/>
      <c r="M105" s="517"/>
      <c r="N105" s="517"/>
      <c r="O105" s="516"/>
      <c r="P105" s="516"/>
      <c r="Q105" s="516"/>
      <c r="R105" s="516"/>
      <c r="S105" s="668"/>
      <c r="T105" s="668"/>
      <c r="U105" s="668"/>
      <c r="V105" s="668"/>
      <c r="W105" s="668"/>
      <c r="X105" s="668"/>
      <c r="Y105" s="668"/>
      <c r="Z105" s="668"/>
      <c r="AA105" s="669"/>
      <c r="AB105" s="670"/>
      <c r="AC105" s="670"/>
      <c r="AD105" s="670"/>
      <c r="AE105" s="670"/>
      <c r="AF105" s="670"/>
      <c r="AG105" s="670"/>
      <c r="AH105" s="670"/>
      <c r="AI105" s="670"/>
      <c r="AJ105" s="670"/>
      <c r="AK105" s="670"/>
      <c r="AL105" s="670"/>
      <c r="AM105" s="670"/>
      <c r="AN105" s="670"/>
      <c r="AO105" s="670"/>
      <c r="AP105" s="670"/>
    </row>
    <row r="106" spans="1:42" s="512" customFormat="1" ht="15.95" customHeight="1">
      <c r="A106" s="573"/>
      <c r="B106" s="517"/>
      <c r="C106" s="517"/>
      <c r="D106" s="517"/>
      <c r="E106" s="517"/>
      <c r="F106" s="517"/>
      <c r="G106" s="517"/>
      <c r="H106" s="517"/>
      <c r="I106" s="517"/>
      <c r="J106" s="517"/>
      <c r="K106" s="517"/>
      <c r="L106" s="517"/>
      <c r="M106" s="517"/>
      <c r="N106" s="517"/>
      <c r="O106" s="516"/>
      <c r="P106" s="516"/>
      <c r="Q106" s="516"/>
      <c r="R106" s="516"/>
      <c r="S106" s="668"/>
      <c r="T106" s="668"/>
      <c r="U106" s="668"/>
      <c r="V106" s="668"/>
      <c r="W106" s="668"/>
      <c r="X106" s="668"/>
      <c r="Y106" s="668"/>
      <c r="Z106" s="668"/>
      <c r="AA106" s="669"/>
      <c r="AB106" s="670"/>
      <c r="AC106" s="670"/>
      <c r="AD106" s="670"/>
      <c r="AE106" s="670"/>
      <c r="AF106" s="670"/>
      <c r="AG106" s="670"/>
      <c r="AH106" s="670"/>
      <c r="AI106" s="670"/>
      <c r="AJ106" s="670"/>
      <c r="AK106" s="670"/>
      <c r="AL106" s="670"/>
      <c r="AM106" s="670"/>
      <c r="AN106" s="670"/>
      <c r="AO106" s="670"/>
      <c r="AP106" s="670"/>
    </row>
    <row r="107" spans="1:42" s="512" customFormat="1" ht="15.95" customHeight="1">
      <c r="A107" s="573"/>
      <c r="B107" s="517"/>
      <c r="C107" s="517"/>
      <c r="D107" s="517"/>
      <c r="E107" s="517"/>
      <c r="F107" s="517"/>
      <c r="G107" s="517"/>
      <c r="H107" s="517"/>
      <c r="I107" s="517"/>
      <c r="J107" s="517"/>
      <c r="K107" s="517"/>
      <c r="L107" s="517"/>
      <c r="M107" s="517"/>
      <c r="N107" s="517"/>
      <c r="O107" s="516"/>
      <c r="P107" s="516"/>
      <c r="Q107" s="516"/>
      <c r="R107" s="516"/>
      <c r="S107" s="668"/>
      <c r="T107" s="668"/>
      <c r="U107" s="668"/>
      <c r="V107" s="668"/>
      <c r="W107" s="668"/>
      <c r="X107" s="668"/>
      <c r="Y107" s="668"/>
      <c r="Z107" s="668"/>
      <c r="AA107" s="669"/>
      <c r="AB107" s="670"/>
      <c r="AC107" s="670"/>
      <c r="AD107" s="670"/>
      <c r="AE107" s="670"/>
      <c r="AF107" s="670"/>
      <c r="AG107" s="670"/>
      <c r="AH107" s="670"/>
      <c r="AI107" s="670"/>
      <c r="AJ107" s="670"/>
      <c r="AK107" s="670"/>
      <c r="AL107" s="670"/>
      <c r="AM107" s="670"/>
      <c r="AN107" s="670"/>
      <c r="AO107" s="670"/>
      <c r="AP107" s="670"/>
    </row>
    <row r="108" spans="1:42" s="512" customFormat="1" ht="15.95" customHeight="1">
      <c r="A108" s="573"/>
      <c r="B108" s="517"/>
      <c r="C108" s="517"/>
      <c r="D108" s="517"/>
      <c r="E108" s="517"/>
      <c r="F108" s="517"/>
      <c r="G108" s="517"/>
      <c r="H108" s="517"/>
      <c r="I108" s="517"/>
      <c r="J108" s="517"/>
      <c r="K108" s="517"/>
      <c r="L108" s="517"/>
      <c r="M108" s="517"/>
      <c r="N108" s="517"/>
      <c r="O108" s="516"/>
      <c r="P108" s="516"/>
      <c r="Q108" s="516"/>
      <c r="R108" s="516"/>
      <c r="S108" s="668"/>
      <c r="T108" s="668"/>
      <c r="U108" s="668"/>
      <c r="V108" s="668"/>
      <c r="W108" s="668"/>
      <c r="X108" s="668"/>
      <c r="Y108" s="668"/>
      <c r="Z108" s="668"/>
      <c r="AA108" s="669"/>
      <c r="AB108" s="670"/>
      <c r="AC108" s="670"/>
      <c r="AD108" s="670"/>
      <c r="AE108" s="670"/>
      <c r="AF108" s="670"/>
      <c r="AG108" s="670"/>
      <c r="AH108" s="670"/>
      <c r="AI108" s="670"/>
      <c r="AJ108" s="670"/>
      <c r="AK108" s="670"/>
      <c r="AL108" s="670"/>
      <c r="AM108" s="670"/>
      <c r="AN108" s="670"/>
      <c r="AO108" s="670"/>
      <c r="AP108" s="670"/>
    </row>
    <row r="109" spans="1:42" s="512" customFormat="1" ht="15.95" customHeight="1">
      <c r="A109" s="573"/>
      <c r="B109" s="517"/>
      <c r="C109" s="517"/>
      <c r="D109" s="517"/>
      <c r="E109" s="517"/>
      <c r="F109" s="517"/>
      <c r="G109" s="517"/>
      <c r="H109" s="517"/>
      <c r="I109" s="517"/>
      <c r="J109" s="517"/>
      <c r="K109" s="517"/>
      <c r="L109" s="517"/>
      <c r="M109" s="517"/>
      <c r="N109" s="517"/>
      <c r="O109" s="516"/>
      <c r="P109" s="516"/>
      <c r="Q109" s="516"/>
      <c r="R109" s="516"/>
      <c r="S109" s="668"/>
      <c r="T109" s="668"/>
      <c r="U109" s="668"/>
      <c r="V109" s="668"/>
      <c r="W109" s="668"/>
      <c r="X109" s="668"/>
      <c r="Y109" s="668"/>
      <c r="Z109" s="668"/>
      <c r="AA109" s="669"/>
      <c r="AB109" s="670"/>
      <c r="AC109" s="670"/>
      <c r="AD109" s="670"/>
      <c r="AE109" s="670"/>
      <c r="AF109" s="670"/>
      <c r="AG109" s="670"/>
      <c r="AH109" s="670"/>
      <c r="AI109" s="670"/>
      <c r="AJ109" s="670"/>
      <c r="AK109" s="670"/>
      <c r="AL109" s="670"/>
      <c r="AM109" s="670"/>
      <c r="AN109" s="670"/>
      <c r="AO109" s="670"/>
      <c r="AP109" s="670"/>
    </row>
    <row r="110" spans="1:42" s="512" customFormat="1" ht="15.95" customHeight="1">
      <c r="A110" s="573"/>
      <c r="B110" s="517"/>
      <c r="C110" s="517"/>
      <c r="D110" s="517"/>
      <c r="E110" s="517"/>
      <c r="F110" s="517"/>
      <c r="G110" s="517"/>
      <c r="H110" s="517"/>
      <c r="I110" s="517"/>
      <c r="J110" s="517"/>
      <c r="K110" s="517"/>
      <c r="L110" s="517"/>
      <c r="M110" s="517"/>
      <c r="N110" s="517"/>
      <c r="O110" s="516"/>
      <c r="P110" s="516"/>
      <c r="Q110" s="516"/>
      <c r="R110" s="516"/>
      <c r="S110" s="668"/>
      <c r="T110" s="668"/>
      <c r="U110" s="668"/>
      <c r="V110" s="668"/>
      <c r="W110" s="668"/>
      <c r="X110" s="668"/>
      <c r="Y110" s="668"/>
      <c r="Z110" s="668"/>
      <c r="AA110" s="669"/>
      <c r="AB110" s="670"/>
      <c r="AC110" s="670"/>
      <c r="AD110" s="670"/>
      <c r="AE110" s="670"/>
      <c r="AF110" s="670"/>
      <c r="AG110" s="670"/>
      <c r="AH110" s="670"/>
      <c r="AI110" s="670"/>
      <c r="AJ110" s="670"/>
      <c r="AK110" s="670"/>
      <c r="AL110" s="670"/>
      <c r="AM110" s="670"/>
      <c r="AN110" s="670"/>
      <c r="AO110" s="670"/>
      <c r="AP110" s="670"/>
    </row>
    <row r="111" spans="1:42" s="512" customFormat="1" ht="15.95" customHeight="1">
      <c r="A111" s="573"/>
      <c r="B111" s="517"/>
      <c r="C111" s="517"/>
      <c r="D111" s="517"/>
      <c r="E111" s="517"/>
      <c r="F111" s="517"/>
      <c r="G111" s="517"/>
      <c r="H111" s="517"/>
      <c r="I111" s="517"/>
      <c r="J111" s="517"/>
      <c r="K111" s="517"/>
      <c r="L111" s="517"/>
      <c r="M111" s="517"/>
      <c r="N111" s="517"/>
      <c r="O111" s="516"/>
      <c r="P111" s="516"/>
      <c r="Q111" s="516"/>
      <c r="R111" s="516"/>
      <c r="S111" s="668"/>
      <c r="T111" s="668"/>
      <c r="U111" s="668"/>
      <c r="V111" s="668"/>
      <c r="W111" s="668"/>
      <c r="X111" s="668"/>
      <c r="Y111" s="668"/>
      <c r="Z111" s="668"/>
      <c r="AA111" s="669"/>
      <c r="AB111" s="670"/>
      <c r="AC111" s="670"/>
      <c r="AD111" s="670"/>
      <c r="AE111" s="670"/>
      <c r="AF111" s="670"/>
      <c r="AG111" s="670"/>
      <c r="AH111" s="670"/>
      <c r="AI111" s="670"/>
      <c r="AJ111" s="670"/>
      <c r="AK111" s="670"/>
      <c r="AL111" s="670"/>
      <c r="AM111" s="670"/>
      <c r="AN111" s="670"/>
      <c r="AO111" s="670"/>
      <c r="AP111" s="670"/>
    </row>
    <row r="112" spans="1:42" s="512" customFormat="1" ht="15.95" customHeight="1">
      <c r="A112" s="573"/>
      <c r="B112" s="517"/>
      <c r="C112" s="517"/>
      <c r="D112" s="517"/>
      <c r="E112" s="517"/>
      <c r="F112" s="517"/>
      <c r="G112" s="517"/>
      <c r="H112" s="517"/>
      <c r="I112" s="517"/>
      <c r="J112" s="517"/>
      <c r="K112" s="517"/>
      <c r="L112" s="517"/>
      <c r="M112" s="517"/>
      <c r="N112" s="517"/>
      <c r="O112" s="516"/>
      <c r="P112" s="516"/>
      <c r="Q112" s="516"/>
      <c r="R112" s="516"/>
      <c r="S112" s="668"/>
      <c r="T112" s="668"/>
      <c r="U112" s="668"/>
      <c r="V112" s="668"/>
      <c r="W112" s="668"/>
      <c r="X112" s="668"/>
      <c r="Y112" s="668"/>
      <c r="Z112" s="668"/>
      <c r="AA112" s="669"/>
      <c r="AB112" s="670"/>
      <c r="AC112" s="670"/>
      <c r="AD112" s="670"/>
      <c r="AE112" s="670"/>
      <c r="AF112" s="670"/>
      <c r="AG112" s="670"/>
      <c r="AH112" s="670"/>
      <c r="AI112" s="670"/>
      <c r="AJ112" s="670"/>
      <c r="AK112" s="670"/>
      <c r="AL112" s="670"/>
      <c r="AM112" s="670"/>
      <c r="AN112" s="670"/>
      <c r="AO112" s="670"/>
      <c r="AP112" s="670"/>
    </row>
    <row r="113" spans="1:42" s="512" customFormat="1" ht="15.95" customHeight="1">
      <c r="A113" s="573"/>
      <c r="B113" s="517"/>
      <c r="C113" s="517"/>
      <c r="D113" s="517"/>
      <c r="E113" s="517"/>
      <c r="F113" s="517"/>
      <c r="G113" s="517"/>
      <c r="H113" s="517"/>
      <c r="I113" s="517"/>
      <c r="J113" s="517"/>
      <c r="K113" s="517"/>
      <c r="L113" s="517"/>
      <c r="M113" s="517"/>
      <c r="N113" s="517"/>
      <c r="O113" s="516"/>
      <c r="P113" s="516"/>
      <c r="Q113" s="516"/>
      <c r="R113" s="516"/>
      <c r="S113" s="668"/>
      <c r="T113" s="668"/>
      <c r="U113" s="668"/>
      <c r="V113" s="668"/>
      <c r="W113" s="668"/>
      <c r="X113" s="668"/>
      <c r="Y113" s="668"/>
      <c r="Z113" s="668"/>
      <c r="AA113" s="669"/>
      <c r="AB113" s="670"/>
      <c r="AC113" s="670"/>
      <c r="AD113" s="670"/>
      <c r="AE113" s="670"/>
      <c r="AF113" s="670"/>
      <c r="AG113" s="670"/>
      <c r="AH113" s="670"/>
      <c r="AI113" s="670"/>
      <c r="AJ113" s="670"/>
      <c r="AK113" s="670"/>
      <c r="AL113" s="670"/>
      <c r="AM113" s="670"/>
      <c r="AN113" s="670"/>
      <c r="AO113" s="670"/>
      <c r="AP113" s="670"/>
    </row>
    <row r="114" spans="1:42" s="512" customFormat="1" ht="15.95" customHeight="1">
      <c r="A114" s="573"/>
      <c r="B114" s="517"/>
      <c r="C114" s="517"/>
      <c r="D114" s="517"/>
      <c r="E114" s="517"/>
      <c r="F114" s="517"/>
      <c r="G114" s="517"/>
      <c r="H114" s="517"/>
      <c r="I114" s="517"/>
      <c r="J114" s="517"/>
      <c r="K114" s="517"/>
      <c r="L114" s="517"/>
      <c r="M114" s="517"/>
      <c r="N114" s="517"/>
      <c r="O114" s="516"/>
      <c r="P114" s="516"/>
      <c r="Q114" s="516"/>
      <c r="R114" s="516"/>
      <c r="S114" s="668"/>
      <c r="T114" s="668"/>
      <c r="U114" s="668"/>
      <c r="V114" s="668"/>
      <c r="W114" s="668"/>
      <c r="X114" s="668"/>
      <c r="Y114" s="668"/>
      <c r="Z114" s="668"/>
      <c r="AA114" s="669"/>
      <c r="AB114" s="670"/>
      <c r="AC114" s="670"/>
      <c r="AD114" s="670"/>
      <c r="AE114" s="670"/>
      <c r="AF114" s="670"/>
      <c r="AG114" s="670"/>
      <c r="AH114" s="670"/>
      <c r="AI114" s="670"/>
      <c r="AJ114" s="670"/>
      <c r="AK114" s="670"/>
      <c r="AL114" s="670"/>
      <c r="AM114" s="670"/>
      <c r="AN114" s="670"/>
      <c r="AO114" s="670"/>
      <c r="AP114" s="670"/>
    </row>
    <row r="115" spans="1:42" s="512" customFormat="1" ht="15.95" customHeight="1">
      <c r="A115" s="573"/>
      <c r="B115" s="517"/>
      <c r="C115" s="517"/>
      <c r="D115" s="517"/>
      <c r="E115" s="517"/>
      <c r="F115" s="517"/>
      <c r="G115" s="517"/>
      <c r="H115" s="517"/>
      <c r="I115" s="517"/>
      <c r="J115" s="517"/>
      <c r="K115" s="517"/>
      <c r="L115" s="517"/>
      <c r="M115" s="517"/>
      <c r="N115" s="517"/>
      <c r="O115" s="516"/>
      <c r="P115" s="516"/>
      <c r="Q115" s="516"/>
      <c r="R115" s="516"/>
      <c r="S115" s="668"/>
      <c r="T115" s="668"/>
      <c r="U115" s="668"/>
      <c r="V115" s="668"/>
      <c r="W115" s="668"/>
      <c r="X115" s="668"/>
      <c r="Y115" s="668"/>
      <c r="Z115" s="668"/>
      <c r="AA115" s="669"/>
      <c r="AB115" s="670"/>
      <c r="AC115" s="670"/>
      <c r="AD115" s="670"/>
      <c r="AE115" s="670"/>
      <c r="AF115" s="670"/>
      <c r="AG115" s="670"/>
      <c r="AH115" s="670"/>
      <c r="AI115" s="670"/>
      <c r="AJ115" s="670"/>
      <c r="AK115" s="670"/>
      <c r="AL115" s="670"/>
      <c r="AM115" s="670"/>
      <c r="AN115" s="670"/>
      <c r="AO115" s="670"/>
      <c r="AP115" s="670"/>
    </row>
    <row r="116" spans="1:42" s="512" customFormat="1" ht="15.95" customHeight="1">
      <c r="A116" s="573"/>
      <c r="B116" s="517"/>
      <c r="C116" s="517"/>
      <c r="D116" s="517"/>
      <c r="E116" s="517"/>
      <c r="F116" s="517"/>
      <c r="G116" s="517"/>
      <c r="H116" s="517"/>
      <c r="I116" s="517"/>
      <c r="J116" s="517"/>
      <c r="K116" s="517"/>
      <c r="L116" s="517"/>
      <c r="M116" s="517"/>
      <c r="N116" s="517"/>
      <c r="O116" s="516"/>
      <c r="P116" s="516"/>
      <c r="Q116" s="516"/>
      <c r="R116" s="516"/>
      <c r="S116" s="668"/>
      <c r="T116" s="668"/>
      <c r="U116" s="668"/>
      <c r="V116" s="668"/>
      <c r="W116" s="668"/>
      <c r="X116" s="668"/>
      <c r="Y116" s="668"/>
      <c r="Z116" s="668"/>
      <c r="AA116" s="669"/>
      <c r="AB116" s="670"/>
      <c r="AC116" s="670"/>
      <c r="AD116" s="670"/>
      <c r="AE116" s="670"/>
      <c r="AF116" s="670"/>
      <c r="AG116" s="670"/>
      <c r="AH116" s="670"/>
      <c r="AI116" s="670"/>
      <c r="AJ116" s="670"/>
      <c r="AK116" s="670"/>
      <c r="AL116" s="670"/>
      <c r="AM116" s="670"/>
      <c r="AN116" s="670"/>
      <c r="AO116" s="670"/>
      <c r="AP116" s="670"/>
    </row>
    <row r="117" spans="1:42" s="512" customFormat="1" ht="15.95" customHeight="1">
      <c r="A117" s="573"/>
      <c r="B117" s="517"/>
      <c r="C117" s="517"/>
      <c r="D117" s="517"/>
      <c r="E117" s="517"/>
      <c r="F117" s="517"/>
      <c r="G117" s="517"/>
      <c r="H117" s="517"/>
      <c r="I117" s="517"/>
      <c r="J117" s="517"/>
      <c r="K117" s="517"/>
      <c r="L117" s="517"/>
      <c r="M117" s="517"/>
      <c r="N117" s="517"/>
      <c r="O117" s="516"/>
      <c r="P117" s="516"/>
      <c r="Q117" s="516"/>
      <c r="R117" s="516"/>
      <c r="S117" s="668"/>
      <c r="T117" s="668"/>
      <c r="U117" s="668"/>
      <c r="V117" s="668"/>
      <c r="W117" s="668"/>
      <c r="X117" s="668"/>
      <c r="Y117" s="668"/>
      <c r="Z117" s="668"/>
      <c r="AA117" s="669"/>
      <c r="AB117" s="670"/>
      <c r="AC117" s="670"/>
      <c r="AD117" s="670"/>
      <c r="AE117" s="670"/>
      <c r="AF117" s="670"/>
      <c r="AG117" s="670"/>
      <c r="AH117" s="670"/>
      <c r="AI117" s="670"/>
      <c r="AJ117" s="670"/>
      <c r="AK117" s="670"/>
      <c r="AL117" s="670"/>
      <c r="AM117" s="670"/>
      <c r="AN117" s="670"/>
      <c r="AO117" s="670"/>
      <c r="AP117" s="670"/>
    </row>
    <row r="118" spans="1:42" s="512" customFormat="1" ht="15.95" customHeight="1">
      <c r="A118" s="573"/>
      <c r="B118" s="517"/>
      <c r="C118" s="517"/>
      <c r="D118" s="517"/>
      <c r="E118" s="517"/>
      <c r="F118" s="517"/>
      <c r="G118" s="517"/>
      <c r="H118" s="517"/>
      <c r="I118" s="517"/>
      <c r="J118" s="517"/>
      <c r="K118" s="517"/>
      <c r="L118" s="517"/>
      <c r="M118" s="517"/>
      <c r="N118" s="517"/>
      <c r="O118" s="516"/>
      <c r="P118" s="516"/>
      <c r="Q118" s="516"/>
      <c r="R118" s="516"/>
      <c r="S118" s="668"/>
      <c r="T118" s="668"/>
      <c r="U118" s="668"/>
      <c r="V118" s="668"/>
      <c r="W118" s="668"/>
      <c r="X118" s="668"/>
      <c r="Y118" s="668"/>
      <c r="Z118" s="668"/>
      <c r="AA118" s="669"/>
      <c r="AB118" s="670"/>
      <c r="AC118" s="670"/>
      <c r="AD118" s="670"/>
      <c r="AE118" s="670"/>
      <c r="AF118" s="670"/>
      <c r="AG118" s="670"/>
      <c r="AH118" s="670"/>
      <c r="AI118" s="670"/>
      <c r="AJ118" s="670"/>
      <c r="AK118" s="670"/>
      <c r="AL118" s="670"/>
      <c r="AM118" s="670"/>
      <c r="AN118" s="670"/>
      <c r="AO118" s="670"/>
      <c r="AP118" s="670"/>
    </row>
    <row r="119" spans="1:42" s="512" customFormat="1" ht="15.95" customHeight="1">
      <c r="A119" s="573"/>
      <c r="B119" s="517"/>
      <c r="C119" s="517"/>
      <c r="D119" s="517"/>
      <c r="E119" s="517"/>
      <c r="F119" s="517"/>
      <c r="G119" s="517"/>
      <c r="H119" s="517"/>
      <c r="I119" s="517"/>
      <c r="J119" s="517"/>
      <c r="K119" s="517"/>
      <c r="L119" s="517"/>
      <c r="M119" s="517"/>
      <c r="N119" s="517"/>
      <c r="O119" s="516"/>
      <c r="P119" s="516"/>
      <c r="Q119" s="516"/>
      <c r="R119" s="516"/>
      <c r="S119" s="668"/>
      <c r="T119" s="668"/>
      <c r="U119" s="668"/>
      <c r="V119" s="668"/>
      <c r="W119" s="668"/>
      <c r="X119" s="668"/>
      <c r="Y119" s="668"/>
      <c r="Z119" s="668"/>
      <c r="AA119" s="669"/>
      <c r="AB119" s="670"/>
      <c r="AC119" s="670"/>
      <c r="AD119" s="670"/>
      <c r="AE119" s="670"/>
      <c r="AF119" s="670"/>
      <c r="AG119" s="670"/>
      <c r="AH119" s="670"/>
      <c r="AI119" s="670"/>
      <c r="AJ119" s="670"/>
      <c r="AK119" s="670"/>
      <c r="AL119" s="670"/>
      <c r="AM119" s="670"/>
      <c r="AN119" s="670"/>
      <c r="AO119" s="670"/>
      <c r="AP119" s="670"/>
    </row>
    <row r="120" spans="1:42" s="512" customFormat="1" ht="15.95" customHeight="1">
      <c r="A120" s="573"/>
      <c r="B120" s="517"/>
      <c r="C120" s="517"/>
      <c r="D120" s="517"/>
      <c r="E120" s="517"/>
      <c r="F120" s="517"/>
      <c r="G120" s="517"/>
      <c r="H120" s="517"/>
      <c r="I120" s="517"/>
      <c r="J120" s="517"/>
      <c r="K120" s="517"/>
      <c r="L120" s="517"/>
      <c r="M120" s="517"/>
      <c r="N120" s="517"/>
      <c r="O120" s="516"/>
      <c r="P120" s="516"/>
      <c r="Q120" s="516"/>
      <c r="R120" s="516"/>
      <c r="S120" s="668"/>
      <c r="T120" s="668"/>
      <c r="U120" s="668"/>
      <c r="V120" s="668"/>
      <c r="W120" s="668"/>
      <c r="X120" s="668"/>
      <c r="Y120" s="668"/>
      <c r="Z120" s="668"/>
      <c r="AA120" s="669"/>
      <c r="AB120" s="670"/>
      <c r="AC120" s="670"/>
      <c r="AD120" s="670"/>
      <c r="AE120" s="670"/>
      <c r="AF120" s="670"/>
      <c r="AG120" s="670"/>
      <c r="AH120" s="670"/>
      <c r="AI120" s="670"/>
      <c r="AJ120" s="670"/>
      <c r="AK120" s="670"/>
      <c r="AL120" s="670"/>
      <c r="AM120" s="670"/>
      <c r="AN120" s="670"/>
      <c r="AO120" s="670"/>
      <c r="AP120" s="670"/>
    </row>
    <row r="121" spans="1:42" s="512" customFormat="1" ht="15.95" customHeight="1">
      <c r="A121" s="573"/>
      <c r="B121" s="517"/>
      <c r="C121" s="517"/>
      <c r="D121" s="517"/>
      <c r="E121" s="517"/>
      <c r="F121" s="517"/>
      <c r="G121" s="517"/>
      <c r="H121" s="517"/>
      <c r="I121" s="517"/>
      <c r="J121" s="517"/>
      <c r="K121" s="517"/>
      <c r="L121" s="517"/>
      <c r="M121" s="517"/>
      <c r="N121" s="517"/>
      <c r="O121" s="516"/>
      <c r="P121" s="516"/>
      <c r="Q121" s="516"/>
      <c r="R121" s="516"/>
      <c r="S121" s="668"/>
      <c r="T121" s="668"/>
      <c r="U121" s="668"/>
      <c r="V121" s="668"/>
      <c r="W121" s="668"/>
      <c r="X121" s="668"/>
      <c r="Y121" s="668"/>
      <c r="Z121" s="668"/>
      <c r="AA121" s="669"/>
      <c r="AB121" s="670"/>
      <c r="AC121" s="670"/>
      <c r="AD121" s="670"/>
      <c r="AE121" s="670"/>
      <c r="AF121" s="670"/>
      <c r="AG121" s="670"/>
      <c r="AH121" s="670"/>
      <c r="AI121" s="670"/>
      <c r="AJ121" s="670"/>
      <c r="AK121" s="670"/>
      <c r="AL121" s="670"/>
      <c r="AM121" s="670"/>
      <c r="AN121" s="670"/>
      <c r="AO121" s="670"/>
      <c r="AP121" s="670"/>
    </row>
    <row r="122" spans="1:42" s="512" customFormat="1" ht="15.95" customHeight="1">
      <c r="A122" s="573"/>
      <c r="B122" s="517"/>
      <c r="C122" s="517"/>
      <c r="D122" s="517"/>
      <c r="E122" s="517"/>
      <c r="F122" s="517"/>
      <c r="G122" s="517"/>
      <c r="H122" s="517"/>
      <c r="I122" s="517"/>
      <c r="J122" s="517"/>
      <c r="K122" s="517"/>
      <c r="L122" s="517"/>
      <c r="M122" s="517"/>
      <c r="N122" s="517"/>
      <c r="O122" s="516"/>
      <c r="P122" s="516"/>
      <c r="Q122" s="516"/>
      <c r="R122" s="516"/>
      <c r="S122" s="668"/>
      <c r="T122" s="668"/>
      <c r="U122" s="668"/>
      <c r="V122" s="668"/>
      <c r="W122" s="668"/>
      <c r="X122" s="668"/>
      <c r="Y122" s="668"/>
      <c r="Z122" s="668"/>
      <c r="AA122" s="669"/>
      <c r="AB122" s="670"/>
      <c r="AC122" s="670"/>
      <c r="AD122" s="670"/>
      <c r="AE122" s="670"/>
      <c r="AF122" s="670"/>
      <c r="AG122" s="670"/>
      <c r="AH122" s="670"/>
      <c r="AI122" s="670"/>
      <c r="AJ122" s="670"/>
      <c r="AK122" s="670"/>
      <c r="AL122" s="670"/>
      <c r="AM122" s="670"/>
      <c r="AN122" s="670"/>
      <c r="AO122" s="670"/>
      <c r="AP122" s="670"/>
    </row>
    <row r="123" spans="1:42" s="512" customFormat="1" ht="15.95" customHeight="1">
      <c r="A123" s="573"/>
      <c r="B123" s="517"/>
      <c r="C123" s="517"/>
      <c r="D123" s="517"/>
      <c r="E123" s="517"/>
      <c r="F123" s="517"/>
      <c r="G123" s="517"/>
      <c r="H123" s="517"/>
      <c r="I123" s="517"/>
      <c r="J123" s="517"/>
      <c r="K123" s="517"/>
      <c r="L123" s="517"/>
      <c r="M123" s="517"/>
      <c r="N123" s="517"/>
      <c r="O123" s="516"/>
      <c r="P123" s="516"/>
      <c r="Q123" s="516"/>
      <c r="R123" s="516"/>
      <c r="S123" s="668"/>
      <c r="T123" s="668"/>
      <c r="U123" s="668"/>
      <c r="V123" s="668"/>
      <c r="W123" s="668"/>
      <c r="X123" s="668"/>
      <c r="Y123" s="668"/>
      <c r="Z123" s="668"/>
      <c r="AA123" s="669"/>
      <c r="AB123" s="670"/>
      <c r="AC123" s="670"/>
      <c r="AD123" s="670"/>
      <c r="AE123" s="670"/>
      <c r="AF123" s="670"/>
      <c r="AG123" s="670"/>
      <c r="AH123" s="670"/>
      <c r="AI123" s="670"/>
      <c r="AJ123" s="670"/>
      <c r="AK123" s="670"/>
      <c r="AL123" s="670"/>
      <c r="AM123" s="670"/>
      <c r="AN123" s="670"/>
      <c r="AO123" s="670"/>
      <c r="AP123" s="670"/>
    </row>
    <row r="124" spans="1:42" s="512" customFormat="1" ht="15.95" customHeight="1">
      <c r="A124" s="573"/>
      <c r="B124" s="517"/>
      <c r="C124" s="517"/>
      <c r="D124" s="517"/>
      <c r="E124" s="517"/>
      <c r="F124" s="517"/>
      <c r="G124" s="517"/>
      <c r="H124" s="517"/>
      <c r="I124" s="517"/>
      <c r="J124" s="517"/>
      <c r="K124" s="517"/>
      <c r="L124" s="517"/>
      <c r="M124" s="517"/>
      <c r="N124" s="517"/>
      <c r="O124" s="516"/>
      <c r="P124" s="516"/>
      <c r="Q124" s="516"/>
      <c r="R124" s="516"/>
      <c r="S124" s="668"/>
      <c r="T124" s="668"/>
      <c r="U124" s="668"/>
      <c r="V124" s="668"/>
      <c r="W124" s="668"/>
      <c r="X124" s="668"/>
      <c r="Y124" s="668"/>
      <c r="Z124" s="668"/>
      <c r="AA124" s="669"/>
      <c r="AB124" s="670"/>
      <c r="AC124" s="670"/>
      <c r="AD124" s="670"/>
      <c r="AE124" s="670"/>
      <c r="AF124" s="670"/>
      <c r="AG124" s="670"/>
      <c r="AH124" s="670"/>
      <c r="AI124" s="670"/>
      <c r="AJ124" s="670"/>
      <c r="AK124" s="670"/>
      <c r="AL124" s="670"/>
      <c r="AM124" s="670"/>
      <c r="AN124" s="670"/>
      <c r="AO124" s="670"/>
      <c r="AP124" s="670"/>
    </row>
    <row r="125" spans="1:42" s="512" customFormat="1" ht="15.95" customHeight="1">
      <c r="A125" s="573"/>
      <c r="B125" s="517"/>
      <c r="C125" s="517"/>
      <c r="D125" s="517"/>
      <c r="E125" s="517"/>
      <c r="F125" s="517"/>
      <c r="G125" s="517"/>
      <c r="H125" s="517"/>
      <c r="I125" s="517"/>
      <c r="J125" s="517"/>
      <c r="K125" s="517"/>
      <c r="L125" s="517"/>
      <c r="M125" s="517"/>
      <c r="N125" s="517"/>
      <c r="O125" s="516"/>
      <c r="P125" s="516"/>
      <c r="Q125" s="516"/>
      <c r="R125" s="516"/>
      <c r="S125" s="668"/>
      <c r="T125" s="668"/>
      <c r="U125" s="668"/>
      <c r="V125" s="668"/>
      <c r="W125" s="668"/>
      <c r="X125" s="668"/>
      <c r="Y125" s="668"/>
      <c r="Z125" s="668"/>
      <c r="AA125" s="669"/>
      <c r="AB125" s="670"/>
      <c r="AC125" s="670"/>
      <c r="AD125" s="670"/>
      <c r="AE125" s="670"/>
      <c r="AF125" s="670"/>
      <c r="AG125" s="670"/>
      <c r="AH125" s="670"/>
      <c r="AI125" s="670"/>
      <c r="AJ125" s="670"/>
      <c r="AK125" s="670"/>
      <c r="AL125" s="670"/>
      <c r="AM125" s="670"/>
      <c r="AN125" s="670"/>
      <c r="AO125" s="670"/>
      <c r="AP125" s="670"/>
    </row>
    <row r="126" spans="1:42" s="512" customFormat="1" ht="15.95" customHeight="1">
      <c r="A126" s="573"/>
      <c r="B126" s="517"/>
      <c r="C126" s="517"/>
      <c r="D126" s="517"/>
      <c r="E126" s="517"/>
      <c r="F126" s="517"/>
      <c r="G126" s="517"/>
      <c r="H126" s="517"/>
      <c r="I126" s="517"/>
      <c r="J126" s="517"/>
      <c r="K126" s="517"/>
      <c r="L126" s="517"/>
      <c r="M126" s="517"/>
      <c r="N126" s="517"/>
      <c r="O126" s="516"/>
      <c r="P126" s="516"/>
      <c r="Q126" s="516"/>
      <c r="R126" s="516"/>
      <c r="S126" s="668"/>
      <c r="T126" s="668"/>
      <c r="U126" s="668"/>
      <c r="V126" s="668"/>
      <c r="W126" s="668"/>
      <c r="X126" s="668"/>
      <c r="Y126" s="668"/>
      <c r="Z126" s="668"/>
      <c r="AA126" s="669"/>
      <c r="AB126" s="670"/>
      <c r="AC126" s="670"/>
      <c r="AD126" s="670"/>
      <c r="AE126" s="670"/>
      <c r="AF126" s="670"/>
      <c r="AG126" s="670"/>
      <c r="AH126" s="670"/>
      <c r="AI126" s="670"/>
      <c r="AJ126" s="670"/>
      <c r="AK126" s="670"/>
      <c r="AL126" s="670"/>
      <c r="AM126" s="670"/>
      <c r="AN126" s="670"/>
      <c r="AO126" s="670"/>
      <c r="AP126" s="670"/>
    </row>
    <row r="127" spans="1:42" s="512" customFormat="1" ht="15.95" customHeight="1">
      <c r="A127" s="573"/>
      <c r="B127" s="517"/>
      <c r="C127" s="517"/>
      <c r="D127" s="517"/>
      <c r="E127" s="517"/>
      <c r="F127" s="517"/>
      <c r="G127" s="517"/>
      <c r="H127" s="517"/>
      <c r="I127" s="517"/>
      <c r="J127" s="517"/>
      <c r="K127" s="517"/>
      <c r="L127" s="517"/>
      <c r="M127" s="517"/>
      <c r="N127" s="517"/>
      <c r="O127" s="516"/>
      <c r="P127" s="516"/>
      <c r="Q127" s="516"/>
      <c r="R127" s="516"/>
      <c r="S127" s="668"/>
      <c r="T127" s="668"/>
      <c r="U127" s="668"/>
      <c r="V127" s="668"/>
      <c r="W127" s="668"/>
      <c r="X127" s="668"/>
      <c r="Y127" s="668"/>
      <c r="Z127" s="668"/>
      <c r="AA127" s="669"/>
      <c r="AB127" s="670"/>
      <c r="AC127" s="670"/>
      <c r="AD127" s="670"/>
      <c r="AE127" s="670"/>
      <c r="AF127" s="670"/>
      <c r="AG127" s="670"/>
      <c r="AH127" s="670"/>
      <c r="AI127" s="670"/>
      <c r="AJ127" s="670"/>
      <c r="AK127" s="670"/>
      <c r="AL127" s="670"/>
      <c r="AM127" s="670"/>
      <c r="AN127" s="670"/>
      <c r="AO127" s="670"/>
      <c r="AP127" s="670"/>
    </row>
    <row r="128" spans="1:42" s="512" customFormat="1" ht="15.95" customHeight="1">
      <c r="A128" s="573"/>
      <c r="B128" s="517"/>
      <c r="C128" s="517"/>
      <c r="D128" s="517"/>
      <c r="E128" s="517"/>
      <c r="F128" s="517"/>
      <c r="G128" s="517"/>
      <c r="H128" s="517"/>
      <c r="I128" s="517"/>
      <c r="J128" s="517"/>
      <c r="K128" s="517"/>
      <c r="L128" s="517"/>
      <c r="M128" s="517"/>
      <c r="N128" s="517"/>
      <c r="O128" s="516"/>
      <c r="P128" s="516"/>
      <c r="Q128" s="516"/>
      <c r="R128" s="516"/>
      <c r="S128" s="668"/>
      <c r="T128" s="668"/>
      <c r="U128" s="668"/>
      <c r="V128" s="668"/>
      <c r="W128" s="668"/>
      <c r="X128" s="668"/>
      <c r="Y128" s="668"/>
      <c r="Z128" s="668"/>
      <c r="AA128" s="669"/>
      <c r="AB128" s="670"/>
      <c r="AC128" s="670"/>
      <c r="AD128" s="670"/>
      <c r="AE128" s="670"/>
      <c r="AF128" s="670"/>
      <c r="AG128" s="670"/>
      <c r="AH128" s="670"/>
      <c r="AI128" s="670"/>
      <c r="AJ128" s="670"/>
      <c r="AK128" s="670"/>
      <c r="AL128" s="670"/>
      <c r="AM128" s="670"/>
      <c r="AN128" s="670"/>
      <c r="AO128" s="670"/>
      <c r="AP128" s="670"/>
    </row>
    <row r="129" spans="1:42" s="512" customFormat="1" ht="15.95" customHeight="1">
      <c r="A129" s="573"/>
      <c r="B129" s="517"/>
      <c r="C129" s="517"/>
      <c r="D129" s="517"/>
      <c r="E129" s="517"/>
      <c r="F129" s="517"/>
      <c r="G129" s="517"/>
      <c r="H129" s="517"/>
      <c r="I129" s="517"/>
      <c r="J129" s="517"/>
      <c r="K129" s="517"/>
      <c r="L129" s="517"/>
      <c r="M129" s="517"/>
      <c r="N129" s="517"/>
      <c r="O129" s="516"/>
      <c r="P129" s="516"/>
      <c r="Q129" s="516"/>
      <c r="R129" s="516"/>
      <c r="S129" s="668"/>
      <c r="T129" s="668"/>
      <c r="U129" s="668"/>
      <c r="V129" s="668"/>
      <c r="W129" s="668"/>
      <c r="X129" s="668"/>
      <c r="Y129" s="668"/>
      <c r="Z129" s="668"/>
      <c r="AA129" s="669"/>
      <c r="AB129" s="670"/>
      <c r="AC129" s="670"/>
      <c r="AD129" s="670"/>
      <c r="AE129" s="670"/>
      <c r="AF129" s="670"/>
      <c r="AG129" s="670"/>
      <c r="AH129" s="670"/>
      <c r="AI129" s="670"/>
      <c r="AJ129" s="670"/>
      <c r="AK129" s="670"/>
      <c r="AL129" s="670"/>
      <c r="AM129" s="670"/>
      <c r="AN129" s="670"/>
      <c r="AO129" s="670"/>
      <c r="AP129" s="670"/>
    </row>
    <row r="130" spans="1:42" s="512" customFormat="1" ht="15.95" customHeight="1">
      <c r="A130" s="573"/>
      <c r="B130" s="517"/>
      <c r="C130" s="517"/>
      <c r="D130" s="517"/>
      <c r="E130" s="517"/>
      <c r="F130" s="517"/>
      <c r="G130" s="517"/>
      <c r="H130" s="517"/>
      <c r="I130" s="517"/>
      <c r="J130" s="517"/>
      <c r="K130" s="517"/>
      <c r="L130" s="517"/>
      <c r="M130" s="517"/>
      <c r="N130" s="517"/>
      <c r="O130" s="516"/>
      <c r="P130" s="516"/>
      <c r="Q130" s="516"/>
      <c r="R130" s="516"/>
      <c r="S130" s="668"/>
      <c r="T130" s="668"/>
      <c r="U130" s="668"/>
      <c r="V130" s="668"/>
      <c r="W130" s="668"/>
      <c r="X130" s="668"/>
      <c r="Y130" s="668"/>
      <c r="Z130" s="668"/>
      <c r="AA130" s="669"/>
      <c r="AB130" s="670"/>
      <c r="AC130" s="670"/>
      <c r="AD130" s="670"/>
      <c r="AE130" s="670"/>
      <c r="AF130" s="670"/>
      <c r="AG130" s="670"/>
      <c r="AH130" s="670"/>
      <c r="AI130" s="670"/>
      <c r="AJ130" s="670"/>
      <c r="AK130" s="670"/>
      <c r="AL130" s="670"/>
      <c r="AM130" s="670"/>
      <c r="AN130" s="670"/>
      <c r="AO130" s="670"/>
      <c r="AP130" s="670"/>
    </row>
    <row r="131" spans="1:42" s="512" customFormat="1" ht="15.95" customHeight="1">
      <c r="A131" s="573"/>
      <c r="B131" s="517"/>
      <c r="C131" s="517"/>
      <c r="D131" s="517"/>
      <c r="E131" s="517"/>
      <c r="F131" s="517"/>
      <c r="G131" s="517"/>
      <c r="H131" s="517"/>
      <c r="I131" s="517"/>
      <c r="J131" s="517"/>
      <c r="K131" s="517"/>
      <c r="L131" s="517"/>
      <c r="M131" s="517"/>
      <c r="N131" s="517"/>
      <c r="O131" s="516"/>
      <c r="P131" s="516"/>
      <c r="Q131" s="516"/>
      <c r="R131" s="516"/>
      <c r="S131" s="668"/>
      <c r="T131" s="668"/>
      <c r="U131" s="668"/>
      <c r="V131" s="668"/>
      <c r="W131" s="668"/>
      <c r="X131" s="668"/>
      <c r="Y131" s="668"/>
      <c r="Z131" s="668"/>
      <c r="AA131" s="669"/>
      <c r="AB131" s="670"/>
      <c r="AC131" s="670"/>
      <c r="AD131" s="670"/>
      <c r="AE131" s="670"/>
      <c r="AF131" s="670"/>
      <c r="AG131" s="670"/>
      <c r="AH131" s="670"/>
      <c r="AI131" s="670"/>
      <c r="AJ131" s="670"/>
      <c r="AK131" s="670"/>
      <c r="AL131" s="670"/>
      <c r="AM131" s="670"/>
      <c r="AN131" s="670"/>
      <c r="AO131" s="670"/>
      <c r="AP131" s="670"/>
    </row>
    <row r="132" spans="1:42" s="512" customFormat="1" ht="15.95" customHeight="1">
      <c r="A132" s="573"/>
      <c r="B132" s="517"/>
      <c r="C132" s="517"/>
      <c r="D132" s="517"/>
      <c r="E132" s="517"/>
      <c r="F132" s="517"/>
      <c r="G132" s="517"/>
      <c r="H132" s="517"/>
      <c r="I132" s="517"/>
      <c r="J132" s="517"/>
      <c r="K132" s="517"/>
      <c r="L132" s="517"/>
      <c r="M132" s="517"/>
      <c r="N132" s="517"/>
      <c r="O132" s="516"/>
      <c r="P132" s="516"/>
      <c r="Q132" s="516"/>
      <c r="R132" s="516"/>
      <c r="S132" s="668"/>
      <c r="T132" s="668"/>
      <c r="U132" s="668"/>
      <c r="V132" s="668"/>
      <c r="W132" s="668"/>
      <c r="X132" s="668"/>
      <c r="Y132" s="668"/>
      <c r="Z132" s="668"/>
      <c r="AA132" s="669"/>
      <c r="AB132" s="670"/>
      <c r="AC132" s="670"/>
      <c r="AD132" s="670"/>
      <c r="AE132" s="670"/>
      <c r="AF132" s="670"/>
      <c r="AG132" s="670"/>
      <c r="AH132" s="670"/>
      <c r="AI132" s="670"/>
      <c r="AJ132" s="670"/>
      <c r="AK132" s="670"/>
      <c r="AL132" s="670"/>
      <c r="AM132" s="670"/>
      <c r="AN132" s="670"/>
      <c r="AO132" s="670"/>
      <c r="AP132" s="670"/>
    </row>
    <row r="133" spans="1:42" s="512" customFormat="1" ht="15.95" customHeight="1">
      <c r="A133" s="573"/>
      <c r="B133" s="517"/>
      <c r="C133" s="517"/>
      <c r="D133" s="517"/>
      <c r="E133" s="517"/>
      <c r="F133" s="517"/>
      <c r="G133" s="517"/>
      <c r="H133" s="517"/>
      <c r="I133" s="517"/>
      <c r="J133" s="517"/>
      <c r="K133" s="517"/>
      <c r="L133" s="517"/>
      <c r="M133" s="517"/>
      <c r="N133" s="517"/>
      <c r="O133" s="516"/>
      <c r="P133" s="516"/>
      <c r="Q133" s="516"/>
      <c r="R133" s="516"/>
      <c r="S133" s="668"/>
      <c r="T133" s="668"/>
      <c r="U133" s="668"/>
      <c r="V133" s="668"/>
      <c r="W133" s="668"/>
      <c r="X133" s="668"/>
      <c r="Y133" s="668"/>
      <c r="Z133" s="668"/>
      <c r="AA133" s="669"/>
      <c r="AB133" s="670"/>
      <c r="AC133" s="670"/>
      <c r="AD133" s="670"/>
      <c r="AE133" s="670"/>
      <c r="AF133" s="670"/>
      <c r="AG133" s="670"/>
      <c r="AH133" s="670"/>
      <c r="AI133" s="670"/>
      <c r="AJ133" s="670"/>
      <c r="AK133" s="670"/>
      <c r="AL133" s="670"/>
      <c r="AM133" s="670"/>
      <c r="AN133" s="670"/>
      <c r="AO133" s="670"/>
      <c r="AP133" s="670"/>
    </row>
    <row r="134" spans="1:42" s="512" customFormat="1" ht="15.95" customHeight="1">
      <c r="A134" s="573"/>
      <c r="B134" s="517"/>
      <c r="C134" s="517"/>
      <c r="D134" s="517"/>
      <c r="E134" s="517"/>
      <c r="F134" s="517"/>
      <c r="G134" s="517"/>
      <c r="H134" s="517"/>
      <c r="I134" s="517"/>
      <c r="J134" s="517"/>
      <c r="K134" s="517"/>
      <c r="L134" s="517"/>
      <c r="M134" s="517"/>
      <c r="N134" s="517"/>
      <c r="O134" s="516"/>
      <c r="P134" s="516"/>
      <c r="Q134" s="516"/>
      <c r="R134" s="516"/>
      <c r="S134" s="668"/>
      <c r="T134" s="668"/>
      <c r="U134" s="668"/>
      <c r="V134" s="668"/>
      <c r="W134" s="668"/>
      <c r="X134" s="668"/>
      <c r="Y134" s="668"/>
      <c r="Z134" s="668"/>
      <c r="AA134" s="669"/>
      <c r="AB134" s="670"/>
      <c r="AC134" s="670"/>
      <c r="AD134" s="670"/>
      <c r="AE134" s="670"/>
      <c r="AF134" s="670"/>
      <c r="AG134" s="670"/>
      <c r="AH134" s="670"/>
      <c r="AI134" s="670"/>
      <c r="AJ134" s="670"/>
      <c r="AK134" s="670"/>
      <c r="AL134" s="670"/>
      <c r="AM134" s="670"/>
      <c r="AN134" s="670"/>
      <c r="AO134" s="670"/>
      <c r="AP134" s="670"/>
    </row>
    <row r="135" spans="1:42" s="512" customFormat="1" ht="15.95" customHeight="1">
      <c r="A135" s="573"/>
      <c r="B135" s="517"/>
      <c r="C135" s="517"/>
      <c r="D135" s="517"/>
      <c r="E135" s="517"/>
      <c r="F135" s="517"/>
      <c r="G135" s="517"/>
      <c r="H135" s="517"/>
      <c r="I135" s="517"/>
      <c r="J135" s="517"/>
      <c r="K135" s="517"/>
      <c r="L135" s="517"/>
      <c r="M135" s="517"/>
      <c r="N135" s="517"/>
      <c r="O135" s="516"/>
      <c r="P135" s="516"/>
      <c r="Q135" s="516"/>
      <c r="R135" s="516"/>
      <c r="S135" s="668"/>
      <c r="T135" s="668"/>
      <c r="U135" s="668"/>
      <c r="V135" s="668"/>
      <c r="W135" s="668"/>
      <c r="X135" s="668"/>
      <c r="Y135" s="668"/>
      <c r="Z135" s="668"/>
      <c r="AA135" s="669"/>
      <c r="AB135" s="670"/>
      <c r="AC135" s="670"/>
      <c r="AD135" s="670"/>
      <c r="AE135" s="670"/>
      <c r="AF135" s="670"/>
      <c r="AG135" s="670"/>
      <c r="AH135" s="670"/>
      <c r="AI135" s="670"/>
      <c r="AJ135" s="670"/>
      <c r="AK135" s="670"/>
      <c r="AL135" s="670"/>
      <c r="AM135" s="670"/>
      <c r="AN135" s="670"/>
      <c r="AO135" s="670"/>
      <c r="AP135" s="670"/>
    </row>
    <row r="136" spans="1:42" s="512" customFormat="1" ht="15.95" customHeight="1">
      <c r="A136" s="573"/>
      <c r="B136" s="517"/>
      <c r="C136" s="517"/>
      <c r="D136" s="517"/>
      <c r="E136" s="517"/>
      <c r="F136" s="517"/>
      <c r="G136" s="517"/>
      <c r="H136" s="517"/>
      <c r="I136" s="517"/>
      <c r="J136" s="517"/>
      <c r="K136" s="517"/>
      <c r="L136" s="517"/>
      <c r="M136" s="517"/>
      <c r="N136" s="517"/>
      <c r="O136" s="516"/>
      <c r="P136" s="516"/>
      <c r="Q136" s="516"/>
      <c r="R136" s="516"/>
      <c r="S136" s="668"/>
      <c r="T136" s="668"/>
      <c r="U136" s="668"/>
      <c r="V136" s="668"/>
      <c r="W136" s="668"/>
      <c r="X136" s="668"/>
      <c r="Y136" s="668"/>
      <c r="Z136" s="668"/>
      <c r="AA136" s="669"/>
      <c r="AB136" s="670"/>
      <c r="AC136" s="670"/>
      <c r="AD136" s="670"/>
      <c r="AE136" s="670"/>
      <c r="AF136" s="670"/>
      <c r="AG136" s="670"/>
      <c r="AH136" s="670"/>
      <c r="AI136" s="670"/>
      <c r="AJ136" s="670"/>
      <c r="AK136" s="670"/>
      <c r="AL136" s="670"/>
      <c r="AM136" s="670"/>
      <c r="AN136" s="670"/>
      <c r="AO136" s="670"/>
      <c r="AP136" s="670"/>
    </row>
    <row r="137" spans="1:42" s="512" customFormat="1" ht="15.95" customHeight="1">
      <c r="A137" s="573"/>
      <c r="B137" s="517"/>
      <c r="C137" s="517"/>
      <c r="D137" s="517"/>
      <c r="E137" s="517"/>
      <c r="F137" s="517"/>
      <c r="G137" s="517"/>
      <c r="H137" s="517"/>
      <c r="I137" s="517"/>
      <c r="J137" s="517"/>
      <c r="K137" s="517"/>
      <c r="L137" s="517"/>
      <c r="M137" s="517"/>
      <c r="N137" s="517"/>
      <c r="O137" s="516"/>
      <c r="P137" s="516"/>
      <c r="Q137" s="516"/>
      <c r="R137" s="516"/>
      <c r="S137" s="668"/>
      <c r="T137" s="668"/>
      <c r="U137" s="668"/>
      <c r="V137" s="668"/>
      <c r="W137" s="668"/>
      <c r="X137" s="668"/>
      <c r="Y137" s="668"/>
      <c r="Z137" s="668"/>
      <c r="AA137" s="669"/>
      <c r="AB137" s="670"/>
      <c r="AC137" s="670"/>
      <c r="AD137" s="670"/>
      <c r="AE137" s="670"/>
      <c r="AF137" s="670"/>
      <c r="AG137" s="670"/>
      <c r="AH137" s="670"/>
      <c r="AI137" s="670"/>
      <c r="AJ137" s="670"/>
      <c r="AK137" s="670"/>
      <c r="AL137" s="670"/>
      <c r="AM137" s="670"/>
      <c r="AN137" s="670"/>
      <c r="AO137" s="670"/>
      <c r="AP137" s="670"/>
    </row>
    <row r="138" spans="1:42" s="512" customFormat="1" ht="15.95" customHeight="1">
      <c r="A138" s="573"/>
      <c r="B138" s="517"/>
      <c r="C138" s="517"/>
      <c r="D138" s="517"/>
      <c r="E138" s="517"/>
      <c r="F138" s="517"/>
      <c r="G138" s="517"/>
      <c r="H138" s="517"/>
      <c r="I138" s="517"/>
      <c r="J138" s="517"/>
      <c r="K138" s="517"/>
      <c r="L138" s="517"/>
      <c r="M138" s="517"/>
      <c r="N138" s="517"/>
      <c r="O138" s="516"/>
      <c r="P138" s="516"/>
      <c r="Q138" s="516"/>
      <c r="R138" s="516"/>
      <c r="S138" s="668"/>
      <c r="T138" s="668"/>
      <c r="U138" s="668"/>
      <c r="V138" s="668"/>
      <c r="W138" s="668"/>
      <c r="X138" s="668"/>
      <c r="Y138" s="668"/>
      <c r="Z138" s="668"/>
      <c r="AA138" s="669"/>
      <c r="AB138" s="670"/>
      <c r="AC138" s="670"/>
      <c r="AD138" s="670"/>
      <c r="AE138" s="670"/>
      <c r="AF138" s="670"/>
      <c r="AG138" s="670"/>
      <c r="AH138" s="670"/>
      <c r="AI138" s="670"/>
      <c r="AJ138" s="670"/>
      <c r="AK138" s="670"/>
      <c r="AL138" s="670"/>
      <c r="AM138" s="670"/>
      <c r="AN138" s="670"/>
      <c r="AO138" s="670"/>
      <c r="AP138" s="670"/>
    </row>
    <row r="139" spans="1:42" s="512" customFormat="1" ht="15.95" customHeight="1">
      <c r="A139" s="573"/>
      <c r="B139" s="517"/>
      <c r="C139" s="517"/>
      <c r="D139" s="517"/>
      <c r="E139" s="517"/>
      <c r="F139" s="517"/>
      <c r="G139" s="517"/>
      <c r="H139" s="517"/>
      <c r="I139" s="517"/>
      <c r="J139" s="517"/>
      <c r="K139" s="517"/>
      <c r="L139" s="517"/>
      <c r="M139" s="517"/>
      <c r="N139" s="517"/>
      <c r="O139" s="516"/>
      <c r="P139" s="516"/>
      <c r="Q139" s="516"/>
      <c r="R139" s="516"/>
      <c r="S139" s="668"/>
      <c r="T139" s="668"/>
      <c r="U139" s="668"/>
      <c r="V139" s="668"/>
      <c r="W139" s="668"/>
      <c r="X139" s="668"/>
      <c r="Y139" s="668"/>
      <c r="Z139" s="668"/>
      <c r="AA139" s="669"/>
      <c r="AB139" s="670"/>
      <c r="AC139" s="670"/>
      <c r="AD139" s="670"/>
      <c r="AE139" s="670"/>
      <c r="AF139" s="670"/>
      <c r="AG139" s="670"/>
      <c r="AH139" s="670"/>
      <c r="AI139" s="670"/>
      <c r="AJ139" s="670"/>
      <c r="AK139" s="670"/>
      <c r="AL139" s="670"/>
      <c r="AM139" s="670"/>
      <c r="AN139" s="670"/>
      <c r="AO139" s="670"/>
      <c r="AP139" s="670"/>
    </row>
    <row r="140" spans="1:42" s="512" customFormat="1" ht="15.95" customHeight="1">
      <c r="A140" s="573"/>
      <c r="B140" s="517"/>
      <c r="C140" s="517"/>
      <c r="D140" s="517"/>
      <c r="E140" s="517"/>
      <c r="F140" s="517"/>
      <c r="G140" s="517"/>
      <c r="H140" s="517"/>
      <c r="I140" s="517"/>
      <c r="J140" s="517"/>
      <c r="K140" s="517"/>
      <c r="L140" s="517"/>
      <c r="M140" s="517"/>
      <c r="N140" s="517"/>
      <c r="O140" s="516"/>
      <c r="P140" s="516"/>
      <c r="Q140" s="516"/>
      <c r="R140" s="516"/>
      <c r="S140" s="668"/>
      <c r="T140" s="668"/>
      <c r="U140" s="668"/>
      <c r="V140" s="668"/>
      <c r="W140" s="668"/>
      <c r="X140" s="668"/>
      <c r="Y140" s="668"/>
      <c r="Z140" s="668"/>
      <c r="AA140" s="669"/>
      <c r="AB140" s="670"/>
      <c r="AC140" s="670"/>
      <c r="AD140" s="670"/>
      <c r="AE140" s="670"/>
      <c r="AF140" s="670"/>
      <c r="AG140" s="670"/>
      <c r="AH140" s="670"/>
      <c r="AI140" s="670"/>
      <c r="AJ140" s="670"/>
      <c r="AK140" s="670"/>
      <c r="AL140" s="670"/>
      <c r="AM140" s="670"/>
      <c r="AN140" s="670"/>
      <c r="AO140" s="670"/>
      <c r="AP140" s="670"/>
    </row>
    <row r="141" spans="1:42" s="512" customFormat="1" ht="15.95" customHeight="1">
      <c r="A141" s="573"/>
      <c r="B141" s="517"/>
      <c r="C141" s="517"/>
      <c r="D141" s="517"/>
      <c r="E141" s="517"/>
      <c r="F141" s="517"/>
      <c r="G141" s="517"/>
      <c r="H141" s="517"/>
      <c r="I141" s="517"/>
      <c r="J141" s="517"/>
      <c r="K141" s="517"/>
      <c r="L141" s="517"/>
      <c r="M141" s="517"/>
      <c r="N141" s="517"/>
      <c r="O141" s="516"/>
      <c r="P141" s="516"/>
      <c r="Q141" s="516"/>
      <c r="R141" s="516"/>
      <c r="S141" s="668"/>
      <c r="T141" s="668"/>
      <c r="U141" s="668"/>
      <c r="V141" s="668"/>
      <c r="W141" s="668"/>
      <c r="X141" s="668"/>
      <c r="Y141" s="668"/>
      <c r="Z141" s="668"/>
      <c r="AA141" s="669"/>
      <c r="AB141" s="670"/>
      <c r="AC141" s="670"/>
      <c r="AD141" s="670"/>
      <c r="AE141" s="670"/>
      <c r="AF141" s="670"/>
      <c r="AG141" s="670"/>
      <c r="AH141" s="670"/>
      <c r="AI141" s="670"/>
      <c r="AJ141" s="670"/>
      <c r="AK141" s="670"/>
      <c r="AL141" s="670"/>
      <c r="AM141" s="670"/>
      <c r="AN141" s="670"/>
      <c r="AO141" s="670"/>
      <c r="AP141" s="670"/>
    </row>
    <row r="142" spans="1:42" s="512" customFormat="1" ht="15.95" customHeight="1">
      <c r="A142" s="573"/>
      <c r="B142" s="517"/>
      <c r="C142" s="517"/>
      <c r="D142" s="517"/>
      <c r="E142" s="517"/>
      <c r="F142" s="517"/>
      <c r="G142" s="517"/>
      <c r="H142" s="517"/>
      <c r="I142" s="517"/>
      <c r="J142" s="517"/>
      <c r="K142" s="517"/>
      <c r="L142" s="517"/>
      <c r="M142" s="517"/>
      <c r="N142" s="517"/>
      <c r="O142" s="516"/>
      <c r="P142" s="516"/>
      <c r="Q142" s="516"/>
      <c r="R142" s="516"/>
      <c r="S142" s="668"/>
      <c r="T142" s="668"/>
      <c r="U142" s="668"/>
      <c r="V142" s="668"/>
      <c r="W142" s="668"/>
      <c r="X142" s="668"/>
      <c r="Y142" s="668"/>
      <c r="Z142" s="668"/>
      <c r="AA142" s="669"/>
      <c r="AB142" s="670"/>
      <c r="AC142" s="670"/>
      <c r="AD142" s="670"/>
      <c r="AE142" s="670"/>
      <c r="AF142" s="670"/>
      <c r="AG142" s="670"/>
      <c r="AH142" s="670"/>
      <c r="AI142" s="670"/>
      <c r="AJ142" s="670"/>
      <c r="AK142" s="670"/>
      <c r="AL142" s="670"/>
      <c r="AM142" s="670"/>
      <c r="AN142" s="670"/>
      <c r="AO142" s="670"/>
      <c r="AP142" s="670"/>
    </row>
    <row r="143" spans="1:42" s="512" customFormat="1" ht="15.95" customHeight="1">
      <c r="A143" s="573"/>
      <c r="B143" s="517"/>
      <c r="C143" s="517"/>
      <c r="D143" s="517"/>
      <c r="E143" s="517"/>
      <c r="F143" s="517"/>
      <c r="G143" s="517"/>
      <c r="H143" s="517"/>
      <c r="I143" s="517"/>
      <c r="J143" s="517"/>
      <c r="K143" s="517"/>
      <c r="L143" s="517"/>
      <c r="M143" s="517"/>
      <c r="N143" s="517"/>
      <c r="O143" s="516"/>
      <c r="P143" s="516"/>
      <c r="Q143" s="516"/>
      <c r="R143" s="516"/>
      <c r="S143" s="668"/>
      <c r="T143" s="668"/>
      <c r="U143" s="668"/>
      <c r="V143" s="668"/>
      <c r="W143" s="668"/>
      <c r="X143" s="668"/>
      <c r="Y143" s="668"/>
      <c r="Z143" s="668"/>
      <c r="AA143" s="669"/>
      <c r="AB143" s="670"/>
      <c r="AC143" s="670"/>
      <c r="AD143" s="670"/>
      <c r="AE143" s="670"/>
      <c r="AF143" s="670"/>
      <c r="AG143" s="670"/>
      <c r="AH143" s="670"/>
      <c r="AI143" s="670"/>
      <c r="AJ143" s="670"/>
      <c r="AK143" s="670"/>
      <c r="AL143" s="670"/>
      <c r="AM143" s="670"/>
      <c r="AN143" s="670"/>
      <c r="AO143" s="670"/>
      <c r="AP143" s="670"/>
    </row>
    <row r="144" spans="1:42" s="512" customFormat="1" ht="15.95" customHeight="1">
      <c r="A144" s="573"/>
      <c r="B144" s="517"/>
      <c r="C144" s="517"/>
      <c r="D144" s="517"/>
      <c r="E144" s="517"/>
      <c r="F144" s="517"/>
      <c r="G144" s="517"/>
      <c r="H144" s="517"/>
      <c r="I144" s="517"/>
      <c r="J144" s="517"/>
      <c r="K144" s="517"/>
      <c r="L144" s="517"/>
      <c r="M144" s="517"/>
      <c r="N144" s="517"/>
      <c r="O144" s="516"/>
      <c r="P144" s="516"/>
      <c r="Q144" s="516"/>
      <c r="R144" s="516"/>
      <c r="S144" s="668"/>
      <c r="T144" s="668"/>
      <c r="U144" s="668"/>
      <c r="V144" s="668"/>
      <c r="W144" s="668"/>
      <c r="X144" s="668"/>
      <c r="Y144" s="668"/>
      <c r="Z144" s="668"/>
      <c r="AA144" s="669"/>
      <c r="AB144" s="670"/>
      <c r="AC144" s="670"/>
      <c r="AD144" s="670"/>
      <c r="AE144" s="670"/>
      <c r="AF144" s="670"/>
      <c r="AG144" s="670"/>
      <c r="AH144" s="670"/>
      <c r="AI144" s="670"/>
      <c r="AJ144" s="670"/>
      <c r="AK144" s="670"/>
      <c r="AL144" s="670"/>
      <c r="AM144" s="670"/>
      <c r="AN144" s="670"/>
      <c r="AO144" s="670"/>
      <c r="AP144" s="670"/>
    </row>
    <row r="145" spans="1:42" s="512" customFormat="1" ht="15.95" customHeight="1">
      <c r="A145" s="573"/>
      <c r="B145" s="517"/>
      <c r="C145" s="517"/>
      <c r="D145" s="517"/>
      <c r="E145" s="517"/>
      <c r="F145" s="517"/>
      <c r="G145" s="517"/>
      <c r="H145" s="517"/>
      <c r="I145" s="517"/>
      <c r="J145" s="517"/>
      <c r="K145" s="517"/>
      <c r="L145" s="517"/>
      <c r="M145" s="517"/>
      <c r="N145" s="517"/>
      <c r="O145" s="516"/>
      <c r="P145" s="516"/>
      <c r="Q145" s="516"/>
      <c r="R145" s="516"/>
      <c r="S145" s="668"/>
      <c r="T145" s="668"/>
      <c r="U145" s="668"/>
      <c r="V145" s="668"/>
      <c r="W145" s="668"/>
      <c r="X145" s="668"/>
      <c r="Y145" s="668"/>
      <c r="Z145" s="668"/>
      <c r="AA145" s="669"/>
      <c r="AB145" s="670"/>
      <c r="AC145" s="670"/>
      <c r="AD145" s="670"/>
      <c r="AE145" s="670"/>
      <c r="AF145" s="670"/>
      <c r="AG145" s="670"/>
      <c r="AH145" s="670"/>
      <c r="AI145" s="670"/>
      <c r="AJ145" s="670"/>
      <c r="AK145" s="670"/>
      <c r="AL145" s="670"/>
      <c r="AM145" s="670"/>
      <c r="AN145" s="670"/>
      <c r="AO145" s="670"/>
      <c r="AP145" s="670"/>
    </row>
    <row r="146" spans="1:42" s="512" customFormat="1" ht="15.95" customHeight="1">
      <c r="A146" s="573"/>
      <c r="B146" s="517"/>
      <c r="C146" s="517"/>
      <c r="D146" s="517"/>
      <c r="E146" s="517"/>
      <c r="F146" s="517"/>
      <c r="G146" s="517"/>
      <c r="H146" s="517"/>
      <c r="I146" s="517"/>
      <c r="J146" s="517"/>
      <c r="K146" s="517"/>
      <c r="L146" s="517"/>
      <c r="M146" s="517"/>
      <c r="N146" s="517"/>
      <c r="O146" s="516"/>
      <c r="P146" s="516"/>
      <c r="Q146" s="516"/>
      <c r="R146" s="516"/>
      <c r="S146" s="668"/>
      <c r="T146" s="668"/>
      <c r="U146" s="668"/>
      <c r="V146" s="668"/>
      <c r="W146" s="668"/>
      <c r="X146" s="668"/>
      <c r="Y146" s="668"/>
      <c r="Z146" s="668"/>
      <c r="AA146" s="669"/>
      <c r="AB146" s="670"/>
      <c r="AC146" s="670"/>
      <c r="AD146" s="670"/>
      <c r="AE146" s="670"/>
      <c r="AF146" s="670"/>
      <c r="AG146" s="670"/>
      <c r="AH146" s="670"/>
      <c r="AI146" s="670"/>
      <c r="AJ146" s="670"/>
      <c r="AK146" s="670"/>
      <c r="AL146" s="670"/>
      <c r="AM146" s="670"/>
      <c r="AN146" s="670"/>
      <c r="AO146" s="670"/>
      <c r="AP146" s="670"/>
    </row>
    <row r="147" spans="1:42" s="512" customFormat="1" ht="15.95" customHeight="1">
      <c r="A147" s="573"/>
      <c r="B147" s="517"/>
      <c r="C147" s="517"/>
      <c r="D147" s="517"/>
      <c r="E147" s="517"/>
      <c r="F147" s="517"/>
      <c r="G147" s="517"/>
      <c r="H147" s="517"/>
      <c r="I147" s="517"/>
      <c r="J147" s="517"/>
      <c r="K147" s="517"/>
      <c r="L147" s="517"/>
      <c r="M147" s="517"/>
      <c r="N147" s="517"/>
      <c r="O147" s="516"/>
      <c r="P147" s="516"/>
      <c r="Q147" s="516"/>
      <c r="R147" s="516"/>
      <c r="S147" s="668"/>
      <c r="T147" s="668"/>
      <c r="U147" s="668"/>
      <c r="V147" s="668"/>
      <c r="W147" s="668"/>
      <c r="X147" s="668"/>
      <c r="Y147" s="668"/>
      <c r="Z147" s="668"/>
      <c r="AA147" s="669"/>
      <c r="AB147" s="670"/>
      <c r="AC147" s="670"/>
      <c r="AD147" s="670"/>
      <c r="AE147" s="670"/>
      <c r="AF147" s="670"/>
      <c r="AG147" s="670"/>
      <c r="AH147" s="670"/>
      <c r="AI147" s="670"/>
      <c r="AJ147" s="670"/>
      <c r="AK147" s="670"/>
      <c r="AL147" s="670"/>
      <c r="AM147" s="670"/>
      <c r="AN147" s="670"/>
      <c r="AO147" s="670"/>
      <c r="AP147" s="670"/>
    </row>
    <row r="148" spans="1:42" s="512" customFormat="1" ht="15.95" customHeight="1">
      <c r="A148" s="573"/>
      <c r="B148" s="517"/>
      <c r="C148" s="517"/>
      <c r="D148" s="517"/>
      <c r="E148" s="517"/>
      <c r="F148" s="517"/>
      <c r="G148" s="517"/>
      <c r="H148" s="517"/>
      <c r="I148" s="517"/>
      <c r="J148" s="517"/>
      <c r="K148" s="517"/>
      <c r="L148" s="517"/>
      <c r="M148" s="517"/>
      <c r="N148" s="517"/>
      <c r="O148" s="516"/>
      <c r="P148" s="516"/>
      <c r="Q148" s="516"/>
      <c r="R148" s="516"/>
      <c r="S148" s="668"/>
      <c r="T148" s="668"/>
      <c r="U148" s="668"/>
      <c r="V148" s="668"/>
      <c r="W148" s="668"/>
      <c r="X148" s="668"/>
      <c r="Y148" s="668"/>
      <c r="Z148" s="668"/>
      <c r="AA148" s="669"/>
      <c r="AB148" s="670"/>
      <c r="AC148" s="670"/>
      <c r="AD148" s="670"/>
      <c r="AE148" s="670"/>
      <c r="AF148" s="670"/>
      <c r="AG148" s="670"/>
      <c r="AH148" s="670"/>
      <c r="AI148" s="670"/>
      <c r="AJ148" s="670"/>
      <c r="AK148" s="670"/>
      <c r="AL148" s="670"/>
      <c r="AM148" s="670"/>
      <c r="AN148" s="670"/>
      <c r="AO148" s="670"/>
      <c r="AP148" s="670"/>
    </row>
    <row r="149" spans="1:42" s="512" customFormat="1" ht="15.95" customHeight="1">
      <c r="A149" s="573"/>
      <c r="B149" s="517"/>
      <c r="C149" s="517"/>
      <c r="D149" s="517"/>
      <c r="E149" s="517"/>
      <c r="F149" s="517"/>
      <c r="G149" s="517"/>
      <c r="H149" s="517"/>
      <c r="I149" s="517"/>
      <c r="J149" s="517"/>
      <c r="K149" s="517"/>
      <c r="L149" s="517"/>
      <c r="M149" s="517"/>
      <c r="N149" s="517"/>
      <c r="O149" s="516"/>
      <c r="P149" s="516"/>
      <c r="Q149" s="516"/>
      <c r="R149" s="516"/>
      <c r="S149" s="668"/>
      <c r="T149" s="668"/>
      <c r="U149" s="668"/>
      <c r="V149" s="668"/>
      <c r="W149" s="668"/>
      <c r="X149" s="668"/>
      <c r="Y149" s="668"/>
      <c r="Z149" s="668"/>
      <c r="AA149" s="669"/>
      <c r="AB149" s="670"/>
      <c r="AC149" s="670"/>
      <c r="AD149" s="670"/>
      <c r="AE149" s="670"/>
      <c r="AF149" s="670"/>
      <c r="AG149" s="670"/>
      <c r="AH149" s="670"/>
      <c r="AI149" s="670"/>
      <c r="AJ149" s="670"/>
      <c r="AK149" s="670"/>
      <c r="AL149" s="670"/>
      <c r="AM149" s="670"/>
      <c r="AN149" s="670"/>
      <c r="AO149" s="670"/>
      <c r="AP149" s="670"/>
    </row>
    <row r="150" spans="1:42" s="512" customFormat="1" ht="15.95" customHeight="1">
      <c r="A150" s="573"/>
      <c r="B150" s="517"/>
      <c r="C150" s="517"/>
      <c r="D150" s="517"/>
      <c r="E150" s="517"/>
      <c r="F150" s="517"/>
      <c r="G150" s="517"/>
      <c r="H150" s="517"/>
      <c r="I150" s="517"/>
      <c r="J150" s="517"/>
      <c r="K150" s="517"/>
      <c r="L150" s="517"/>
      <c r="M150" s="517"/>
      <c r="N150" s="517"/>
      <c r="O150" s="516"/>
      <c r="P150" s="516"/>
      <c r="Q150" s="516"/>
      <c r="R150" s="516"/>
      <c r="S150" s="668"/>
      <c r="T150" s="668"/>
      <c r="U150" s="668"/>
      <c r="V150" s="668"/>
      <c r="W150" s="668"/>
      <c r="X150" s="668"/>
      <c r="Y150" s="668"/>
      <c r="Z150" s="668"/>
      <c r="AA150" s="669"/>
      <c r="AB150" s="670"/>
      <c r="AC150" s="670"/>
      <c r="AD150" s="670"/>
      <c r="AE150" s="670"/>
      <c r="AF150" s="670"/>
      <c r="AG150" s="670"/>
      <c r="AH150" s="670"/>
      <c r="AI150" s="670"/>
      <c r="AJ150" s="670"/>
      <c r="AK150" s="670"/>
      <c r="AL150" s="670"/>
      <c r="AM150" s="670"/>
      <c r="AN150" s="670"/>
      <c r="AO150" s="670"/>
      <c r="AP150" s="670"/>
    </row>
    <row r="151" spans="1:42" s="512" customFormat="1" ht="15.95" customHeight="1">
      <c r="A151" s="573"/>
      <c r="B151" s="517"/>
      <c r="C151" s="517"/>
      <c r="D151" s="517"/>
      <c r="E151" s="517"/>
      <c r="F151" s="517"/>
      <c r="G151" s="517"/>
      <c r="H151" s="517"/>
      <c r="I151" s="517"/>
      <c r="J151" s="517"/>
      <c r="K151" s="517"/>
      <c r="L151" s="517"/>
      <c r="M151" s="517"/>
      <c r="N151" s="517"/>
      <c r="O151" s="516"/>
      <c r="P151" s="516"/>
      <c r="Q151" s="516"/>
      <c r="R151" s="516"/>
      <c r="S151" s="668"/>
      <c r="T151" s="668"/>
      <c r="U151" s="668"/>
      <c r="V151" s="668"/>
      <c r="W151" s="668"/>
      <c r="X151" s="668"/>
      <c r="Y151" s="668"/>
      <c r="Z151" s="668"/>
      <c r="AA151" s="669"/>
      <c r="AB151" s="670"/>
      <c r="AC151" s="670"/>
      <c r="AD151" s="670"/>
      <c r="AE151" s="670"/>
      <c r="AF151" s="670"/>
      <c r="AG151" s="670"/>
      <c r="AH151" s="670"/>
      <c r="AI151" s="670"/>
      <c r="AJ151" s="670"/>
      <c r="AK151" s="670"/>
      <c r="AL151" s="670"/>
      <c r="AM151" s="670"/>
      <c r="AN151" s="670"/>
      <c r="AO151" s="670"/>
      <c r="AP151" s="670"/>
    </row>
    <row r="152" spans="1:42" s="512" customFormat="1" ht="15.95" customHeight="1">
      <c r="A152" s="573"/>
      <c r="B152" s="517"/>
      <c r="C152" s="517"/>
      <c r="D152" s="517"/>
      <c r="E152" s="517"/>
      <c r="F152" s="517"/>
      <c r="G152" s="517"/>
      <c r="H152" s="517"/>
      <c r="I152" s="517"/>
      <c r="J152" s="517"/>
      <c r="K152" s="517"/>
      <c r="L152" s="517"/>
      <c r="M152" s="517"/>
      <c r="N152" s="517"/>
      <c r="O152" s="516"/>
      <c r="P152" s="516"/>
      <c r="Q152" s="516"/>
      <c r="R152" s="516"/>
      <c r="S152" s="668"/>
      <c r="T152" s="668"/>
      <c r="U152" s="668"/>
      <c r="V152" s="668"/>
      <c r="W152" s="668"/>
      <c r="X152" s="668"/>
      <c r="Y152" s="668"/>
      <c r="Z152" s="668"/>
      <c r="AA152" s="669"/>
      <c r="AB152" s="670"/>
      <c r="AC152" s="670"/>
      <c r="AD152" s="670"/>
      <c r="AE152" s="670"/>
      <c r="AF152" s="670"/>
      <c r="AG152" s="670"/>
      <c r="AH152" s="670"/>
      <c r="AI152" s="670"/>
      <c r="AJ152" s="670"/>
      <c r="AK152" s="670"/>
      <c r="AL152" s="670"/>
      <c r="AM152" s="670"/>
      <c r="AN152" s="670"/>
      <c r="AO152" s="670"/>
      <c r="AP152" s="670"/>
    </row>
    <row r="153" spans="1:42" s="512" customFormat="1" ht="15.95" customHeight="1">
      <c r="A153" s="573"/>
      <c r="B153" s="517"/>
      <c r="C153" s="517"/>
      <c r="D153" s="517"/>
      <c r="E153" s="517"/>
      <c r="F153" s="517"/>
      <c r="G153" s="517"/>
      <c r="H153" s="517"/>
      <c r="I153" s="517"/>
      <c r="J153" s="517"/>
      <c r="K153" s="517"/>
      <c r="L153" s="517"/>
      <c r="M153" s="517"/>
      <c r="N153" s="517"/>
      <c r="O153" s="516"/>
      <c r="P153" s="516"/>
      <c r="Q153" s="516"/>
      <c r="R153" s="516"/>
      <c r="S153" s="668"/>
      <c r="T153" s="668"/>
      <c r="U153" s="668"/>
      <c r="V153" s="668"/>
      <c r="W153" s="668"/>
      <c r="X153" s="668"/>
      <c r="Y153" s="668"/>
      <c r="Z153" s="668"/>
      <c r="AA153" s="669"/>
      <c r="AB153" s="670"/>
      <c r="AC153" s="670"/>
      <c r="AD153" s="670"/>
      <c r="AE153" s="670"/>
      <c r="AF153" s="670"/>
      <c r="AG153" s="670"/>
      <c r="AH153" s="670"/>
      <c r="AI153" s="670"/>
      <c r="AJ153" s="670"/>
      <c r="AK153" s="670"/>
      <c r="AL153" s="670"/>
      <c r="AM153" s="670"/>
      <c r="AN153" s="670"/>
      <c r="AO153" s="670"/>
      <c r="AP153" s="670"/>
    </row>
    <row r="154" spans="1:42" s="512" customFormat="1" ht="15.95" customHeight="1">
      <c r="A154" s="573"/>
      <c r="B154" s="517"/>
      <c r="C154" s="517"/>
      <c r="D154" s="517"/>
      <c r="E154" s="517"/>
      <c r="F154" s="517"/>
      <c r="G154" s="517"/>
      <c r="H154" s="517"/>
      <c r="I154" s="517"/>
      <c r="J154" s="517"/>
      <c r="K154" s="517"/>
      <c r="L154" s="517"/>
      <c r="M154" s="517"/>
      <c r="N154" s="517"/>
      <c r="O154" s="516"/>
      <c r="P154" s="516"/>
      <c r="Q154" s="516"/>
      <c r="R154" s="516"/>
      <c r="S154" s="668"/>
      <c r="T154" s="668"/>
      <c r="U154" s="668"/>
      <c r="V154" s="668"/>
      <c r="W154" s="668"/>
      <c r="X154" s="668"/>
      <c r="Y154" s="668"/>
      <c r="Z154" s="668"/>
      <c r="AA154" s="669"/>
      <c r="AB154" s="670"/>
      <c r="AC154" s="670"/>
      <c r="AD154" s="670"/>
      <c r="AE154" s="670"/>
      <c r="AF154" s="670"/>
      <c r="AG154" s="670"/>
      <c r="AH154" s="670"/>
      <c r="AI154" s="670"/>
      <c r="AJ154" s="670"/>
      <c r="AK154" s="670"/>
      <c r="AL154" s="670"/>
      <c r="AM154" s="670"/>
      <c r="AN154" s="670"/>
      <c r="AO154" s="670"/>
      <c r="AP154" s="670"/>
    </row>
    <row r="155" spans="1:42" s="512" customFormat="1" ht="15.95" customHeight="1">
      <c r="A155" s="573"/>
      <c r="B155" s="517"/>
      <c r="C155" s="517"/>
      <c r="D155" s="517"/>
      <c r="E155" s="517"/>
      <c r="F155" s="517"/>
      <c r="G155" s="517"/>
      <c r="H155" s="517"/>
      <c r="I155" s="517"/>
      <c r="J155" s="517"/>
      <c r="K155" s="517"/>
      <c r="L155" s="517"/>
      <c r="M155" s="517"/>
      <c r="N155" s="517"/>
      <c r="O155" s="516"/>
      <c r="P155" s="516"/>
      <c r="Q155" s="516"/>
      <c r="R155" s="516"/>
      <c r="S155" s="668"/>
      <c r="T155" s="668"/>
      <c r="U155" s="668"/>
      <c r="V155" s="668"/>
      <c r="W155" s="668"/>
      <c r="X155" s="668"/>
      <c r="Y155" s="668"/>
      <c r="Z155" s="668"/>
      <c r="AA155" s="669"/>
      <c r="AB155" s="670"/>
      <c r="AC155" s="670"/>
      <c r="AD155" s="670"/>
      <c r="AE155" s="670"/>
      <c r="AF155" s="670"/>
      <c r="AG155" s="670"/>
      <c r="AH155" s="670"/>
      <c r="AI155" s="670"/>
      <c r="AJ155" s="670"/>
      <c r="AK155" s="670"/>
      <c r="AL155" s="670"/>
      <c r="AM155" s="670"/>
      <c r="AN155" s="670"/>
      <c r="AO155" s="670"/>
      <c r="AP155" s="670"/>
    </row>
    <row r="156" spans="1:42" s="512" customFormat="1" ht="15.95" customHeight="1">
      <c r="A156" s="573"/>
      <c r="B156" s="517"/>
      <c r="C156" s="517"/>
      <c r="D156" s="517"/>
      <c r="E156" s="517"/>
      <c r="F156" s="517"/>
      <c r="G156" s="517"/>
      <c r="H156" s="517"/>
      <c r="I156" s="517"/>
      <c r="J156" s="517"/>
      <c r="K156" s="517"/>
      <c r="L156" s="517"/>
      <c r="M156" s="517"/>
      <c r="N156" s="517"/>
      <c r="O156" s="516"/>
      <c r="P156" s="516"/>
      <c r="Q156" s="516"/>
      <c r="R156" s="516"/>
      <c r="S156" s="668"/>
      <c r="T156" s="668"/>
      <c r="U156" s="668"/>
      <c r="V156" s="668"/>
      <c r="W156" s="668"/>
      <c r="X156" s="668"/>
      <c r="Y156" s="668"/>
      <c r="Z156" s="668"/>
      <c r="AA156" s="669"/>
      <c r="AB156" s="670"/>
      <c r="AC156" s="670"/>
      <c r="AD156" s="670"/>
      <c r="AE156" s="670"/>
      <c r="AF156" s="670"/>
      <c r="AG156" s="670"/>
      <c r="AH156" s="670"/>
      <c r="AI156" s="670"/>
      <c r="AJ156" s="670"/>
      <c r="AK156" s="670"/>
      <c r="AL156" s="670"/>
      <c r="AM156" s="670"/>
      <c r="AN156" s="670"/>
      <c r="AO156" s="670"/>
      <c r="AP156" s="670"/>
    </row>
    <row r="157" spans="1:42" s="512" customFormat="1" ht="15.95" customHeight="1">
      <c r="A157" s="573"/>
      <c r="B157" s="517"/>
      <c r="C157" s="517"/>
      <c r="D157" s="517"/>
      <c r="E157" s="517"/>
      <c r="F157" s="517"/>
      <c r="G157" s="517"/>
      <c r="H157" s="517"/>
      <c r="I157" s="517"/>
      <c r="J157" s="517"/>
      <c r="K157" s="517"/>
      <c r="L157" s="517"/>
      <c r="M157" s="517"/>
      <c r="N157" s="517"/>
      <c r="O157" s="516"/>
      <c r="P157" s="516"/>
      <c r="Q157" s="516"/>
      <c r="R157" s="516"/>
      <c r="S157" s="668"/>
      <c r="T157" s="668"/>
      <c r="U157" s="668"/>
      <c r="V157" s="668"/>
      <c r="W157" s="668"/>
      <c r="X157" s="668"/>
      <c r="Y157" s="668"/>
      <c r="Z157" s="668"/>
      <c r="AA157" s="669"/>
      <c r="AB157" s="670"/>
      <c r="AC157" s="670"/>
      <c r="AD157" s="670"/>
      <c r="AE157" s="670"/>
      <c r="AF157" s="670"/>
      <c r="AG157" s="670"/>
      <c r="AH157" s="670"/>
      <c r="AI157" s="670"/>
      <c r="AJ157" s="670"/>
      <c r="AK157" s="670"/>
      <c r="AL157" s="670"/>
      <c r="AM157" s="670"/>
      <c r="AN157" s="670"/>
      <c r="AO157" s="670"/>
      <c r="AP157" s="670"/>
    </row>
    <row r="158" spans="1:42" s="512" customFormat="1" ht="15.95" customHeight="1">
      <c r="A158" s="573"/>
      <c r="B158" s="517"/>
      <c r="C158" s="517"/>
      <c r="D158" s="517"/>
      <c r="E158" s="517"/>
      <c r="F158" s="517"/>
      <c r="G158" s="517"/>
      <c r="H158" s="517"/>
      <c r="I158" s="517"/>
      <c r="J158" s="517"/>
      <c r="K158" s="517"/>
      <c r="L158" s="517"/>
      <c r="M158" s="517"/>
      <c r="N158" s="517"/>
      <c r="O158" s="516"/>
      <c r="P158" s="516"/>
      <c r="Q158" s="516"/>
      <c r="R158" s="516"/>
      <c r="S158" s="668"/>
      <c r="T158" s="668"/>
      <c r="U158" s="668"/>
      <c r="V158" s="668"/>
      <c r="W158" s="668"/>
      <c r="X158" s="668"/>
      <c r="Y158" s="668"/>
      <c r="Z158" s="668"/>
      <c r="AA158" s="669"/>
      <c r="AB158" s="670"/>
      <c r="AC158" s="670"/>
      <c r="AD158" s="670"/>
      <c r="AE158" s="670"/>
      <c r="AF158" s="670"/>
      <c r="AG158" s="670"/>
      <c r="AH158" s="670"/>
      <c r="AI158" s="670"/>
      <c r="AJ158" s="670"/>
      <c r="AK158" s="670"/>
      <c r="AL158" s="670"/>
      <c r="AM158" s="670"/>
      <c r="AN158" s="670"/>
      <c r="AO158" s="670"/>
      <c r="AP158" s="670"/>
    </row>
    <row r="159" spans="1:42" s="512" customFormat="1" ht="15.95" customHeight="1">
      <c r="A159" s="573"/>
      <c r="B159" s="517"/>
      <c r="C159" s="517"/>
      <c r="D159" s="517"/>
      <c r="E159" s="517"/>
      <c r="F159" s="517"/>
      <c r="G159" s="517"/>
      <c r="H159" s="517"/>
      <c r="I159" s="517"/>
      <c r="J159" s="517"/>
      <c r="K159" s="517"/>
      <c r="L159" s="517"/>
      <c r="M159" s="517"/>
      <c r="N159" s="517"/>
      <c r="O159" s="516"/>
      <c r="P159" s="516"/>
      <c r="Q159" s="516"/>
      <c r="R159" s="516"/>
      <c r="S159" s="668"/>
      <c r="T159" s="668"/>
      <c r="U159" s="668"/>
      <c r="V159" s="668"/>
      <c r="W159" s="668"/>
      <c r="X159" s="668"/>
      <c r="Y159" s="668"/>
      <c r="Z159" s="668"/>
      <c r="AA159" s="669"/>
      <c r="AB159" s="670"/>
      <c r="AC159" s="670"/>
      <c r="AD159" s="670"/>
      <c r="AE159" s="670"/>
      <c r="AF159" s="670"/>
      <c r="AG159" s="670"/>
      <c r="AH159" s="670"/>
      <c r="AI159" s="670"/>
      <c r="AJ159" s="670"/>
      <c r="AK159" s="670"/>
      <c r="AL159" s="670"/>
      <c r="AM159" s="670"/>
      <c r="AN159" s="670"/>
      <c r="AO159" s="670"/>
      <c r="AP159" s="670"/>
    </row>
    <row r="160" spans="1:42" s="512" customFormat="1" ht="15.95" customHeight="1">
      <c r="A160" s="573"/>
      <c r="B160" s="517"/>
      <c r="C160" s="517"/>
      <c r="D160" s="517"/>
      <c r="E160" s="517"/>
      <c r="F160" s="517"/>
      <c r="G160" s="517"/>
      <c r="H160" s="517"/>
      <c r="I160" s="517"/>
      <c r="J160" s="517"/>
      <c r="K160" s="517"/>
      <c r="L160" s="517"/>
      <c r="M160" s="517"/>
      <c r="N160" s="517"/>
      <c r="O160" s="516"/>
      <c r="P160" s="516"/>
      <c r="Q160" s="516"/>
      <c r="R160" s="516"/>
      <c r="S160" s="668"/>
      <c r="T160" s="668"/>
      <c r="U160" s="668"/>
      <c r="V160" s="668"/>
      <c r="W160" s="668"/>
      <c r="X160" s="668"/>
      <c r="Y160" s="668"/>
      <c r="Z160" s="668"/>
      <c r="AA160" s="669"/>
      <c r="AB160" s="670"/>
      <c r="AC160" s="670"/>
      <c r="AD160" s="670"/>
      <c r="AE160" s="670"/>
      <c r="AF160" s="670"/>
      <c r="AG160" s="670"/>
      <c r="AH160" s="670"/>
      <c r="AI160" s="670"/>
      <c r="AJ160" s="670"/>
      <c r="AK160" s="670"/>
      <c r="AL160" s="670"/>
      <c r="AM160" s="670"/>
      <c r="AN160" s="670"/>
      <c r="AO160" s="670"/>
      <c r="AP160" s="670"/>
    </row>
    <row r="161" spans="1:42" s="512" customFormat="1" ht="15.95" customHeight="1">
      <c r="A161" s="573"/>
      <c r="B161" s="517"/>
      <c r="C161" s="517"/>
      <c r="D161" s="517"/>
      <c r="E161" s="517"/>
      <c r="F161" s="517"/>
      <c r="G161" s="517"/>
      <c r="H161" s="517"/>
      <c r="I161" s="517"/>
      <c r="J161" s="517"/>
      <c r="K161" s="517"/>
      <c r="L161" s="517"/>
      <c r="M161" s="517"/>
      <c r="N161" s="517"/>
      <c r="O161" s="516"/>
      <c r="P161" s="516"/>
      <c r="Q161" s="516"/>
      <c r="R161" s="516"/>
      <c r="S161" s="668"/>
      <c r="T161" s="668"/>
      <c r="U161" s="668"/>
      <c r="V161" s="668"/>
      <c r="W161" s="668"/>
      <c r="X161" s="668"/>
      <c r="Y161" s="668"/>
      <c r="Z161" s="668"/>
      <c r="AA161" s="669"/>
      <c r="AB161" s="670"/>
      <c r="AC161" s="670"/>
      <c r="AD161" s="670"/>
      <c r="AE161" s="670"/>
      <c r="AF161" s="670"/>
      <c r="AG161" s="670"/>
      <c r="AH161" s="670"/>
      <c r="AI161" s="670"/>
      <c r="AJ161" s="670"/>
      <c r="AK161" s="670"/>
      <c r="AL161" s="670"/>
      <c r="AM161" s="670"/>
      <c r="AN161" s="670"/>
      <c r="AO161" s="670"/>
      <c r="AP161" s="670"/>
    </row>
    <row r="162" spans="1:42" s="512" customFormat="1" ht="15.95" customHeight="1">
      <c r="A162" s="573"/>
      <c r="B162" s="517"/>
      <c r="C162" s="517"/>
      <c r="D162" s="517"/>
      <c r="E162" s="517"/>
      <c r="F162" s="517"/>
      <c r="G162" s="517"/>
      <c r="H162" s="517"/>
      <c r="I162" s="517"/>
      <c r="J162" s="517"/>
      <c r="K162" s="517"/>
      <c r="L162" s="517"/>
      <c r="M162" s="517"/>
      <c r="N162" s="517"/>
      <c r="O162" s="516"/>
      <c r="P162" s="516"/>
      <c r="Q162" s="516"/>
      <c r="R162" s="516"/>
      <c r="S162" s="668"/>
      <c r="T162" s="668"/>
      <c r="U162" s="668"/>
      <c r="V162" s="668"/>
      <c r="W162" s="668"/>
      <c r="X162" s="668"/>
      <c r="Y162" s="668"/>
      <c r="Z162" s="668"/>
      <c r="AA162" s="669"/>
      <c r="AB162" s="670"/>
      <c r="AC162" s="670"/>
      <c r="AD162" s="670"/>
      <c r="AE162" s="670"/>
      <c r="AF162" s="670"/>
      <c r="AG162" s="670"/>
      <c r="AH162" s="670"/>
      <c r="AI162" s="670"/>
      <c r="AJ162" s="670"/>
      <c r="AK162" s="670"/>
      <c r="AL162" s="670"/>
      <c r="AM162" s="670"/>
      <c r="AN162" s="670"/>
      <c r="AO162" s="670"/>
      <c r="AP162" s="670"/>
    </row>
    <row r="163" spans="1:42" s="512" customFormat="1" ht="15.95" customHeight="1">
      <c r="A163" s="573"/>
      <c r="B163" s="517"/>
      <c r="C163" s="517"/>
      <c r="D163" s="517"/>
      <c r="E163" s="517"/>
      <c r="F163" s="517"/>
      <c r="G163" s="517"/>
      <c r="H163" s="517"/>
      <c r="I163" s="517"/>
      <c r="J163" s="517"/>
      <c r="K163" s="517"/>
      <c r="L163" s="517"/>
      <c r="M163" s="517"/>
      <c r="N163" s="517"/>
      <c r="O163" s="516"/>
      <c r="P163" s="516"/>
      <c r="Q163" s="516"/>
      <c r="R163" s="516"/>
      <c r="S163" s="668"/>
      <c r="T163" s="668"/>
      <c r="U163" s="668"/>
      <c r="V163" s="668"/>
      <c r="W163" s="668"/>
      <c r="X163" s="668"/>
      <c r="Y163" s="668"/>
      <c r="Z163" s="668"/>
      <c r="AA163" s="669"/>
      <c r="AB163" s="670"/>
      <c r="AC163" s="670"/>
      <c r="AD163" s="670"/>
      <c r="AE163" s="670"/>
      <c r="AF163" s="670"/>
      <c r="AG163" s="670"/>
      <c r="AH163" s="670"/>
      <c r="AI163" s="670"/>
      <c r="AJ163" s="670"/>
      <c r="AK163" s="670"/>
      <c r="AL163" s="670"/>
      <c r="AM163" s="670"/>
      <c r="AN163" s="670"/>
      <c r="AO163" s="670"/>
      <c r="AP163" s="670"/>
    </row>
    <row r="164" spans="1:42" s="512" customFormat="1" ht="15.95" customHeight="1">
      <c r="A164" s="573"/>
      <c r="B164" s="517"/>
      <c r="C164" s="517"/>
      <c r="D164" s="517"/>
      <c r="E164" s="517"/>
      <c r="F164" s="517"/>
      <c r="G164" s="517"/>
      <c r="H164" s="517"/>
      <c r="I164" s="517"/>
      <c r="J164" s="517"/>
      <c r="K164" s="517"/>
      <c r="L164" s="517"/>
      <c r="M164" s="517"/>
      <c r="N164" s="517"/>
      <c r="O164" s="516"/>
      <c r="P164" s="516"/>
      <c r="Q164" s="516"/>
      <c r="R164" s="516"/>
      <c r="S164" s="668"/>
      <c r="T164" s="668"/>
      <c r="U164" s="668"/>
      <c r="V164" s="668"/>
      <c r="W164" s="668"/>
      <c r="X164" s="668"/>
      <c r="Y164" s="668"/>
      <c r="Z164" s="668"/>
      <c r="AA164" s="669"/>
      <c r="AB164" s="670"/>
      <c r="AC164" s="670"/>
      <c r="AD164" s="670"/>
      <c r="AE164" s="670"/>
      <c r="AF164" s="670"/>
      <c r="AG164" s="670"/>
      <c r="AH164" s="670"/>
      <c r="AI164" s="670"/>
      <c r="AJ164" s="670"/>
      <c r="AK164" s="670"/>
      <c r="AL164" s="670"/>
      <c r="AM164" s="670"/>
      <c r="AN164" s="670"/>
      <c r="AO164" s="670"/>
      <c r="AP164" s="670"/>
    </row>
    <row r="165" spans="1:42" s="512" customFormat="1" ht="15.95" customHeight="1">
      <c r="A165" s="573"/>
      <c r="B165" s="517"/>
      <c r="C165" s="517"/>
      <c r="D165" s="517"/>
      <c r="E165" s="517"/>
      <c r="F165" s="517"/>
      <c r="G165" s="517"/>
      <c r="H165" s="517"/>
      <c r="I165" s="517"/>
      <c r="J165" s="517"/>
      <c r="K165" s="517"/>
      <c r="L165" s="517"/>
      <c r="M165" s="517"/>
      <c r="N165" s="517"/>
      <c r="O165" s="516"/>
      <c r="P165" s="516"/>
      <c r="Q165" s="516"/>
      <c r="R165" s="516"/>
      <c r="S165" s="668"/>
      <c r="T165" s="668"/>
      <c r="U165" s="668"/>
      <c r="V165" s="668"/>
      <c r="W165" s="668"/>
      <c r="X165" s="668"/>
      <c r="Y165" s="668"/>
      <c r="Z165" s="668"/>
      <c r="AA165" s="669"/>
      <c r="AB165" s="670"/>
      <c r="AC165" s="670"/>
      <c r="AD165" s="670"/>
      <c r="AE165" s="670"/>
      <c r="AF165" s="670"/>
      <c r="AG165" s="670"/>
      <c r="AH165" s="670"/>
      <c r="AI165" s="670"/>
      <c r="AJ165" s="670"/>
      <c r="AK165" s="670"/>
      <c r="AL165" s="670"/>
      <c r="AM165" s="670"/>
      <c r="AN165" s="670"/>
      <c r="AO165" s="670"/>
      <c r="AP165" s="670"/>
    </row>
    <row r="166" spans="1:42" s="512" customFormat="1" ht="15.95" customHeight="1">
      <c r="A166" s="573"/>
      <c r="B166" s="517"/>
      <c r="C166" s="517"/>
      <c r="D166" s="517"/>
      <c r="E166" s="517"/>
      <c r="F166" s="517"/>
      <c r="G166" s="517"/>
      <c r="H166" s="517"/>
      <c r="I166" s="517"/>
      <c r="J166" s="517"/>
      <c r="K166" s="517"/>
      <c r="L166" s="517"/>
      <c r="M166" s="517"/>
      <c r="N166" s="517"/>
      <c r="O166" s="516"/>
      <c r="P166" s="516"/>
      <c r="Q166" s="516"/>
      <c r="R166" s="516"/>
      <c r="S166" s="668"/>
      <c r="T166" s="668"/>
      <c r="U166" s="668"/>
      <c r="V166" s="668"/>
      <c r="W166" s="668"/>
      <c r="X166" s="668"/>
      <c r="Y166" s="668"/>
      <c r="Z166" s="668"/>
      <c r="AA166" s="669"/>
      <c r="AB166" s="670"/>
      <c r="AC166" s="670"/>
      <c r="AD166" s="670"/>
      <c r="AE166" s="670"/>
      <c r="AF166" s="670"/>
      <c r="AG166" s="670"/>
      <c r="AH166" s="670"/>
      <c r="AI166" s="670"/>
      <c r="AJ166" s="670"/>
      <c r="AK166" s="670"/>
      <c r="AL166" s="670"/>
      <c r="AM166" s="670"/>
      <c r="AN166" s="670"/>
      <c r="AO166" s="670"/>
      <c r="AP166" s="670"/>
    </row>
    <row r="167" spans="1:42" s="512" customFormat="1" ht="15.95" customHeight="1">
      <c r="A167" s="573"/>
      <c r="B167" s="517"/>
      <c r="C167" s="517"/>
      <c r="D167" s="517"/>
      <c r="E167" s="517"/>
      <c r="F167" s="517"/>
      <c r="G167" s="517"/>
      <c r="H167" s="517"/>
      <c r="I167" s="517"/>
      <c r="J167" s="517"/>
      <c r="K167" s="517"/>
      <c r="L167" s="517"/>
      <c r="M167" s="517"/>
      <c r="N167" s="517"/>
      <c r="O167" s="516"/>
      <c r="P167" s="516"/>
      <c r="Q167" s="516"/>
      <c r="R167" s="516"/>
      <c r="S167" s="668"/>
      <c r="T167" s="668"/>
      <c r="U167" s="668"/>
      <c r="V167" s="668"/>
      <c r="W167" s="668"/>
      <c r="X167" s="668"/>
      <c r="Y167" s="668"/>
      <c r="Z167" s="668"/>
      <c r="AA167" s="669"/>
      <c r="AB167" s="670"/>
      <c r="AC167" s="670"/>
      <c r="AD167" s="670"/>
      <c r="AE167" s="670"/>
      <c r="AF167" s="670"/>
      <c r="AG167" s="670"/>
      <c r="AH167" s="670"/>
      <c r="AI167" s="670"/>
      <c r="AJ167" s="670"/>
      <c r="AK167" s="670"/>
      <c r="AL167" s="670"/>
      <c r="AM167" s="670"/>
      <c r="AN167" s="670"/>
      <c r="AO167" s="670"/>
      <c r="AP167" s="670"/>
    </row>
    <row r="168" spans="1:42" s="512" customFormat="1" ht="15.95" customHeight="1">
      <c r="A168" s="573"/>
      <c r="B168" s="517"/>
      <c r="C168" s="517"/>
      <c r="D168" s="517"/>
      <c r="E168" s="517"/>
      <c r="F168" s="517"/>
      <c r="G168" s="517"/>
      <c r="H168" s="517"/>
      <c r="I168" s="517"/>
      <c r="J168" s="517"/>
      <c r="K168" s="517"/>
      <c r="L168" s="517"/>
      <c r="M168" s="517"/>
      <c r="N168" s="517"/>
      <c r="O168" s="516"/>
      <c r="P168" s="516"/>
      <c r="Q168" s="516"/>
      <c r="R168" s="516"/>
      <c r="S168" s="668"/>
      <c r="T168" s="668"/>
      <c r="U168" s="668"/>
      <c r="V168" s="668"/>
      <c r="W168" s="668"/>
      <c r="X168" s="668"/>
      <c r="Y168" s="668"/>
      <c r="Z168" s="668"/>
      <c r="AA168" s="669"/>
      <c r="AB168" s="670"/>
      <c r="AC168" s="670"/>
      <c r="AD168" s="670"/>
      <c r="AE168" s="670"/>
      <c r="AF168" s="670"/>
      <c r="AG168" s="670"/>
      <c r="AH168" s="670"/>
      <c r="AI168" s="670"/>
      <c r="AJ168" s="670"/>
      <c r="AK168" s="670"/>
      <c r="AL168" s="670"/>
      <c r="AM168" s="670"/>
      <c r="AN168" s="670"/>
      <c r="AO168" s="670"/>
      <c r="AP168" s="670"/>
    </row>
    <row r="169" spans="1:42" s="512" customFormat="1" ht="15.95" customHeight="1">
      <c r="A169" s="573"/>
      <c r="B169" s="517"/>
      <c r="C169" s="517"/>
      <c r="D169" s="517"/>
      <c r="E169" s="517"/>
      <c r="F169" s="517"/>
      <c r="G169" s="517"/>
      <c r="H169" s="517"/>
      <c r="I169" s="517"/>
      <c r="J169" s="517"/>
      <c r="K169" s="517"/>
      <c r="L169" s="517"/>
      <c r="M169" s="517"/>
      <c r="N169" s="517"/>
      <c r="O169" s="516"/>
      <c r="P169" s="516"/>
      <c r="Q169" s="516"/>
      <c r="R169" s="516"/>
      <c r="S169" s="668"/>
      <c r="T169" s="668"/>
      <c r="U169" s="668"/>
      <c r="V169" s="668"/>
      <c r="W169" s="668"/>
      <c r="X169" s="668"/>
      <c r="Y169" s="668"/>
      <c r="Z169" s="668"/>
      <c r="AA169" s="669"/>
      <c r="AB169" s="670"/>
      <c r="AC169" s="670"/>
      <c r="AD169" s="670"/>
      <c r="AE169" s="670"/>
      <c r="AF169" s="670"/>
      <c r="AG169" s="670"/>
      <c r="AH169" s="670"/>
      <c r="AI169" s="670"/>
      <c r="AJ169" s="670"/>
      <c r="AK169" s="670"/>
      <c r="AL169" s="670"/>
      <c r="AM169" s="670"/>
      <c r="AN169" s="670"/>
      <c r="AO169" s="670"/>
      <c r="AP169" s="670"/>
    </row>
    <row r="170" spans="1:42" s="512" customFormat="1" ht="15.95" customHeight="1">
      <c r="A170" s="573"/>
      <c r="B170" s="517"/>
      <c r="C170" s="517"/>
      <c r="D170" s="517"/>
      <c r="E170" s="517"/>
      <c r="F170" s="517"/>
      <c r="G170" s="517"/>
      <c r="H170" s="517"/>
      <c r="I170" s="517"/>
      <c r="J170" s="517"/>
      <c r="K170" s="517"/>
      <c r="L170" s="517"/>
      <c r="M170" s="517"/>
      <c r="N170" s="517"/>
      <c r="O170" s="516"/>
      <c r="P170" s="516"/>
      <c r="Q170" s="516"/>
      <c r="R170" s="516"/>
      <c r="S170" s="668"/>
      <c r="T170" s="668"/>
      <c r="U170" s="668"/>
      <c r="V170" s="668"/>
      <c r="W170" s="668"/>
      <c r="X170" s="668"/>
      <c r="Y170" s="668"/>
      <c r="Z170" s="668"/>
      <c r="AA170" s="669"/>
      <c r="AB170" s="670"/>
      <c r="AC170" s="670"/>
      <c r="AD170" s="670"/>
      <c r="AE170" s="670"/>
      <c r="AF170" s="670"/>
      <c r="AG170" s="670"/>
      <c r="AH170" s="670"/>
      <c r="AI170" s="670"/>
      <c r="AJ170" s="670"/>
      <c r="AK170" s="670"/>
      <c r="AL170" s="670"/>
      <c r="AM170" s="670"/>
      <c r="AN170" s="670"/>
      <c r="AO170" s="670"/>
      <c r="AP170" s="670"/>
    </row>
    <row r="171" spans="1:42" s="512" customFormat="1" ht="15.95" customHeight="1">
      <c r="A171" s="573"/>
      <c r="B171" s="517"/>
      <c r="C171" s="517"/>
      <c r="D171" s="517"/>
      <c r="E171" s="517"/>
      <c r="F171" s="517"/>
      <c r="G171" s="517"/>
      <c r="H171" s="517"/>
      <c r="I171" s="517"/>
      <c r="J171" s="517"/>
      <c r="K171" s="517"/>
      <c r="L171" s="517"/>
      <c r="M171" s="517"/>
      <c r="N171" s="517"/>
      <c r="O171" s="516"/>
      <c r="P171" s="516"/>
      <c r="Q171" s="516"/>
      <c r="R171" s="516"/>
      <c r="S171" s="668"/>
      <c r="T171" s="668"/>
      <c r="U171" s="668"/>
      <c r="V171" s="668"/>
      <c r="W171" s="668"/>
      <c r="X171" s="668"/>
      <c r="Y171" s="668"/>
      <c r="Z171" s="668"/>
      <c r="AA171" s="669"/>
      <c r="AB171" s="670"/>
      <c r="AC171" s="670"/>
      <c r="AD171" s="670"/>
      <c r="AE171" s="670"/>
      <c r="AF171" s="670"/>
      <c r="AG171" s="670"/>
      <c r="AH171" s="670"/>
      <c r="AI171" s="670"/>
      <c r="AJ171" s="670"/>
      <c r="AK171" s="670"/>
      <c r="AL171" s="670"/>
      <c r="AM171" s="670"/>
      <c r="AN171" s="670"/>
      <c r="AO171" s="670"/>
      <c r="AP171" s="670"/>
    </row>
    <row r="172" spans="1:42" s="512" customFormat="1" ht="15.95" customHeight="1">
      <c r="A172" s="573"/>
      <c r="B172" s="517"/>
      <c r="C172" s="517"/>
      <c r="D172" s="517"/>
      <c r="E172" s="517"/>
      <c r="F172" s="517"/>
      <c r="G172" s="517"/>
      <c r="H172" s="517"/>
      <c r="I172" s="517"/>
      <c r="J172" s="517"/>
      <c r="K172" s="517"/>
      <c r="L172" s="517"/>
      <c r="M172" s="517"/>
      <c r="N172" s="517"/>
      <c r="O172" s="516"/>
      <c r="P172" s="516"/>
      <c r="Q172" s="516"/>
      <c r="R172" s="516"/>
      <c r="S172" s="668"/>
      <c r="T172" s="668"/>
      <c r="U172" s="668"/>
      <c r="V172" s="668"/>
      <c r="W172" s="668"/>
      <c r="X172" s="668"/>
      <c r="Y172" s="668"/>
      <c r="Z172" s="668"/>
      <c r="AA172" s="669"/>
      <c r="AB172" s="670"/>
      <c r="AC172" s="670"/>
      <c r="AD172" s="670"/>
      <c r="AE172" s="670"/>
      <c r="AF172" s="670"/>
      <c r="AG172" s="670"/>
      <c r="AH172" s="670"/>
      <c r="AI172" s="670"/>
      <c r="AJ172" s="670"/>
      <c r="AK172" s="670"/>
      <c r="AL172" s="670"/>
      <c r="AM172" s="670"/>
      <c r="AN172" s="670"/>
      <c r="AO172" s="670"/>
      <c r="AP172" s="670"/>
    </row>
    <row r="173" spans="1:42" s="512" customFormat="1" ht="15.95" customHeight="1">
      <c r="A173" s="573"/>
      <c r="B173" s="517"/>
      <c r="C173" s="517"/>
      <c r="D173" s="517"/>
      <c r="E173" s="517"/>
      <c r="F173" s="517"/>
      <c r="G173" s="517"/>
      <c r="H173" s="517"/>
      <c r="I173" s="517"/>
      <c r="J173" s="517"/>
      <c r="K173" s="517"/>
      <c r="L173" s="517"/>
      <c r="M173" s="517"/>
      <c r="N173" s="517"/>
      <c r="O173" s="516"/>
      <c r="P173" s="516"/>
      <c r="Q173" s="516"/>
      <c r="R173" s="516"/>
      <c r="S173" s="668"/>
      <c r="T173" s="668"/>
      <c r="U173" s="668"/>
      <c r="V173" s="668"/>
      <c r="W173" s="668"/>
      <c r="X173" s="668"/>
      <c r="Y173" s="668"/>
      <c r="Z173" s="668"/>
      <c r="AA173" s="669"/>
      <c r="AB173" s="670"/>
      <c r="AC173" s="670"/>
      <c r="AD173" s="670"/>
      <c r="AE173" s="670"/>
      <c r="AF173" s="670"/>
      <c r="AG173" s="670"/>
      <c r="AH173" s="670"/>
      <c r="AI173" s="670"/>
      <c r="AJ173" s="670"/>
      <c r="AK173" s="670"/>
      <c r="AL173" s="670"/>
      <c r="AM173" s="670"/>
      <c r="AN173" s="670"/>
      <c r="AO173" s="670"/>
      <c r="AP173" s="670"/>
    </row>
    <row r="174" spans="1:42" s="512" customFormat="1" ht="15.95" customHeight="1">
      <c r="A174" s="573"/>
      <c r="B174" s="517"/>
      <c r="C174" s="517"/>
      <c r="D174" s="517"/>
      <c r="E174" s="517"/>
      <c r="F174" s="517"/>
      <c r="G174" s="517"/>
      <c r="H174" s="517"/>
      <c r="I174" s="517"/>
      <c r="J174" s="517"/>
      <c r="K174" s="517"/>
      <c r="L174" s="517"/>
      <c r="M174" s="517"/>
      <c r="N174" s="517"/>
      <c r="O174" s="516"/>
      <c r="P174" s="516"/>
      <c r="Q174" s="516"/>
      <c r="R174" s="516"/>
      <c r="S174" s="668"/>
      <c r="T174" s="668"/>
      <c r="U174" s="668"/>
      <c r="V174" s="668"/>
      <c r="W174" s="668"/>
      <c r="X174" s="668"/>
      <c r="Y174" s="668"/>
      <c r="Z174" s="668"/>
      <c r="AA174" s="669"/>
      <c r="AB174" s="670"/>
      <c r="AC174" s="670"/>
      <c r="AD174" s="670"/>
      <c r="AE174" s="670"/>
      <c r="AF174" s="670"/>
      <c r="AG174" s="670"/>
      <c r="AH174" s="670"/>
      <c r="AI174" s="670"/>
      <c r="AJ174" s="670"/>
      <c r="AK174" s="670"/>
      <c r="AL174" s="670"/>
      <c r="AM174" s="670"/>
      <c r="AN174" s="670"/>
      <c r="AO174" s="670"/>
      <c r="AP174" s="670"/>
    </row>
    <row r="175" spans="1:42" s="512" customFormat="1" ht="15.95" customHeight="1">
      <c r="A175" s="573"/>
      <c r="B175" s="517"/>
      <c r="C175" s="517"/>
      <c r="D175" s="517"/>
      <c r="E175" s="517"/>
      <c r="F175" s="517"/>
      <c r="G175" s="517"/>
      <c r="H175" s="517"/>
      <c r="I175" s="517"/>
      <c r="J175" s="517"/>
      <c r="K175" s="517"/>
      <c r="L175" s="517"/>
      <c r="M175" s="517"/>
      <c r="N175" s="517"/>
      <c r="O175" s="516"/>
      <c r="P175" s="516"/>
      <c r="Q175" s="516"/>
      <c r="R175" s="516"/>
      <c r="S175" s="668"/>
      <c r="T175" s="668"/>
      <c r="U175" s="668"/>
      <c r="V175" s="668"/>
      <c r="W175" s="668"/>
      <c r="X175" s="668"/>
      <c r="Y175" s="668"/>
      <c r="Z175" s="668"/>
      <c r="AA175" s="669"/>
      <c r="AB175" s="670"/>
      <c r="AC175" s="670"/>
      <c r="AD175" s="670"/>
      <c r="AE175" s="670"/>
      <c r="AF175" s="670"/>
      <c r="AG175" s="670"/>
      <c r="AH175" s="670"/>
      <c r="AI175" s="670"/>
      <c r="AJ175" s="670"/>
      <c r="AK175" s="670"/>
      <c r="AL175" s="670"/>
      <c r="AM175" s="670"/>
      <c r="AN175" s="670"/>
      <c r="AO175" s="670"/>
      <c r="AP175" s="670"/>
    </row>
    <row r="176" spans="1:42" s="512" customFormat="1" ht="15.95" customHeight="1">
      <c r="A176" s="573"/>
      <c r="B176" s="517"/>
      <c r="C176" s="517"/>
      <c r="D176" s="517"/>
      <c r="E176" s="517"/>
      <c r="F176" s="517"/>
      <c r="G176" s="517"/>
      <c r="H176" s="517"/>
      <c r="I176" s="517"/>
      <c r="J176" s="517"/>
      <c r="K176" s="517"/>
      <c r="L176" s="517"/>
      <c r="M176" s="517"/>
      <c r="N176" s="517"/>
      <c r="O176" s="516"/>
      <c r="P176" s="516"/>
      <c r="Q176" s="516"/>
      <c r="R176" s="516"/>
      <c r="S176" s="668"/>
      <c r="T176" s="668"/>
      <c r="U176" s="668"/>
      <c r="V176" s="668"/>
      <c r="W176" s="668"/>
      <c r="X176" s="668"/>
      <c r="Y176" s="668"/>
      <c r="Z176" s="668"/>
      <c r="AA176" s="669"/>
      <c r="AB176" s="670"/>
      <c r="AC176" s="670"/>
      <c r="AD176" s="670"/>
      <c r="AE176" s="670"/>
      <c r="AF176" s="670"/>
      <c r="AG176" s="670"/>
      <c r="AH176" s="670"/>
      <c r="AI176" s="670"/>
      <c r="AJ176" s="670"/>
      <c r="AK176" s="670"/>
      <c r="AL176" s="670"/>
      <c r="AM176" s="670"/>
      <c r="AN176" s="670"/>
      <c r="AO176" s="670"/>
      <c r="AP176" s="670"/>
    </row>
    <row r="177" spans="1:42" s="512" customFormat="1" ht="15.95" customHeight="1">
      <c r="A177" s="573"/>
      <c r="B177" s="517"/>
      <c r="C177" s="517"/>
      <c r="D177" s="517"/>
      <c r="E177" s="517"/>
      <c r="F177" s="517"/>
      <c r="G177" s="517"/>
      <c r="H177" s="517"/>
      <c r="I177" s="517"/>
      <c r="J177" s="517"/>
      <c r="K177" s="517"/>
      <c r="L177" s="517"/>
      <c r="M177" s="517"/>
      <c r="N177" s="517"/>
      <c r="O177" s="516"/>
      <c r="P177" s="516"/>
      <c r="Q177" s="516"/>
      <c r="R177" s="516"/>
      <c r="S177" s="668"/>
      <c r="T177" s="668"/>
      <c r="U177" s="668"/>
      <c r="V177" s="668"/>
      <c r="W177" s="668"/>
      <c r="X177" s="668"/>
      <c r="Y177" s="668"/>
      <c r="Z177" s="668"/>
      <c r="AA177" s="669"/>
      <c r="AB177" s="670"/>
      <c r="AC177" s="670"/>
      <c r="AD177" s="670"/>
      <c r="AE177" s="670"/>
      <c r="AF177" s="670"/>
      <c r="AG177" s="670"/>
      <c r="AH177" s="670"/>
      <c r="AI177" s="670"/>
      <c r="AJ177" s="670"/>
      <c r="AK177" s="670"/>
      <c r="AL177" s="670"/>
      <c r="AM177" s="670"/>
      <c r="AN177" s="670"/>
      <c r="AO177" s="670"/>
      <c r="AP177" s="670"/>
    </row>
    <row r="178" spans="1:42" s="512" customFormat="1" ht="15.95" customHeight="1">
      <c r="A178" s="573"/>
      <c r="B178" s="517"/>
      <c r="C178" s="517"/>
      <c r="D178" s="517"/>
      <c r="E178" s="517"/>
      <c r="F178" s="517"/>
      <c r="G178" s="517"/>
      <c r="H178" s="517"/>
      <c r="I178" s="517"/>
      <c r="J178" s="517"/>
      <c r="K178" s="517"/>
      <c r="L178" s="517"/>
      <c r="M178" s="517"/>
      <c r="N178" s="517"/>
      <c r="O178" s="516"/>
      <c r="P178" s="516"/>
      <c r="Q178" s="516"/>
      <c r="R178" s="516"/>
      <c r="S178" s="668"/>
      <c r="T178" s="668"/>
      <c r="U178" s="668"/>
      <c r="V178" s="668"/>
      <c r="W178" s="668"/>
      <c r="X178" s="668"/>
      <c r="Y178" s="668"/>
      <c r="Z178" s="668"/>
      <c r="AA178" s="669"/>
      <c r="AB178" s="670"/>
      <c r="AC178" s="670"/>
      <c r="AD178" s="670"/>
      <c r="AE178" s="670"/>
      <c r="AF178" s="670"/>
      <c r="AG178" s="670"/>
      <c r="AH178" s="670"/>
      <c r="AI178" s="670"/>
      <c r="AJ178" s="670"/>
      <c r="AK178" s="670"/>
      <c r="AL178" s="670"/>
      <c r="AM178" s="670"/>
      <c r="AN178" s="670"/>
      <c r="AO178" s="670"/>
      <c r="AP178" s="670"/>
    </row>
    <row r="179" spans="1:42" s="512" customFormat="1" ht="15.95" customHeight="1">
      <c r="A179" s="573"/>
      <c r="B179" s="517"/>
      <c r="C179" s="517"/>
      <c r="D179" s="517"/>
      <c r="E179" s="517"/>
      <c r="F179" s="517"/>
      <c r="G179" s="517"/>
      <c r="H179" s="517"/>
      <c r="I179" s="517"/>
      <c r="J179" s="517"/>
      <c r="K179" s="517"/>
      <c r="L179" s="517"/>
      <c r="M179" s="517"/>
      <c r="N179" s="517"/>
      <c r="O179" s="516"/>
      <c r="P179" s="516"/>
      <c r="Q179" s="516"/>
      <c r="R179" s="516"/>
      <c r="S179" s="668"/>
      <c r="T179" s="668"/>
      <c r="U179" s="668"/>
      <c r="V179" s="668"/>
      <c r="W179" s="668"/>
      <c r="X179" s="668"/>
      <c r="Y179" s="668"/>
      <c r="Z179" s="668"/>
      <c r="AA179" s="669"/>
      <c r="AB179" s="670"/>
      <c r="AC179" s="670"/>
      <c r="AD179" s="670"/>
      <c r="AE179" s="670"/>
      <c r="AF179" s="670"/>
      <c r="AG179" s="670"/>
      <c r="AH179" s="670"/>
      <c r="AI179" s="670"/>
      <c r="AJ179" s="670"/>
      <c r="AK179" s="670"/>
      <c r="AL179" s="670"/>
      <c r="AM179" s="670"/>
      <c r="AN179" s="670"/>
      <c r="AO179" s="670"/>
      <c r="AP179" s="670"/>
    </row>
    <row r="180" spans="1:42" s="512" customFormat="1" ht="15.95" customHeight="1">
      <c r="A180" s="573"/>
      <c r="B180" s="517"/>
      <c r="C180" s="517"/>
      <c r="D180" s="517"/>
      <c r="E180" s="517"/>
      <c r="F180" s="517"/>
      <c r="G180" s="517"/>
      <c r="H180" s="517"/>
      <c r="I180" s="517"/>
      <c r="J180" s="517"/>
      <c r="K180" s="517"/>
      <c r="L180" s="517"/>
      <c r="M180" s="517"/>
      <c r="N180" s="517"/>
      <c r="O180" s="516"/>
      <c r="P180" s="516"/>
      <c r="Q180" s="516"/>
      <c r="R180" s="516"/>
      <c r="S180" s="668"/>
      <c r="T180" s="668"/>
      <c r="U180" s="668"/>
      <c r="V180" s="668"/>
      <c r="W180" s="668"/>
      <c r="X180" s="668"/>
      <c r="Y180" s="668"/>
      <c r="Z180" s="668"/>
      <c r="AA180" s="669"/>
      <c r="AB180" s="670"/>
      <c r="AC180" s="670"/>
      <c r="AD180" s="670"/>
      <c r="AE180" s="670"/>
      <c r="AF180" s="670"/>
      <c r="AG180" s="670"/>
      <c r="AH180" s="670"/>
      <c r="AI180" s="670"/>
      <c r="AJ180" s="670"/>
      <c r="AK180" s="670"/>
      <c r="AL180" s="670"/>
      <c r="AM180" s="670"/>
      <c r="AN180" s="670"/>
      <c r="AO180" s="670"/>
      <c r="AP180" s="670"/>
    </row>
  </sheetData>
  <sheetProtection formatCells="0" selectLockedCells="1"/>
  <mergeCells count="67">
    <mergeCell ref="B6:D6"/>
    <mergeCell ref="E6:I6"/>
    <mergeCell ref="J6:L6"/>
    <mergeCell ref="M6:R6"/>
    <mergeCell ref="E2:O5"/>
    <mergeCell ref="P2:Q2"/>
    <mergeCell ref="P3:Q3"/>
    <mergeCell ref="P4:Q4"/>
    <mergeCell ref="P5:Q5"/>
    <mergeCell ref="B7:D7"/>
    <mergeCell ref="E7:I7"/>
    <mergeCell ref="J7:L7"/>
    <mergeCell ref="M7:R7"/>
    <mergeCell ref="B8:D8"/>
    <mergeCell ref="E8:I8"/>
    <mergeCell ref="J8:L8"/>
    <mergeCell ref="M8:R8"/>
    <mergeCell ref="B9:R9"/>
    <mergeCell ref="H11:J11"/>
    <mergeCell ref="F12:K12"/>
    <mergeCell ref="U12:AA13"/>
    <mergeCell ref="AC12:AI13"/>
    <mergeCell ref="F13:K13"/>
    <mergeCell ref="F25:K25"/>
    <mergeCell ref="F14:K14"/>
    <mergeCell ref="F15:K15"/>
    <mergeCell ref="F16:K16"/>
    <mergeCell ref="F17:K17"/>
    <mergeCell ref="F18:K18"/>
    <mergeCell ref="F19:K19"/>
    <mergeCell ref="F20:K20"/>
    <mergeCell ref="F21:K21"/>
    <mergeCell ref="F22:K22"/>
    <mergeCell ref="F23:K23"/>
    <mergeCell ref="F24:K24"/>
    <mergeCell ref="D38:R38"/>
    <mergeCell ref="F26:K26"/>
    <mergeCell ref="F27:K27"/>
    <mergeCell ref="F28:K28"/>
    <mergeCell ref="F29:K29"/>
    <mergeCell ref="F30:K30"/>
    <mergeCell ref="F31:K31"/>
    <mergeCell ref="C33:R33"/>
    <mergeCell ref="D34:R34"/>
    <mergeCell ref="D35:R35"/>
    <mergeCell ref="D36:R36"/>
    <mergeCell ref="D37:R37"/>
    <mergeCell ref="C50:R50"/>
    <mergeCell ref="D39:R39"/>
    <mergeCell ref="D40:R40"/>
    <mergeCell ref="D41:R41"/>
    <mergeCell ref="D42:R42"/>
    <mergeCell ref="D43:R43"/>
    <mergeCell ref="D44:R44"/>
    <mergeCell ref="D45:R45"/>
    <mergeCell ref="D46:R46"/>
    <mergeCell ref="D47:R47"/>
    <mergeCell ref="D48:R48"/>
    <mergeCell ref="D49:R49"/>
    <mergeCell ref="C54:F54"/>
    <mergeCell ref="G54:R54"/>
    <mergeCell ref="C51:F51"/>
    <mergeCell ref="G51:R51"/>
    <mergeCell ref="C52:F52"/>
    <mergeCell ref="G52:R52"/>
    <mergeCell ref="C53:F53"/>
    <mergeCell ref="G53:R53"/>
  </mergeCells>
  <pageMargins left="0.7" right="0.7" top="0.75" bottom="0.75" header="0.3" footer="0.3"/>
  <pageSetup scale="58" orientation="portrait" r:id="rId1"/>
  <colBreaks count="1" manualBreakCount="1">
    <brk id="18"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193"/>
  <sheetViews>
    <sheetView view="pageBreakPreview" zoomScale="70" zoomScaleNormal="70" zoomScaleSheetLayoutView="70" workbookViewId="0">
      <selection activeCell="C38" sqref="C38"/>
    </sheetView>
  </sheetViews>
  <sheetFormatPr defaultRowHeight="15"/>
  <cols>
    <col min="1" max="1" width="3.28515625" style="596" customWidth="1"/>
    <col min="2" max="2" width="3.7109375" style="574" customWidth="1"/>
    <col min="3" max="3" width="4.7109375" style="574" customWidth="1"/>
    <col min="4" max="12" width="9.7109375" style="574" customWidth="1"/>
    <col min="13" max="13" width="4.7109375" style="574" customWidth="1"/>
    <col min="14" max="14" width="3.7109375" style="574" customWidth="1"/>
    <col min="15" max="15" width="10.7109375" style="585" customWidth="1"/>
    <col min="16" max="17" width="5.42578125" style="574" customWidth="1"/>
    <col min="18" max="19" width="8.42578125" style="574" customWidth="1"/>
    <col min="20" max="20" width="9.140625" style="586" customWidth="1"/>
    <col min="21" max="22" width="10.7109375" style="574" customWidth="1"/>
    <col min="23" max="36" width="10.7109375" style="738" customWidth="1"/>
    <col min="37" max="16384" width="9.140625" style="738"/>
  </cols>
  <sheetData>
    <row r="1" spans="1:30" ht="13.5" thickBot="1">
      <c r="A1" s="587"/>
      <c r="B1" s="133"/>
      <c r="C1" s="133"/>
      <c r="D1" s="133"/>
      <c r="E1" s="133"/>
      <c r="F1" s="133"/>
      <c r="G1" s="133"/>
      <c r="H1" s="133"/>
      <c r="I1" s="133"/>
      <c r="J1" s="133"/>
      <c r="K1" s="133"/>
      <c r="L1" s="133"/>
      <c r="M1" s="133"/>
      <c r="N1" s="133"/>
      <c r="O1" s="133"/>
      <c r="P1" s="133"/>
      <c r="Q1" s="133"/>
      <c r="R1" s="133"/>
      <c r="S1" s="133"/>
      <c r="T1" s="133"/>
      <c r="U1" s="173" t="s">
        <v>211</v>
      </c>
      <c r="V1" s="174">
        <f>'Steam Coil Rupture'!R1+1</f>
        <v>5</v>
      </c>
    </row>
    <row r="2" spans="1:30" ht="15.75">
      <c r="A2" s="587"/>
      <c r="B2" s="106"/>
      <c r="C2" s="107"/>
      <c r="D2" s="107"/>
      <c r="E2" s="915" t="s">
        <v>218</v>
      </c>
      <c r="F2" s="915"/>
      <c r="G2" s="915"/>
      <c r="H2" s="915"/>
      <c r="I2" s="915"/>
      <c r="J2" s="915"/>
      <c r="K2" s="915"/>
      <c r="L2" s="915"/>
      <c r="M2" s="915"/>
      <c r="N2" s="915"/>
      <c r="O2" s="915"/>
      <c r="P2" s="915"/>
      <c r="Q2" s="915"/>
      <c r="R2" s="915"/>
      <c r="S2" s="915"/>
      <c r="T2" s="918" t="s">
        <v>161</v>
      </c>
      <c r="U2" s="919"/>
      <c r="V2" s="175" t="str">
        <f>IF(ISBLANK([2]General!$E$6),"",[2]General!$E$6)</f>
        <v>A</v>
      </c>
    </row>
    <row r="3" spans="1:30" ht="12.75">
      <c r="A3" s="587"/>
      <c r="B3" s="108"/>
      <c r="C3" s="57"/>
      <c r="D3" s="58"/>
      <c r="E3" s="916"/>
      <c r="F3" s="916"/>
      <c r="G3" s="916"/>
      <c r="H3" s="916"/>
      <c r="I3" s="916"/>
      <c r="J3" s="916"/>
      <c r="K3" s="916"/>
      <c r="L3" s="916"/>
      <c r="M3" s="916"/>
      <c r="N3" s="916"/>
      <c r="O3" s="916"/>
      <c r="P3" s="916"/>
      <c r="Q3" s="916"/>
      <c r="R3" s="916"/>
      <c r="S3" s="916"/>
      <c r="T3" s="920" t="s">
        <v>212</v>
      </c>
      <c r="U3" s="921"/>
      <c r="V3" s="176" t="str">
        <f>IF(ISBLANK([2]General!$E$12),"",[2]General!$E$12)</f>
        <v>NRB</v>
      </c>
    </row>
    <row r="4" spans="1:30" ht="12.75">
      <c r="A4" s="587"/>
      <c r="B4" s="108"/>
      <c r="C4" s="57"/>
      <c r="D4" s="58"/>
      <c r="E4" s="916"/>
      <c r="F4" s="916"/>
      <c r="G4" s="916"/>
      <c r="H4" s="916"/>
      <c r="I4" s="916"/>
      <c r="J4" s="916"/>
      <c r="K4" s="916"/>
      <c r="L4" s="916"/>
      <c r="M4" s="916"/>
      <c r="N4" s="916"/>
      <c r="O4" s="916"/>
      <c r="P4" s="916"/>
      <c r="Q4" s="916"/>
      <c r="R4" s="916"/>
      <c r="S4" s="916"/>
      <c r="T4" s="920" t="s">
        <v>213</v>
      </c>
      <c r="U4" s="921"/>
      <c r="V4" s="177">
        <f>IF(ISBLANK([2]General!$E$13),"",[2]General!$E$13)</f>
        <v>41813</v>
      </c>
    </row>
    <row r="5" spans="1:30" ht="12.75">
      <c r="A5" s="587"/>
      <c r="B5" s="116"/>
      <c r="C5" s="56"/>
      <c r="D5" s="56"/>
      <c r="E5" s="917"/>
      <c r="F5" s="917"/>
      <c r="G5" s="917"/>
      <c r="H5" s="917"/>
      <c r="I5" s="917"/>
      <c r="J5" s="917"/>
      <c r="K5" s="917"/>
      <c r="L5" s="917"/>
      <c r="M5" s="917"/>
      <c r="N5" s="917"/>
      <c r="O5" s="917"/>
      <c r="P5" s="917"/>
      <c r="Q5" s="917"/>
      <c r="R5" s="917"/>
      <c r="S5" s="917"/>
      <c r="T5" s="922" t="s">
        <v>214</v>
      </c>
      <c r="U5" s="923"/>
      <c r="V5" s="178" t="str">
        <f>IF(ISBLANK([2]General!$E$14),"",[2]General!$E$14)</f>
        <v/>
      </c>
    </row>
    <row r="6" spans="1:30" ht="12.75">
      <c r="A6" s="587"/>
      <c r="B6" s="924" t="s">
        <v>165</v>
      </c>
      <c r="C6" s="925"/>
      <c r="D6" s="926"/>
      <c r="E6" s="927" t="str">
        <f>IF(ISBLANK([2]General!$E$8),"",[2]General!$E$8)</f>
        <v>Flint Hills Resources</v>
      </c>
      <c r="F6" s="928"/>
      <c r="G6" s="928"/>
      <c r="H6" s="928"/>
      <c r="I6" s="929"/>
      <c r="J6" s="930" t="s">
        <v>215</v>
      </c>
      <c r="K6" s="931"/>
      <c r="L6" s="931"/>
      <c r="M6" s="931"/>
      <c r="N6" s="931"/>
      <c r="O6" s="931"/>
      <c r="P6" s="932"/>
      <c r="Q6" s="927" t="str">
        <f>IF(ISBLANK([2]General!$C$30),"",[2]General!$C$30)</f>
        <v>High Pressure KO Drum</v>
      </c>
      <c r="R6" s="928"/>
      <c r="S6" s="928"/>
      <c r="T6" s="928"/>
      <c r="U6" s="928"/>
      <c r="V6" s="933"/>
    </row>
    <row r="7" spans="1:30" ht="12.75">
      <c r="A7" s="587"/>
      <c r="B7" s="895" t="s">
        <v>216</v>
      </c>
      <c r="C7" s="896"/>
      <c r="D7" s="897"/>
      <c r="E7" s="898" t="str">
        <f>IF(ISBLANK([2]General!$E$9),"",[2]General!$E$9)</f>
        <v>EDCP</v>
      </c>
      <c r="F7" s="899"/>
      <c r="G7" s="899"/>
      <c r="H7" s="899"/>
      <c r="I7" s="900"/>
      <c r="J7" s="901" t="s">
        <v>217</v>
      </c>
      <c r="K7" s="902"/>
      <c r="L7" s="902"/>
      <c r="M7" s="902"/>
      <c r="N7" s="902"/>
      <c r="O7" s="902"/>
      <c r="P7" s="903"/>
      <c r="Q7" s="898" t="str">
        <f>IF(ISBLANK([2]General!$D$30),"",[2]General!$D$30)</f>
        <v>84V-11</v>
      </c>
      <c r="R7" s="899"/>
      <c r="S7" s="899"/>
      <c r="T7" s="899"/>
      <c r="U7" s="899"/>
      <c r="V7" s="904"/>
    </row>
    <row r="8" spans="1:30" ht="12.75">
      <c r="A8" s="587"/>
      <c r="B8" s="905" t="s">
        <v>176</v>
      </c>
      <c r="C8" s="906"/>
      <c r="D8" s="907"/>
      <c r="E8" s="908" t="str">
        <f>IF(ISBLANK([2]General!$E$17),"",[2]General!$E$17)</f>
        <v>Crude #3</v>
      </c>
      <c r="F8" s="909"/>
      <c r="G8" s="909"/>
      <c r="H8" s="909"/>
      <c r="I8" s="910"/>
      <c r="J8" s="911" t="s">
        <v>175</v>
      </c>
      <c r="K8" s="912"/>
      <c r="L8" s="912"/>
      <c r="M8" s="912"/>
      <c r="N8" s="912"/>
      <c r="O8" s="912"/>
      <c r="P8" s="913"/>
      <c r="Q8" s="908" t="str">
        <f>IF(ISBLANK([2]General!$E$16),"",[2]General!$E$16)</f>
        <v>Corpus Christi, TX</v>
      </c>
      <c r="R8" s="909"/>
      <c r="S8" s="909"/>
      <c r="T8" s="909"/>
      <c r="U8" s="909"/>
      <c r="V8" s="914"/>
    </row>
    <row r="9" spans="1:30" ht="15.75">
      <c r="A9" s="587"/>
      <c r="B9" s="1262" t="s">
        <v>536</v>
      </c>
      <c r="C9" s="1263"/>
      <c r="D9" s="1263"/>
      <c r="E9" s="1263"/>
      <c r="F9" s="1263"/>
      <c r="G9" s="1263"/>
      <c r="H9" s="1263"/>
      <c r="I9" s="1263"/>
      <c r="J9" s="1263"/>
      <c r="K9" s="1263"/>
      <c r="L9" s="1263"/>
      <c r="M9" s="1263"/>
      <c r="N9" s="1263"/>
      <c r="O9" s="1263"/>
      <c r="P9" s="1263"/>
      <c r="Q9" s="1263"/>
      <c r="R9" s="1263"/>
      <c r="S9" s="1263"/>
      <c r="T9" s="1263"/>
      <c r="U9" s="1263"/>
      <c r="V9" s="1264"/>
    </row>
    <row r="10" spans="1:30">
      <c r="A10" s="587"/>
      <c r="B10" s="730"/>
      <c r="C10" s="731"/>
      <c r="D10" s="731"/>
      <c r="E10" s="731"/>
      <c r="F10" s="731"/>
      <c r="G10" s="731"/>
      <c r="H10" s="731"/>
      <c r="I10" s="731"/>
      <c r="J10" s="731"/>
      <c r="K10" s="731"/>
      <c r="L10" s="731"/>
      <c r="M10" s="731"/>
      <c r="N10" s="731"/>
      <c r="O10" s="732"/>
      <c r="P10" s="731"/>
      <c r="Q10" s="731"/>
      <c r="R10" s="731"/>
      <c r="S10" s="731"/>
      <c r="T10" s="733"/>
      <c r="U10" s="731"/>
      <c r="V10" s="734"/>
    </row>
    <row r="11" spans="1:30">
      <c r="A11" s="587"/>
      <c r="B11" s="735"/>
      <c r="C11" s="731"/>
      <c r="D11" s="731"/>
      <c r="E11" s="736"/>
      <c r="F11" s="736"/>
      <c r="G11" s="736"/>
      <c r="H11" s="736"/>
      <c r="I11" s="736"/>
      <c r="J11" s="736"/>
      <c r="K11" s="736"/>
      <c r="L11" s="736"/>
      <c r="M11" s="736"/>
      <c r="N11" s="736"/>
      <c r="O11" s="732"/>
      <c r="P11" s="731"/>
      <c r="Q11" s="731"/>
      <c r="R11" s="731"/>
      <c r="S11" s="731"/>
      <c r="T11" s="733"/>
      <c r="U11" s="731"/>
      <c r="V11" s="734"/>
    </row>
    <row r="12" spans="1:30">
      <c r="A12" s="587"/>
      <c r="B12" s="735"/>
      <c r="C12" s="731"/>
      <c r="D12" s="731"/>
      <c r="E12" s="736"/>
      <c r="F12" s="731"/>
      <c r="G12" s="731"/>
      <c r="H12" s="736"/>
      <c r="I12" s="738"/>
      <c r="J12" s="1265" t="s">
        <v>419</v>
      </c>
      <c r="K12" s="1266"/>
      <c r="L12" s="1266"/>
      <c r="M12" s="1267">
        <v>14.696</v>
      </c>
      <c r="N12" s="1267"/>
      <c r="O12" s="575" t="s">
        <v>278</v>
      </c>
      <c r="P12" s="731"/>
      <c r="Q12" s="731"/>
      <c r="R12" s="731"/>
      <c r="S12" s="731"/>
      <c r="T12" s="733"/>
      <c r="U12" s="731"/>
      <c r="V12" s="734"/>
    </row>
    <row r="13" spans="1:30">
      <c r="A13" s="587"/>
      <c r="B13" s="576"/>
      <c r="C13" s="731"/>
      <c r="D13" s="736"/>
      <c r="E13" s="736"/>
      <c r="F13" s="731"/>
      <c r="G13" s="577"/>
      <c r="H13" s="1268"/>
      <c r="I13" s="1269"/>
      <c r="J13" s="1269"/>
      <c r="K13" s="1269"/>
      <c r="L13" s="1269"/>
      <c r="M13" s="1269"/>
      <c r="N13" s="1270"/>
      <c r="O13" s="737" t="s">
        <v>484</v>
      </c>
      <c r="P13" s="1271" t="s">
        <v>485</v>
      </c>
      <c r="Q13" s="1271"/>
      <c r="R13" s="731"/>
      <c r="S13" s="731"/>
      <c r="T13" s="733"/>
      <c r="U13" s="731"/>
      <c r="V13" s="734"/>
    </row>
    <row r="14" spans="1:30" ht="12.75">
      <c r="A14" s="587"/>
      <c r="B14" s="576"/>
      <c r="C14" s="578"/>
      <c r="D14" s="579"/>
      <c r="E14" s="579"/>
      <c r="F14" s="578"/>
      <c r="G14" s="580"/>
      <c r="H14" s="1272" t="s">
        <v>537</v>
      </c>
      <c r="I14" s="1273"/>
      <c r="J14" s="1273"/>
      <c r="K14" s="1273"/>
      <c r="L14" s="1273"/>
      <c r="M14" s="1273"/>
      <c r="N14" s="1274"/>
      <c r="O14" s="581" t="s">
        <v>45</v>
      </c>
      <c r="P14" s="1275">
        <v>0.01</v>
      </c>
      <c r="Q14" s="1275"/>
      <c r="R14" s="578"/>
      <c r="S14" s="578"/>
      <c r="T14" s="578"/>
      <c r="U14" s="578"/>
      <c r="V14" s="582"/>
    </row>
    <row r="15" spans="1:30" ht="12.75">
      <c r="A15" s="587"/>
      <c r="B15" s="576"/>
      <c r="C15" s="739"/>
      <c r="D15" s="740"/>
      <c r="E15" s="740"/>
      <c r="F15" s="739"/>
      <c r="G15" s="580"/>
      <c r="H15" s="1253" t="s">
        <v>538</v>
      </c>
      <c r="I15" s="1254"/>
      <c r="J15" s="1254"/>
      <c r="K15" s="1254"/>
      <c r="L15" s="1254"/>
      <c r="M15" s="1254"/>
      <c r="N15" s="1255"/>
      <c r="O15" s="583" t="s">
        <v>35</v>
      </c>
      <c r="P15" s="1261">
        <v>50</v>
      </c>
      <c r="Q15" s="1261"/>
      <c r="R15" s="739"/>
      <c r="S15" s="739"/>
      <c r="T15" s="739"/>
      <c r="U15" s="739"/>
      <c r="V15" s="755"/>
    </row>
    <row r="16" spans="1:30" s="584" customFormat="1" ht="18" customHeight="1">
      <c r="B16" s="576"/>
      <c r="C16" s="731"/>
      <c r="D16" s="736"/>
      <c r="E16" s="736"/>
      <c r="F16" s="731"/>
      <c r="G16" s="580"/>
      <c r="H16" s="1253" t="s">
        <v>488</v>
      </c>
      <c r="I16" s="1254"/>
      <c r="J16" s="1254"/>
      <c r="K16" s="1254"/>
      <c r="L16" s="1254"/>
      <c r="M16" s="1254"/>
      <c r="N16" s="1255"/>
      <c r="O16" s="583" t="s">
        <v>45</v>
      </c>
      <c r="P16" s="1261">
        <f>$P$14+(0.433*$P$15*($P$19/62.4))</f>
        <v>23.71744391025641</v>
      </c>
      <c r="Q16" s="1261"/>
      <c r="R16" s="731"/>
      <c r="S16" s="731"/>
      <c r="T16" s="731"/>
      <c r="U16" s="731"/>
      <c r="V16" s="734"/>
      <c r="AC16" s="759" t="s">
        <v>490</v>
      </c>
      <c r="AD16" s="760">
        <f>0.5961+0.0261*$P$23^2-0.216*$P$23^8+0.000521*(1000000*$P$23/$AB$26)^0.7</f>
        <v>0.59652995546029886</v>
      </c>
    </row>
    <row r="17" spans="1:36" s="741" customFormat="1" ht="15" customHeight="1">
      <c r="B17" s="576"/>
      <c r="C17" s="731"/>
      <c r="D17" s="736"/>
      <c r="E17" s="736"/>
      <c r="F17" s="731"/>
      <c r="G17" s="580"/>
      <c r="H17" s="1253" t="s">
        <v>539</v>
      </c>
      <c r="I17" s="1254"/>
      <c r="J17" s="1254"/>
      <c r="K17" s="1254"/>
      <c r="L17" s="1254"/>
      <c r="M17" s="1254"/>
      <c r="N17" s="1255"/>
      <c r="O17" s="583" t="s">
        <v>45</v>
      </c>
      <c r="P17" s="1261">
        <v>10</v>
      </c>
      <c r="Q17" s="1261"/>
      <c r="R17" s="731"/>
      <c r="S17" s="731"/>
      <c r="T17" s="731"/>
      <c r="U17" s="731"/>
      <c r="V17" s="734"/>
      <c r="AA17" s="760"/>
      <c r="AB17" s="760"/>
      <c r="AC17" s="759" t="s">
        <v>493</v>
      </c>
      <c r="AD17" s="760">
        <f>(0.0188+0.0063*$AC$26)*$P$23^3.5*(1000000/$AB$26)^0.3</f>
        <v>4.3981978186122148E-12</v>
      </c>
      <c r="AF17" s="760"/>
      <c r="AG17" s="761"/>
    </row>
    <row r="18" spans="1:36" ht="15" customHeight="1">
      <c r="A18" s="738"/>
      <c r="B18" s="576"/>
      <c r="C18" s="731"/>
      <c r="D18" s="736"/>
      <c r="E18" s="736"/>
      <c r="F18" s="731"/>
      <c r="G18" s="580"/>
      <c r="H18" s="1253" t="s">
        <v>540</v>
      </c>
      <c r="I18" s="1254"/>
      <c r="J18" s="1254"/>
      <c r="K18" s="1254"/>
      <c r="L18" s="1254"/>
      <c r="M18" s="1254"/>
      <c r="N18" s="1255"/>
      <c r="O18" s="583" t="s">
        <v>298</v>
      </c>
      <c r="P18" s="1258">
        <v>0.48</v>
      </c>
      <c r="Q18" s="1258"/>
      <c r="R18" s="731"/>
      <c r="S18" s="731"/>
      <c r="T18" s="731"/>
      <c r="U18" s="731"/>
      <c r="V18" s="734"/>
      <c r="AA18" s="759" t="s">
        <v>496</v>
      </c>
      <c r="AB18" s="762">
        <v>1</v>
      </c>
      <c r="AC18" s="759" t="s">
        <v>497</v>
      </c>
      <c r="AD18" s="760">
        <f>0.043+0.08*EXP(-10*$AB$18)-(0.123*EXP(-7*$AB$18))*(1-0.11*$AC$26)*($P$23^4/(1-$P$23^4))</f>
        <v>4.3003631994380884E-2</v>
      </c>
      <c r="AE18" s="763"/>
      <c r="AF18" s="760"/>
      <c r="AG18" s="764"/>
    </row>
    <row r="19" spans="1:36" ht="15" customHeight="1">
      <c r="A19" s="738"/>
      <c r="B19" s="576"/>
      <c r="C19" s="731"/>
      <c r="D19" s="736"/>
      <c r="E19" s="736"/>
      <c r="F19" s="731"/>
      <c r="G19" s="580"/>
      <c r="H19" s="1253" t="s">
        <v>541</v>
      </c>
      <c r="I19" s="1254"/>
      <c r="J19" s="1254"/>
      <c r="K19" s="1254"/>
      <c r="L19" s="1254"/>
      <c r="M19" s="1254"/>
      <c r="N19" s="1255"/>
      <c r="O19" s="583" t="s">
        <v>110</v>
      </c>
      <c r="P19" s="1258">
        <v>68.33</v>
      </c>
      <c r="Q19" s="1258"/>
      <c r="R19" s="731"/>
      <c r="S19" s="731"/>
      <c r="T19" s="731"/>
      <c r="U19" s="731"/>
      <c r="V19" s="734"/>
      <c r="AA19" s="759" t="s">
        <v>500</v>
      </c>
      <c r="AB19" s="762">
        <v>0.5</v>
      </c>
      <c r="AC19" s="759" t="s">
        <v>542</v>
      </c>
      <c r="AD19" s="760">
        <f>-0.031*($AB$20-0.8*$AB$20^1.1)*$P$23^1.3</f>
        <v>-7.810023723448819E-7</v>
      </c>
      <c r="AE19" s="763"/>
      <c r="AF19" s="760"/>
      <c r="AG19" s="764"/>
    </row>
    <row r="20" spans="1:36" ht="15" customHeight="1">
      <c r="A20" s="738"/>
      <c r="B20" s="576"/>
      <c r="C20" s="731"/>
      <c r="D20" s="736"/>
      <c r="E20" s="736"/>
      <c r="F20" s="731"/>
      <c r="G20" s="580"/>
      <c r="H20" s="1253" t="s">
        <v>502</v>
      </c>
      <c r="I20" s="1254"/>
      <c r="J20" s="1254"/>
      <c r="K20" s="1254"/>
      <c r="L20" s="1254"/>
      <c r="M20" s="1254"/>
      <c r="N20" s="1255"/>
      <c r="O20" s="583" t="s">
        <v>307</v>
      </c>
      <c r="P20" s="1260">
        <v>1000</v>
      </c>
      <c r="Q20" s="1260"/>
      <c r="R20" s="731"/>
      <c r="S20" s="731"/>
      <c r="T20" s="731"/>
      <c r="U20" s="731"/>
      <c r="V20" s="734"/>
      <c r="AA20" s="759" t="s">
        <v>503</v>
      </c>
      <c r="AB20" s="765">
        <f>2*$AB$19/(1-$P$23)</f>
        <v>1.0010010010010011</v>
      </c>
      <c r="AC20" s="759" t="s">
        <v>543</v>
      </c>
      <c r="AD20" s="760">
        <f>0.011*(0.75-$P$23)*(2.8-$P$20)</f>
        <v>-8.2159308000000006</v>
      </c>
      <c r="AE20" s="763"/>
      <c r="AF20" s="760"/>
      <c r="AG20" s="764"/>
    </row>
    <row r="21" spans="1:36" ht="15" customHeight="1">
      <c r="A21" s="738"/>
      <c r="B21" s="576"/>
      <c r="C21" s="731"/>
      <c r="D21" s="736"/>
      <c r="E21" s="736"/>
      <c r="F21" s="731"/>
      <c r="G21" s="580"/>
      <c r="H21" s="1253" t="s">
        <v>504</v>
      </c>
      <c r="I21" s="1254"/>
      <c r="J21" s="1254"/>
      <c r="K21" s="1254"/>
      <c r="L21" s="1254"/>
      <c r="M21" s="1254"/>
      <c r="N21" s="1255"/>
      <c r="O21" s="583" t="s">
        <v>307</v>
      </c>
      <c r="P21" s="1258">
        <v>1</v>
      </c>
      <c r="Q21" s="1258"/>
      <c r="R21" s="731"/>
      <c r="S21" s="731"/>
      <c r="T21" s="731"/>
      <c r="U21" s="731"/>
      <c r="V21" s="734"/>
      <c r="AA21" s="759"/>
      <c r="AB21" s="766"/>
      <c r="AC21" s="759" t="s">
        <v>506</v>
      </c>
      <c r="AD21" s="760">
        <f>SUM($AD$16:$AD$19)+IF($P$20&lt;2.8,$AD$20,0)</f>
        <v>0.63953280645670552</v>
      </c>
      <c r="AE21" s="763"/>
      <c r="AF21" s="760" t="b">
        <f>$AD$21=$AD$26</f>
        <v>1</v>
      </c>
      <c r="AG21" s="764"/>
    </row>
    <row r="22" spans="1:36" ht="15" customHeight="1">
      <c r="A22" s="587"/>
      <c r="B22" s="576"/>
      <c r="C22" s="731"/>
      <c r="D22" s="736"/>
      <c r="E22" s="736"/>
      <c r="F22" s="731"/>
      <c r="G22" s="580"/>
      <c r="H22" s="1253" t="s">
        <v>507</v>
      </c>
      <c r="I22" s="1254"/>
      <c r="J22" s="1254"/>
      <c r="K22" s="1254"/>
      <c r="L22" s="1254"/>
      <c r="M22" s="1254"/>
      <c r="N22" s="1255"/>
      <c r="O22" s="752" t="s">
        <v>435</v>
      </c>
      <c r="P22" s="1259">
        <v>9.9999999999999995E-7</v>
      </c>
      <c r="Q22" s="1259"/>
      <c r="R22" s="731"/>
      <c r="S22" s="731"/>
      <c r="T22" s="731"/>
      <c r="U22" s="731"/>
      <c r="V22" s="734"/>
      <c r="AA22" s="588"/>
      <c r="AB22" s="760"/>
      <c r="AC22" s="760"/>
      <c r="AD22" s="760"/>
      <c r="AE22" s="763"/>
      <c r="AF22" s="760"/>
      <c r="AG22" s="764"/>
    </row>
    <row r="23" spans="1:36" ht="15" customHeight="1">
      <c r="A23" s="587"/>
      <c r="B23" s="576"/>
      <c r="C23" s="731"/>
      <c r="D23" s="736"/>
      <c r="E23" s="736"/>
      <c r="F23" s="731"/>
      <c r="G23" s="580"/>
      <c r="H23" s="1253" t="s">
        <v>508</v>
      </c>
      <c r="I23" s="1254"/>
      <c r="J23" s="1254"/>
      <c r="K23" s="1254"/>
      <c r="L23" s="1254"/>
      <c r="M23" s="1254"/>
      <c r="N23" s="1255"/>
      <c r="O23" s="752" t="s">
        <v>435</v>
      </c>
      <c r="P23" s="1257">
        <f>IF(AND(ISNUMBER($P$16),ISNUMBER($P$17),ISNUMBER($P$18),ISNUMBER($P$19),ISNUMBER($P$20),ISNUMBER($P$21)),$P$21/$P$20,"")</f>
        <v>1E-3</v>
      </c>
      <c r="Q23" s="1257"/>
      <c r="R23" s="731"/>
      <c r="S23" s="731"/>
      <c r="T23" s="731"/>
      <c r="U23" s="731"/>
      <c r="V23" s="734"/>
      <c r="AA23" s="760" t="s">
        <v>544</v>
      </c>
      <c r="AB23" s="760"/>
      <c r="AC23" s="760"/>
      <c r="AD23" s="760"/>
      <c r="AE23" s="763"/>
      <c r="AF23" s="760"/>
      <c r="AG23" s="764"/>
    </row>
    <row r="24" spans="1:36" ht="15" customHeight="1">
      <c r="A24" s="587"/>
      <c r="B24" s="576"/>
      <c r="C24" s="731"/>
      <c r="D24" s="736"/>
      <c r="E24" s="736"/>
      <c r="F24" s="731"/>
      <c r="G24" s="580"/>
      <c r="H24" s="1253" t="s">
        <v>511</v>
      </c>
      <c r="I24" s="1254"/>
      <c r="J24" s="1254"/>
      <c r="K24" s="1254"/>
      <c r="L24" s="1254"/>
      <c r="M24" s="1254"/>
      <c r="N24" s="1255"/>
      <c r="O24" s="752" t="s">
        <v>435</v>
      </c>
      <c r="P24" s="1256">
        <f>IF(AND(ISNUMBER($P$16),ISNUMBER($P$17),ISNUMBER($P$18),ISNUMBER($P$19),ISNUMBER($P$20),ISNUMBER($P$21)),IF($AG$57&lt;=$P$22,$AB$57,"Not Conv."),"")</f>
        <v>487.26026468239087</v>
      </c>
      <c r="Q24" s="1256"/>
      <c r="R24" s="731"/>
      <c r="S24" s="731"/>
      <c r="T24" s="731"/>
      <c r="U24" s="731"/>
      <c r="V24" s="734"/>
      <c r="X24" s="759"/>
      <c r="Y24" s="759"/>
      <c r="Z24" s="759"/>
      <c r="AA24" s="759" t="s">
        <v>514</v>
      </c>
      <c r="AB24" s="759" t="s">
        <v>515</v>
      </c>
      <c r="AC24" s="759" t="s">
        <v>185</v>
      </c>
      <c r="AD24" s="759" t="s">
        <v>506</v>
      </c>
      <c r="AE24" s="759" t="s">
        <v>516</v>
      </c>
      <c r="AF24" s="759" t="s">
        <v>514</v>
      </c>
      <c r="AG24" s="759"/>
      <c r="AH24" s="759"/>
      <c r="AI24" s="759"/>
      <c r="AJ24" s="759"/>
    </row>
    <row r="25" spans="1:36" ht="15" customHeight="1">
      <c r="A25" s="587"/>
      <c r="B25" s="576"/>
      <c r="C25" s="731"/>
      <c r="D25" s="736"/>
      <c r="E25" s="736"/>
      <c r="F25" s="731"/>
      <c r="G25" s="580"/>
      <c r="H25" s="1253" t="s">
        <v>513</v>
      </c>
      <c r="I25" s="1254"/>
      <c r="J25" s="1254"/>
      <c r="K25" s="1254"/>
      <c r="L25" s="1254"/>
      <c r="M25" s="1254"/>
      <c r="N25" s="1255"/>
      <c r="O25" s="752" t="s">
        <v>435</v>
      </c>
      <c r="P25" s="1257">
        <f>IF(AND(ISNUMBER($P$16),ISNUMBER($P$17),ISNUMBER($P$18),ISNUMBER($P$19),ISNUMBER($P$20),ISNUMBER($P$21)),IF($AG$57&lt;=$P$22,$AD$57,"Not Conv."),"")</f>
        <v>0.63996467419250314</v>
      </c>
      <c r="Q25" s="1257"/>
      <c r="R25" s="731"/>
      <c r="S25" s="731"/>
      <c r="T25" s="731"/>
      <c r="U25" s="731"/>
      <c r="V25" s="734"/>
      <c r="AA25" s="759" t="s">
        <v>111</v>
      </c>
      <c r="AB25" s="767" t="s">
        <v>435</v>
      </c>
      <c r="AC25" s="767" t="s">
        <v>435</v>
      </c>
      <c r="AD25" s="767" t="s">
        <v>435</v>
      </c>
      <c r="AE25" s="767" t="s">
        <v>435</v>
      </c>
      <c r="AF25" s="767" t="s">
        <v>111</v>
      </c>
      <c r="AG25" s="767"/>
    </row>
    <row r="26" spans="1:36" ht="15" customHeight="1">
      <c r="A26" s="587"/>
      <c r="B26" s="576"/>
      <c r="C26" s="731"/>
      <c r="D26" s="736"/>
      <c r="E26" s="736"/>
      <c r="F26" s="731"/>
      <c r="G26" s="580"/>
      <c r="H26" s="1253" t="s">
        <v>545</v>
      </c>
      <c r="I26" s="1254"/>
      <c r="J26" s="1254"/>
      <c r="K26" s="1254"/>
      <c r="L26" s="1254"/>
      <c r="M26" s="1254"/>
      <c r="N26" s="1255"/>
      <c r="O26" s="752" t="s">
        <v>435</v>
      </c>
      <c r="P26" s="1257">
        <f>IF(AND(ISNUMBER($P$16),ISNUMBER($P$17),ISNUMBER($P$18),ISNUMBER($P$19),ISNUMBER($P$20),ISNUMBER($P$21)),IF($AG$57&lt;=$P$22,$AE$57,"Not Conv."),"")</f>
        <v>0.6399646741928231</v>
      </c>
      <c r="Q26" s="1257"/>
      <c r="R26" s="731"/>
      <c r="S26" s="731"/>
      <c r="T26" s="731"/>
      <c r="U26" s="731"/>
      <c r="V26" s="734"/>
      <c r="AA26" s="768">
        <v>100000</v>
      </c>
      <c r="AB26" s="769">
        <f>6.316*$AA$26/$P$20/$P$18</f>
        <v>1315.8333333333335</v>
      </c>
      <c r="AC26" s="770">
        <f>(19000*$P$23/$AB$26)^0.8</f>
        <v>3.3700952341338949E-2</v>
      </c>
      <c r="AD26" s="770">
        <f>0.5961+0.0261*$P$23^2-0.216*$P$23^8+0.000521*(1000000*$P$23/$AB$26)^0.7+(0.0188+0.0063*$AC$26)*$P$23^3.5*(1000000/$AB$26)^0.3+0.043+0.08*EXP(-10*$AB$18)-(0.123*EXP(-7*$AB$18))*(1-0.11*$AC$26)*($P$23^4/(1-$P$23^4))-0.031*($AB$20-0.8*$AB$20^1.1)*$P$23^1.3+IF($P$20&lt;2.8,0.011*(0.75-$P$23)*(2.8-$P$20),0)</f>
        <v>0.63953280645670563</v>
      </c>
      <c r="AE26" s="763">
        <f>$AD$26/(1-$P$23^4)^0.5</f>
        <v>0.63953280645702537</v>
      </c>
      <c r="AF26" s="769">
        <f>1890*$P$21^2*$AE$26*(($P$16-$P$17)*$P$19)^0.5</f>
        <v>37005.556419455956</v>
      </c>
      <c r="AG26" s="771">
        <f>$AA$26-$AF$26</f>
        <v>62994.443580544044</v>
      </c>
    </row>
    <row r="27" spans="1:36" ht="15" customHeight="1">
      <c r="A27" s="587"/>
      <c r="B27" s="576"/>
      <c r="C27" s="731"/>
      <c r="D27" s="736"/>
      <c r="E27" s="736"/>
      <c r="F27" s="731"/>
      <c r="G27" s="589"/>
      <c r="H27" s="1248" t="s">
        <v>546</v>
      </c>
      <c r="I27" s="1249"/>
      <c r="J27" s="1249"/>
      <c r="K27" s="1249"/>
      <c r="L27" s="1249"/>
      <c r="M27" s="1249"/>
      <c r="N27" s="1250"/>
      <c r="O27" s="753" t="s">
        <v>277</v>
      </c>
      <c r="P27" s="1251">
        <f>IF(AND(ISNUMBER($P$16),ISNUMBER($P$17),ISNUMBER($P$18),ISNUMBER($P$19),ISNUMBER($P$20),ISNUMBER($P$21)),((1-$P$23^4*(1-$P$25^2))^0.5-$P$25*$P$23^2)/((1-$P$23^4*(1-$P$25^2))^0.5+$P$25*$P$23^2)*($P$16-$P$17),"")</f>
        <v>13.7174263529086</v>
      </c>
      <c r="Q27" s="1251"/>
      <c r="R27" s="731"/>
      <c r="S27" s="731"/>
      <c r="T27" s="731"/>
      <c r="U27" s="731"/>
      <c r="V27" s="734"/>
      <c r="AA27" s="769">
        <f>$AF$26</f>
        <v>37005.556419455956</v>
      </c>
      <c r="AB27" s="769">
        <f>6.316*$AA$27/$P$20/$P$18</f>
        <v>486.93144655267463</v>
      </c>
      <c r="AC27" s="770">
        <f>(19000*$P$23/$AB$27)^0.8</f>
        <v>7.4649795553093687E-2</v>
      </c>
      <c r="AD27" s="770">
        <f>0.5961+0.0261*$P$23^2-0.216*$P$23^8+0.000521*(1000000*$P$23/$AB$27)^0.7+(0.0188+0.0063*$AC$27)*$P$23^3.5*(1000000/$AB$27)^0.3+0.043+0.08*EXP(-10*$AB$18)-(0.123*EXP(-7*$AB$18))*(1-0.11*$AC$27)*($P$23^4/(1-$P$23^4))-0.031*($AB$20-0.8*$AB$20^1.1)*$P$23^1.3+IF($P$20&lt;2.8,0.011*(0.75-$P$23)*(2.8-$P$20),0)</f>
        <v>0.63996508152308607</v>
      </c>
      <c r="AE27" s="763">
        <f>$AD$27/(1-$P$23^4)^0.5</f>
        <v>0.63996508152340603</v>
      </c>
      <c r="AF27" s="769">
        <f>1890*$P$21^2*$AE$27*(($P$16-$P$17)*$P$19)^0.5</f>
        <v>37030.56933387748</v>
      </c>
      <c r="AG27" s="771">
        <f>$AA$27-$AF$27</f>
        <v>-25.012914421524329</v>
      </c>
    </row>
    <row r="28" spans="1:36" ht="15" customHeight="1">
      <c r="A28" s="587"/>
      <c r="B28" s="576"/>
      <c r="C28" s="731"/>
      <c r="D28" s="736"/>
      <c r="E28" s="736"/>
      <c r="F28" s="731"/>
      <c r="G28" s="589"/>
      <c r="H28" s="1248" t="s">
        <v>547</v>
      </c>
      <c r="I28" s="1249"/>
      <c r="J28" s="1249"/>
      <c r="K28" s="1249"/>
      <c r="L28" s="1249"/>
      <c r="M28" s="1249"/>
      <c r="N28" s="1250"/>
      <c r="O28" s="753" t="s">
        <v>111</v>
      </c>
      <c r="P28" s="1252">
        <f>IF(AND(ISNUMBER($P$16),ISNUMBER($P$17),ISNUMBER($P$18),ISNUMBER($P$19),ISNUMBER($P$20),ISNUMBER($P$21)),IF($AG$57&lt;=$P$22,$AF$57,"Not Conv."),"")</f>
        <v>37030.545764336232</v>
      </c>
      <c r="Q28" s="1252"/>
      <c r="R28" s="731"/>
      <c r="S28" s="731"/>
      <c r="T28" s="731"/>
      <c r="U28" s="731"/>
      <c r="V28" s="734"/>
      <c r="AA28" s="769">
        <f>$AF$27</f>
        <v>37030.56933387748</v>
      </c>
      <c r="AB28" s="769">
        <f>6.316*$AA$28/$P$20/$P$18</f>
        <v>487.26057481827115</v>
      </c>
      <c r="AC28" s="770">
        <f>(19000*$P$23/$AB$28)^0.8</f>
        <v>7.4609454070061282E-2</v>
      </c>
      <c r="AD28" s="770">
        <f>0.5961+0.0261*$P$23^2-0.216*$P$23^8+0.000521*(1000000*$P$23/$AB$28)^0.7+(0.0188+0.0063*$AC$28)*$P$23^3.5*(1000000/$AB$28)^0.3+0.043+0.08*EXP(-10*$AB$18)-(0.123*EXP(-7*$AB$18))*(1-0.11*$AC$28)*($P$23^4/(1-$P$23^4))-0.031*($AB$20-0.8*$AB$20^1.1)*$P$23^1.3+IF($P$20&lt;2.8,0.011*(0.75-$P$23)*(2.8-$P$20),0)</f>
        <v>0.63996467380853617</v>
      </c>
      <c r="AE28" s="763">
        <f>$AD$28/(1-$P$23^4)^0.5</f>
        <v>0.63996467380885613</v>
      </c>
      <c r="AF28" s="769">
        <f>1890*$P$21^2*$AE$28*(($P$16-$P$17)*$P$19)^0.5</f>
        <v>37030.545742118586</v>
      </c>
      <c r="AG28" s="772">
        <f>$AA$28-$AF$28</f>
        <v>2.3591758894326631E-2</v>
      </c>
    </row>
    <row r="29" spans="1:36" ht="15" customHeight="1">
      <c r="A29" s="587"/>
      <c r="B29" s="576"/>
      <c r="C29" s="731"/>
      <c r="D29" s="736"/>
      <c r="E29" s="736"/>
      <c r="F29" s="731"/>
      <c r="G29" s="580"/>
      <c r="H29" s="1253" t="s">
        <v>548</v>
      </c>
      <c r="I29" s="1254"/>
      <c r="J29" s="1254"/>
      <c r="K29" s="1254"/>
      <c r="L29" s="1254"/>
      <c r="M29" s="1254"/>
      <c r="N29" s="1255"/>
      <c r="O29" s="752" t="s">
        <v>549</v>
      </c>
      <c r="P29" s="1256">
        <f>($P$28*0.12468)/$P$19</f>
        <v>67.568687924739379</v>
      </c>
      <c r="Q29" s="1256"/>
      <c r="R29" s="731"/>
      <c r="S29" s="731"/>
      <c r="T29" s="731"/>
      <c r="U29" s="731"/>
      <c r="V29" s="734"/>
      <c r="AA29" s="769">
        <f>$AF$28</f>
        <v>37030.545742118586</v>
      </c>
      <c r="AB29" s="769">
        <f>6.316*$AA$29/$P$20/$P$18</f>
        <v>487.26026439004369</v>
      </c>
      <c r="AC29" s="770">
        <f>(19000*$P$23/$AB$29)^0.8</f>
        <v>7.4609492096357782E-2</v>
      </c>
      <c r="AD29" s="770">
        <f>0.5961+0.0261*$P$23^2-0.216*$P$23^8+0.000521*(1000000*$P$23/$AB$29)^0.7+(0.0188+0.0063*$AC$29)*$P$23^3.5*(1000000/$AB$29)^0.3+0.043+0.08*EXP(-10*$AB$18)-(0.123*EXP(-7*$AB$18))*(1-0.11*$AC$29)*($P$23^4/(1-$P$23^4))-0.031*($AB$20-0.8*$AB$20^1.1)*$P$23^1.3+IF($P$20&lt;2.8,0.011*(0.75-$P$23)*(2.8-$P$20),0)</f>
        <v>0.63996467419286507</v>
      </c>
      <c r="AE29" s="763">
        <f>$AD$29/(1-$P$23^4)^0.5</f>
        <v>0.63996467419318503</v>
      </c>
      <c r="AF29" s="769">
        <f>1890*$P$21^2*$AE$29*(($P$16-$P$17)*$P$19)^0.5</f>
        <v>37030.545764357172</v>
      </c>
      <c r="AG29" s="772">
        <f>$AA$29-$AF$29</f>
        <v>-2.2238586097955704E-5</v>
      </c>
    </row>
    <row r="30" spans="1:36" ht="15" customHeight="1">
      <c r="A30" s="587"/>
      <c r="B30" s="576"/>
      <c r="C30" s="731"/>
      <c r="D30" s="736"/>
      <c r="E30" s="736"/>
      <c r="F30" s="731"/>
      <c r="G30" s="590"/>
      <c r="H30" s="1240" t="s">
        <v>550</v>
      </c>
      <c r="I30" s="1241"/>
      <c r="J30" s="1241"/>
      <c r="K30" s="1241"/>
      <c r="L30" s="1241"/>
      <c r="M30" s="1241"/>
      <c r="N30" s="1242"/>
      <c r="O30" s="754" t="s">
        <v>551</v>
      </c>
      <c r="P30" s="1243">
        <f>$P$29*8.02</f>
        <v>541.90087715640982</v>
      </c>
      <c r="Q30" s="1243"/>
      <c r="R30" s="731"/>
      <c r="S30" s="731"/>
      <c r="T30" s="731"/>
      <c r="U30" s="731"/>
      <c r="V30" s="734"/>
      <c r="AA30" s="769">
        <f>$AF$29</f>
        <v>37030.545764357172</v>
      </c>
      <c r="AB30" s="769">
        <f>6.316*$AA$30/$P$20/$P$18</f>
        <v>487.26026468266645</v>
      </c>
      <c r="AC30" s="770">
        <f>(19000*$P$23/$AB$30)^0.8</f>
        <v>7.4609492060512553E-2</v>
      </c>
      <c r="AD30" s="770">
        <f>0.5961+0.0261*$P$23^2-0.216*$P$23^8+0.000521*(1000000*$P$23/$AB$30)^0.7+(0.0188+0.0063*$AC$30)*$P$23^3.5*(1000000/$AB$30)^0.3+0.043+0.08*EXP(-10*$AB$18)-(0.123*EXP(-7*$AB$18))*(1-0.11*$AC$30)*($P$23^4/(1-$P$23^4))-0.031*($AB$20-0.8*$AB$20^1.1)*$P$23^1.3+IF($P$20&lt;2.8,0.011*(0.75-$P$23)*(2.8-$P$20),0)</f>
        <v>0.6399646741925028</v>
      </c>
      <c r="AE30" s="763">
        <f>$AD$30/(1-$P$23^4)^0.5</f>
        <v>0.63996467419282277</v>
      </c>
      <c r="AF30" s="769">
        <f>1890*$P$21^2*$AE$30*(($P$16-$P$17)*$P$19)^0.5</f>
        <v>37030.54576433621</v>
      </c>
      <c r="AG30" s="772">
        <f>$AA$30-$AF$30</f>
        <v>2.096203388646245E-8</v>
      </c>
    </row>
    <row r="31" spans="1:36" ht="15" customHeight="1">
      <c r="A31" s="587"/>
      <c r="B31" s="576"/>
      <c r="C31" s="731"/>
      <c r="D31" s="736"/>
      <c r="E31" s="736"/>
      <c r="F31" s="731"/>
      <c r="G31" s="742"/>
      <c r="H31" s="1244"/>
      <c r="I31" s="1245"/>
      <c r="J31" s="1245"/>
      <c r="K31" s="1245"/>
      <c r="L31" s="1245"/>
      <c r="M31" s="1245"/>
      <c r="N31" s="1246"/>
      <c r="O31" s="747"/>
      <c r="P31" s="1247"/>
      <c r="Q31" s="1247"/>
      <c r="R31" s="731"/>
      <c r="S31" s="731"/>
      <c r="T31" s="731"/>
      <c r="U31" s="731"/>
      <c r="V31" s="734"/>
      <c r="AA31" s="769">
        <f>$AF$30</f>
        <v>37030.54576433621</v>
      </c>
      <c r="AB31" s="769">
        <f>6.316*$AA$31/$P$20/$P$18</f>
        <v>487.26026468239064</v>
      </c>
      <c r="AC31" s="770">
        <f>(19000*$P$23/$AB$31)^0.8</f>
        <v>7.4609492060546345E-2</v>
      </c>
      <c r="AD31" s="770">
        <f>0.5961+0.0261*$P$23^2-0.216*$P$23^8+0.000521*(1000000*$P$23/$AB$31)^0.7+(0.0188+0.0063*$AC$31)*$P$23^3.5*(1000000/$AB$31)^0.3+0.043+0.08*EXP(-10*$AB$18)-(0.123*EXP(-7*$AB$18))*(1-0.11*$AC$31)*($P$23^4/(1-$P$23^4))-0.031*($AB$20-0.8*$AB$20^1.1)*$P$23^1.3+IF($P$20&lt;2.8,0.011*(0.75-$P$23)*(2.8-$P$20),0)</f>
        <v>0.63996467419250314</v>
      </c>
      <c r="AE31" s="763">
        <f>$AD$31/(1-$P$23^4)^0.5</f>
        <v>0.6399646741928231</v>
      </c>
      <c r="AF31" s="769">
        <f>1890*$P$21^2*$AE$31*(($P$16-$P$17)*$P$19)^0.5</f>
        <v>37030.545764336232</v>
      </c>
      <c r="AG31" s="772">
        <f>$AA$31-$AF$31</f>
        <v>0</v>
      </c>
    </row>
    <row r="32" spans="1:36" ht="15" customHeight="1">
      <c r="A32" s="587"/>
      <c r="B32" s="576"/>
      <c r="C32" s="731"/>
      <c r="D32" s="736"/>
      <c r="E32" s="736"/>
      <c r="F32" s="731"/>
      <c r="G32" s="742"/>
      <c r="H32" s="1244"/>
      <c r="I32" s="1245"/>
      <c r="J32" s="1245"/>
      <c r="K32" s="1245"/>
      <c r="L32" s="1245"/>
      <c r="M32" s="1245"/>
      <c r="N32" s="1246"/>
      <c r="O32" s="747"/>
      <c r="P32" s="1247"/>
      <c r="Q32" s="1247"/>
      <c r="R32" s="731"/>
      <c r="S32" s="731"/>
      <c r="T32" s="731"/>
      <c r="U32" s="731"/>
      <c r="V32" s="734"/>
      <c r="AA32" s="769">
        <f>$AF$31</f>
        <v>37030.545764336232</v>
      </c>
      <c r="AB32" s="769">
        <f>6.316*$AA$32/$P$20/$P$18</f>
        <v>487.26026468239087</v>
      </c>
      <c r="AC32" s="770">
        <f>(19000*$P$23/$AB$32)^0.8</f>
        <v>7.4609492060546317E-2</v>
      </c>
      <c r="AD32" s="770">
        <f>0.5961+0.0261*$P$23^2-0.216*$P$23^8+0.000521*(1000000*$P$23/$AB$32)^0.7+(0.0188+0.0063*$AC$32)*$P$23^3.5*(1000000/$AB$32)^0.3+0.043+0.08*EXP(-10*$AB$18)-(0.123*EXP(-7*$AB$18))*(1-0.11*$AC$32)*($P$23^4/(1-$P$23^4))-0.031*($AB$20-0.8*$AB$20^1.1)*$P$23^1.3+IF($P$20&lt;2.8,0.011*(0.75-$P$23)*(2.8-$P$20),0)</f>
        <v>0.63996467419250314</v>
      </c>
      <c r="AE32" s="763">
        <f>$AD$32/(1-$P$23^4)^0.5</f>
        <v>0.6399646741928231</v>
      </c>
      <c r="AF32" s="769">
        <f>1890*$P$21^2*$AE$32*(($P$16-$P$17)*$P$19)^0.5</f>
        <v>37030.545764336232</v>
      </c>
      <c r="AG32" s="772">
        <f>$AA$32-$AF$32</f>
        <v>0</v>
      </c>
    </row>
    <row r="33" spans="1:33" ht="15" customHeight="1">
      <c r="A33" s="587"/>
      <c r="B33" s="576"/>
      <c r="C33" s="731"/>
      <c r="D33" s="736"/>
      <c r="E33" s="736"/>
      <c r="F33" s="731"/>
      <c r="G33" s="742"/>
      <c r="H33" s="1236"/>
      <c r="I33" s="1237"/>
      <c r="J33" s="1237"/>
      <c r="K33" s="1237"/>
      <c r="L33" s="1237"/>
      <c r="M33" s="1237"/>
      <c r="N33" s="1238"/>
      <c r="O33" s="748"/>
      <c r="P33" s="1239"/>
      <c r="Q33" s="1239"/>
      <c r="R33" s="731"/>
      <c r="S33" s="731"/>
      <c r="T33" s="731"/>
      <c r="U33" s="731"/>
      <c r="V33" s="734"/>
      <c r="AA33" s="769">
        <f>$AF$32</f>
        <v>37030.545764336232</v>
      </c>
      <c r="AB33" s="769">
        <f>6.316*$AA$33/$P$20/$P$18</f>
        <v>487.26026468239087</v>
      </c>
      <c r="AC33" s="770">
        <f>(19000*$P$23/$AB$33)^0.8</f>
        <v>7.4609492060546317E-2</v>
      </c>
      <c r="AD33" s="770">
        <f>0.5961+0.0261*$P$23^2-0.216*$P$23^8+0.000521*(1000000*$P$23/$AB$33)^0.7+(0.0188+0.0063*$AC$33)*$P$23^3.5*(1000000/$AB$33)^0.3+0.043+0.08*EXP(-10*$AB$18)-(0.123*EXP(-7*$AB$18))*(1-0.11*$AC$33)*($P$23^4/(1-$P$23^4))-0.031*($AB$20-0.8*$AB$20^1.1)*$P$23^1.3+IF($P$20&lt;2.8,0.011*(0.75-$P$23)*(2.8-$P$20),0)</f>
        <v>0.63996467419250314</v>
      </c>
      <c r="AE33" s="763">
        <f>$AD$33/(1-$P$23^4)^0.5</f>
        <v>0.6399646741928231</v>
      </c>
      <c r="AF33" s="769">
        <f>1890*$P$21^2*$AE$33*(($P$16-$P$17)*$P$19)^0.5</f>
        <v>37030.545764336232</v>
      </c>
      <c r="AG33" s="772">
        <f>$AA$33-$AF$33</f>
        <v>0</v>
      </c>
    </row>
    <row r="34" spans="1:33" ht="15" customHeight="1">
      <c r="A34" s="587"/>
      <c r="B34" s="576"/>
      <c r="C34" s="731"/>
      <c r="D34" s="736"/>
      <c r="E34" s="743"/>
      <c r="F34" s="742"/>
      <c r="G34" s="742"/>
      <c r="H34" s="742"/>
      <c r="I34" s="742"/>
      <c r="J34" s="744"/>
      <c r="K34" s="744"/>
      <c r="L34" s="744"/>
      <c r="M34" s="744"/>
      <c r="N34" s="744"/>
      <c r="O34" s="744"/>
      <c r="P34" s="744"/>
      <c r="Q34" s="749"/>
      <c r="R34" s="750"/>
      <c r="S34" s="750"/>
      <c r="T34" s="731"/>
      <c r="U34" s="731"/>
      <c r="V34" s="734"/>
      <c r="AA34" s="769">
        <f>$AF$33</f>
        <v>37030.545764336232</v>
      </c>
      <c r="AB34" s="769">
        <f>6.316*$AA$34/$P$20/$P$18</f>
        <v>487.26026468239087</v>
      </c>
      <c r="AC34" s="770">
        <f>(19000*$P$23/$AB$34)^0.8</f>
        <v>7.4609492060546317E-2</v>
      </c>
      <c r="AD34" s="770">
        <f>0.5961+0.0261*$P$23^2-0.216*$P$23^8+0.000521*(1000000*$P$23/$AB$34)^0.7+(0.0188+0.0063*$AC$34)*$P$23^3.5*(1000000/$AB$34)^0.3+0.043+0.08*EXP(-10*$AB$18)-(0.123*EXP(-7*$AB$18))*(1-0.11*$AC$34)*($P$23^4/(1-$P$23^4))-0.031*($AB$20-0.8*$AB$20^1.1)*$P$23^1.3+IF($P$20&lt;2.8,0.011*(0.75-$P$23)*(2.8-$P$20),0)</f>
        <v>0.63996467419250314</v>
      </c>
      <c r="AE34" s="763">
        <f>$AD$34/(1-$P$23^4)^0.5</f>
        <v>0.6399646741928231</v>
      </c>
      <c r="AF34" s="769">
        <f>1890*$P$21^2*$AE$34*(($P$16-$P$17)*$P$19)^0.5</f>
        <v>37030.545764336232</v>
      </c>
      <c r="AG34" s="772">
        <f>$AA$34-$AF$34</f>
        <v>0</v>
      </c>
    </row>
    <row r="35" spans="1:33" ht="15" customHeight="1">
      <c r="A35" s="587"/>
      <c r="B35" s="576"/>
      <c r="C35" s="731"/>
      <c r="D35" s="731"/>
      <c r="E35" s="743"/>
      <c r="F35" s="745"/>
      <c r="G35" s="745"/>
      <c r="H35" s="745"/>
      <c r="I35" s="745"/>
      <c r="J35" s="745"/>
      <c r="K35" s="745"/>
      <c r="L35" s="745"/>
      <c r="M35" s="745"/>
      <c r="N35" s="745"/>
      <c r="O35" s="745"/>
      <c r="P35" s="745"/>
      <c r="Q35" s="731"/>
      <c r="R35" s="731"/>
      <c r="S35" s="731"/>
      <c r="T35" s="731"/>
      <c r="U35" s="731"/>
      <c r="V35" s="734"/>
      <c r="AA35" s="769">
        <f>$AF$34</f>
        <v>37030.545764336232</v>
      </c>
      <c r="AB35" s="769">
        <f>6.316*$AA$35/$P$20/$P$18</f>
        <v>487.26026468239087</v>
      </c>
      <c r="AC35" s="770">
        <f>(19000*$P$23/$AB$35)^0.8</f>
        <v>7.4609492060546317E-2</v>
      </c>
      <c r="AD35" s="770">
        <f>0.5961+0.0261*$P$23^2-0.216*$P$23^8+0.000521*(1000000*$P$23/$AB$35)^0.7+(0.0188+0.0063*$AC$35)*$P$23^3.5*(1000000/$AB$35)^0.3+0.043+0.08*EXP(-10*$AB$18)-(0.123*EXP(-7*$AB$18))*(1-0.11*$AC$35)*($P$23^4/(1-$P$23^4))-0.031*($AB$20-0.8*$AB$20^1.1)*$P$23^1.3+IF($P$20&lt;2.8,0.011*(0.75-$P$23)*(2.8-$P$20),0)</f>
        <v>0.63996467419250314</v>
      </c>
      <c r="AE35" s="763">
        <f>$AD$35/(1-$P$23^4)^0.5</f>
        <v>0.6399646741928231</v>
      </c>
      <c r="AF35" s="769">
        <f>1890*$P$21^2*$AE$35*(($P$16-$P$17)*$P$19)^0.5</f>
        <v>37030.545764336232</v>
      </c>
      <c r="AG35" s="772">
        <f>$AA$35-$AF$35</f>
        <v>0</v>
      </c>
    </row>
    <row r="36" spans="1:33" ht="15" customHeight="1">
      <c r="A36" s="587"/>
      <c r="B36" s="576"/>
      <c r="C36" s="731"/>
      <c r="D36" s="731"/>
      <c r="E36" s="743"/>
      <c r="F36" s="746"/>
      <c r="G36" s="746"/>
      <c r="H36" s="746"/>
      <c r="I36" s="746"/>
      <c r="J36" s="746"/>
      <c r="K36" s="746"/>
      <c r="L36" s="746"/>
      <c r="M36" s="746"/>
      <c r="N36" s="746"/>
      <c r="O36" s="746"/>
      <c r="P36" s="746"/>
      <c r="Q36" s="751"/>
      <c r="R36" s="751"/>
      <c r="S36" s="751"/>
      <c r="T36" s="731"/>
      <c r="U36" s="731"/>
      <c r="V36" s="734"/>
      <c r="AA36" s="769">
        <f>$AF$35</f>
        <v>37030.545764336232</v>
      </c>
      <c r="AB36" s="769">
        <f>6.316*$AA$36/$P$20/$P$18</f>
        <v>487.26026468239087</v>
      </c>
      <c r="AC36" s="770">
        <f>(19000*$P$23/$AB$36)^0.8</f>
        <v>7.4609492060546317E-2</v>
      </c>
      <c r="AD36" s="770">
        <f>0.5961+0.0261*$P$23^2-0.216*$P$23^8+0.000521*(1000000*$P$23/$AB$36)^0.7+(0.0188+0.0063*$AC$36)*$P$23^3.5*(1000000/$AB$36)^0.3+0.043+0.08*EXP(-10*$AB$18)-(0.123*EXP(-7*$AB$18))*(1-0.11*$AC$36)*($P$23^4/(1-$P$23^4))-0.031*($AB$20-0.8*$AB$20^1.1)*$P$23^1.3+IF($P$20&lt;2.8,0.011*(0.75-$P$23)*(2.8-$P$20),0)</f>
        <v>0.63996467419250314</v>
      </c>
      <c r="AE36" s="763">
        <f>$AD$36/(1-$P$23^4)^0.5</f>
        <v>0.6399646741928231</v>
      </c>
      <c r="AF36" s="769">
        <f>1890*$P$21^2*$AE$36*(($P$16-$P$17)*$P$19)^0.5</f>
        <v>37030.545764336232</v>
      </c>
      <c r="AG36" s="772">
        <f>$AA$36-$AF$36</f>
        <v>0</v>
      </c>
    </row>
    <row r="37" spans="1:33" ht="15" customHeight="1">
      <c r="A37" s="587"/>
      <c r="B37" s="756"/>
      <c r="C37" s="834" t="s">
        <v>396</v>
      </c>
      <c r="D37" s="1160"/>
      <c r="E37" s="1160"/>
      <c r="F37" s="1160"/>
      <c r="G37" s="1160"/>
      <c r="H37" s="1160"/>
      <c r="I37" s="1160"/>
      <c r="J37" s="1160"/>
      <c r="K37" s="1160"/>
      <c r="L37" s="1160"/>
      <c r="M37" s="1160"/>
      <c r="N37" s="1160"/>
      <c r="O37" s="1160"/>
      <c r="P37" s="1160"/>
      <c r="Q37" s="1160"/>
      <c r="R37" s="1160"/>
      <c r="S37" s="1160"/>
      <c r="T37" s="1160"/>
      <c r="U37" s="1160"/>
      <c r="V37" s="836"/>
      <c r="AA37" s="769">
        <f>$AF$36</f>
        <v>37030.545764336232</v>
      </c>
      <c r="AB37" s="769">
        <f>6.316*$AA$37/$P$20/$P$18</f>
        <v>487.26026468239087</v>
      </c>
      <c r="AC37" s="770">
        <f>(19000*$P$23/$AB$37)^0.8</f>
        <v>7.4609492060546317E-2</v>
      </c>
      <c r="AD37" s="770">
        <f>0.5961+0.0261*$P$23^2-0.216*$P$23^8+0.000521*(1000000*$P$23/$AB$37)^0.7+(0.0188+0.0063*$AC$37)*$P$23^3.5*(1000000/$AB$37)^0.3+0.043+0.08*EXP(-10*$AB$18)-(0.123*EXP(-7*$AB$18))*(1-0.11*$AC$37)*($P$23^4/(1-$P$23^4))-0.031*($AB$20-0.8*$AB$20^1.1)*$P$23^1.3+IF($P$20&lt;2.8,0.011*(0.75-$P$23)*(2.8-$P$20),0)</f>
        <v>0.63996467419250314</v>
      </c>
      <c r="AE37" s="763">
        <f>$AD$37/(1-$P$23^4)^0.5</f>
        <v>0.6399646741928231</v>
      </c>
      <c r="AF37" s="769">
        <f>1890*$P$21^2*$AE$37*(($P$16-$P$17)*$P$19)^0.5</f>
        <v>37030.545764336232</v>
      </c>
      <c r="AG37" s="772">
        <f>$AA$37-$AF$37</f>
        <v>0</v>
      </c>
    </row>
    <row r="38" spans="1:33" ht="15" customHeight="1">
      <c r="A38" s="587"/>
      <c r="B38" s="735"/>
      <c r="C38" s="591">
        <v>1</v>
      </c>
      <c r="D38" s="1202"/>
      <c r="E38" s="1202"/>
      <c r="F38" s="1202"/>
      <c r="G38" s="1202"/>
      <c r="H38" s="1202"/>
      <c r="I38" s="1202"/>
      <c r="J38" s="1202"/>
      <c r="K38" s="1202"/>
      <c r="L38" s="1202"/>
      <c r="M38" s="1202"/>
      <c r="N38" s="1202"/>
      <c r="O38" s="1202"/>
      <c r="P38" s="1202"/>
      <c r="Q38" s="1202"/>
      <c r="R38" s="1202"/>
      <c r="S38" s="1202"/>
      <c r="T38" s="1202"/>
      <c r="U38" s="1202"/>
      <c r="V38" s="1203"/>
      <c r="AA38" s="769">
        <f>$AF$37</f>
        <v>37030.545764336232</v>
      </c>
      <c r="AB38" s="769">
        <f>6.316*$AA$38/$P$20/$P$18</f>
        <v>487.26026468239087</v>
      </c>
      <c r="AC38" s="770">
        <f>(19000*$P$23/$AB$38)^0.8</f>
        <v>7.4609492060546317E-2</v>
      </c>
      <c r="AD38" s="770">
        <f>0.5961+0.0261*$P$23^2-0.216*$P$23^8+0.000521*(1000000*$P$23/$AB$38)^0.7+(0.0188+0.0063*$AC$38)*$P$23^3.5*(1000000/$AB$38)^0.3+0.043+0.08*EXP(-10*$AB$18)-(0.123*EXP(-7*$AB$18))*(1-0.11*$AC$38)*($P$23^4/(1-$P$23^4))-0.031*($AB$20-0.8*$AB$20^1.1)*$P$23^1.3+IF($P$20&lt;2.8,0.011*(0.75-$P$23)*(2.8-$P$20),0)</f>
        <v>0.63996467419250314</v>
      </c>
      <c r="AE38" s="763">
        <f>$AD$38/(1-$P$23^4)^0.5</f>
        <v>0.6399646741928231</v>
      </c>
      <c r="AF38" s="769">
        <f>1890*$P$21^2*$AE$38*(($P$16-$P$17)*$P$19)^0.5</f>
        <v>37030.545764336232</v>
      </c>
      <c r="AG38" s="772">
        <f>$AA$38-$AF$38</f>
        <v>0</v>
      </c>
    </row>
    <row r="39" spans="1:33" ht="15" customHeight="1">
      <c r="A39" s="587"/>
      <c r="B39" s="735"/>
      <c r="C39" s="592">
        <v>2</v>
      </c>
      <c r="D39" s="1194"/>
      <c r="E39" s="1194"/>
      <c r="F39" s="1194"/>
      <c r="G39" s="1194"/>
      <c r="H39" s="1194"/>
      <c r="I39" s="1194"/>
      <c r="J39" s="1194"/>
      <c r="K39" s="1194"/>
      <c r="L39" s="1194"/>
      <c r="M39" s="1194"/>
      <c r="N39" s="1194"/>
      <c r="O39" s="1194"/>
      <c r="P39" s="1194"/>
      <c r="Q39" s="1194"/>
      <c r="R39" s="1194"/>
      <c r="S39" s="1194"/>
      <c r="T39" s="1194"/>
      <c r="U39" s="1194"/>
      <c r="V39" s="1195"/>
      <c r="AA39" s="769">
        <f>$AF$38</f>
        <v>37030.545764336232</v>
      </c>
      <c r="AB39" s="769">
        <f>6.316*$AA$39/$P$20/$P$18</f>
        <v>487.26026468239087</v>
      </c>
      <c r="AC39" s="770">
        <f>(19000*$P$23/$AB$39)^0.8</f>
        <v>7.4609492060546317E-2</v>
      </c>
      <c r="AD39" s="770">
        <f>0.5961+0.0261*$P$23^2-0.216*$P$23^8+0.000521*(1000000*$P$23/$AB$39)^0.7+(0.0188+0.0063*$AC$39)*$P$23^3.5*(1000000/$AB$39)^0.3+0.043+0.08*EXP(-10*$AB$18)-(0.123*EXP(-7*$AB$18))*(1-0.11*$AC$39)*($P$23^4/(1-$P$23^4))-0.031*($AB$20-0.8*$AB$20^1.1)*$P$23^1.3+IF($P$20&lt;2.8,0.011*(0.75-$P$23)*(2.8-$P$20),0)</f>
        <v>0.63996467419250314</v>
      </c>
      <c r="AE39" s="763">
        <f>$AD$39/(1-$P$23^4)^0.5</f>
        <v>0.6399646741928231</v>
      </c>
      <c r="AF39" s="769">
        <f>1890*$P$21^2*$AE$39*(($P$16-$P$17)*$P$19)^0.5</f>
        <v>37030.545764336232</v>
      </c>
      <c r="AG39" s="772">
        <f>$AA$39-$AF$39</f>
        <v>0</v>
      </c>
    </row>
    <row r="40" spans="1:33" ht="15" customHeight="1">
      <c r="A40" s="587"/>
      <c r="B40" s="735"/>
      <c r="C40" s="593"/>
      <c r="D40" s="1194"/>
      <c r="E40" s="1194"/>
      <c r="F40" s="1194"/>
      <c r="G40" s="1194"/>
      <c r="H40" s="1194"/>
      <c r="I40" s="1194"/>
      <c r="J40" s="1194"/>
      <c r="K40" s="1194"/>
      <c r="L40" s="1194"/>
      <c r="M40" s="1194"/>
      <c r="N40" s="1194"/>
      <c r="O40" s="1194"/>
      <c r="P40" s="1194"/>
      <c r="Q40" s="1194"/>
      <c r="R40" s="1194"/>
      <c r="S40" s="1194"/>
      <c r="T40" s="1194"/>
      <c r="U40" s="1194"/>
      <c r="V40" s="1195"/>
      <c r="AA40" s="769">
        <f>$AF$39</f>
        <v>37030.545764336232</v>
      </c>
      <c r="AB40" s="769">
        <f>6.316*$AA$40/$P$20/$P$18</f>
        <v>487.26026468239087</v>
      </c>
      <c r="AC40" s="770">
        <f>(19000*$P$23/$AB$40)^0.8</f>
        <v>7.4609492060546317E-2</v>
      </c>
      <c r="AD40" s="770">
        <f>0.5961+0.0261*$P$23^2-0.216*$P$23^8+0.000521*(1000000*$P$23/$AB$40)^0.7+(0.0188+0.0063*$AC$40)*$P$23^3.5*(1000000/$AB$40)^0.3+0.043+0.08*EXP(-10*$AB$18)-(0.123*EXP(-7*$AB$18))*(1-0.11*$AC$40)*($P$23^4/(1-$P$23^4))-0.031*($AB$20-0.8*$AB$20^1.1)*$P$23^1.3+IF($P$20&lt;2.8,0.011*(0.75-$P$23)*(2.8-$P$20),0)</f>
        <v>0.63996467419250314</v>
      </c>
      <c r="AE40" s="763">
        <f>$AD$40/(1-$P$23^4)^0.5</f>
        <v>0.6399646741928231</v>
      </c>
      <c r="AF40" s="769">
        <f>1890*$P$21^2*$AE$40*(($P$16-$P$17)*$P$19)^0.5</f>
        <v>37030.545764336232</v>
      </c>
      <c r="AG40" s="772">
        <f>$AA$40-$AF$40</f>
        <v>0</v>
      </c>
    </row>
    <row r="41" spans="1:33" ht="15" customHeight="1">
      <c r="A41" s="587"/>
      <c r="B41" s="735"/>
      <c r="C41" s="593"/>
      <c r="D41" s="1204"/>
      <c r="E41" s="1204"/>
      <c r="F41" s="1204"/>
      <c r="G41" s="1204"/>
      <c r="H41" s="1204"/>
      <c r="I41" s="1204"/>
      <c r="J41" s="1204"/>
      <c r="K41" s="1204"/>
      <c r="L41" s="1204"/>
      <c r="M41" s="1204"/>
      <c r="N41" s="1204"/>
      <c r="O41" s="1204"/>
      <c r="P41" s="1204"/>
      <c r="Q41" s="1204"/>
      <c r="R41" s="1204"/>
      <c r="S41" s="1204"/>
      <c r="T41" s="1204"/>
      <c r="U41" s="1204"/>
      <c r="V41" s="1205"/>
      <c r="AA41" s="769">
        <f>$AF$40</f>
        <v>37030.545764336232</v>
      </c>
      <c r="AB41" s="769">
        <f>6.316*$AA$41/$P$20/$P$18</f>
        <v>487.26026468239087</v>
      </c>
      <c r="AC41" s="770">
        <f>(19000*$P$23/$AB$41)^0.8</f>
        <v>7.4609492060546317E-2</v>
      </c>
      <c r="AD41" s="770">
        <f>0.5961+0.0261*$P$23^2-0.216*$P$23^8+0.000521*(1000000*$P$23/$AB$41)^0.7+(0.0188+0.0063*$AC$41)*$P$23^3.5*(1000000/$AB$41)^0.3+0.043+0.08*EXP(-10*$AB$18)-(0.123*EXP(-7*$AB$18))*(1-0.11*$AC$41)*($P$23^4/(1-$P$23^4))-0.031*($AB$20-0.8*$AB$20^1.1)*$P$23^1.3+IF($P$20&lt;2.8,0.011*(0.75-$P$23)*(2.8-$P$20),0)</f>
        <v>0.63996467419250314</v>
      </c>
      <c r="AE41" s="763">
        <f>$AD$41/(1-$P$23^4)^0.5</f>
        <v>0.6399646741928231</v>
      </c>
      <c r="AF41" s="769">
        <f>1890*$P$21^2*$AE$41*(($P$16-$P$17)*$P$19)^0.5</f>
        <v>37030.545764336232</v>
      </c>
      <c r="AG41" s="772">
        <f>$AA$41-$AF$41</f>
        <v>0</v>
      </c>
    </row>
    <row r="42" spans="1:33" ht="15" customHeight="1">
      <c r="A42" s="587"/>
      <c r="B42" s="735"/>
      <c r="C42" s="593"/>
      <c r="D42" s="1194"/>
      <c r="E42" s="1194"/>
      <c r="F42" s="1194"/>
      <c r="G42" s="1194"/>
      <c r="H42" s="1194"/>
      <c r="I42" s="1194"/>
      <c r="J42" s="1194"/>
      <c r="K42" s="1194"/>
      <c r="L42" s="1194"/>
      <c r="M42" s="1194"/>
      <c r="N42" s="1194"/>
      <c r="O42" s="1194"/>
      <c r="P42" s="1194"/>
      <c r="Q42" s="1194"/>
      <c r="R42" s="1194"/>
      <c r="S42" s="1194"/>
      <c r="T42" s="1194"/>
      <c r="U42" s="1194"/>
      <c r="V42" s="1195"/>
      <c r="AA42" s="769">
        <f>$AF$41</f>
        <v>37030.545764336232</v>
      </c>
      <c r="AB42" s="769">
        <f>6.316*$AA$42/$P$20/$P$18</f>
        <v>487.26026468239087</v>
      </c>
      <c r="AC42" s="770">
        <f>(19000*$P$23/$AB$42)^0.8</f>
        <v>7.4609492060546317E-2</v>
      </c>
      <c r="AD42" s="770">
        <f>0.5961+0.0261*$P$23^2-0.216*$P$23^8+0.000521*(1000000*$P$23/$AB$42)^0.7+(0.0188+0.0063*$AC$42)*$P$23^3.5*(1000000/$AB$42)^0.3+0.043+0.08*EXP(-10*$AB$18)-(0.123*EXP(-7*$AB$18))*(1-0.11*$AC$42)*($P$23^4/(1-$P$23^4))-0.031*($AB$20-0.8*$AB$20^1.1)*$P$23^1.3+IF($P$20&lt;2.8,0.011*(0.75-$P$23)*(2.8-$P$20),0)</f>
        <v>0.63996467419250314</v>
      </c>
      <c r="AE42" s="763">
        <f>$AD$42/(1-$P$23^4)^0.5</f>
        <v>0.6399646741928231</v>
      </c>
      <c r="AF42" s="769">
        <f>1890*$P$21^2*$AE$42*(($P$16-$P$17)*$P$19)^0.5</f>
        <v>37030.545764336232</v>
      </c>
      <c r="AG42" s="772">
        <f>$AA$42-$AF$42</f>
        <v>0</v>
      </c>
    </row>
    <row r="43" spans="1:33" ht="15" customHeight="1">
      <c r="A43" s="587"/>
      <c r="B43" s="735"/>
      <c r="C43" s="593"/>
      <c r="D43" s="1194"/>
      <c r="E43" s="1194"/>
      <c r="F43" s="1194"/>
      <c r="G43" s="1194"/>
      <c r="H43" s="1194"/>
      <c r="I43" s="1194"/>
      <c r="J43" s="1194"/>
      <c r="K43" s="1194"/>
      <c r="L43" s="1194"/>
      <c r="M43" s="1194"/>
      <c r="N43" s="1194"/>
      <c r="O43" s="1194"/>
      <c r="P43" s="1194"/>
      <c r="Q43" s="1194"/>
      <c r="R43" s="1194"/>
      <c r="S43" s="1194"/>
      <c r="T43" s="1194"/>
      <c r="U43" s="1194"/>
      <c r="V43" s="1195"/>
      <c r="AA43" s="769">
        <f>$AF$42</f>
        <v>37030.545764336232</v>
      </c>
      <c r="AB43" s="769">
        <f>6.316*$AA$43/$P$20/$P$18</f>
        <v>487.26026468239087</v>
      </c>
      <c r="AC43" s="770">
        <f>(19000*$P$23/$AB$43)^0.8</f>
        <v>7.4609492060546317E-2</v>
      </c>
      <c r="AD43" s="770">
        <f>0.5961+0.0261*$P$23^2-0.216*$P$23^8+0.000521*(1000000*$P$23/$AB$43)^0.7+(0.0188+0.0063*$AC$43)*$P$23^3.5*(1000000/$AB$43)^0.3+0.043+0.08*EXP(-10*$AB$18)-(0.123*EXP(-7*$AB$18))*(1-0.11*$AC$43)*($P$23^4/(1-$P$23^4))-0.031*($AB$20-0.8*$AB$20^1.1)*$P$23^1.3+IF($P$20&lt;2.8,0.011*(0.75-$P$23)*(2.8-$P$20),0)</f>
        <v>0.63996467419250314</v>
      </c>
      <c r="AE43" s="763">
        <f>$AD$43/(1-$P$23^4)^0.5</f>
        <v>0.6399646741928231</v>
      </c>
      <c r="AF43" s="769">
        <f>1890*$P$21^2*$AE$43*(($P$16-$P$17)*$P$19)^0.5</f>
        <v>37030.545764336232</v>
      </c>
      <c r="AG43" s="772">
        <f>$AA$43-$AF$43</f>
        <v>0</v>
      </c>
    </row>
    <row r="44" spans="1:33" ht="15" customHeight="1">
      <c r="A44" s="587"/>
      <c r="B44" s="735"/>
      <c r="C44" s="593"/>
      <c r="D44" s="1194"/>
      <c r="E44" s="1194"/>
      <c r="F44" s="1194"/>
      <c r="G44" s="1194"/>
      <c r="H44" s="1194"/>
      <c r="I44" s="1194"/>
      <c r="J44" s="1194"/>
      <c r="K44" s="1194"/>
      <c r="L44" s="1194"/>
      <c r="M44" s="1194"/>
      <c r="N44" s="1194"/>
      <c r="O44" s="1194"/>
      <c r="P44" s="1194"/>
      <c r="Q44" s="1194"/>
      <c r="R44" s="1194"/>
      <c r="S44" s="1194"/>
      <c r="T44" s="1194"/>
      <c r="U44" s="1194"/>
      <c r="V44" s="1195"/>
      <c r="AA44" s="769">
        <f>$AF$43</f>
        <v>37030.545764336232</v>
      </c>
      <c r="AB44" s="769">
        <f>6.316*$AA$44/$P$20/$P$18</f>
        <v>487.26026468239087</v>
      </c>
      <c r="AC44" s="770">
        <f>(19000*$P$23/$AB$44)^0.8</f>
        <v>7.4609492060546317E-2</v>
      </c>
      <c r="AD44" s="770">
        <f>0.5961+0.0261*$P$23^2-0.216*$P$23^8+0.000521*(1000000*$P$23/$AB$44)^0.7+(0.0188+0.0063*$AC$44)*$P$23^3.5*(1000000/$AB$44)^0.3+0.043+0.08*EXP(-10*$AB$18)-(0.123*EXP(-7*$AB$18))*(1-0.11*$AC$44)*($P$23^4/(1-$P$23^4))-0.031*($AB$20-0.8*$AB$20^1.1)*$P$23^1.3+IF($P$20&lt;2.8,0.011*(0.75-$P$23)*(2.8-$P$20),0)</f>
        <v>0.63996467419250314</v>
      </c>
      <c r="AE44" s="763">
        <f>$AD$44/(1-$P$23^4)^0.5</f>
        <v>0.6399646741928231</v>
      </c>
      <c r="AF44" s="769">
        <f>1890*$P$21^2*$AE$44*(($P$16-$P$17)*$P$19)^0.5</f>
        <v>37030.545764336232</v>
      </c>
      <c r="AG44" s="772">
        <f>$AA$44-$AF$44</f>
        <v>0</v>
      </c>
    </row>
    <row r="45" spans="1:33" ht="15" customHeight="1">
      <c r="A45" s="587"/>
      <c r="B45" s="735"/>
      <c r="C45" s="593"/>
      <c r="D45" s="1194"/>
      <c r="E45" s="1194"/>
      <c r="F45" s="1194"/>
      <c r="G45" s="1194"/>
      <c r="H45" s="1194"/>
      <c r="I45" s="1194"/>
      <c r="J45" s="1194"/>
      <c r="K45" s="1194"/>
      <c r="L45" s="1194"/>
      <c r="M45" s="1194"/>
      <c r="N45" s="1194"/>
      <c r="O45" s="1194"/>
      <c r="P45" s="1194"/>
      <c r="Q45" s="1194"/>
      <c r="R45" s="1194"/>
      <c r="S45" s="1194"/>
      <c r="T45" s="1194"/>
      <c r="U45" s="1194"/>
      <c r="V45" s="1195"/>
      <c r="AA45" s="769">
        <f>$AF$44</f>
        <v>37030.545764336232</v>
      </c>
      <c r="AB45" s="769">
        <f>6.316*$AA$45/$P$20/$P$18</f>
        <v>487.26026468239087</v>
      </c>
      <c r="AC45" s="770">
        <f>(19000*$P$23/$AB$45)^0.8</f>
        <v>7.4609492060546317E-2</v>
      </c>
      <c r="AD45" s="770">
        <f>0.5961+0.0261*$P$23^2-0.216*$P$23^8+0.000521*(1000000*$P$23/$AB$45)^0.7+(0.0188+0.0063*$AC$45)*$P$23^3.5*(1000000/$AB$45)^0.3+0.043+0.08*EXP(-10*$AB$18)-(0.123*EXP(-7*$AB$18))*(1-0.11*$AC$45)*($P$23^4/(1-$P$23^4))-0.031*($AB$20-0.8*$AB$20^1.1)*$P$23^1.3+IF($P$20&lt;2.8,0.011*(0.75-$P$23)*(2.8-$P$20),0)</f>
        <v>0.63996467419250314</v>
      </c>
      <c r="AE45" s="763">
        <f>$AD$45/(1-$P$23^4)^0.5</f>
        <v>0.6399646741928231</v>
      </c>
      <c r="AF45" s="769">
        <f>1890*$P$21^2*$AE$45*(($P$16-$P$17)*$P$19)^0.5</f>
        <v>37030.545764336232</v>
      </c>
      <c r="AG45" s="772">
        <f>$AA$45-$AF$45</f>
        <v>0</v>
      </c>
    </row>
    <row r="46" spans="1:33" ht="15" customHeight="1">
      <c r="A46" s="587"/>
      <c r="B46" s="735"/>
      <c r="C46" s="593"/>
      <c r="D46" s="1194"/>
      <c r="E46" s="1194"/>
      <c r="F46" s="1194"/>
      <c r="G46" s="1194"/>
      <c r="H46" s="1194"/>
      <c r="I46" s="1194"/>
      <c r="J46" s="1194"/>
      <c r="K46" s="1194"/>
      <c r="L46" s="1194"/>
      <c r="M46" s="1194"/>
      <c r="N46" s="1194"/>
      <c r="O46" s="1194"/>
      <c r="P46" s="1194"/>
      <c r="Q46" s="1194"/>
      <c r="R46" s="1194"/>
      <c r="S46" s="1194"/>
      <c r="T46" s="1194"/>
      <c r="U46" s="1194"/>
      <c r="V46" s="1195"/>
      <c r="AA46" s="769">
        <f>$AF$45</f>
        <v>37030.545764336232</v>
      </c>
      <c r="AB46" s="769">
        <f>6.316*$AA$46/$P$20/$P$18</f>
        <v>487.26026468239087</v>
      </c>
      <c r="AC46" s="770">
        <f>(19000*$P$23/$AB$46)^0.8</f>
        <v>7.4609492060546317E-2</v>
      </c>
      <c r="AD46" s="770">
        <f>0.5961+0.0261*$P$23^2-0.216*$P$23^8+0.000521*(1000000*$P$23/$AB$46)^0.7+(0.0188+0.0063*$AC$46)*$P$23^3.5*(1000000/$AB$46)^0.3+0.043+0.08*EXP(-10*$AB$18)-(0.123*EXP(-7*$AB$18))*(1-0.11*$AC$46)*($P$23^4/(1-$P$23^4))-0.031*($AB$20-0.8*$AB$20^1.1)*$P$23^1.3+IF($P$20&lt;2.8,0.011*(0.75-$P$23)*(2.8-$P$20),0)</f>
        <v>0.63996467419250314</v>
      </c>
      <c r="AE46" s="763">
        <f>$AD$46/(1-$P$23^4)^0.5</f>
        <v>0.6399646741928231</v>
      </c>
      <c r="AF46" s="769">
        <f>1890*$P$21^2*$AE$46*(($P$16-$P$17)*$P$19)^0.5</f>
        <v>37030.545764336232</v>
      </c>
      <c r="AG46" s="772">
        <f>$AA$46-$AF$46</f>
        <v>0</v>
      </c>
    </row>
    <row r="47" spans="1:33" ht="15" customHeight="1">
      <c r="A47" s="587"/>
      <c r="B47" s="735"/>
      <c r="C47" s="593"/>
      <c r="D47" s="1194"/>
      <c r="E47" s="1194"/>
      <c r="F47" s="1194"/>
      <c r="G47" s="1194"/>
      <c r="H47" s="1194"/>
      <c r="I47" s="1194"/>
      <c r="J47" s="1194"/>
      <c r="K47" s="1194"/>
      <c r="L47" s="1194"/>
      <c r="M47" s="1194"/>
      <c r="N47" s="1194"/>
      <c r="O47" s="1194"/>
      <c r="P47" s="1194"/>
      <c r="Q47" s="1194"/>
      <c r="R47" s="1194"/>
      <c r="S47" s="1194"/>
      <c r="T47" s="1194"/>
      <c r="U47" s="1194"/>
      <c r="V47" s="1195"/>
      <c r="AA47" s="769">
        <f>$AF$46</f>
        <v>37030.545764336232</v>
      </c>
      <c r="AB47" s="769">
        <f>6.316*$AA$47/$P$20/$P$18</f>
        <v>487.26026468239087</v>
      </c>
      <c r="AC47" s="770">
        <f>(19000*$P$23/$AB$47)^0.8</f>
        <v>7.4609492060546317E-2</v>
      </c>
      <c r="AD47" s="770">
        <f>0.5961+0.0261*$P$23^2-0.216*$P$23^8+0.000521*(1000000*$P$23/$AB$47)^0.7+(0.0188+0.0063*$AC$47)*$P$23^3.5*(1000000/$AB$47)^0.3+0.043+0.08*EXP(-10*$AB$18)-(0.123*EXP(-7*$AB$18))*(1-0.11*$AC$47)*($P$23^4/(1-$P$23^4))-0.031*($AB$20-0.8*$AB$20^1.1)*$P$23^1.3+IF($P$20&lt;2.8,0.011*(0.75-$P$23)*(2.8-$P$20),0)</f>
        <v>0.63996467419250314</v>
      </c>
      <c r="AE47" s="763">
        <f>$AD$47/(1-$P$23^4)^0.5</f>
        <v>0.6399646741928231</v>
      </c>
      <c r="AF47" s="769">
        <f>1890*$P$21^2*$AE$47*(($P$16-$P$17)*$P$19)^0.5</f>
        <v>37030.545764336232</v>
      </c>
      <c r="AG47" s="772">
        <f>$AA$47-$AF$47</f>
        <v>0</v>
      </c>
    </row>
    <row r="48" spans="1:33" ht="15" customHeight="1">
      <c r="A48" s="587"/>
      <c r="B48" s="735"/>
      <c r="C48" s="593"/>
      <c r="D48" s="1194"/>
      <c r="E48" s="1194"/>
      <c r="F48" s="1194"/>
      <c r="G48" s="1194"/>
      <c r="H48" s="1194"/>
      <c r="I48" s="1194"/>
      <c r="J48" s="1194"/>
      <c r="K48" s="1194"/>
      <c r="L48" s="1194"/>
      <c r="M48" s="1194"/>
      <c r="N48" s="1194"/>
      <c r="O48" s="1194"/>
      <c r="P48" s="1194"/>
      <c r="Q48" s="1194"/>
      <c r="R48" s="1194"/>
      <c r="S48" s="1194"/>
      <c r="T48" s="1194"/>
      <c r="U48" s="1194"/>
      <c r="V48" s="1195"/>
      <c r="AA48" s="769">
        <f>$AF$47</f>
        <v>37030.545764336232</v>
      </c>
      <c r="AB48" s="769">
        <f>6.316*$AA$48/$P$20/$P$18</f>
        <v>487.26026468239087</v>
      </c>
      <c r="AC48" s="770">
        <f>(19000*$P$23/$AB$48)^0.8</f>
        <v>7.4609492060546317E-2</v>
      </c>
      <c r="AD48" s="770">
        <f>0.5961+0.0261*$P$23^2-0.216*$P$23^8+0.000521*(1000000*$P$23/$AB$48)^0.7+(0.0188+0.0063*$AC$48)*$P$23^3.5*(1000000/$AB$48)^0.3+0.043+0.08*EXP(-10*$AB$18)-(0.123*EXP(-7*$AB$18))*(1-0.11*$AC$48)*($P$23^4/(1-$P$23^4))-0.031*($AB$20-0.8*$AB$20^1.1)*$P$23^1.3+IF($P$20&lt;2.8,0.011*(0.75-$P$23)*(2.8-$P$20),0)</f>
        <v>0.63996467419250314</v>
      </c>
      <c r="AE48" s="763">
        <f>$AD$48/(1-$P$23^4)^0.5</f>
        <v>0.6399646741928231</v>
      </c>
      <c r="AF48" s="769">
        <f>1890*$P$21^2*$AE$48*(($P$16-$P$17)*$P$19)^0.5</f>
        <v>37030.545764336232</v>
      </c>
      <c r="AG48" s="772">
        <f>$AA$48-$AF$48</f>
        <v>0</v>
      </c>
    </row>
    <row r="49" spans="1:33" ht="15" customHeight="1">
      <c r="A49" s="587"/>
      <c r="B49" s="735"/>
      <c r="C49" s="593"/>
      <c r="D49" s="1194"/>
      <c r="E49" s="1194"/>
      <c r="F49" s="1194"/>
      <c r="G49" s="1194"/>
      <c r="H49" s="1194"/>
      <c r="I49" s="1194"/>
      <c r="J49" s="1194"/>
      <c r="K49" s="1194"/>
      <c r="L49" s="1194"/>
      <c r="M49" s="1194"/>
      <c r="N49" s="1194"/>
      <c r="O49" s="1194"/>
      <c r="P49" s="1194"/>
      <c r="Q49" s="1194"/>
      <c r="R49" s="1194"/>
      <c r="S49" s="1194"/>
      <c r="T49" s="1194"/>
      <c r="U49" s="1194"/>
      <c r="V49" s="1195"/>
      <c r="AA49" s="769">
        <f>$AF$48</f>
        <v>37030.545764336232</v>
      </c>
      <c r="AB49" s="769">
        <f>6.316*$AA$49/$P$20/$P$18</f>
        <v>487.26026468239087</v>
      </c>
      <c r="AC49" s="770">
        <f>(19000*$P$23/$AB$49)^0.8</f>
        <v>7.4609492060546317E-2</v>
      </c>
      <c r="AD49" s="770">
        <f>0.5961+0.0261*$P$23^2-0.216*$P$23^8+0.000521*(1000000*$P$23/$AB$49)^0.7+(0.0188+0.0063*$AC$49)*$P$23^3.5*(1000000/$AB$49)^0.3+0.043+0.08*EXP(-10*$AB$18)-(0.123*EXP(-7*$AB$18))*(1-0.11*$AC$49)*($P$23^4/(1-$P$23^4))-0.031*($AB$20-0.8*$AB$20^1.1)*$P$23^1.3+IF($P$20&lt;2.8,0.011*(0.75-$P$23)*(2.8-$P$20),0)</f>
        <v>0.63996467419250314</v>
      </c>
      <c r="AE49" s="763">
        <f>$AD$49/(1-$P$23^4)^0.5</f>
        <v>0.6399646741928231</v>
      </c>
      <c r="AF49" s="769">
        <f>1890*$P$21^2*$AE$49*(($P$16-$P$17)*$P$19)^0.5</f>
        <v>37030.545764336232</v>
      </c>
      <c r="AG49" s="772">
        <f>$AA$49-$AF$49</f>
        <v>0</v>
      </c>
    </row>
    <row r="50" spans="1:33" ht="15" customHeight="1">
      <c r="A50" s="587"/>
      <c r="B50" s="735"/>
      <c r="C50" s="593"/>
      <c r="D50" s="1194"/>
      <c r="E50" s="1194"/>
      <c r="F50" s="1194"/>
      <c r="G50" s="1194"/>
      <c r="H50" s="1194"/>
      <c r="I50" s="1194"/>
      <c r="J50" s="1194"/>
      <c r="K50" s="1194"/>
      <c r="L50" s="1194"/>
      <c r="M50" s="1194"/>
      <c r="N50" s="1194"/>
      <c r="O50" s="1194"/>
      <c r="P50" s="1194"/>
      <c r="Q50" s="1194"/>
      <c r="R50" s="1194"/>
      <c r="S50" s="1194"/>
      <c r="T50" s="1194"/>
      <c r="U50" s="1194"/>
      <c r="V50" s="1195"/>
      <c r="AA50" s="769">
        <f>$AF$49</f>
        <v>37030.545764336232</v>
      </c>
      <c r="AB50" s="769">
        <f>6.316*$AA$50/$P$20/$P$18</f>
        <v>487.26026468239087</v>
      </c>
      <c r="AC50" s="770">
        <f>(19000*$P$23/$AB$50)^0.8</f>
        <v>7.4609492060546317E-2</v>
      </c>
      <c r="AD50" s="770">
        <f>0.5961+0.0261*$P$23^2-0.216*$P$23^8+0.000521*(1000000*$P$23/$AB$50)^0.7+(0.0188+0.0063*$AC$50)*$P$23^3.5*(1000000/$AB$50)^0.3+0.043+0.08*EXP(-10*$AB$18)-(0.123*EXP(-7*$AB$18))*(1-0.11*$AC$50)*($P$23^4/(1-$P$23^4))-0.031*($AB$20-0.8*$AB$20^1.1)*$P$23^1.3+IF($P$20&lt;2.8,0.011*(0.75-$P$23)*(2.8-$P$20),0)</f>
        <v>0.63996467419250314</v>
      </c>
      <c r="AE50" s="763">
        <f>$AD$50/(1-$P$23^4)^0.5</f>
        <v>0.6399646741928231</v>
      </c>
      <c r="AF50" s="769">
        <f>1890*$P$21^2*$AE$50*(($P$16-$P$17)*$P$19)^0.5</f>
        <v>37030.545764336232</v>
      </c>
      <c r="AG50" s="772">
        <f>$AA$50-$AF$50</f>
        <v>0</v>
      </c>
    </row>
    <row r="51" spans="1:33" ht="15" customHeight="1">
      <c r="A51" s="587"/>
      <c r="B51" s="735"/>
      <c r="C51" s="593"/>
      <c r="D51" s="1194"/>
      <c r="E51" s="1194"/>
      <c r="F51" s="1194"/>
      <c r="G51" s="1194"/>
      <c r="H51" s="1194"/>
      <c r="I51" s="1194"/>
      <c r="J51" s="1194"/>
      <c r="K51" s="1194"/>
      <c r="L51" s="1194"/>
      <c r="M51" s="1194"/>
      <c r="N51" s="1194"/>
      <c r="O51" s="1194"/>
      <c r="P51" s="1194"/>
      <c r="Q51" s="1194"/>
      <c r="R51" s="1194"/>
      <c r="S51" s="1194"/>
      <c r="T51" s="1194"/>
      <c r="U51" s="1194"/>
      <c r="V51" s="1195"/>
      <c r="AA51" s="769">
        <f>$AF$50</f>
        <v>37030.545764336232</v>
      </c>
      <c r="AB51" s="769">
        <f>6.316*$AA$51/$P$20/$P$18</f>
        <v>487.26026468239087</v>
      </c>
      <c r="AC51" s="770">
        <f>(19000*$P$23/$AB$51)^0.8</f>
        <v>7.4609492060546317E-2</v>
      </c>
      <c r="AD51" s="770">
        <f>0.5961+0.0261*$P$23^2-0.216*$P$23^8+0.000521*(1000000*$P$23/$AB$51)^0.7+(0.0188+0.0063*$AC$51)*$P$23^3.5*(1000000/$AB$51)^0.3+0.043+0.08*EXP(-10*$AB$18)-(0.123*EXP(-7*$AB$18))*(1-0.11*$AC$51)*($P$23^4/(1-$P$23^4))-0.031*($AB$20-0.8*$AB$20^1.1)*$P$23^1.3+IF($P$20&lt;2.8,0.011*(0.75-$P$23)*(2.8-$P$20),0)</f>
        <v>0.63996467419250314</v>
      </c>
      <c r="AE51" s="763">
        <f>$AD$51/(1-$P$23^4)^0.5</f>
        <v>0.6399646741928231</v>
      </c>
      <c r="AF51" s="769">
        <f>1890*$P$21^2*$AE$51*(($P$16-$P$17)*$P$19)^0.5</f>
        <v>37030.545764336232</v>
      </c>
      <c r="AG51" s="772">
        <f>$AA$51-$AF$51</f>
        <v>0</v>
      </c>
    </row>
    <row r="52" spans="1:33" ht="15" customHeight="1">
      <c r="A52" s="587"/>
      <c r="B52" s="735"/>
      <c r="C52" s="593"/>
      <c r="D52" s="1194"/>
      <c r="E52" s="1194"/>
      <c r="F52" s="1194"/>
      <c r="G52" s="1194"/>
      <c r="H52" s="1194"/>
      <c r="I52" s="1194"/>
      <c r="J52" s="1194"/>
      <c r="K52" s="1194"/>
      <c r="L52" s="1194"/>
      <c r="M52" s="1194"/>
      <c r="N52" s="1194"/>
      <c r="O52" s="1194"/>
      <c r="P52" s="1194"/>
      <c r="Q52" s="1194"/>
      <c r="R52" s="1194"/>
      <c r="S52" s="1194"/>
      <c r="T52" s="1194"/>
      <c r="U52" s="1194"/>
      <c r="V52" s="1195"/>
      <c r="AA52" s="769">
        <f>$AF$51</f>
        <v>37030.545764336232</v>
      </c>
      <c r="AB52" s="769">
        <f>6.316*$AA$52/$P$20/$P$18</f>
        <v>487.26026468239087</v>
      </c>
      <c r="AC52" s="770">
        <f>(19000*$P$23/$AB$52)^0.8</f>
        <v>7.4609492060546317E-2</v>
      </c>
      <c r="AD52" s="770">
        <f>0.5961+0.0261*$P$23^2-0.216*$P$23^8+0.000521*(1000000*$P$23/$AB$52)^0.7+(0.0188+0.0063*$AC$52)*$P$23^3.5*(1000000/$AB$52)^0.3+0.043+0.08*EXP(-10*$AB$18)-(0.123*EXP(-7*$AB$18))*(1-0.11*$AC$52)*($P$23^4/(1-$P$23^4))-0.031*($AB$20-0.8*$AB$20^1.1)*$P$23^1.3+IF($P$20&lt;2.8,0.011*(0.75-$P$23)*(2.8-$P$20),0)</f>
        <v>0.63996467419250314</v>
      </c>
      <c r="AE52" s="763">
        <f>$AD$52/(1-$P$23^4)^0.5</f>
        <v>0.6399646741928231</v>
      </c>
      <c r="AF52" s="769">
        <f>1890*$P$21^2*$AE$52*(($P$16-$P$17)*$P$19)^0.5</f>
        <v>37030.545764336232</v>
      </c>
      <c r="AG52" s="772">
        <f>$AA$52-$AF$52</f>
        <v>0</v>
      </c>
    </row>
    <row r="53" spans="1:33" ht="15" customHeight="1">
      <c r="A53" s="587"/>
      <c r="B53" s="735"/>
      <c r="C53" s="594"/>
      <c r="D53" s="1196"/>
      <c r="E53" s="1196"/>
      <c r="F53" s="1196"/>
      <c r="G53" s="1196"/>
      <c r="H53" s="1196"/>
      <c r="I53" s="1196"/>
      <c r="J53" s="1196"/>
      <c r="K53" s="1196"/>
      <c r="L53" s="1196"/>
      <c r="M53" s="1196"/>
      <c r="N53" s="1196"/>
      <c r="O53" s="1196"/>
      <c r="P53" s="1196"/>
      <c r="Q53" s="1196"/>
      <c r="R53" s="1196"/>
      <c r="S53" s="1196"/>
      <c r="T53" s="1196"/>
      <c r="U53" s="1196"/>
      <c r="V53" s="1197"/>
      <c r="AA53" s="769">
        <f>$AF$52</f>
        <v>37030.545764336232</v>
      </c>
      <c r="AB53" s="769">
        <f>6.316*$AA$53/$P$20/$P$18</f>
        <v>487.26026468239087</v>
      </c>
      <c r="AC53" s="770">
        <f>(19000*$P$23/$AB$53)^0.8</f>
        <v>7.4609492060546317E-2</v>
      </c>
      <c r="AD53" s="770">
        <f>0.5961+0.0261*$P$23^2-0.216*$P$23^8+0.000521*(1000000*$P$23/$AB$53)^0.7+(0.0188+0.0063*$AC$53)*$P$23^3.5*(1000000/$AB$53)^0.3+0.043+0.08*EXP(-10*$AB$18)-(0.123*EXP(-7*$AB$18))*(1-0.11*$AC$53)*($P$23^4/(1-$P$23^4))-0.031*($AB$20-0.8*$AB$20^1.1)*$P$23^1.3+IF($P$20&lt;2.8,0.011*(0.75-$P$23)*(2.8-$P$20),0)</f>
        <v>0.63996467419250314</v>
      </c>
      <c r="AE53" s="763">
        <f>$AD$53/(1-$P$23^4)^0.5</f>
        <v>0.6399646741928231</v>
      </c>
      <c r="AF53" s="769">
        <f>1890*$P$21^2*$AE$53*(($P$16-$P$17)*$P$19)^0.5</f>
        <v>37030.545764336232</v>
      </c>
      <c r="AG53" s="772">
        <f>$AA$53-$AF$53</f>
        <v>0</v>
      </c>
    </row>
    <row r="54" spans="1:33" ht="15" customHeight="1">
      <c r="A54" s="587"/>
      <c r="B54" s="735"/>
      <c r="C54" s="1231" t="s">
        <v>95</v>
      </c>
      <c r="D54" s="855"/>
      <c r="E54" s="855"/>
      <c r="F54" s="855"/>
      <c r="G54" s="855"/>
      <c r="H54" s="855"/>
      <c r="I54" s="855"/>
      <c r="J54" s="855"/>
      <c r="K54" s="855"/>
      <c r="L54" s="855"/>
      <c r="M54" s="855"/>
      <c r="N54" s="855"/>
      <c r="O54" s="855"/>
      <c r="P54" s="855"/>
      <c r="Q54" s="855"/>
      <c r="R54" s="855"/>
      <c r="S54" s="855"/>
      <c r="T54" s="855"/>
      <c r="U54" s="855"/>
      <c r="V54" s="856"/>
      <c r="AA54" s="769">
        <f>$AF$53</f>
        <v>37030.545764336232</v>
      </c>
      <c r="AB54" s="769">
        <f>6.316*$AA$54/$P$20/$P$18</f>
        <v>487.26026468239087</v>
      </c>
      <c r="AC54" s="770">
        <f>(19000*$P$23/$AB$54)^0.8</f>
        <v>7.4609492060546317E-2</v>
      </c>
      <c r="AD54" s="770">
        <f>0.5961+0.0261*$P$23^2-0.216*$P$23^8+0.000521*(1000000*$P$23/$AB$54)^0.7+(0.0188+0.0063*$AC$54)*$P$23^3.5*(1000000/$AB$54)^0.3+0.043+0.08*EXP(-10*$AB$18)-(0.123*EXP(-7*$AB$18))*(1-0.11*$AC$54)*($P$23^4/(1-$P$23^4))-0.031*($AB$20-0.8*$AB$20^1.1)*$P$23^1.3+IF($P$20&lt;2.8,0.011*(0.75-$P$23)*(2.8-$P$20),0)</f>
        <v>0.63996467419250314</v>
      </c>
      <c r="AE54" s="763">
        <f>$AD$54/(1-$P$23^4)^0.5</f>
        <v>0.6399646741928231</v>
      </c>
      <c r="AF54" s="769">
        <f>1890*$P$21^2*$AE$54*(($P$16-$P$17)*$P$19)^0.5</f>
        <v>37030.545764336232</v>
      </c>
      <c r="AG54" s="772">
        <f>$AA$54-$AF$54</f>
        <v>0</v>
      </c>
    </row>
    <row r="55" spans="1:33" ht="15" customHeight="1">
      <c r="A55" s="587"/>
      <c r="B55" s="735"/>
      <c r="C55" s="1232" t="s">
        <v>513</v>
      </c>
      <c r="D55" s="1233"/>
      <c r="E55" s="1233"/>
      <c r="F55" s="1233"/>
      <c r="G55" s="1233"/>
      <c r="H55" s="1234" t="s">
        <v>552</v>
      </c>
      <c r="I55" s="1234"/>
      <c r="J55" s="1234"/>
      <c r="K55" s="1234"/>
      <c r="L55" s="1234"/>
      <c r="M55" s="1234"/>
      <c r="N55" s="1234"/>
      <c r="O55" s="1234"/>
      <c r="P55" s="1234"/>
      <c r="Q55" s="1234"/>
      <c r="R55" s="1234"/>
      <c r="S55" s="1234"/>
      <c r="T55" s="1234"/>
      <c r="U55" s="1234"/>
      <c r="V55" s="1235"/>
      <c r="AA55" s="769">
        <f>$AF$54</f>
        <v>37030.545764336232</v>
      </c>
      <c r="AB55" s="769">
        <f>6.316*$AA$55/$P$20/$P$18</f>
        <v>487.26026468239087</v>
      </c>
      <c r="AC55" s="770">
        <f>(19000*$P$23/$AB$55)^0.8</f>
        <v>7.4609492060546317E-2</v>
      </c>
      <c r="AD55" s="770">
        <f>0.5961+0.0261*$P$23^2-0.216*$P$23^8+0.000521*(1000000*$P$23/$AB$55)^0.7+(0.0188+0.0063*$AC$55)*$P$23^3.5*(1000000/$AB$55)^0.3+0.043+0.08*EXP(-10*$AB$18)-(0.123*EXP(-7*$AB$18))*(1-0.11*$AC$55)*($P$23^4/(1-$P$23^4))-0.031*($AB$20-0.8*$AB$20^1.1)*$P$23^1.3+IF($P$20&lt;2.8,0.011*(0.75-$P$23)*(2.8-$P$20),0)</f>
        <v>0.63996467419250314</v>
      </c>
      <c r="AE55" s="763">
        <f>$AD$55/(1-$P$23^4)^0.5</f>
        <v>0.6399646741928231</v>
      </c>
      <c r="AF55" s="769">
        <f>1890*$P$21^2*$AE$55*(($P$16-$P$17)*$P$19)^0.5</f>
        <v>37030.545764336232</v>
      </c>
      <c r="AG55" s="772">
        <f>$AA$55-$AF$55</f>
        <v>0</v>
      </c>
    </row>
    <row r="56" spans="1:33" ht="15" customHeight="1">
      <c r="A56" s="587"/>
      <c r="B56" s="735"/>
      <c r="C56" s="1229" t="s">
        <v>553</v>
      </c>
      <c r="D56" s="1230"/>
      <c r="E56" s="1230"/>
      <c r="F56" s="1230"/>
      <c r="G56" s="1230"/>
      <c r="H56" s="1225" t="s">
        <v>554</v>
      </c>
      <c r="I56" s="1225"/>
      <c r="J56" s="1225"/>
      <c r="K56" s="1225"/>
      <c r="L56" s="1225"/>
      <c r="M56" s="1225"/>
      <c r="N56" s="1225"/>
      <c r="O56" s="1225"/>
      <c r="P56" s="1225"/>
      <c r="Q56" s="1225"/>
      <c r="R56" s="1225"/>
      <c r="S56" s="1225"/>
      <c r="T56" s="1225"/>
      <c r="U56" s="1225"/>
      <c r="V56" s="1226"/>
      <c r="AA56" s="769">
        <f>$AF$55</f>
        <v>37030.545764336232</v>
      </c>
      <c r="AB56" s="769">
        <f>6.316*$AA$56/$P$20/$P$18</f>
        <v>487.26026468239087</v>
      </c>
      <c r="AC56" s="770">
        <f>(19000*$P$23/$AB$56)^0.8</f>
        <v>7.4609492060546317E-2</v>
      </c>
      <c r="AD56" s="770">
        <f>0.5961+0.0261*$P$23^2-0.216*$P$23^8+0.000521*(1000000*$P$23/$AB$56)^0.7+(0.0188+0.0063*$AC$56)*$P$23^3.5*(1000000/$AB$56)^0.3+0.043+0.08*EXP(-10*$AB$18)-(0.123*EXP(-7*$AB$18))*(1-0.11*$AC$56)*($P$23^4/(1-$P$23^4))-0.031*($AB$20-0.8*$AB$20^1.1)*$P$23^1.3+IF($P$20&lt;2.8,0.011*(0.75-$P$23)*(2.8-$P$20),0)</f>
        <v>0.63996467419250314</v>
      </c>
      <c r="AE56" s="763">
        <f>$AD$56/(1-$P$23^4)^0.5</f>
        <v>0.6399646741928231</v>
      </c>
      <c r="AF56" s="769">
        <f>1890*$P$21^2*$AE$56*(($P$16-$P$17)*$P$19)^0.5</f>
        <v>37030.545764336232</v>
      </c>
      <c r="AG56" s="772">
        <f>$AA$56-$AF$56</f>
        <v>0</v>
      </c>
    </row>
    <row r="57" spans="1:33" ht="15" customHeight="1">
      <c r="A57" s="587"/>
      <c r="B57" s="735"/>
      <c r="C57" s="1229" t="s">
        <v>555</v>
      </c>
      <c r="D57" s="1230"/>
      <c r="E57" s="1230"/>
      <c r="F57" s="1230"/>
      <c r="G57" s="1230"/>
      <c r="H57" s="1225" t="s">
        <v>556</v>
      </c>
      <c r="I57" s="1225"/>
      <c r="J57" s="1225"/>
      <c r="K57" s="1225"/>
      <c r="L57" s="1225"/>
      <c r="M57" s="1225"/>
      <c r="N57" s="1225"/>
      <c r="O57" s="1225"/>
      <c r="P57" s="1225"/>
      <c r="Q57" s="1225"/>
      <c r="R57" s="1225"/>
      <c r="S57" s="1225"/>
      <c r="T57" s="1225"/>
      <c r="U57" s="1225"/>
      <c r="V57" s="1226"/>
      <c r="AA57" s="769">
        <f>$AF$56</f>
        <v>37030.545764336232</v>
      </c>
      <c r="AB57" s="769">
        <f>6.316*$AA$57/$P$20/$P$18</f>
        <v>487.26026468239087</v>
      </c>
      <c r="AC57" s="770">
        <f>(19000*$P$23/$AB$57)^0.8</f>
        <v>7.4609492060546317E-2</v>
      </c>
      <c r="AD57" s="770">
        <f>0.5961+0.0261*$P$23^2-0.216*$P$23^8+0.000521*(1000000*$P$23/$AB$57)^0.7+(0.0188+0.0063*$AC$57)*$P$23^3.5*(1000000/$AB$57)^0.3+0.043+0.08*EXP(-10*$AB$18)-(0.123*EXP(-7*$AB$18))*(1-0.11*$AC$57)*($P$23^4/(1-$P$23^4))-0.031*($AB$20-0.8*$AB$20^1.1)*$P$23^1.3+IF($P$20&lt;2.8,0.011*(0.75-$P$23)*(2.8-$P$20),0)</f>
        <v>0.63996467419250314</v>
      </c>
      <c r="AE57" s="763">
        <f>$AD$57/(1-$P$23^4)^0.5</f>
        <v>0.6399646741928231</v>
      </c>
      <c r="AF57" s="769">
        <f>1890*$P$21^2*$AE$57*(($P$16-$P$17)*$P$19)^0.5</f>
        <v>37030.545764336232</v>
      </c>
      <c r="AG57" s="772">
        <f>$AA$57-$AF$57</f>
        <v>0</v>
      </c>
    </row>
    <row r="58" spans="1:33" ht="15" customHeight="1">
      <c r="A58" s="587"/>
      <c r="B58" s="595"/>
      <c r="C58" s="1223"/>
      <c r="D58" s="1224"/>
      <c r="E58" s="1224"/>
      <c r="F58" s="1224"/>
      <c r="G58" s="1224"/>
      <c r="H58" s="1225"/>
      <c r="I58" s="1225"/>
      <c r="J58" s="1225"/>
      <c r="K58" s="1225"/>
      <c r="L58" s="1225"/>
      <c r="M58" s="1225"/>
      <c r="N58" s="1225"/>
      <c r="O58" s="1225"/>
      <c r="P58" s="1225"/>
      <c r="Q58" s="1225"/>
      <c r="R58" s="1225"/>
      <c r="S58" s="1225"/>
      <c r="T58" s="1225"/>
      <c r="U58" s="1225"/>
      <c r="V58" s="1226"/>
      <c r="AE58" s="763"/>
    </row>
    <row r="59" spans="1:33" ht="15" customHeight="1">
      <c r="A59" s="587"/>
      <c r="B59" s="595"/>
      <c r="C59" s="1223"/>
      <c r="D59" s="1224"/>
      <c r="E59" s="1224"/>
      <c r="F59" s="1224"/>
      <c r="G59" s="1224"/>
      <c r="H59" s="1225"/>
      <c r="I59" s="1225"/>
      <c r="J59" s="1225"/>
      <c r="K59" s="1225"/>
      <c r="L59" s="1225"/>
      <c r="M59" s="1225"/>
      <c r="N59" s="1225"/>
      <c r="O59" s="1225"/>
      <c r="P59" s="1225"/>
      <c r="Q59" s="1225"/>
      <c r="R59" s="1225"/>
      <c r="S59" s="1225"/>
      <c r="T59" s="1225"/>
      <c r="U59" s="1225"/>
      <c r="V59" s="1226"/>
      <c r="AE59" s="763"/>
    </row>
    <row r="60" spans="1:33" ht="15" customHeight="1">
      <c r="A60" s="587"/>
      <c r="B60" s="595"/>
      <c r="C60" s="1223"/>
      <c r="D60" s="1224"/>
      <c r="E60" s="1224"/>
      <c r="F60" s="1224"/>
      <c r="G60" s="1224"/>
      <c r="H60" s="1225"/>
      <c r="I60" s="1225"/>
      <c r="J60" s="1225"/>
      <c r="K60" s="1225"/>
      <c r="L60" s="1225"/>
      <c r="M60" s="1225"/>
      <c r="N60" s="1225"/>
      <c r="O60" s="1225"/>
      <c r="P60" s="1225"/>
      <c r="Q60" s="1225"/>
      <c r="R60" s="1225"/>
      <c r="S60" s="1225"/>
      <c r="T60" s="1225"/>
      <c r="U60" s="1225"/>
      <c r="V60" s="1226"/>
      <c r="AE60" s="763"/>
    </row>
    <row r="61" spans="1:33" ht="15" customHeight="1">
      <c r="A61" s="587"/>
      <c r="B61" s="595"/>
      <c r="C61" s="1223"/>
      <c r="D61" s="1224"/>
      <c r="E61" s="1224"/>
      <c r="F61" s="1224"/>
      <c r="G61" s="1224"/>
      <c r="H61" s="1225"/>
      <c r="I61" s="1225"/>
      <c r="J61" s="1225"/>
      <c r="K61" s="1225"/>
      <c r="L61" s="1225"/>
      <c r="M61" s="1225"/>
      <c r="N61" s="1225"/>
      <c r="O61" s="1225"/>
      <c r="P61" s="1225"/>
      <c r="Q61" s="1225"/>
      <c r="R61" s="1225"/>
      <c r="S61" s="1225"/>
      <c r="T61" s="1225"/>
      <c r="U61" s="1225"/>
      <c r="V61" s="1226"/>
      <c r="AE61" s="763"/>
    </row>
    <row r="62" spans="1:33" ht="15" customHeight="1">
      <c r="A62" s="587"/>
      <c r="B62" s="595"/>
      <c r="C62" s="1223"/>
      <c r="D62" s="1224"/>
      <c r="E62" s="1224"/>
      <c r="F62" s="1224"/>
      <c r="G62" s="1224"/>
      <c r="H62" s="1227"/>
      <c r="I62" s="1227"/>
      <c r="J62" s="1227"/>
      <c r="K62" s="1227"/>
      <c r="L62" s="1227"/>
      <c r="M62" s="1227"/>
      <c r="N62" s="1227"/>
      <c r="O62" s="1227"/>
      <c r="P62" s="1227"/>
      <c r="Q62" s="1227"/>
      <c r="R62" s="1227"/>
      <c r="S62" s="1227"/>
      <c r="T62" s="1227"/>
      <c r="U62" s="1227"/>
      <c r="V62" s="1228"/>
      <c r="AE62" s="763"/>
    </row>
    <row r="63" spans="1:33" ht="15" customHeight="1">
      <c r="A63" s="587"/>
      <c r="B63" s="757"/>
      <c r="C63" s="1215"/>
      <c r="D63" s="1216"/>
      <c r="E63" s="1216"/>
      <c r="F63" s="1216"/>
      <c r="G63" s="1216"/>
      <c r="H63" s="1217"/>
      <c r="I63" s="1217"/>
      <c r="J63" s="1217"/>
      <c r="K63" s="1217"/>
      <c r="L63" s="1217"/>
      <c r="M63" s="1217"/>
      <c r="N63" s="1217"/>
      <c r="O63" s="1217"/>
      <c r="P63" s="1217"/>
      <c r="Q63" s="1217"/>
      <c r="R63" s="1217"/>
      <c r="S63" s="1217"/>
      <c r="T63" s="1217"/>
      <c r="U63" s="1217"/>
      <c r="V63" s="1218"/>
      <c r="AE63" s="763"/>
    </row>
    <row r="64" spans="1:33" ht="15" customHeight="1">
      <c r="A64" s="587"/>
      <c r="B64" s="757"/>
      <c r="C64" s="1215"/>
      <c r="D64" s="1216"/>
      <c r="E64" s="1216"/>
      <c r="F64" s="1216"/>
      <c r="G64" s="1216"/>
      <c r="H64" s="1217"/>
      <c r="I64" s="1217"/>
      <c r="J64" s="1217"/>
      <c r="K64" s="1217"/>
      <c r="L64" s="1217"/>
      <c r="M64" s="1217"/>
      <c r="N64" s="1217"/>
      <c r="O64" s="1217"/>
      <c r="P64" s="1217"/>
      <c r="Q64" s="1217"/>
      <c r="R64" s="1217"/>
      <c r="S64" s="1217"/>
      <c r="T64" s="1217"/>
      <c r="U64" s="1217"/>
      <c r="V64" s="1218"/>
      <c r="AE64" s="763"/>
    </row>
    <row r="65" spans="1:36" ht="15" customHeight="1" thickBot="1">
      <c r="A65" s="587"/>
      <c r="B65" s="758"/>
      <c r="C65" s="1219"/>
      <c r="D65" s="1220"/>
      <c r="E65" s="1220"/>
      <c r="F65" s="1220"/>
      <c r="G65" s="1220"/>
      <c r="H65" s="1221"/>
      <c r="I65" s="1221"/>
      <c r="J65" s="1221"/>
      <c r="K65" s="1221"/>
      <c r="L65" s="1221"/>
      <c r="M65" s="1221"/>
      <c r="N65" s="1221"/>
      <c r="O65" s="1221"/>
      <c r="P65" s="1221"/>
      <c r="Q65" s="1221"/>
      <c r="R65" s="1221"/>
      <c r="S65" s="1221"/>
      <c r="T65" s="1221"/>
      <c r="U65" s="1221"/>
      <c r="V65" s="1222"/>
      <c r="AE65" s="763"/>
    </row>
    <row r="66" spans="1:36" s="760" customFormat="1" ht="15" customHeight="1">
      <c r="A66" s="587"/>
      <c r="B66" s="574"/>
      <c r="C66" s="574"/>
      <c r="D66" s="574"/>
      <c r="E66" s="574"/>
      <c r="F66" s="574"/>
      <c r="G66" s="574"/>
      <c r="H66" s="574"/>
      <c r="I66" s="574"/>
      <c r="J66" s="574"/>
      <c r="K66" s="574"/>
      <c r="L66" s="574"/>
      <c r="M66" s="574"/>
      <c r="N66" s="574"/>
      <c r="O66" s="585"/>
      <c r="P66" s="585"/>
      <c r="Q66" s="585"/>
      <c r="R66" s="585"/>
      <c r="S66" s="585"/>
      <c r="T66" s="585"/>
      <c r="U66" s="585"/>
      <c r="V66" s="585"/>
      <c r="X66" s="738"/>
      <c r="Y66" s="738"/>
      <c r="Z66" s="738"/>
      <c r="AA66" s="738"/>
      <c r="AB66" s="738"/>
      <c r="AC66" s="738"/>
      <c r="AD66" s="738"/>
      <c r="AE66" s="763"/>
      <c r="AF66" s="738"/>
      <c r="AG66" s="738"/>
      <c r="AH66" s="738"/>
      <c r="AI66" s="738"/>
      <c r="AJ66" s="738"/>
    </row>
    <row r="67" spans="1:36" s="760" customFormat="1" ht="15" customHeight="1">
      <c r="A67" s="587"/>
      <c r="B67" s="574"/>
      <c r="C67" s="574"/>
      <c r="D67" s="574"/>
      <c r="E67" s="574"/>
      <c r="F67" s="585"/>
      <c r="G67" s="585"/>
      <c r="H67" s="585"/>
      <c r="I67" s="585"/>
      <c r="J67" s="585"/>
      <c r="K67" s="585"/>
      <c r="L67" s="585"/>
      <c r="M67" s="585"/>
      <c r="N67" s="585"/>
      <c r="O67" s="585"/>
      <c r="P67" s="585"/>
      <c r="Q67" s="585"/>
      <c r="R67" s="585"/>
      <c r="S67" s="585"/>
      <c r="T67" s="585"/>
      <c r="U67" s="585"/>
      <c r="V67" s="585"/>
      <c r="X67" s="738"/>
      <c r="Y67" s="738"/>
      <c r="Z67" s="738"/>
      <c r="AA67" s="738"/>
      <c r="AB67" s="738"/>
      <c r="AC67" s="738"/>
      <c r="AD67" s="738"/>
      <c r="AE67" s="763"/>
      <c r="AF67" s="738"/>
      <c r="AG67" s="738"/>
      <c r="AH67" s="738"/>
      <c r="AI67" s="738"/>
      <c r="AJ67" s="738"/>
    </row>
    <row r="68" spans="1:36" s="760" customFormat="1" ht="15" customHeight="1">
      <c r="A68" s="587"/>
      <c r="B68" s="574"/>
      <c r="C68" s="574"/>
      <c r="D68" s="574"/>
      <c r="E68" s="574"/>
      <c r="F68" s="585"/>
      <c r="G68" s="585"/>
      <c r="H68" s="585"/>
      <c r="I68" s="585"/>
      <c r="J68" s="585"/>
      <c r="K68" s="585"/>
      <c r="L68" s="585"/>
      <c r="M68" s="585"/>
      <c r="N68" s="585"/>
      <c r="O68" s="585"/>
      <c r="P68" s="585"/>
      <c r="Q68" s="585"/>
      <c r="R68" s="585"/>
      <c r="S68" s="585"/>
      <c r="T68" s="585"/>
      <c r="U68" s="585"/>
      <c r="V68" s="585"/>
      <c r="X68" s="738"/>
      <c r="Y68" s="738"/>
      <c r="Z68" s="738"/>
      <c r="AA68" s="738"/>
      <c r="AB68" s="738"/>
      <c r="AC68" s="738"/>
      <c r="AD68" s="738"/>
      <c r="AE68" s="763"/>
      <c r="AF68" s="738"/>
      <c r="AG68" s="738"/>
      <c r="AH68" s="738"/>
      <c r="AI68" s="738"/>
      <c r="AJ68" s="738"/>
    </row>
    <row r="69" spans="1:36" s="760" customFormat="1" ht="15" customHeight="1">
      <c r="A69" s="587"/>
      <c r="B69" s="574"/>
      <c r="C69" s="574"/>
      <c r="D69" s="574"/>
      <c r="E69" s="574"/>
      <c r="F69" s="585"/>
      <c r="G69" s="585"/>
      <c r="H69" s="585"/>
      <c r="I69" s="585"/>
      <c r="J69" s="585"/>
      <c r="K69" s="585"/>
      <c r="L69" s="585"/>
      <c r="M69" s="585"/>
      <c r="N69" s="585"/>
      <c r="O69" s="585"/>
      <c r="P69" s="585"/>
      <c r="Q69" s="585"/>
      <c r="R69" s="585"/>
      <c r="S69" s="585"/>
      <c r="T69" s="585"/>
      <c r="U69" s="585"/>
      <c r="V69" s="585"/>
      <c r="X69" s="738"/>
      <c r="Y69" s="738"/>
      <c r="Z69" s="738"/>
      <c r="AA69" s="738"/>
      <c r="AB69" s="738"/>
      <c r="AC69" s="738"/>
      <c r="AD69" s="738"/>
      <c r="AE69" s="763"/>
      <c r="AF69" s="738"/>
      <c r="AG69" s="738"/>
      <c r="AH69" s="738"/>
      <c r="AI69" s="738"/>
      <c r="AJ69" s="738"/>
    </row>
    <row r="70" spans="1:36" s="760" customFormat="1" ht="15" customHeight="1">
      <c r="A70" s="587"/>
      <c r="B70" s="574"/>
      <c r="C70" s="574"/>
      <c r="D70" s="574"/>
      <c r="E70" s="574"/>
      <c r="F70" s="585"/>
      <c r="G70" s="585"/>
      <c r="H70" s="585"/>
      <c r="I70" s="585"/>
      <c r="J70" s="585"/>
      <c r="K70" s="585"/>
      <c r="L70" s="585"/>
      <c r="M70" s="585"/>
      <c r="N70" s="585"/>
      <c r="O70" s="585"/>
      <c r="P70" s="585"/>
      <c r="Q70" s="585"/>
      <c r="R70" s="585"/>
      <c r="S70" s="585"/>
      <c r="T70" s="585"/>
      <c r="U70" s="585"/>
      <c r="V70" s="585"/>
      <c r="X70" s="738"/>
      <c r="Y70" s="738"/>
      <c r="Z70" s="738"/>
      <c r="AA70" s="738"/>
      <c r="AB70" s="738"/>
      <c r="AC70" s="738"/>
      <c r="AD70" s="738"/>
      <c r="AE70" s="763"/>
      <c r="AF70" s="738"/>
      <c r="AG70" s="738"/>
      <c r="AH70" s="738"/>
      <c r="AI70" s="738"/>
      <c r="AJ70" s="738"/>
    </row>
    <row r="71" spans="1:36" s="760" customFormat="1" ht="15" customHeight="1">
      <c r="A71" s="587"/>
      <c r="B71" s="574"/>
      <c r="C71" s="574"/>
      <c r="D71" s="574"/>
      <c r="E71" s="574"/>
      <c r="F71" s="585"/>
      <c r="G71" s="585"/>
      <c r="H71" s="585"/>
      <c r="I71" s="585"/>
      <c r="J71" s="585"/>
      <c r="K71" s="585"/>
      <c r="L71" s="585"/>
      <c r="M71" s="585"/>
      <c r="N71" s="585"/>
      <c r="O71" s="585"/>
      <c r="P71" s="585"/>
      <c r="Q71" s="585"/>
      <c r="R71" s="585"/>
      <c r="S71" s="585"/>
      <c r="T71" s="585"/>
      <c r="U71" s="585"/>
      <c r="V71" s="585"/>
      <c r="X71" s="738"/>
      <c r="Y71" s="738"/>
      <c r="Z71" s="738"/>
      <c r="AA71" s="738"/>
      <c r="AB71" s="738"/>
      <c r="AC71" s="738"/>
      <c r="AD71" s="738"/>
      <c r="AE71" s="763"/>
      <c r="AF71" s="738"/>
      <c r="AG71" s="738"/>
      <c r="AH71" s="738"/>
      <c r="AI71" s="738"/>
      <c r="AJ71" s="738"/>
    </row>
    <row r="72" spans="1:36" s="760" customFormat="1" ht="15.95" customHeight="1">
      <c r="A72" s="596"/>
      <c r="B72" s="574"/>
      <c r="C72" s="574"/>
      <c r="D72" s="574"/>
      <c r="E72" s="574"/>
      <c r="F72" s="585"/>
      <c r="G72" s="585"/>
      <c r="H72" s="585"/>
      <c r="I72" s="585"/>
      <c r="J72" s="585"/>
      <c r="K72" s="585"/>
      <c r="L72" s="585"/>
      <c r="M72" s="585"/>
      <c r="N72" s="585"/>
      <c r="O72" s="585"/>
      <c r="P72" s="585"/>
      <c r="Q72" s="585"/>
      <c r="R72" s="585"/>
      <c r="S72" s="585"/>
      <c r="T72" s="585"/>
      <c r="U72" s="585"/>
      <c r="V72" s="585"/>
      <c r="X72" s="738"/>
      <c r="Y72" s="738"/>
      <c r="Z72" s="738"/>
      <c r="AA72" s="738"/>
      <c r="AB72" s="738"/>
      <c r="AC72" s="738"/>
      <c r="AD72" s="738"/>
      <c r="AE72" s="763"/>
      <c r="AF72" s="738"/>
      <c r="AG72" s="738"/>
      <c r="AH72" s="738"/>
      <c r="AI72" s="738"/>
      <c r="AJ72" s="738"/>
    </row>
    <row r="73" spans="1:36" s="760" customFormat="1" ht="15.95" customHeight="1">
      <c r="A73" s="596"/>
      <c r="B73" s="574"/>
      <c r="C73" s="574"/>
      <c r="D73" s="574"/>
      <c r="E73" s="574"/>
      <c r="F73" s="585"/>
      <c r="G73" s="585"/>
      <c r="H73" s="585"/>
      <c r="I73" s="585"/>
      <c r="J73" s="585"/>
      <c r="K73" s="585"/>
      <c r="L73" s="585"/>
      <c r="M73" s="585"/>
      <c r="N73" s="585"/>
      <c r="O73" s="585"/>
      <c r="P73" s="585"/>
      <c r="Q73" s="585"/>
      <c r="R73" s="585"/>
      <c r="S73" s="585"/>
      <c r="T73" s="585"/>
      <c r="U73" s="585"/>
      <c r="V73" s="585"/>
      <c r="X73" s="738"/>
      <c r="Y73" s="738"/>
      <c r="Z73" s="738"/>
      <c r="AA73" s="738"/>
      <c r="AB73" s="738"/>
      <c r="AC73" s="738"/>
      <c r="AD73" s="738"/>
      <c r="AE73" s="763"/>
      <c r="AF73" s="738"/>
      <c r="AG73" s="738"/>
      <c r="AH73" s="738"/>
      <c r="AI73" s="738"/>
      <c r="AJ73" s="738"/>
    </row>
    <row r="74" spans="1:36" s="760" customFormat="1" ht="15.95" customHeight="1">
      <c r="A74" s="596"/>
      <c r="B74" s="574"/>
      <c r="C74" s="574"/>
      <c r="D74" s="574"/>
      <c r="E74" s="574"/>
      <c r="F74" s="585"/>
      <c r="G74" s="585"/>
      <c r="H74" s="585"/>
      <c r="I74" s="585"/>
      <c r="J74" s="585"/>
      <c r="K74" s="585"/>
      <c r="L74" s="585"/>
      <c r="M74" s="585"/>
      <c r="N74" s="585"/>
      <c r="O74" s="585"/>
      <c r="P74" s="585"/>
      <c r="Q74" s="585"/>
      <c r="R74" s="574"/>
      <c r="S74" s="574"/>
      <c r="T74" s="586"/>
      <c r="U74" s="574"/>
      <c r="V74" s="574"/>
      <c r="X74" s="738"/>
      <c r="Y74" s="738"/>
      <c r="Z74" s="738"/>
      <c r="AA74" s="738"/>
      <c r="AB74" s="738"/>
      <c r="AC74" s="738"/>
      <c r="AD74" s="738"/>
      <c r="AE74" s="763"/>
      <c r="AF74" s="738"/>
      <c r="AG74" s="738"/>
      <c r="AH74" s="738"/>
      <c r="AI74" s="738"/>
      <c r="AJ74" s="738"/>
    </row>
    <row r="75" spans="1:36" s="760" customFormat="1" ht="15.95" customHeight="1">
      <c r="A75" s="596"/>
      <c r="B75" s="574"/>
      <c r="C75" s="574"/>
      <c r="D75" s="574"/>
      <c r="E75" s="574"/>
      <c r="F75" s="585"/>
      <c r="G75" s="585"/>
      <c r="H75" s="585"/>
      <c r="I75" s="585"/>
      <c r="J75" s="585"/>
      <c r="K75" s="585"/>
      <c r="L75" s="585"/>
      <c r="M75" s="585"/>
      <c r="N75" s="585"/>
      <c r="O75" s="585"/>
      <c r="P75" s="585"/>
      <c r="Q75" s="585"/>
      <c r="R75" s="574"/>
      <c r="S75" s="574"/>
      <c r="T75" s="586"/>
      <c r="U75" s="574"/>
      <c r="V75" s="574"/>
      <c r="X75" s="738"/>
      <c r="Y75" s="738"/>
      <c r="Z75" s="738"/>
      <c r="AA75" s="738"/>
      <c r="AB75" s="738"/>
      <c r="AC75" s="738"/>
      <c r="AD75" s="738"/>
      <c r="AE75" s="763"/>
      <c r="AF75" s="738"/>
      <c r="AG75" s="738"/>
      <c r="AH75" s="738"/>
      <c r="AI75" s="738"/>
      <c r="AJ75" s="738"/>
    </row>
    <row r="76" spans="1:36" s="760" customFormat="1" ht="15.95" customHeight="1">
      <c r="A76" s="596"/>
      <c r="B76" s="574"/>
      <c r="C76" s="574"/>
      <c r="D76" s="574"/>
      <c r="E76" s="574"/>
      <c r="F76" s="585"/>
      <c r="G76" s="585"/>
      <c r="H76" s="585"/>
      <c r="I76" s="585"/>
      <c r="J76" s="585"/>
      <c r="K76" s="585"/>
      <c r="L76" s="585"/>
      <c r="M76" s="585"/>
      <c r="N76" s="585"/>
      <c r="O76" s="585"/>
      <c r="P76" s="585"/>
      <c r="Q76" s="585"/>
      <c r="R76" s="574"/>
      <c r="S76" s="574"/>
      <c r="T76" s="586"/>
      <c r="U76" s="574"/>
      <c r="V76" s="574"/>
      <c r="W76" s="738"/>
      <c r="X76" s="738"/>
      <c r="Y76" s="738"/>
      <c r="Z76" s="738"/>
      <c r="AA76" s="738"/>
      <c r="AB76" s="738"/>
      <c r="AC76" s="738"/>
      <c r="AD76" s="738"/>
      <c r="AE76" s="738"/>
      <c r="AF76" s="738"/>
      <c r="AG76" s="738"/>
      <c r="AH76" s="738"/>
      <c r="AI76" s="738"/>
      <c r="AJ76" s="738"/>
    </row>
    <row r="77" spans="1:36" s="760" customFormat="1" ht="15.95" customHeight="1">
      <c r="A77" s="596"/>
      <c r="B77" s="574"/>
      <c r="C77" s="574"/>
      <c r="D77" s="574"/>
      <c r="E77" s="574"/>
      <c r="F77" s="585"/>
      <c r="G77" s="585"/>
      <c r="H77" s="585"/>
      <c r="I77" s="585"/>
      <c r="J77" s="585"/>
      <c r="K77" s="585"/>
      <c r="L77" s="585"/>
      <c r="M77" s="585"/>
      <c r="N77" s="585"/>
      <c r="O77" s="585"/>
      <c r="P77" s="585"/>
      <c r="Q77" s="585"/>
      <c r="R77" s="574"/>
      <c r="S77" s="574"/>
      <c r="T77" s="586"/>
      <c r="U77" s="574"/>
      <c r="V77" s="574"/>
      <c r="W77" s="738"/>
      <c r="X77" s="738"/>
      <c r="Y77" s="738"/>
      <c r="Z77" s="738"/>
      <c r="AA77" s="738"/>
      <c r="AB77" s="738"/>
      <c r="AC77" s="738"/>
      <c r="AD77" s="738"/>
      <c r="AE77" s="738"/>
      <c r="AF77" s="738"/>
      <c r="AG77" s="738"/>
      <c r="AH77" s="738"/>
      <c r="AI77" s="738"/>
      <c r="AJ77" s="738"/>
    </row>
    <row r="78" spans="1:36" s="760" customFormat="1" ht="15.95" customHeight="1">
      <c r="A78" s="596"/>
      <c r="B78" s="574"/>
      <c r="C78" s="574"/>
      <c r="D78" s="574"/>
      <c r="E78" s="574"/>
      <c r="F78" s="585"/>
      <c r="G78" s="585"/>
      <c r="H78" s="585"/>
      <c r="I78" s="585"/>
      <c r="J78" s="585"/>
      <c r="K78" s="585"/>
      <c r="L78" s="585"/>
      <c r="M78" s="585"/>
      <c r="N78" s="585"/>
      <c r="O78" s="585"/>
      <c r="P78" s="585"/>
      <c r="Q78" s="585"/>
      <c r="R78" s="574"/>
      <c r="S78" s="574"/>
      <c r="T78" s="586"/>
      <c r="U78" s="574"/>
      <c r="V78" s="574"/>
      <c r="W78" s="738"/>
      <c r="X78" s="738"/>
      <c r="Y78" s="738"/>
      <c r="Z78" s="738"/>
      <c r="AA78" s="738"/>
      <c r="AB78" s="738"/>
      <c r="AC78" s="738"/>
      <c r="AD78" s="738"/>
      <c r="AE78" s="738"/>
      <c r="AF78" s="738"/>
      <c r="AG78" s="738"/>
      <c r="AH78" s="738"/>
      <c r="AI78" s="738"/>
      <c r="AJ78" s="738"/>
    </row>
    <row r="79" spans="1:36" s="760" customFormat="1" ht="15.95" customHeight="1">
      <c r="A79" s="596"/>
      <c r="B79" s="574"/>
      <c r="C79" s="574"/>
      <c r="D79" s="574"/>
      <c r="E79" s="574"/>
      <c r="F79" s="585"/>
      <c r="G79" s="585"/>
      <c r="H79" s="585"/>
      <c r="I79" s="585"/>
      <c r="J79" s="585"/>
      <c r="K79" s="585"/>
      <c r="L79" s="585"/>
      <c r="M79" s="585"/>
      <c r="N79" s="585"/>
      <c r="O79" s="585"/>
      <c r="P79" s="585"/>
      <c r="Q79" s="585"/>
      <c r="R79" s="574"/>
      <c r="S79" s="574"/>
      <c r="T79" s="586"/>
      <c r="U79" s="574"/>
      <c r="V79" s="574"/>
      <c r="W79" s="738"/>
      <c r="X79" s="738"/>
      <c r="Y79" s="738"/>
      <c r="Z79" s="738"/>
      <c r="AA79" s="738"/>
      <c r="AB79" s="738"/>
      <c r="AC79" s="738"/>
      <c r="AD79" s="738"/>
      <c r="AE79" s="738"/>
      <c r="AF79" s="738"/>
      <c r="AG79" s="738"/>
      <c r="AH79" s="738"/>
      <c r="AI79" s="738"/>
      <c r="AJ79" s="738"/>
    </row>
    <row r="80" spans="1:36" s="760" customFormat="1" ht="15.95" customHeight="1">
      <c r="A80" s="596"/>
      <c r="B80" s="574"/>
      <c r="C80" s="574"/>
      <c r="D80" s="574"/>
      <c r="E80" s="574"/>
      <c r="F80" s="585"/>
      <c r="G80" s="585"/>
      <c r="H80" s="585"/>
      <c r="I80" s="585"/>
      <c r="J80" s="585"/>
      <c r="K80" s="585"/>
      <c r="L80" s="585"/>
      <c r="M80" s="585"/>
      <c r="N80" s="585"/>
      <c r="O80" s="585"/>
      <c r="P80" s="585"/>
      <c r="Q80" s="585"/>
      <c r="R80" s="574"/>
      <c r="S80" s="574"/>
      <c r="T80" s="586"/>
      <c r="U80" s="574"/>
      <c r="V80" s="574"/>
      <c r="W80" s="738"/>
      <c r="X80" s="738"/>
      <c r="Y80" s="738"/>
      <c r="Z80" s="738"/>
      <c r="AA80" s="738"/>
      <c r="AB80" s="738"/>
      <c r="AC80" s="738"/>
      <c r="AD80" s="738"/>
      <c r="AE80" s="738"/>
      <c r="AF80" s="738"/>
      <c r="AG80" s="738"/>
      <c r="AH80" s="738"/>
      <c r="AI80" s="738"/>
      <c r="AJ80" s="738"/>
    </row>
    <row r="81" spans="1:36" s="760" customFormat="1" ht="15.95" customHeight="1">
      <c r="A81" s="596"/>
      <c r="B81" s="574"/>
      <c r="C81" s="574"/>
      <c r="D81" s="574"/>
      <c r="E81" s="574"/>
      <c r="F81" s="585"/>
      <c r="G81" s="585"/>
      <c r="H81" s="585"/>
      <c r="I81" s="585"/>
      <c r="J81" s="585"/>
      <c r="K81" s="585"/>
      <c r="L81" s="585"/>
      <c r="M81" s="585"/>
      <c r="N81" s="585"/>
      <c r="O81" s="585"/>
      <c r="P81" s="585"/>
      <c r="Q81" s="585"/>
      <c r="R81" s="574"/>
      <c r="S81" s="574"/>
      <c r="T81" s="586"/>
      <c r="U81" s="574"/>
      <c r="V81" s="574"/>
      <c r="W81" s="738"/>
      <c r="X81" s="738"/>
      <c r="Y81" s="738"/>
      <c r="Z81" s="738"/>
      <c r="AA81" s="738"/>
      <c r="AB81" s="738"/>
      <c r="AC81" s="738"/>
      <c r="AD81" s="738"/>
      <c r="AE81" s="738"/>
      <c r="AF81" s="738"/>
      <c r="AG81" s="738"/>
      <c r="AH81" s="738"/>
      <c r="AI81" s="738"/>
      <c r="AJ81" s="738"/>
    </row>
    <row r="82" spans="1:36" s="760" customFormat="1" ht="15.95" customHeight="1">
      <c r="A82" s="596"/>
      <c r="B82" s="574"/>
      <c r="C82" s="574"/>
      <c r="D82" s="574"/>
      <c r="E82" s="574"/>
      <c r="F82" s="596"/>
      <c r="G82" s="596"/>
      <c r="H82" s="596"/>
      <c r="I82" s="596"/>
      <c r="J82" s="596"/>
      <c r="K82" s="596"/>
      <c r="L82" s="596"/>
      <c r="M82" s="596"/>
      <c r="N82" s="596"/>
      <c r="O82" s="596"/>
      <c r="P82" s="596"/>
      <c r="Q82" s="596"/>
      <c r="R82" s="574"/>
      <c r="S82" s="574"/>
      <c r="T82" s="586"/>
      <c r="U82" s="574"/>
      <c r="V82" s="574"/>
      <c r="W82" s="738"/>
      <c r="X82" s="738"/>
      <c r="Y82" s="738"/>
      <c r="Z82" s="738"/>
      <c r="AA82" s="738"/>
      <c r="AB82" s="738"/>
      <c r="AC82" s="738"/>
      <c r="AD82" s="738"/>
      <c r="AE82" s="738"/>
      <c r="AF82" s="738"/>
      <c r="AG82" s="738"/>
      <c r="AH82" s="738"/>
      <c r="AI82" s="738"/>
      <c r="AJ82" s="738"/>
    </row>
    <row r="83" spans="1:36" s="760" customFormat="1" ht="15.95" customHeight="1">
      <c r="A83" s="596"/>
      <c r="B83" s="574"/>
      <c r="C83" s="574"/>
      <c r="D83" s="574"/>
      <c r="E83" s="574"/>
      <c r="F83" s="596"/>
      <c r="G83" s="596"/>
      <c r="H83" s="596"/>
      <c r="I83" s="596"/>
      <c r="J83" s="596"/>
      <c r="K83" s="596"/>
      <c r="L83" s="596"/>
      <c r="M83" s="596"/>
      <c r="N83" s="596"/>
      <c r="O83" s="596"/>
      <c r="P83" s="596"/>
      <c r="Q83" s="596"/>
      <c r="R83" s="574"/>
      <c r="S83" s="574"/>
      <c r="T83" s="586"/>
      <c r="U83" s="574"/>
      <c r="V83" s="574"/>
      <c r="W83" s="738"/>
      <c r="X83" s="738"/>
      <c r="Y83" s="738"/>
      <c r="Z83" s="738"/>
      <c r="AA83" s="738"/>
      <c r="AB83" s="738"/>
      <c r="AC83" s="738"/>
      <c r="AD83" s="738"/>
      <c r="AE83" s="738"/>
      <c r="AF83" s="738"/>
      <c r="AG83" s="738"/>
      <c r="AH83" s="738"/>
      <c r="AI83" s="738"/>
      <c r="AJ83" s="738"/>
    </row>
    <row r="84" spans="1:36" s="587" customFormat="1" ht="15.95" customHeight="1">
      <c r="A84" s="596"/>
      <c r="B84" s="574"/>
      <c r="C84" s="574"/>
      <c r="D84" s="574"/>
      <c r="E84" s="574"/>
      <c r="F84" s="596"/>
      <c r="G84" s="596"/>
      <c r="H84" s="596"/>
      <c r="I84" s="596"/>
      <c r="J84" s="596"/>
      <c r="K84" s="596"/>
      <c r="L84" s="596"/>
      <c r="M84" s="596"/>
      <c r="N84" s="596"/>
      <c r="O84" s="596"/>
      <c r="P84" s="596"/>
      <c r="Q84" s="596"/>
      <c r="R84" s="574"/>
      <c r="S84" s="574"/>
      <c r="T84" s="586"/>
      <c r="U84" s="574"/>
      <c r="V84" s="574"/>
      <c r="W84" s="738"/>
      <c r="X84" s="738"/>
      <c r="Y84" s="738"/>
      <c r="Z84" s="738"/>
      <c r="AA84" s="738"/>
      <c r="AB84" s="738"/>
      <c r="AC84" s="738"/>
      <c r="AD84" s="738"/>
      <c r="AE84" s="738"/>
      <c r="AF84" s="738"/>
      <c r="AG84" s="738"/>
      <c r="AH84" s="738"/>
      <c r="AI84" s="738"/>
      <c r="AJ84" s="738"/>
    </row>
    <row r="85" spans="1:36" s="587" customFormat="1" ht="15.95" customHeight="1">
      <c r="A85" s="596"/>
      <c r="B85" s="574"/>
      <c r="C85" s="574"/>
      <c r="D85" s="574"/>
      <c r="E85" s="574"/>
      <c r="F85" s="596"/>
      <c r="G85" s="596"/>
      <c r="H85" s="596"/>
      <c r="I85" s="596"/>
      <c r="J85" s="596"/>
      <c r="K85" s="596"/>
      <c r="L85" s="596"/>
      <c r="M85" s="596"/>
      <c r="N85" s="596"/>
      <c r="O85" s="596"/>
      <c r="P85" s="596"/>
      <c r="Q85" s="596"/>
      <c r="R85" s="574"/>
      <c r="S85" s="574"/>
      <c r="T85" s="586"/>
      <c r="U85" s="574"/>
      <c r="V85" s="574"/>
      <c r="W85" s="738"/>
      <c r="X85" s="738"/>
      <c r="Y85" s="738"/>
      <c r="Z85" s="738"/>
      <c r="AA85" s="738"/>
      <c r="AB85" s="738"/>
      <c r="AC85" s="738"/>
      <c r="AD85" s="738"/>
      <c r="AE85" s="738"/>
      <c r="AF85" s="738"/>
      <c r="AG85" s="738"/>
      <c r="AH85" s="738"/>
      <c r="AI85" s="738"/>
      <c r="AJ85" s="738"/>
    </row>
    <row r="86" spans="1:36" s="587" customFormat="1" ht="15.95" customHeight="1">
      <c r="A86" s="596"/>
      <c r="B86" s="574"/>
      <c r="C86" s="574"/>
      <c r="D86" s="574"/>
      <c r="E86" s="574"/>
      <c r="F86" s="596"/>
      <c r="G86" s="596"/>
      <c r="H86" s="596"/>
      <c r="I86" s="596"/>
      <c r="J86" s="596"/>
      <c r="K86" s="596"/>
      <c r="L86" s="596"/>
      <c r="M86" s="596"/>
      <c r="N86" s="596"/>
      <c r="O86" s="596"/>
      <c r="P86" s="596"/>
      <c r="Q86" s="596"/>
      <c r="R86" s="574"/>
      <c r="S86" s="574"/>
      <c r="T86" s="586"/>
      <c r="U86" s="574"/>
      <c r="V86" s="574"/>
      <c r="W86" s="738"/>
      <c r="X86" s="738"/>
      <c r="Y86" s="738"/>
      <c r="Z86" s="738"/>
      <c r="AA86" s="738"/>
      <c r="AB86" s="738"/>
      <c r="AC86" s="738"/>
      <c r="AD86" s="738"/>
      <c r="AE86" s="738"/>
      <c r="AF86" s="738"/>
      <c r="AG86" s="738"/>
      <c r="AH86" s="738"/>
      <c r="AI86" s="738"/>
      <c r="AJ86" s="738"/>
    </row>
    <row r="87" spans="1:36" s="587" customFormat="1" ht="15.95" customHeight="1">
      <c r="A87" s="596"/>
      <c r="B87" s="574"/>
      <c r="C87" s="574"/>
      <c r="D87" s="574"/>
      <c r="E87" s="574"/>
      <c r="F87" s="596"/>
      <c r="G87" s="596"/>
      <c r="H87" s="596"/>
      <c r="I87" s="596"/>
      <c r="J87" s="596"/>
      <c r="K87" s="596"/>
      <c r="L87" s="596"/>
      <c r="M87" s="596"/>
      <c r="N87" s="596"/>
      <c r="O87" s="596"/>
      <c r="P87" s="596"/>
      <c r="Q87" s="596"/>
      <c r="R87" s="574"/>
      <c r="S87" s="574"/>
      <c r="T87" s="586"/>
      <c r="U87" s="574"/>
      <c r="V87" s="574"/>
      <c r="W87" s="738"/>
      <c r="X87" s="738"/>
      <c r="Y87" s="738"/>
      <c r="Z87" s="738"/>
      <c r="AA87" s="738"/>
      <c r="AB87" s="738"/>
      <c r="AC87" s="738"/>
      <c r="AD87" s="738"/>
      <c r="AE87" s="738"/>
      <c r="AF87" s="738"/>
      <c r="AG87" s="738"/>
      <c r="AH87" s="738"/>
      <c r="AI87" s="738"/>
      <c r="AJ87" s="738"/>
    </row>
    <row r="88" spans="1:36" s="587" customFormat="1" ht="15.95" customHeight="1">
      <c r="A88" s="596"/>
      <c r="B88" s="574"/>
      <c r="C88" s="574"/>
      <c r="D88" s="574"/>
      <c r="E88" s="574"/>
      <c r="F88" s="596"/>
      <c r="G88" s="596"/>
      <c r="H88" s="596"/>
      <c r="I88" s="596"/>
      <c r="J88" s="596"/>
      <c r="K88" s="596"/>
      <c r="L88" s="596"/>
      <c r="M88" s="596"/>
      <c r="N88" s="596"/>
      <c r="O88" s="596"/>
      <c r="P88" s="596"/>
      <c r="Q88" s="596"/>
      <c r="R88" s="574"/>
      <c r="S88" s="574"/>
      <c r="T88" s="586"/>
      <c r="U88" s="574"/>
      <c r="V88" s="574"/>
      <c r="W88" s="738"/>
      <c r="X88" s="738"/>
      <c r="Y88" s="738"/>
      <c r="Z88" s="738"/>
      <c r="AA88" s="738"/>
      <c r="AB88" s="738"/>
      <c r="AC88" s="738"/>
      <c r="AD88" s="738"/>
      <c r="AE88" s="738"/>
      <c r="AF88" s="738"/>
      <c r="AG88" s="738"/>
      <c r="AH88" s="738"/>
      <c r="AI88" s="738"/>
      <c r="AJ88" s="738"/>
    </row>
    <row r="89" spans="1:36" s="587" customFormat="1" ht="15.95" customHeight="1">
      <c r="A89" s="596"/>
      <c r="B89" s="574"/>
      <c r="C89" s="574"/>
      <c r="D89" s="574"/>
      <c r="E89" s="574"/>
      <c r="F89" s="596"/>
      <c r="G89" s="596"/>
      <c r="H89" s="596"/>
      <c r="I89" s="596"/>
      <c r="J89" s="596"/>
      <c r="K89" s="596"/>
      <c r="L89" s="596"/>
      <c r="M89" s="596"/>
      <c r="N89" s="596"/>
      <c r="O89" s="596"/>
      <c r="P89" s="596"/>
      <c r="Q89" s="596"/>
      <c r="R89" s="574"/>
      <c r="S89" s="574"/>
      <c r="T89" s="586"/>
      <c r="U89" s="574"/>
      <c r="V89" s="574"/>
      <c r="W89" s="738"/>
      <c r="X89" s="738"/>
      <c r="Y89" s="738"/>
      <c r="Z89" s="738"/>
      <c r="AA89" s="738"/>
      <c r="AB89" s="738"/>
      <c r="AC89" s="738"/>
      <c r="AD89" s="738"/>
      <c r="AE89" s="738"/>
      <c r="AF89" s="738"/>
      <c r="AG89" s="738"/>
      <c r="AH89" s="738"/>
      <c r="AI89" s="738"/>
      <c r="AJ89" s="738"/>
    </row>
    <row r="90" spans="1:36" s="587" customFormat="1" ht="15.95" customHeight="1">
      <c r="A90" s="596"/>
      <c r="B90" s="574"/>
      <c r="C90" s="574"/>
      <c r="D90" s="574"/>
      <c r="E90" s="574"/>
      <c r="F90" s="574"/>
      <c r="G90" s="574"/>
      <c r="H90" s="596"/>
      <c r="I90" s="596"/>
      <c r="J90" s="596"/>
      <c r="K90" s="596"/>
      <c r="L90" s="596"/>
      <c r="M90" s="596"/>
      <c r="N90" s="596"/>
      <c r="O90" s="596"/>
      <c r="P90" s="596"/>
      <c r="Q90" s="596"/>
      <c r="R90" s="574"/>
      <c r="S90" s="574"/>
      <c r="T90" s="586"/>
      <c r="U90" s="574"/>
      <c r="V90" s="574"/>
      <c r="W90" s="738"/>
      <c r="X90" s="738"/>
      <c r="Y90" s="738"/>
      <c r="Z90" s="738"/>
      <c r="AA90" s="738"/>
      <c r="AB90" s="738"/>
      <c r="AC90" s="738"/>
      <c r="AD90" s="738"/>
      <c r="AE90" s="738"/>
      <c r="AF90" s="738"/>
      <c r="AG90" s="738"/>
      <c r="AH90" s="738"/>
      <c r="AI90" s="738"/>
      <c r="AJ90" s="738"/>
    </row>
    <row r="91" spans="1:36" s="587" customFormat="1" ht="15.95" customHeight="1">
      <c r="A91" s="596"/>
      <c r="B91" s="574"/>
      <c r="C91" s="574"/>
      <c r="D91" s="574"/>
      <c r="E91" s="574"/>
      <c r="F91" s="574"/>
      <c r="G91" s="574"/>
      <c r="H91" s="596"/>
      <c r="I91" s="596"/>
      <c r="J91" s="596"/>
      <c r="K91" s="596"/>
      <c r="L91" s="596"/>
      <c r="M91" s="596"/>
      <c r="N91" s="596"/>
      <c r="O91" s="596"/>
      <c r="P91" s="596"/>
      <c r="Q91" s="596"/>
      <c r="R91" s="574"/>
      <c r="S91" s="574"/>
      <c r="T91" s="586"/>
      <c r="U91" s="574"/>
      <c r="V91" s="574"/>
      <c r="W91" s="738"/>
      <c r="X91" s="738"/>
      <c r="Y91" s="738"/>
      <c r="Z91" s="738"/>
      <c r="AA91" s="738"/>
      <c r="AB91" s="738"/>
      <c r="AC91" s="738"/>
      <c r="AD91" s="738"/>
      <c r="AE91" s="738"/>
      <c r="AF91" s="738"/>
      <c r="AG91" s="738"/>
      <c r="AH91" s="738"/>
      <c r="AI91" s="738"/>
      <c r="AJ91" s="738"/>
    </row>
    <row r="92" spans="1:36" s="587" customFormat="1" ht="15.95" customHeight="1">
      <c r="A92" s="596"/>
      <c r="B92" s="574"/>
      <c r="C92" s="574"/>
      <c r="D92" s="574"/>
      <c r="E92" s="574"/>
      <c r="F92" s="574"/>
      <c r="G92" s="574"/>
      <c r="H92" s="596"/>
      <c r="I92" s="596"/>
      <c r="J92" s="596"/>
      <c r="K92" s="596"/>
      <c r="L92" s="596"/>
      <c r="M92" s="596"/>
      <c r="N92" s="596"/>
      <c r="O92" s="596"/>
      <c r="P92" s="596"/>
      <c r="Q92" s="596"/>
      <c r="R92" s="574"/>
      <c r="S92" s="574"/>
      <c r="T92" s="586"/>
      <c r="U92" s="574"/>
      <c r="V92" s="574"/>
      <c r="W92" s="738"/>
      <c r="X92" s="738"/>
      <c r="Y92" s="738"/>
      <c r="Z92" s="738"/>
      <c r="AA92" s="738"/>
      <c r="AB92" s="738"/>
      <c r="AC92" s="738"/>
      <c r="AD92" s="738"/>
      <c r="AE92" s="738"/>
      <c r="AF92" s="738"/>
      <c r="AG92" s="738"/>
      <c r="AH92" s="738"/>
      <c r="AI92" s="738"/>
      <c r="AJ92" s="738"/>
    </row>
    <row r="93" spans="1:36" s="587" customFormat="1" ht="15.95" customHeight="1">
      <c r="A93" s="596"/>
      <c r="B93" s="574"/>
      <c r="C93" s="574"/>
      <c r="D93" s="574"/>
      <c r="E93" s="574"/>
      <c r="F93" s="574"/>
      <c r="G93" s="574"/>
      <c r="H93" s="574"/>
      <c r="I93" s="574"/>
      <c r="J93" s="574"/>
      <c r="K93" s="574"/>
      <c r="L93" s="574"/>
      <c r="M93" s="574"/>
      <c r="N93" s="574"/>
      <c r="O93" s="585"/>
      <c r="P93" s="574"/>
      <c r="Q93" s="574"/>
      <c r="R93" s="574"/>
      <c r="S93" s="574"/>
      <c r="T93" s="586"/>
      <c r="U93" s="574"/>
      <c r="V93" s="574"/>
      <c r="W93" s="738"/>
      <c r="X93" s="738"/>
      <c r="Y93" s="738"/>
      <c r="Z93" s="738"/>
      <c r="AA93" s="738"/>
      <c r="AB93" s="738"/>
      <c r="AC93" s="738"/>
      <c r="AD93" s="738"/>
      <c r="AE93" s="738"/>
      <c r="AF93" s="738"/>
      <c r="AG93" s="738"/>
      <c r="AH93" s="738"/>
      <c r="AI93" s="738"/>
      <c r="AJ93" s="738"/>
    </row>
    <row r="94" spans="1:36" s="587" customFormat="1" ht="15.95" customHeight="1">
      <c r="A94" s="596"/>
      <c r="B94" s="574"/>
      <c r="C94" s="574"/>
      <c r="D94" s="574"/>
      <c r="E94" s="574"/>
      <c r="F94" s="574"/>
      <c r="G94" s="574"/>
      <c r="H94" s="574"/>
      <c r="I94" s="574"/>
      <c r="J94" s="574"/>
      <c r="K94" s="574"/>
      <c r="L94" s="574"/>
      <c r="M94" s="574"/>
      <c r="N94" s="574"/>
      <c r="O94" s="585"/>
      <c r="P94" s="574"/>
      <c r="Q94" s="574"/>
      <c r="R94" s="574"/>
      <c r="S94" s="574"/>
      <c r="T94" s="586"/>
      <c r="U94" s="574"/>
      <c r="V94" s="574"/>
      <c r="W94" s="738"/>
      <c r="X94" s="738"/>
      <c r="Y94" s="738"/>
      <c r="Z94" s="738"/>
      <c r="AA94" s="738"/>
      <c r="AB94" s="738"/>
      <c r="AC94" s="738"/>
      <c r="AD94" s="738"/>
      <c r="AE94" s="738"/>
      <c r="AF94" s="738"/>
      <c r="AG94" s="738"/>
      <c r="AH94" s="738"/>
      <c r="AI94" s="738"/>
      <c r="AJ94" s="738"/>
    </row>
    <row r="95" spans="1:36" s="587" customFormat="1" ht="15.95" customHeight="1">
      <c r="A95" s="596"/>
      <c r="B95" s="574"/>
      <c r="C95" s="574"/>
      <c r="D95" s="574"/>
      <c r="E95" s="574"/>
      <c r="F95" s="574"/>
      <c r="G95" s="574"/>
      <c r="H95" s="574"/>
      <c r="I95" s="574"/>
      <c r="J95" s="574"/>
      <c r="K95" s="574"/>
      <c r="L95" s="574"/>
      <c r="M95" s="574"/>
      <c r="N95" s="574"/>
      <c r="O95" s="585"/>
      <c r="P95" s="574"/>
      <c r="Q95" s="574"/>
      <c r="R95" s="574"/>
      <c r="S95" s="574"/>
      <c r="T95" s="586"/>
      <c r="U95" s="574"/>
      <c r="V95" s="574"/>
      <c r="W95" s="738"/>
      <c r="X95" s="738"/>
      <c r="Y95" s="738"/>
      <c r="Z95" s="738"/>
      <c r="AA95" s="738"/>
      <c r="AB95" s="738"/>
      <c r="AC95" s="738"/>
      <c r="AD95" s="738"/>
      <c r="AE95" s="738"/>
      <c r="AF95" s="738"/>
      <c r="AG95" s="738"/>
      <c r="AH95" s="738"/>
      <c r="AI95" s="738"/>
      <c r="AJ95" s="738"/>
    </row>
    <row r="96" spans="1:36" s="587" customFormat="1" ht="15.95" customHeight="1">
      <c r="A96" s="596"/>
      <c r="B96" s="574"/>
      <c r="C96" s="574"/>
      <c r="D96" s="574"/>
      <c r="E96" s="574"/>
      <c r="F96" s="574"/>
      <c r="G96" s="574"/>
      <c r="H96" s="574"/>
      <c r="I96" s="574"/>
      <c r="J96" s="574"/>
      <c r="K96" s="574"/>
      <c r="L96" s="574"/>
      <c r="M96" s="574"/>
      <c r="N96" s="574"/>
      <c r="O96" s="585"/>
      <c r="P96" s="574"/>
      <c r="Q96" s="574"/>
      <c r="R96" s="574"/>
      <c r="S96" s="574"/>
      <c r="T96" s="586"/>
      <c r="U96" s="574"/>
      <c r="V96" s="574"/>
      <c r="W96" s="738"/>
      <c r="X96" s="738"/>
      <c r="Y96" s="738"/>
      <c r="Z96" s="738"/>
      <c r="AA96" s="738"/>
      <c r="AB96" s="738"/>
      <c r="AC96" s="738"/>
      <c r="AD96" s="738"/>
      <c r="AE96" s="738"/>
      <c r="AF96" s="738"/>
      <c r="AG96" s="738"/>
      <c r="AH96" s="738"/>
      <c r="AI96" s="738"/>
      <c r="AJ96" s="738"/>
    </row>
    <row r="97" spans="1:36" s="587" customFormat="1" ht="15.95" customHeight="1">
      <c r="A97" s="596"/>
      <c r="B97" s="574"/>
      <c r="C97" s="574"/>
      <c r="D97" s="574"/>
      <c r="E97" s="574"/>
      <c r="F97" s="574"/>
      <c r="G97" s="574"/>
      <c r="H97" s="574"/>
      <c r="I97" s="574"/>
      <c r="J97" s="574"/>
      <c r="K97" s="574"/>
      <c r="L97" s="574"/>
      <c r="M97" s="574"/>
      <c r="N97" s="574"/>
      <c r="O97" s="585"/>
      <c r="P97" s="574"/>
      <c r="Q97" s="574"/>
      <c r="R97" s="574"/>
      <c r="S97" s="574"/>
      <c r="T97" s="586"/>
      <c r="U97" s="574"/>
      <c r="V97" s="574"/>
      <c r="W97" s="738"/>
      <c r="X97" s="738"/>
      <c r="Y97" s="738"/>
      <c r="Z97" s="738"/>
      <c r="AA97" s="738"/>
      <c r="AB97" s="738"/>
      <c r="AC97" s="738"/>
      <c r="AD97" s="738"/>
      <c r="AE97" s="738"/>
      <c r="AF97" s="738"/>
      <c r="AG97" s="738"/>
      <c r="AH97" s="738"/>
      <c r="AI97" s="738"/>
      <c r="AJ97" s="738"/>
    </row>
    <row r="98" spans="1:36" s="587" customFormat="1" ht="15.95" customHeight="1">
      <c r="A98" s="596"/>
      <c r="B98" s="574"/>
      <c r="C98" s="574"/>
      <c r="D98" s="574"/>
      <c r="E98" s="574"/>
      <c r="F98" s="574"/>
      <c r="G98" s="574"/>
      <c r="H98" s="574"/>
      <c r="I98" s="574"/>
      <c r="J98" s="574"/>
      <c r="K98" s="574"/>
      <c r="L98" s="574"/>
      <c r="M98" s="574"/>
      <c r="N98" s="574"/>
      <c r="O98" s="585"/>
      <c r="P98" s="574"/>
      <c r="Q98" s="574"/>
      <c r="R98" s="574"/>
      <c r="S98" s="574"/>
      <c r="T98" s="586"/>
      <c r="U98" s="574"/>
      <c r="V98" s="574"/>
      <c r="W98" s="738"/>
      <c r="X98" s="738"/>
      <c r="Y98" s="738"/>
      <c r="Z98" s="738"/>
      <c r="AA98" s="738"/>
      <c r="AB98" s="738"/>
      <c r="AC98" s="738"/>
      <c r="AD98" s="738"/>
      <c r="AE98" s="738"/>
      <c r="AF98" s="738"/>
      <c r="AG98" s="738"/>
      <c r="AH98" s="738"/>
      <c r="AI98" s="738"/>
      <c r="AJ98" s="738"/>
    </row>
    <row r="99" spans="1:36" s="587" customFormat="1" ht="15.95" customHeight="1">
      <c r="A99" s="596"/>
      <c r="B99" s="574"/>
      <c r="C99" s="574"/>
      <c r="D99" s="574"/>
      <c r="E99" s="574"/>
      <c r="F99" s="574"/>
      <c r="G99" s="574"/>
      <c r="H99" s="574"/>
      <c r="I99" s="574"/>
      <c r="J99" s="574"/>
      <c r="K99" s="574"/>
      <c r="L99" s="574"/>
      <c r="M99" s="574"/>
      <c r="N99" s="574"/>
      <c r="O99" s="585"/>
      <c r="P99" s="574"/>
      <c r="Q99" s="574"/>
      <c r="R99" s="574"/>
      <c r="S99" s="574"/>
      <c r="T99" s="586"/>
      <c r="U99" s="574"/>
      <c r="V99" s="574"/>
      <c r="W99" s="738"/>
      <c r="X99" s="738"/>
      <c r="Y99" s="738"/>
      <c r="Z99" s="738"/>
      <c r="AA99" s="738"/>
      <c r="AB99" s="738"/>
      <c r="AC99" s="738"/>
      <c r="AD99" s="738"/>
      <c r="AE99" s="738"/>
      <c r="AF99" s="738"/>
      <c r="AG99" s="738"/>
      <c r="AH99" s="738"/>
      <c r="AI99" s="738"/>
      <c r="AJ99" s="738"/>
    </row>
    <row r="100" spans="1:36" s="587" customFormat="1" ht="15.95" customHeight="1">
      <c r="A100" s="596"/>
      <c r="B100" s="574"/>
      <c r="C100" s="574"/>
      <c r="D100" s="574"/>
      <c r="E100" s="574"/>
      <c r="F100" s="574"/>
      <c r="G100" s="574"/>
      <c r="H100" s="574"/>
      <c r="I100" s="574"/>
      <c r="J100" s="574"/>
      <c r="K100" s="574"/>
      <c r="L100" s="574"/>
      <c r="M100" s="574"/>
      <c r="N100" s="574"/>
      <c r="O100" s="585"/>
      <c r="P100" s="574"/>
      <c r="Q100" s="574"/>
      <c r="R100" s="574"/>
      <c r="S100" s="574"/>
      <c r="T100" s="586"/>
      <c r="U100" s="574"/>
      <c r="V100" s="574"/>
      <c r="W100" s="738"/>
      <c r="X100" s="738"/>
      <c r="Y100" s="738"/>
      <c r="Z100" s="738"/>
      <c r="AA100" s="738"/>
      <c r="AB100" s="738"/>
      <c r="AC100" s="738"/>
      <c r="AD100" s="738"/>
      <c r="AE100" s="738"/>
      <c r="AF100" s="738"/>
      <c r="AG100" s="738"/>
      <c r="AH100" s="738"/>
      <c r="AI100" s="738"/>
      <c r="AJ100" s="738"/>
    </row>
    <row r="101" spans="1:36" s="587" customFormat="1" ht="15.95" customHeight="1">
      <c r="A101" s="596"/>
      <c r="B101" s="574"/>
      <c r="C101" s="574"/>
      <c r="D101" s="574"/>
      <c r="E101" s="574"/>
      <c r="F101" s="574"/>
      <c r="G101" s="574"/>
      <c r="H101" s="574"/>
      <c r="I101" s="574"/>
      <c r="J101" s="574"/>
      <c r="K101" s="574"/>
      <c r="L101" s="574"/>
      <c r="M101" s="574"/>
      <c r="N101" s="574"/>
      <c r="O101" s="585"/>
      <c r="P101" s="574"/>
      <c r="Q101" s="574"/>
      <c r="R101" s="574"/>
      <c r="S101" s="574"/>
      <c r="T101" s="586"/>
      <c r="U101" s="574"/>
      <c r="V101" s="574"/>
      <c r="W101" s="738"/>
      <c r="X101" s="738"/>
      <c r="Y101" s="738"/>
      <c r="Z101" s="738"/>
      <c r="AA101" s="738"/>
      <c r="AB101" s="738"/>
      <c r="AC101" s="738"/>
      <c r="AD101" s="738"/>
      <c r="AE101" s="738"/>
      <c r="AF101" s="738"/>
      <c r="AG101" s="738"/>
      <c r="AH101" s="738"/>
      <c r="AI101" s="738"/>
      <c r="AJ101" s="738"/>
    </row>
    <row r="102" spans="1:36" s="587" customFormat="1" ht="15.95" customHeight="1">
      <c r="A102" s="596"/>
      <c r="B102" s="574"/>
      <c r="C102" s="574"/>
      <c r="D102" s="574"/>
      <c r="E102" s="574"/>
      <c r="F102" s="574"/>
      <c r="G102" s="574"/>
      <c r="H102" s="574"/>
      <c r="I102" s="574"/>
      <c r="J102" s="574"/>
      <c r="K102" s="574"/>
      <c r="L102" s="574"/>
      <c r="M102" s="574"/>
      <c r="N102" s="574"/>
      <c r="O102" s="585"/>
      <c r="P102" s="574"/>
      <c r="Q102" s="574"/>
      <c r="R102" s="574"/>
      <c r="S102" s="574"/>
      <c r="T102" s="586"/>
      <c r="U102" s="574"/>
      <c r="V102" s="574"/>
      <c r="W102" s="738"/>
      <c r="X102" s="738"/>
      <c r="Y102" s="738"/>
      <c r="Z102" s="738"/>
      <c r="AA102" s="738"/>
      <c r="AB102" s="738"/>
      <c r="AC102" s="738"/>
      <c r="AD102" s="738"/>
      <c r="AE102" s="738"/>
      <c r="AF102" s="738"/>
      <c r="AG102" s="738"/>
      <c r="AH102" s="738"/>
      <c r="AI102" s="738"/>
      <c r="AJ102" s="738"/>
    </row>
    <row r="103" spans="1:36" s="587" customFormat="1" ht="15.95" customHeight="1">
      <c r="A103" s="596"/>
      <c r="B103" s="574"/>
      <c r="C103" s="574"/>
      <c r="D103" s="574"/>
      <c r="E103" s="574"/>
      <c r="F103" s="574"/>
      <c r="G103" s="574"/>
      <c r="H103" s="574"/>
      <c r="I103" s="574"/>
      <c r="J103" s="574"/>
      <c r="K103" s="574"/>
      <c r="L103" s="574"/>
      <c r="M103" s="574"/>
      <c r="N103" s="574"/>
      <c r="O103" s="585"/>
      <c r="P103" s="574"/>
      <c r="Q103" s="574"/>
      <c r="R103" s="574"/>
      <c r="S103" s="574"/>
      <c r="T103" s="586"/>
      <c r="U103" s="574"/>
      <c r="V103" s="574"/>
      <c r="W103" s="738"/>
      <c r="X103" s="738"/>
      <c r="Y103" s="738"/>
      <c r="Z103" s="738"/>
      <c r="AA103" s="738"/>
      <c r="AB103" s="738"/>
      <c r="AC103" s="738"/>
      <c r="AD103" s="738"/>
      <c r="AE103" s="738"/>
      <c r="AF103" s="738"/>
      <c r="AG103" s="738"/>
      <c r="AH103" s="738"/>
      <c r="AI103" s="738"/>
      <c r="AJ103" s="738"/>
    </row>
    <row r="104" spans="1:36" s="587" customFormat="1" ht="15.95" customHeight="1">
      <c r="A104" s="596"/>
      <c r="B104" s="574"/>
      <c r="C104" s="574"/>
      <c r="D104" s="574"/>
      <c r="E104" s="574"/>
      <c r="F104" s="574"/>
      <c r="G104" s="574"/>
      <c r="H104" s="574"/>
      <c r="I104" s="574"/>
      <c r="J104" s="574"/>
      <c r="K104" s="574"/>
      <c r="L104" s="574"/>
      <c r="M104" s="574"/>
      <c r="N104" s="574"/>
      <c r="O104" s="585"/>
      <c r="P104" s="574"/>
      <c r="Q104" s="574"/>
      <c r="R104" s="574"/>
      <c r="S104" s="574"/>
      <c r="T104" s="586"/>
      <c r="U104" s="574"/>
      <c r="V104" s="574"/>
      <c r="W104" s="738"/>
      <c r="X104" s="738"/>
      <c r="Y104" s="738"/>
      <c r="Z104" s="738"/>
      <c r="AA104" s="738"/>
      <c r="AB104" s="738"/>
      <c r="AC104" s="738"/>
      <c r="AD104" s="738"/>
      <c r="AE104" s="738"/>
      <c r="AF104" s="738"/>
      <c r="AG104" s="738"/>
      <c r="AH104" s="738"/>
      <c r="AI104" s="738"/>
      <c r="AJ104" s="738"/>
    </row>
    <row r="105" spans="1:36" s="587" customFormat="1" ht="15.95" customHeight="1">
      <c r="A105" s="596"/>
      <c r="B105" s="574"/>
      <c r="C105" s="574"/>
      <c r="D105" s="574"/>
      <c r="E105" s="574"/>
      <c r="F105" s="574"/>
      <c r="G105" s="574"/>
      <c r="H105" s="574"/>
      <c r="I105" s="574"/>
      <c r="J105" s="574"/>
      <c r="K105" s="574"/>
      <c r="L105" s="574"/>
      <c r="M105" s="574"/>
      <c r="N105" s="574"/>
      <c r="O105" s="585"/>
      <c r="P105" s="574"/>
      <c r="Q105" s="574"/>
      <c r="R105" s="574"/>
      <c r="S105" s="574"/>
      <c r="T105" s="586"/>
      <c r="U105" s="574"/>
      <c r="V105" s="574"/>
      <c r="W105" s="738"/>
      <c r="X105" s="738"/>
      <c r="Y105" s="738"/>
      <c r="Z105" s="738"/>
      <c r="AA105" s="738"/>
      <c r="AB105" s="738"/>
      <c r="AC105" s="738"/>
      <c r="AD105" s="738"/>
      <c r="AE105" s="738"/>
      <c r="AF105" s="738"/>
      <c r="AG105" s="738"/>
      <c r="AH105" s="738"/>
      <c r="AI105" s="738"/>
      <c r="AJ105" s="738"/>
    </row>
    <row r="106" spans="1:36" s="587" customFormat="1" ht="15.95" customHeight="1">
      <c r="A106" s="596"/>
      <c r="B106" s="574"/>
      <c r="C106" s="574"/>
      <c r="D106" s="574"/>
      <c r="E106" s="574"/>
      <c r="F106" s="574"/>
      <c r="G106" s="574"/>
      <c r="H106" s="574"/>
      <c r="I106" s="574"/>
      <c r="J106" s="574"/>
      <c r="K106" s="574"/>
      <c r="L106" s="574"/>
      <c r="M106" s="574"/>
      <c r="N106" s="574"/>
      <c r="O106" s="585"/>
      <c r="P106" s="574"/>
      <c r="Q106" s="574"/>
      <c r="R106" s="574"/>
      <c r="S106" s="574"/>
      <c r="T106" s="586"/>
      <c r="U106" s="574"/>
      <c r="V106" s="574"/>
      <c r="W106" s="738"/>
      <c r="X106" s="738"/>
      <c r="Y106" s="738"/>
      <c r="Z106" s="738"/>
      <c r="AA106" s="738"/>
      <c r="AB106" s="738"/>
      <c r="AC106" s="738"/>
      <c r="AD106" s="738"/>
      <c r="AE106" s="738"/>
      <c r="AF106" s="738"/>
      <c r="AG106" s="738"/>
      <c r="AH106" s="738"/>
      <c r="AI106" s="738"/>
      <c r="AJ106" s="738"/>
    </row>
    <row r="107" spans="1:36" s="587" customFormat="1" ht="15.95" customHeight="1">
      <c r="A107" s="596"/>
      <c r="B107" s="574"/>
      <c r="C107" s="574"/>
      <c r="D107" s="574"/>
      <c r="E107" s="574"/>
      <c r="F107" s="574"/>
      <c r="G107" s="574"/>
      <c r="H107" s="574"/>
      <c r="I107" s="574"/>
      <c r="J107" s="574"/>
      <c r="K107" s="574"/>
      <c r="L107" s="574"/>
      <c r="M107" s="574"/>
      <c r="N107" s="574"/>
      <c r="O107" s="585"/>
      <c r="P107" s="574"/>
      <c r="Q107" s="574"/>
      <c r="R107" s="574"/>
      <c r="S107" s="574"/>
      <c r="T107" s="586"/>
      <c r="U107" s="574"/>
      <c r="V107" s="574"/>
      <c r="W107" s="738"/>
      <c r="X107" s="738"/>
      <c r="Y107" s="738"/>
      <c r="Z107" s="738"/>
      <c r="AA107" s="738"/>
      <c r="AB107" s="738"/>
      <c r="AC107" s="738"/>
      <c r="AD107" s="738"/>
      <c r="AE107" s="738"/>
      <c r="AF107" s="738"/>
      <c r="AG107" s="738"/>
      <c r="AH107" s="738"/>
      <c r="AI107" s="738"/>
      <c r="AJ107" s="738"/>
    </row>
    <row r="108" spans="1:36" s="587" customFormat="1" ht="15.95" customHeight="1">
      <c r="A108" s="596"/>
      <c r="B108" s="574"/>
      <c r="C108" s="574"/>
      <c r="D108" s="574"/>
      <c r="E108" s="574"/>
      <c r="F108" s="574"/>
      <c r="G108" s="574"/>
      <c r="H108" s="574"/>
      <c r="I108" s="574"/>
      <c r="J108" s="574"/>
      <c r="K108" s="574"/>
      <c r="L108" s="574"/>
      <c r="M108" s="574"/>
      <c r="N108" s="574"/>
      <c r="O108" s="585"/>
      <c r="P108" s="574"/>
      <c r="Q108" s="574"/>
      <c r="R108" s="574"/>
      <c r="S108" s="574"/>
      <c r="T108" s="586"/>
      <c r="U108" s="574"/>
      <c r="V108" s="574"/>
      <c r="W108" s="738"/>
      <c r="X108" s="738"/>
      <c r="Y108" s="738"/>
      <c r="Z108" s="738"/>
      <c r="AA108" s="738"/>
      <c r="AB108" s="738"/>
      <c r="AC108" s="738"/>
      <c r="AD108" s="738"/>
      <c r="AE108" s="738"/>
      <c r="AF108" s="738"/>
      <c r="AG108" s="738"/>
      <c r="AH108" s="738"/>
      <c r="AI108" s="738"/>
      <c r="AJ108" s="738"/>
    </row>
    <row r="109" spans="1:36" s="587" customFormat="1" ht="15.95" customHeight="1">
      <c r="A109" s="596"/>
      <c r="B109" s="574"/>
      <c r="C109" s="574"/>
      <c r="D109" s="574"/>
      <c r="E109" s="574"/>
      <c r="F109" s="574"/>
      <c r="G109" s="574"/>
      <c r="H109" s="574"/>
      <c r="I109" s="574"/>
      <c r="J109" s="574"/>
      <c r="K109" s="574"/>
      <c r="L109" s="574"/>
      <c r="M109" s="574"/>
      <c r="N109" s="574"/>
      <c r="O109" s="585"/>
      <c r="P109" s="574"/>
      <c r="Q109" s="574"/>
      <c r="R109" s="574"/>
      <c r="S109" s="574"/>
      <c r="T109" s="586"/>
      <c r="U109" s="574"/>
      <c r="V109" s="574"/>
      <c r="W109" s="738"/>
      <c r="X109" s="738"/>
      <c r="Y109" s="738"/>
      <c r="Z109" s="738"/>
      <c r="AA109" s="738"/>
      <c r="AB109" s="738"/>
      <c r="AC109" s="738"/>
      <c r="AD109" s="738"/>
      <c r="AE109" s="738"/>
      <c r="AF109" s="738"/>
      <c r="AG109" s="738"/>
      <c r="AH109" s="738"/>
      <c r="AI109" s="738"/>
      <c r="AJ109" s="738"/>
    </row>
    <row r="110" spans="1:36" s="587" customFormat="1" ht="15.95" customHeight="1">
      <c r="A110" s="596"/>
      <c r="B110" s="574"/>
      <c r="C110" s="574"/>
      <c r="D110" s="574"/>
      <c r="E110" s="574"/>
      <c r="F110" s="574"/>
      <c r="G110" s="574"/>
      <c r="H110" s="574"/>
      <c r="I110" s="574"/>
      <c r="J110" s="574"/>
      <c r="K110" s="574"/>
      <c r="L110" s="574"/>
      <c r="M110" s="574"/>
      <c r="N110" s="574"/>
      <c r="O110" s="585"/>
      <c r="P110" s="574"/>
      <c r="Q110" s="574"/>
      <c r="R110" s="574"/>
      <c r="S110" s="574"/>
      <c r="T110" s="586"/>
      <c r="U110" s="574"/>
      <c r="V110" s="574"/>
      <c r="W110" s="738"/>
      <c r="X110" s="738"/>
      <c r="Y110" s="738"/>
      <c r="Z110" s="738"/>
      <c r="AA110" s="738"/>
      <c r="AB110" s="738"/>
      <c r="AC110" s="738"/>
      <c r="AD110" s="738"/>
      <c r="AE110" s="738"/>
      <c r="AF110" s="738"/>
      <c r="AG110" s="738"/>
      <c r="AH110" s="738"/>
      <c r="AI110" s="738"/>
      <c r="AJ110" s="738"/>
    </row>
    <row r="111" spans="1:36" s="587" customFormat="1" ht="15.95" customHeight="1">
      <c r="A111" s="596"/>
      <c r="B111" s="574"/>
      <c r="C111" s="574"/>
      <c r="D111" s="574"/>
      <c r="E111" s="574"/>
      <c r="F111" s="574"/>
      <c r="G111" s="574"/>
      <c r="H111" s="574"/>
      <c r="I111" s="574"/>
      <c r="J111" s="574"/>
      <c r="K111" s="574"/>
      <c r="L111" s="574"/>
      <c r="M111" s="574"/>
      <c r="N111" s="574"/>
      <c r="O111" s="585"/>
      <c r="P111" s="574"/>
      <c r="Q111" s="574"/>
      <c r="R111" s="574"/>
      <c r="S111" s="574"/>
      <c r="T111" s="586"/>
      <c r="U111" s="574"/>
      <c r="V111" s="574"/>
      <c r="W111" s="738"/>
      <c r="X111" s="738"/>
      <c r="Y111" s="738"/>
      <c r="Z111" s="738"/>
      <c r="AA111" s="738"/>
      <c r="AB111" s="738"/>
      <c r="AC111" s="738"/>
      <c r="AD111" s="738"/>
      <c r="AE111" s="738"/>
      <c r="AF111" s="738"/>
      <c r="AG111" s="738"/>
      <c r="AH111" s="738"/>
      <c r="AI111" s="738"/>
      <c r="AJ111" s="738"/>
    </row>
    <row r="112" spans="1:36" s="587" customFormat="1" ht="15.95" customHeight="1">
      <c r="A112" s="596"/>
      <c r="B112" s="574"/>
      <c r="C112" s="574"/>
      <c r="D112" s="574"/>
      <c r="E112" s="574"/>
      <c r="F112" s="574"/>
      <c r="G112" s="574"/>
      <c r="H112" s="574"/>
      <c r="I112" s="574"/>
      <c r="J112" s="574"/>
      <c r="K112" s="574"/>
      <c r="L112" s="574"/>
      <c r="M112" s="574"/>
      <c r="N112" s="574"/>
      <c r="O112" s="585"/>
      <c r="P112" s="574"/>
      <c r="Q112" s="574"/>
      <c r="R112" s="574"/>
      <c r="S112" s="574"/>
      <c r="T112" s="586"/>
      <c r="U112" s="574"/>
      <c r="V112" s="574"/>
      <c r="W112" s="738"/>
      <c r="X112" s="738"/>
      <c r="Y112" s="738"/>
      <c r="Z112" s="738"/>
      <c r="AA112" s="738"/>
      <c r="AB112" s="738"/>
      <c r="AC112" s="738"/>
      <c r="AD112" s="738"/>
      <c r="AE112" s="738"/>
      <c r="AF112" s="738"/>
      <c r="AG112" s="738"/>
      <c r="AH112" s="738"/>
      <c r="AI112" s="738"/>
      <c r="AJ112" s="738"/>
    </row>
    <row r="113" spans="1:36" s="587" customFormat="1" ht="15.95" customHeight="1">
      <c r="A113" s="596"/>
      <c r="B113" s="574"/>
      <c r="C113" s="574"/>
      <c r="D113" s="574"/>
      <c r="E113" s="574"/>
      <c r="F113" s="574"/>
      <c r="G113" s="574"/>
      <c r="H113" s="574"/>
      <c r="I113" s="574"/>
      <c r="J113" s="574"/>
      <c r="K113" s="574"/>
      <c r="L113" s="574"/>
      <c r="M113" s="574"/>
      <c r="N113" s="574"/>
      <c r="O113" s="585"/>
      <c r="P113" s="574"/>
      <c r="Q113" s="574"/>
      <c r="R113" s="574"/>
      <c r="S113" s="574"/>
      <c r="T113" s="586"/>
      <c r="U113" s="574"/>
      <c r="V113" s="574"/>
      <c r="W113" s="738"/>
      <c r="X113" s="738"/>
      <c r="Y113" s="738"/>
      <c r="Z113" s="738"/>
      <c r="AA113" s="738"/>
      <c r="AB113" s="738"/>
      <c r="AC113" s="738"/>
      <c r="AD113" s="738"/>
      <c r="AE113" s="738"/>
      <c r="AF113" s="738"/>
      <c r="AG113" s="738"/>
      <c r="AH113" s="738"/>
      <c r="AI113" s="738"/>
      <c r="AJ113" s="738"/>
    </row>
    <row r="114" spans="1:36" s="587" customFormat="1" ht="15.95" customHeight="1">
      <c r="A114" s="596"/>
      <c r="B114" s="574"/>
      <c r="C114" s="574"/>
      <c r="D114" s="574"/>
      <c r="E114" s="574"/>
      <c r="F114" s="574"/>
      <c r="G114" s="574"/>
      <c r="H114" s="574"/>
      <c r="I114" s="574"/>
      <c r="J114" s="574"/>
      <c r="K114" s="574"/>
      <c r="L114" s="574"/>
      <c r="M114" s="574"/>
      <c r="N114" s="574"/>
      <c r="O114" s="585"/>
      <c r="P114" s="574"/>
      <c r="Q114" s="574"/>
      <c r="R114" s="574"/>
      <c r="S114" s="574"/>
      <c r="T114" s="586"/>
      <c r="U114" s="574"/>
      <c r="V114" s="574"/>
      <c r="W114" s="738"/>
      <c r="X114" s="738"/>
      <c r="Y114" s="738"/>
      <c r="Z114" s="738"/>
      <c r="AA114" s="738"/>
      <c r="AB114" s="738"/>
      <c r="AC114" s="738"/>
      <c r="AD114" s="738"/>
      <c r="AE114" s="738"/>
      <c r="AF114" s="738"/>
      <c r="AG114" s="738"/>
      <c r="AH114" s="738"/>
      <c r="AI114" s="738"/>
      <c r="AJ114" s="738"/>
    </row>
    <row r="115" spans="1:36" s="587" customFormat="1" ht="15.95" customHeight="1">
      <c r="A115" s="596"/>
      <c r="B115" s="574"/>
      <c r="C115" s="574"/>
      <c r="D115" s="574"/>
      <c r="E115" s="574"/>
      <c r="F115" s="574"/>
      <c r="G115" s="574"/>
      <c r="H115" s="574"/>
      <c r="I115" s="574"/>
      <c r="J115" s="574"/>
      <c r="K115" s="574"/>
      <c r="L115" s="574"/>
      <c r="M115" s="574"/>
      <c r="N115" s="574"/>
      <c r="O115" s="585"/>
      <c r="P115" s="574"/>
      <c r="Q115" s="574"/>
      <c r="R115" s="574"/>
      <c r="S115" s="574"/>
      <c r="T115" s="586"/>
      <c r="U115" s="574"/>
      <c r="V115" s="574"/>
      <c r="W115" s="738"/>
      <c r="X115" s="738"/>
      <c r="Y115" s="738"/>
      <c r="Z115" s="738"/>
      <c r="AA115" s="738"/>
      <c r="AB115" s="738"/>
      <c r="AC115" s="738"/>
      <c r="AD115" s="738"/>
      <c r="AE115" s="738"/>
      <c r="AF115" s="738"/>
      <c r="AG115" s="738"/>
      <c r="AH115" s="738"/>
      <c r="AI115" s="738"/>
      <c r="AJ115" s="738"/>
    </row>
    <row r="116" spans="1:36" s="587" customFormat="1" ht="15.95" customHeight="1">
      <c r="A116" s="596"/>
      <c r="B116" s="574"/>
      <c r="C116" s="574"/>
      <c r="D116" s="574"/>
      <c r="E116" s="574"/>
      <c r="F116" s="574"/>
      <c r="G116" s="574"/>
      <c r="H116" s="574"/>
      <c r="I116" s="574"/>
      <c r="J116" s="574"/>
      <c r="K116" s="574"/>
      <c r="L116" s="574"/>
      <c r="M116" s="574"/>
      <c r="N116" s="574"/>
      <c r="O116" s="585"/>
      <c r="P116" s="574"/>
      <c r="Q116" s="574"/>
      <c r="R116" s="574"/>
      <c r="S116" s="574"/>
      <c r="T116" s="586"/>
      <c r="U116" s="574"/>
      <c r="V116" s="574"/>
      <c r="W116" s="738"/>
      <c r="X116" s="738"/>
      <c r="Y116" s="738"/>
      <c r="Z116" s="738"/>
      <c r="AA116" s="738"/>
      <c r="AB116" s="738"/>
      <c r="AC116" s="738"/>
      <c r="AD116" s="738"/>
      <c r="AE116" s="738"/>
      <c r="AF116" s="738"/>
      <c r="AG116" s="738"/>
      <c r="AH116" s="738"/>
      <c r="AI116" s="738"/>
      <c r="AJ116" s="738"/>
    </row>
    <row r="117" spans="1:36" s="587" customFormat="1" ht="15.95" customHeight="1">
      <c r="A117" s="596"/>
      <c r="B117" s="574"/>
      <c r="C117" s="574"/>
      <c r="D117" s="574"/>
      <c r="E117" s="574"/>
      <c r="F117" s="574"/>
      <c r="G117" s="574"/>
      <c r="H117" s="574"/>
      <c r="I117" s="574"/>
      <c r="J117" s="574"/>
      <c r="K117" s="574"/>
      <c r="L117" s="574"/>
      <c r="M117" s="574"/>
      <c r="N117" s="574"/>
      <c r="O117" s="585"/>
      <c r="P117" s="574"/>
      <c r="Q117" s="574"/>
      <c r="R117" s="574"/>
      <c r="S117" s="574"/>
      <c r="T117" s="586"/>
      <c r="U117" s="574"/>
      <c r="V117" s="574"/>
      <c r="W117" s="738"/>
      <c r="X117" s="738"/>
      <c r="Y117" s="738"/>
      <c r="Z117" s="738"/>
      <c r="AA117" s="738"/>
      <c r="AB117" s="738"/>
      <c r="AC117" s="738"/>
      <c r="AD117" s="738"/>
      <c r="AE117" s="738"/>
      <c r="AF117" s="738"/>
      <c r="AG117" s="738"/>
      <c r="AH117" s="738"/>
      <c r="AI117" s="738"/>
      <c r="AJ117" s="738"/>
    </row>
    <row r="118" spans="1:36" s="587" customFormat="1" ht="15.95" customHeight="1">
      <c r="A118" s="596"/>
      <c r="B118" s="574"/>
      <c r="C118" s="574"/>
      <c r="D118" s="574"/>
      <c r="E118" s="574"/>
      <c r="F118" s="574"/>
      <c r="G118" s="574"/>
      <c r="H118" s="574"/>
      <c r="I118" s="574"/>
      <c r="J118" s="574"/>
      <c r="K118" s="574"/>
      <c r="L118" s="574"/>
      <c r="M118" s="574"/>
      <c r="N118" s="574"/>
      <c r="O118" s="585"/>
      <c r="P118" s="574"/>
      <c r="Q118" s="574"/>
      <c r="R118" s="574"/>
      <c r="S118" s="574"/>
      <c r="T118" s="586"/>
      <c r="U118" s="574"/>
      <c r="V118" s="574"/>
      <c r="W118" s="738"/>
      <c r="X118" s="738"/>
      <c r="Y118" s="738"/>
      <c r="Z118" s="738"/>
      <c r="AA118" s="738"/>
      <c r="AB118" s="738"/>
      <c r="AC118" s="738"/>
      <c r="AD118" s="738"/>
      <c r="AE118" s="738"/>
      <c r="AF118" s="738"/>
      <c r="AG118" s="738"/>
      <c r="AH118" s="738"/>
      <c r="AI118" s="738"/>
      <c r="AJ118" s="738"/>
    </row>
    <row r="119" spans="1:36" s="587" customFormat="1" ht="15.95" customHeight="1">
      <c r="A119" s="596"/>
      <c r="B119" s="574"/>
      <c r="C119" s="574"/>
      <c r="D119" s="574"/>
      <c r="E119" s="574"/>
      <c r="F119" s="574"/>
      <c r="G119" s="574"/>
      <c r="H119" s="574"/>
      <c r="I119" s="574"/>
      <c r="J119" s="574"/>
      <c r="K119" s="574"/>
      <c r="L119" s="574"/>
      <c r="M119" s="574"/>
      <c r="N119" s="574"/>
      <c r="O119" s="585"/>
      <c r="P119" s="574"/>
      <c r="Q119" s="574"/>
      <c r="R119" s="574"/>
      <c r="S119" s="574"/>
      <c r="T119" s="586"/>
      <c r="U119" s="574"/>
      <c r="V119" s="574"/>
      <c r="W119" s="738"/>
      <c r="X119" s="738"/>
      <c r="Y119" s="738"/>
      <c r="Z119" s="738"/>
      <c r="AA119" s="738"/>
      <c r="AB119" s="738"/>
      <c r="AC119" s="738"/>
      <c r="AD119" s="738"/>
      <c r="AE119" s="738"/>
      <c r="AF119" s="738"/>
      <c r="AG119" s="738"/>
      <c r="AH119" s="738"/>
      <c r="AI119" s="738"/>
      <c r="AJ119" s="738"/>
    </row>
    <row r="120" spans="1:36" s="587" customFormat="1" ht="15.95" customHeight="1">
      <c r="A120" s="596"/>
      <c r="B120" s="574"/>
      <c r="C120" s="574"/>
      <c r="D120" s="574"/>
      <c r="E120" s="574"/>
      <c r="F120" s="574"/>
      <c r="G120" s="574"/>
      <c r="H120" s="574"/>
      <c r="I120" s="574"/>
      <c r="J120" s="574"/>
      <c r="K120" s="574"/>
      <c r="L120" s="574"/>
      <c r="M120" s="574"/>
      <c r="N120" s="574"/>
      <c r="O120" s="585"/>
      <c r="P120" s="574"/>
      <c r="Q120" s="574"/>
      <c r="R120" s="574"/>
      <c r="S120" s="574"/>
      <c r="T120" s="586"/>
      <c r="U120" s="574"/>
      <c r="V120" s="574"/>
      <c r="W120" s="738"/>
      <c r="X120" s="738"/>
      <c r="Y120" s="738"/>
      <c r="Z120" s="738"/>
      <c r="AA120" s="738"/>
      <c r="AB120" s="738"/>
      <c r="AC120" s="738"/>
      <c r="AD120" s="738"/>
      <c r="AE120" s="738"/>
      <c r="AF120" s="738"/>
      <c r="AG120" s="738"/>
      <c r="AH120" s="738"/>
      <c r="AI120" s="738"/>
      <c r="AJ120" s="738"/>
    </row>
    <row r="121" spans="1:36" s="587" customFormat="1" ht="15.95" customHeight="1">
      <c r="A121" s="596"/>
      <c r="B121" s="574"/>
      <c r="C121" s="574"/>
      <c r="D121" s="574"/>
      <c r="E121" s="574"/>
      <c r="F121" s="574"/>
      <c r="G121" s="574"/>
      <c r="H121" s="574"/>
      <c r="I121" s="574"/>
      <c r="J121" s="574"/>
      <c r="K121" s="574"/>
      <c r="L121" s="574"/>
      <c r="M121" s="574"/>
      <c r="N121" s="574"/>
      <c r="O121" s="585"/>
      <c r="P121" s="574"/>
      <c r="Q121" s="574"/>
      <c r="R121" s="574"/>
      <c r="S121" s="574"/>
      <c r="T121" s="586"/>
      <c r="U121" s="574"/>
      <c r="V121" s="574"/>
      <c r="W121" s="738"/>
      <c r="X121" s="738"/>
      <c r="Y121" s="738"/>
      <c r="Z121" s="738"/>
      <c r="AA121" s="738"/>
      <c r="AB121" s="738"/>
      <c r="AC121" s="738"/>
      <c r="AD121" s="738"/>
      <c r="AE121" s="738"/>
      <c r="AF121" s="738"/>
      <c r="AG121" s="738"/>
      <c r="AH121" s="738"/>
      <c r="AI121" s="738"/>
      <c r="AJ121" s="738"/>
    </row>
    <row r="122" spans="1:36" s="587" customFormat="1" ht="15.95" customHeight="1">
      <c r="A122" s="596"/>
      <c r="B122" s="574"/>
      <c r="C122" s="574"/>
      <c r="D122" s="574"/>
      <c r="E122" s="574"/>
      <c r="F122" s="574"/>
      <c r="G122" s="574"/>
      <c r="H122" s="574"/>
      <c r="I122" s="574"/>
      <c r="J122" s="574"/>
      <c r="K122" s="574"/>
      <c r="L122" s="574"/>
      <c r="M122" s="574"/>
      <c r="N122" s="574"/>
      <c r="O122" s="585"/>
      <c r="P122" s="574"/>
      <c r="Q122" s="574"/>
      <c r="R122" s="574"/>
      <c r="S122" s="574"/>
      <c r="T122" s="586"/>
      <c r="U122" s="574"/>
      <c r="V122" s="574"/>
      <c r="W122" s="738"/>
      <c r="X122" s="738"/>
      <c r="Y122" s="738"/>
      <c r="Z122" s="738"/>
      <c r="AA122" s="738"/>
      <c r="AB122" s="738"/>
      <c r="AC122" s="738"/>
      <c r="AD122" s="738"/>
      <c r="AE122" s="738"/>
      <c r="AF122" s="738"/>
      <c r="AG122" s="738"/>
      <c r="AH122" s="738"/>
      <c r="AI122" s="738"/>
      <c r="AJ122" s="738"/>
    </row>
    <row r="123" spans="1:36" s="587" customFormat="1" ht="15.95" customHeight="1">
      <c r="A123" s="596"/>
      <c r="B123" s="574"/>
      <c r="C123" s="574"/>
      <c r="D123" s="574"/>
      <c r="E123" s="574"/>
      <c r="F123" s="574"/>
      <c r="G123" s="574"/>
      <c r="H123" s="574"/>
      <c r="I123" s="574"/>
      <c r="J123" s="574"/>
      <c r="K123" s="574"/>
      <c r="L123" s="574"/>
      <c r="M123" s="574"/>
      <c r="N123" s="574"/>
      <c r="O123" s="585"/>
      <c r="P123" s="574"/>
      <c r="Q123" s="574"/>
      <c r="R123" s="574"/>
      <c r="S123" s="574"/>
      <c r="T123" s="586"/>
      <c r="U123" s="574"/>
      <c r="V123" s="574"/>
      <c r="W123" s="738"/>
      <c r="X123" s="738"/>
      <c r="Y123" s="738"/>
      <c r="Z123" s="738"/>
      <c r="AA123" s="738"/>
      <c r="AB123" s="738"/>
      <c r="AC123" s="738"/>
      <c r="AD123" s="738"/>
      <c r="AE123" s="738"/>
      <c r="AF123" s="738"/>
      <c r="AG123" s="738"/>
      <c r="AH123" s="738"/>
      <c r="AI123" s="738"/>
      <c r="AJ123" s="738"/>
    </row>
    <row r="124" spans="1:36" s="587" customFormat="1" ht="15.95" customHeight="1">
      <c r="A124" s="596"/>
      <c r="B124" s="574"/>
      <c r="C124" s="574"/>
      <c r="D124" s="574"/>
      <c r="E124" s="574"/>
      <c r="F124" s="574"/>
      <c r="G124" s="574"/>
      <c r="H124" s="574"/>
      <c r="I124" s="574"/>
      <c r="J124" s="574"/>
      <c r="K124" s="574"/>
      <c r="L124" s="574"/>
      <c r="M124" s="574"/>
      <c r="N124" s="574"/>
      <c r="O124" s="585"/>
      <c r="P124" s="574"/>
      <c r="Q124" s="574"/>
      <c r="R124" s="574"/>
      <c r="S124" s="574"/>
      <c r="T124" s="586"/>
      <c r="U124" s="574"/>
      <c r="V124" s="574"/>
      <c r="W124" s="738"/>
      <c r="X124" s="738"/>
      <c r="Y124" s="738"/>
      <c r="Z124" s="738"/>
      <c r="AA124" s="738"/>
      <c r="AB124" s="738"/>
      <c r="AC124" s="738"/>
      <c r="AD124" s="738"/>
      <c r="AE124" s="738"/>
      <c r="AF124" s="738"/>
      <c r="AG124" s="738"/>
      <c r="AH124" s="738"/>
      <c r="AI124" s="738"/>
      <c r="AJ124" s="738"/>
    </row>
    <row r="125" spans="1:36" s="587" customFormat="1" ht="15.95" customHeight="1">
      <c r="A125" s="596"/>
      <c r="B125" s="574"/>
      <c r="C125" s="574"/>
      <c r="D125" s="574"/>
      <c r="E125" s="574"/>
      <c r="F125" s="574"/>
      <c r="G125" s="574"/>
      <c r="H125" s="574"/>
      <c r="I125" s="574"/>
      <c r="J125" s="574"/>
      <c r="K125" s="574"/>
      <c r="L125" s="574"/>
      <c r="M125" s="574"/>
      <c r="N125" s="574"/>
      <c r="O125" s="585"/>
      <c r="P125" s="574"/>
      <c r="Q125" s="574"/>
      <c r="R125" s="574"/>
      <c r="S125" s="574"/>
      <c r="T125" s="586"/>
      <c r="U125" s="574"/>
      <c r="V125" s="574"/>
      <c r="W125" s="738"/>
      <c r="X125" s="738"/>
      <c r="Y125" s="738"/>
      <c r="Z125" s="738"/>
      <c r="AA125" s="738"/>
      <c r="AB125" s="738"/>
      <c r="AC125" s="738"/>
      <c r="AD125" s="738"/>
      <c r="AE125" s="738"/>
      <c r="AF125" s="738"/>
      <c r="AG125" s="738"/>
      <c r="AH125" s="738"/>
      <c r="AI125" s="738"/>
      <c r="AJ125" s="738"/>
    </row>
    <row r="126" spans="1:36" s="587" customFormat="1" ht="15.95" customHeight="1">
      <c r="A126" s="596"/>
      <c r="B126" s="574"/>
      <c r="C126" s="574"/>
      <c r="D126" s="574"/>
      <c r="E126" s="574"/>
      <c r="F126" s="574"/>
      <c r="G126" s="574"/>
      <c r="H126" s="574"/>
      <c r="I126" s="574"/>
      <c r="J126" s="574"/>
      <c r="K126" s="574"/>
      <c r="L126" s="574"/>
      <c r="M126" s="574"/>
      <c r="N126" s="574"/>
      <c r="O126" s="585"/>
      <c r="P126" s="574"/>
      <c r="Q126" s="574"/>
      <c r="R126" s="574"/>
      <c r="S126" s="574"/>
      <c r="T126" s="586"/>
      <c r="U126" s="574"/>
      <c r="V126" s="574"/>
      <c r="W126" s="738"/>
      <c r="X126" s="738"/>
      <c r="Y126" s="738"/>
      <c r="Z126" s="738"/>
      <c r="AA126" s="738"/>
      <c r="AB126" s="738"/>
      <c r="AC126" s="738"/>
      <c r="AD126" s="738"/>
      <c r="AE126" s="738"/>
      <c r="AF126" s="738"/>
      <c r="AG126" s="738"/>
      <c r="AH126" s="738"/>
      <c r="AI126" s="738"/>
      <c r="AJ126" s="738"/>
    </row>
    <row r="127" spans="1:36" s="587" customFormat="1" ht="15.95" customHeight="1">
      <c r="A127" s="596"/>
      <c r="B127" s="574"/>
      <c r="C127" s="574"/>
      <c r="D127" s="574"/>
      <c r="E127" s="574"/>
      <c r="F127" s="574"/>
      <c r="G127" s="574"/>
      <c r="H127" s="574"/>
      <c r="I127" s="574"/>
      <c r="J127" s="574"/>
      <c r="K127" s="574"/>
      <c r="L127" s="574"/>
      <c r="M127" s="574"/>
      <c r="N127" s="574"/>
      <c r="O127" s="585"/>
      <c r="P127" s="574"/>
      <c r="Q127" s="574"/>
      <c r="R127" s="574"/>
      <c r="S127" s="574"/>
      <c r="T127" s="586"/>
      <c r="U127" s="574"/>
      <c r="V127" s="574"/>
      <c r="W127" s="738"/>
      <c r="X127" s="738"/>
      <c r="Y127" s="738"/>
      <c r="Z127" s="738"/>
      <c r="AA127" s="738"/>
      <c r="AB127" s="738"/>
      <c r="AC127" s="738"/>
      <c r="AD127" s="738"/>
      <c r="AE127" s="738"/>
      <c r="AF127" s="738"/>
      <c r="AG127" s="738"/>
      <c r="AH127" s="738"/>
      <c r="AI127" s="738"/>
      <c r="AJ127" s="738"/>
    </row>
    <row r="128" spans="1:36" s="587" customFormat="1" ht="15.95" customHeight="1">
      <c r="A128" s="596"/>
      <c r="B128" s="574"/>
      <c r="C128" s="574"/>
      <c r="D128" s="574"/>
      <c r="E128" s="574"/>
      <c r="F128" s="574"/>
      <c r="G128" s="574"/>
      <c r="H128" s="574"/>
      <c r="I128" s="574"/>
      <c r="J128" s="574"/>
      <c r="K128" s="574"/>
      <c r="L128" s="574"/>
      <c r="M128" s="574"/>
      <c r="N128" s="574"/>
      <c r="O128" s="585"/>
      <c r="P128" s="574"/>
      <c r="Q128" s="574"/>
      <c r="R128" s="574"/>
      <c r="S128" s="574"/>
      <c r="T128" s="586"/>
      <c r="U128" s="574"/>
      <c r="V128" s="574"/>
      <c r="W128" s="738"/>
      <c r="X128" s="738"/>
      <c r="Y128" s="738"/>
      <c r="Z128" s="738"/>
      <c r="AA128" s="738"/>
      <c r="AB128" s="738"/>
      <c r="AC128" s="738"/>
      <c r="AD128" s="738"/>
      <c r="AE128" s="738"/>
      <c r="AF128" s="738"/>
      <c r="AG128" s="738"/>
      <c r="AH128" s="738"/>
      <c r="AI128" s="738"/>
      <c r="AJ128" s="738"/>
    </row>
    <row r="129" spans="1:36" s="587" customFormat="1" ht="15.95" customHeight="1">
      <c r="A129" s="596"/>
      <c r="B129" s="574"/>
      <c r="C129" s="574"/>
      <c r="D129" s="574"/>
      <c r="E129" s="574"/>
      <c r="F129" s="574"/>
      <c r="G129" s="574"/>
      <c r="H129" s="574"/>
      <c r="I129" s="574"/>
      <c r="J129" s="574"/>
      <c r="K129" s="574"/>
      <c r="L129" s="574"/>
      <c r="M129" s="574"/>
      <c r="N129" s="574"/>
      <c r="O129" s="585"/>
      <c r="P129" s="574"/>
      <c r="Q129" s="574"/>
      <c r="R129" s="574"/>
      <c r="S129" s="574"/>
      <c r="T129" s="586"/>
      <c r="U129" s="574"/>
      <c r="V129" s="574"/>
      <c r="W129" s="738"/>
      <c r="X129" s="738"/>
      <c r="Y129" s="738"/>
      <c r="Z129" s="738"/>
      <c r="AA129" s="738"/>
      <c r="AB129" s="738"/>
      <c r="AC129" s="738"/>
      <c r="AD129" s="738"/>
      <c r="AE129" s="738"/>
      <c r="AF129" s="738"/>
      <c r="AG129" s="738"/>
      <c r="AH129" s="738"/>
      <c r="AI129" s="738"/>
      <c r="AJ129" s="738"/>
    </row>
    <row r="130" spans="1:36" s="587" customFormat="1" ht="15.95" customHeight="1">
      <c r="A130" s="596"/>
      <c r="B130" s="574"/>
      <c r="C130" s="574"/>
      <c r="D130" s="574"/>
      <c r="E130" s="574"/>
      <c r="F130" s="574"/>
      <c r="G130" s="574"/>
      <c r="H130" s="574"/>
      <c r="I130" s="574"/>
      <c r="J130" s="574"/>
      <c r="K130" s="574"/>
      <c r="L130" s="574"/>
      <c r="M130" s="574"/>
      <c r="N130" s="574"/>
      <c r="O130" s="585"/>
      <c r="P130" s="574"/>
      <c r="Q130" s="574"/>
      <c r="R130" s="574"/>
      <c r="S130" s="574"/>
      <c r="T130" s="586"/>
      <c r="U130" s="574"/>
      <c r="V130" s="574"/>
      <c r="W130" s="738"/>
      <c r="X130" s="738"/>
      <c r="Y130" s="738"/>
      <c r="Z130" s="738"/>
      <c r="AA130" s="738"/>
      <c r="AB130" s="738"/>
      <c r="AC130" s="738"/>
      <c r="AD130" s="738"/>
      <c r="AE130" s="738"/>
      <c r="AF130" s="738"/>
      <c r="AG130" s="738"/>
      <c r="AH130" s="738"/>
      <c r="AI130" s="738"/>
      <c r="AJ130" s="738"/>
    </row>
    <row r="131" spans="1:36" s="587" customFormat="1" ht="15.95" customHeight="1">
      <c r="A131" s="596"/>
      <c r="B131" s="574"/>
      <c r="C131" s="574"/>
      <c r="D131" s="574"/>
      <c r="E131" s="574"/>
      <c r="F131" s="574"/>
      <c r="G131" s="574"/>
      <c r="H131" s="574"/>
      <c r="I131" s="574"/>
      <c r="J131" s="574"/>
      <c r="K131" s="574"/>
      <c r="L131" s="574"/>
      <c r="M131" s="574"/>
      <c r="N131" s="574"/>
      <c r="O131" s="585"/>
      <c r="P131" s="574"/>
      <c r="Q131" s="574"/>
      <c r="R131" s="574"/>
      <c r="S131" s="574"/>
      <c r="T131" s="586"/>
      <c r="U131" s="574"/>
      <c r="V131" s="574"/>
      <c r="W131" s="738"/>
      <c r="X131" s="738"/>
      <c r="Y131" s="738"/>
      <c r="Z131" s="738"/>
      <c r="AA131" s="738"/>
      <c r="AB131" s="738"/>
      <c r="AC131" s="738"/>
      <c r="AD131" s="738"/>
      <c r="AE131" s="738"/>
      <c r="AF131" s="738"/>
      <c r="AG131" s="738"/>
      <c r="AH131" s="738"/>
      <c r="AI131" s="738"/>
      <c r="AJ131" s="738"/>
    </row>
    <row r="132" spans="1:36" s="587" customFormat="1" ht="15.95" customHeight="1">
      <c r="A132" s="596"/>
      <c r="B132" s="574"/>
      <c r="C132" s="574"/>
      <c r="D132" s="574"/>
      <c r="E132" s="574"/>
      <c r="F132" s="574"/>
      <c r="G132" s="574"/>
      <c r="H132" s="574"/>
      <c r="I132" s="574"/>
      <c r="J132" s="574"/>
      <c r="K132" s="574"/>
      <c r="L132" s="574"/>
      <c r="M132" s="574"/>
      <c r="N132" s="574"/>
      <c r="O132" s="585"/>
      <c r="P132" s="574"/>
      <c r="Q132" s="574"/>
      <c r="R132" s="574"/>
      <c r="S132" s="574"/>
      <c r="T132" s="586"/>
      <c r="U132" s="574"/>
      <c r="V132" s="574"/>
      <c r="W132" s="738"/>
      <c r="X132" s="738"/>
      <c r="Y132" s="738"/>
      <c r="Z132" s="738"/>
      <c r="AA132" s="738"/>
      <c r="AB132" s="738"/>
      <c r="AC132" s="738"/>
      <c r="AD132" s="738"/>
      <c r="AE132" s="738"/>
      <c r="AF132" s="738"/>
      <c r="AG132" s="738"/>
      <c r="AH132" s="738"/>
      <c r="AI132" s="738"/>
      <c r="AJ132" s="738"/>
    </row>
    <row r="133" spans="1:36" s="587" customFormat="1" ht="15.95" customHeight="1">
      <c r="A133" s="596"/>
      <c r="B133" s="574"/>
      <c r="C133" s="574"/>
      <c r="D133" s="574"/>
      <c r="E133" s="574"/>
      <c r="F133" s="574"/>
      <c r="G133" s="574"/>
      <c r="H133" s="574"/>
      <c r="I133" s="574"/>
      <c r="J133" s="574"/>
      <c r="K133" s="574"/>
      <c r="L133" s="574"/>
      <c r="M133" s="574"/>
      <c r="N133" s="574"/>
      <c r="O133" s="585"/>
      <c r="P133" s="574"/>
      <c r="Q133" s="574"/>
      <c r="R133" s="574"/>
      <c r="S133" s="574"/>
      <c r="T133" s="586"/>
      <c r="U133" s="574"/>
      <c r="V133" s="574"/>
      <c r="W133" s="738"/>
      <c r="X133" s="738"/>
      <c r="Y133" s="738"/>
      <c r="Z133" s="738"/>
      <c r="AA133" s="738"/>
      <c r="AB133" s="738"/>
      <c r="AC133" s="738"/>
      <c r="AD133" s="738"/>
      <c r="AE133" s="738"/>
      <c r="AF133" s="738"/>
      <c r="AG133" s="738"/>
      <c r="AH133" s="738"/>
      <c r="AI133" s="738"/>
      <c r="AJ133" s="738"/>
    </row>
    <row r="134" spans="1:36" s="587" customFormat="1" ht="15.95" customHeight="1">
      <c r="A134" s="596"/>
      <c r="B134" s="574"/>
      <c r="C134" s="574"/>
      <c r="D134" s="574"/>
      <c r="E134" s="574"/>
      <c r="F134" s="574"/>
      <c r="G134" s="574"/>
      <c r="H134" s="574"/>
      <c r="I134" s="574"/>
      <c r="J134" s="574"/>
      <c r="K134" s="574"/>
      <c r="L134" s="574"/>
      <c r="M134" s="574"/>
      <c r="N134" s="574"/>
      <c r="O134" s="585"/>
      <c r="P134" s="574"/>
      <c r="Q134" s="574"/>
      <c r="R134" s="574"/>
      <c r="S134" s="574"/>
      <c r="T134" s="586"/>
      <c r="U134" s="574"/>
      <c r="V134" s="574"/>
      <c r="W134" s="738"/>
      <c r="X134" s="738"/>
      <c r="Y134" s="738"/>
      <c r="Z134" s="738"/>
      <c r="AA134" s="738"/>
      <c r="AB134" s="738"/>
      <c r="AC134" s="738"/>
      <c r="AD134" s="738"/>
      <c r="AE134" s="738"/>
      <c r="AF134" s="738"/>
      <c r="AG134" s="738"/>
      <c r="AH134" s="738"/>
      <c r="AI134" s="738"/>
      <c r="AJ134" s="738"/>
    </row>
    <row r="135" spans="1:36" s="587" customFormat="1" ht="15.95" customHeight="1">
      <c r="A135" s="596"/>
      <c r="B135" s="574"/>
      <c r="C135" s="574"/>
      <c r="D135" s="574"/>
      <c r="E135" s="574"/>
      <c r="F135" s="574"/>
      <c r="G135" s="574"/>
      <c r="H135" s="574"/>
      <c r="I135" s="574"/>
      <c r="J135" s="574"/>
      <c r="K135" s="574"/>
      <c r="L135" s="574"/>
      <c r="M135" s="574"/>
      <c r="N135" s="574"/>
      <c r="O135" s="585"/>
      <c r="P135" s="574"/>
      <c r="Q135" s="574"/>
      <c r="R135" s="574"/>
      <c r="S135" s="574"/>
      <c r="T135" s="586"/>
      <c r="U135" s="574"/>
      <c r="V135" s="574"/>
      <c r="W135" s="738"/>
      <c r="X135" s="738"/>
      <c r="Y135" s="738"/>
      <c r="Z135" s="738"/>
      <c r="AA135" s="738"/>
      <c r="AB135" s="738"/>
      <c r="AC135" s="738"/>
      <c r="AD135" s="738"/>
      <c r="AE135" s="738"/>
      <c r="AF135" s="738"/>
      <c r="AG135" s="738"/>
      <c r="AH135" s="738"/>
      <c r="AI135" s="738"/>
      <c r="AJ135" s="738"/>
    </row>
    <row r="136" spans="1:36" s="587" customFormat="1" ht="15.95" customHeight="1">
      <c r="A136" s="596"/>
      <c r="B136" s="574"/>
      <c r="C136" s="574"/>
      <c r="D136" s="574"/>
      <c r="E136" s="574"/>
      <c r="F136" s="574"/>
      <c r="G136" s="574"/>
      <c r="H136" s="574"/>
      <c r="I136" s="574"/>
      <c r="J136" s="574"/>
      <c r="K136" s="574"/>
      <c r="L136" s="574"/>
      <c r="M136" s="574"/>
      <c r="N136" s="574"/>
      <c r="O136" s="585"/>
      <c r="P136" s="574"/>
      <c r="Q136" s="574"/>
      <c r="R136" s="574"/>
      <c r="S136" s="574"/>
      <c r="T136" s="586"/>
      <c r="U136" s="574"/>
      <c r="V136" s="574"/>
      <c r="W136" s="738"/>
      <c r="X136" s="738"/>
      <c r="Y136" s="738"/>
      <c r="Z136" s="738"/>
      <c r="AA136" s="738"/>
      <c r="AB136" s="738"/>
      <c r="AC136" s="738"/>
      <c r="AD136" s="738"/>
      <c r="AE136" s="738"/>
      <c r="AF136" s="738"/>
      <c r="AG136" s="738"/>
      <c r="AH136" s="738"/>
      <c r="AI136" s="738"/>
      <c r="AJ136" s="738"/>
    </row>
    <row r="137" spans="1:36" s="587" customFormat="1" ht="15.95" customHeight="1">
      <c r="A137" s="596"/>
      <c r="B137" s="574"/>
      <c r="C137" s="574"/>
      <c r="D137" s="574"/>
      <c r="E137" s="574"/>
      <c r="F137" s="574"/>
      <c r="G137" s="574"/>
      <c r="H137" s="574"/>
      <c r="I137" s="574"/>
      <c r="J137" s="574"/>
      <c r="K137" s="574"/>
      <c r="L137" s="574"/>
      <c r="M137" s="574"/>
      <c r="N137" s="574"/>
      <c r="O137" s="585"/>
      <c r="P137" s="574"/>
      <c r="Q137" s="574"/>
      <c r="R137" s="574"/>
      <c r="S137" s="574"/>
      <c r="T137" s="586"/>
      <c r="U137" s="574"/>
      <c r="V137" s="574"/>
      <c r="W137" s="738"/>
      <c r="X137" s="738"/>
      <c r="Y137" s="738"/>
      <c r="Z137" s="738"/>
      <c r="AA137" s="738"/>
      <c r="AB137" s="738"/>
      <c r="AC137" s="738"/>
      <c r="AD137" s="738"/>
      <c r="AE137" s="738"/>
      <c r="AF137" s="738"/>
      <c r="AG137" s="738"/>
      <c r="AH137" s="738"/>
      <c r="AI137" s="738"/>
      <c r="AJ137" s="738"/>
    </row>
    <row r="138" spans="1:36" s="587" customFormat="1" ht="15.95" customHeight="1">
      <c r="A138" s="596"/>
      <c r="B138" s="574"/>
      <c r="C138" s="574"/>
      <c r="D138" s="574"/>
      <c r="E138" s="574"/>
      <c r="F138" s="574"/>
      <c r="G138" s="574"/>
      <c r="H138" s="574"/>
      <c r="I138" s="574"/>
      <c r="J138" s="574"/>
      <c r="K138" s="574"/>
      <c r="L138" s="574"/>
      <c r="M138" s="574"/>
      <c r="N138" s="574"/>
      <c r="O138" s="585"/>
      <c r="P138" s="574"/>
      <c r="Q138" s="574"/>
      <c r="R138" s="574"/>
      <c r="S138" s="574"/>
      <c r="T138" s="586"/>
      <c r="U138" s="574"/>
      <c r="V138" s="574"/>
      <c r="W138" s="738"/>
      <c r="X138" s="738"/>
      <c r="Y138" s="738"/>
      <c r="Z138" s="738"/>
      <c r="AA138" s="738"/>
      <c r="AB138" s="738"/>
      <c r="AC138" s="738"/>
      <c r="AD138" s="738"/>
      <c r="AE138" s="738"/>
      <c r="AF138" s="738"/>
      <c r="AG138" s="738"/>
      <c r="AH138" s="738"/>
      <c r="AI138" s="738"/>
      <c r="AJ138" s="738"/>
    </row>
    <row r="139" spans="1:36" s="587" customFormat="1" ht="15.95" customHeight="1">
      <c r="A139" s="596"/>
      <c r="B139" s="574"/>
      <c r="C139" s="574"/>
      <c r="D139" s="574"/>
      <c r="E139" s="574"/>
      <c r="F139" s="574"/>
      <c r="G139" s="574"/>
      <c r="H139" s="574"/>
      <c r="I139" s="574"/>
      <c r="J139" s="574"/>
      <c r="K139" s="574"/>
      <c r="L139" s="574"/>
      <c r="M139" s="574"/>
      <c r="N139" s="574"/>
      <c r="O139" s="585"/>
      <c r="P139" s="574"/>
      <c r="Q139" s="574"/>
      <c r="R139" s="574"/>
      <c r="S139" s="574"/>
      <c r="T139" s="586"/>
      <c r="U139" s="574"/>
      <c r="V139" s="574"/>
      <c r="W139" s="738"/>
      <c r="X139" s="738"/>
      <c r="Y139" s="738"/>
      <c r="Z139" s="738"/>
      <c r="AA139" s="738"/>
      <c r="AB139" s="738"/>
      <c r="AC139" s="738"/>
      <c r="AD139" s="738"/>
      <c r="AE139" s="738"/>
      <c r="AF139" s="738"/>
      <c r="AG139" s="738"/>
      <c r="AH139" s="738"/>
      <c r="AI139" s="738"/>
      <c r="AJ139" s="738"/>
    </row>
    <row r="140" spans="1:36" s="587" customFormat="1" ht="15.95" customHeight="1">
      <c r="A140" s="596"/>
      <c r="B140" s="574"/>
      <c r="C140" s="574"/>
      <c r="D140" s="574"/>
      <c r="E140" s="574"/>
      <c r="F140" s="574"/>
      <c r="G140" s="574"/>
      <c r="H140" s="574"/>
      <c r="I140" s="574"/>
      <c r="J140" s="574"/>
      <c r="K140" s="574"/>
      <c r="L140" s="574"/>
      <c r="M140" s="574"/>
      <c r="N140" s="574"/>
      <c r="O140" s="585"/>
      <c r="P140" s="574"/>
      <c r="Q140" s="574"/>
      <c r="R140" s="574"/>
      <c r="S140" s="574"/>
      <c r="T140" s="586"/>
      <c r="U140" s="574"/>
      <c r="V140" s="574"/>
      <c r="W140" s="738"/>
      <c r="X140" s="738"/>
      <c r="Y140" s="738"/>
      <c r="Z140" s="738"/>
      <c r="AA140" s="738"/>
      <c r="AB140" s="738"/>
      <c r="AC140" s="738"/>
      <c r="AD140" s="738"/>
      <c r="AE140" s="738"/>
      <c r="AF140" s="738"/>
      <c r="AG140" s="738"/>
      <c r="AH140" s="738"/>
      <c r="AI140" s="738"/>
      <c r="AJ140" s="738"/>
    </row>
    <row r="141" spans="1:36" s="587" customFormat="1" ht="15.95" customHeight="1">
      <c r="A141" s="596"/>
      <c r="B141" s="574"/>
      <c r="C141" s="574"/>
      <c r="D141" s="574"/>
      <c r="E141" s="574"/>
      <c r="F141" s="574"/>
      <c r="G141" s="574"/>
      <c r="H141" s="574"/>
      <c r="I141" s="574"/>
      <c r="J141" s="574"/>
      <c r="K141" s="574"/>
      <c r="L141" s="574"/>
      <c r="M141" s="574"/>
      <c r="N141" s="574"/>
      <c r="O141" s="585"/>
      <c r="P141" s="574"/>
      <c r="Q141" s="574"/>
      <c r="R141" s="574"/>
      <c r="S141" s="574"/>
      <c r="T141" s="586"/>
      <c r="U141" s="574"/>
      <c r="V141" s="574"/>
      <c r="W141" s="738"/>
      <c r="X141" s="738"/>
      <c r="Y141" s="738"/>
      <c r="Z141" s="738"/>
      <c r="AA141" s="738"/>
      <c r="AB141" s="738"/>
      <c r="AC141" s="738"/>
      <c r="AD141" s="738"/>
      <c r="AE141" s="738"/>
      <c r="AF141" s="738"/>
      <c r="AG141" s="738"/>
      <c r="AH141" s="738"/>
      <c r="AI141" s="738"/>
      <c r="AJ141" s="738"/>
    </row>
    <row r="142" spans="1:36" s="587" customFormat="1" ht="15.95" customHeight="1">
      <c r="A142" s="596"/>
      <c r="B142" s="574"/>
      <c r="C142" s="574"/>
      <c r="D142" s="574"/>
      <c r="E142" s="574"/>
      <c r="F142" s="574"/>
      <c r="G142" s="574"/>
      <c r="H142" s="574"/>
      <c r="I142" s="574"/>
      <c r="J142" s="574"/>
      <c r="K142" s="574"/>
      <c r="L142" s="574"/>
      <c r="M142" s="574"/>
      <c r="N142" s="574"/>
      <c r="O142" s="585"/>
      <c r="P142" s="574"/>
      <c r="Q142" s="574"/>
      <c r="R142" s="574"/>
      <c r="S142" s="574"/>
      <c r="T142" s="586"/>
      <c r="U142" s="574"/>
      <c r="V142" s="574"/>
      <c r="W142" s="738"/>
      <c r="X142" s="738"/>
      <c r="Y142" s="738"/>
      <c r="Z142" s="738"/>
      <c r="AA142" s="738"/>
      <c r="AB142" s="738"/>
      <c r="AC142" s="738"/>
      <c r="AD142" s="738"/>
      <c r="AE142" s="738"/>
      <c r="AF142" s="738"/>
      <c r="AG142" s="738"/>
      <c r="AH142" s="738"/>
      <c r="AI142" s="738"/>
      <c r="AJ142" s="738"/>
    </row>
    <row r="143" spans="1:36" s="587" customFormat="1" ht="15.95" customHeight="1">
      <c r="A143" s="596"/>
      <c r="B143" s="574"/>
      <c r="C143" s="574"/>
      <c r="D143" s="574"/>
      <c r="E143" s="574"/>
      <c r="F143" s="574"/>
      <c r="G143" s="574"/>
      <c r="H143" s="574"/>
      <c r="I143" s="574"/>
      <c r="J143" s="574"/>
      <c r="K143" s="574"/>
      <c r="L143" s="574"/>
      <c r="M143" s="574"/>
      <c r="N143" s="574"/>
      <c r="O143" s="585"/>
      <c r="P143" s="574"/>
      <c r="Q143" s="574"/>
      <c r="R143" s="574"/>
      <c r="S143" s="574"/>
      <c r="T143" s="586"/>
      <c r="U143" s="574"/>
      <c r="V143" s="574"/>
      <c r="W143" s="738"/>
      <c r="X143" s="738"/>
      <c r="Y143" s="738"/>
      <c r="Z143" s="738"/>
      <c r="AA143" s="738"/>
      <c r="AB143" s="738"/>
      <c r="AC143" s="738"/>
      <c r="AD143" s="738"/>
      <c r="AE143" s="738"/>
      <c r="AF143" s="738"/>
      <c r="AG143" s="738"/>
      <c r="AH143" s="738"/>
      <c r="AI143" s="738"/>
      <c r="AJ143" s="738"/>
    </row>
    <row r="144" spans="1:36" s="587" customFormat="1" ht="15.95" customHeight="1">
      <c r="A144" s="596"/>
      <c r="B144" s="574"/>
      <c r="C144" s="574"/>
      <c r="D144" s="574"/>
      <c r="E144" s="574"/>
      <c r="F144" s="574"/>
      <c r="G144" s="574"/>
      <c r="H144" s="574"/>
      <c r="I144" s="574"/>
      <c r="J144" s="574"/>
      <c r="K144" s="574"/>
      <c r="L144" s="574"/>
      <c r="M144" s="574"/>
      <c r="N144" s="574"/>
      <c r="O144" s="585"/>
      <c r="P144" s="574"/>
      <c r="Q144" s="574"/>
      <c r="R144" s="574"/>
      <c r="S144" s="574"/>
      <c r="T144" s="586"/>
      <c r="U144" s="574"/>
      <c r="V144" s="574"/>
      <c r="W144" s="738"/>
      <c r="X144" s="738"/>
      <c r="Y144" s="738"/>
      <c r="Z144" s="738"/>
      <c r="AA144" s="738"/>
      <c r="AB144" s="738"/>
      <c r="AC144" s="738"/>
      <c r="AD144" s="738"/>
      <c r="AE144" s="738"/>
      <c r="AF144" s="738"/>
      <c r="AG144" s="738"/>
      <c r="AH144" s="738"/>
      <c r="AI144" s="738"/>
      <c r="AJ144" s="738"/>
    </row>
    <row r="145" spans="1:36" s="587" customFormat="1" ht="15.95" customHeight="1">
      <c r="A145" s="596"/>
      <c r="B145" s="574"/>
      <c r="C145" s="574"/>
      <c r="D145" s="574"/>
      <c r="E145" s="574"/>
      <c r="F145" s="574"/>
      <c r="G145" s="574"/>
      <c r="H145" s="574"/>
      <c r="I145" s="574"/>
      <c r="J145" s="574"/>
      <c r="K145" s="574"/>
      <c r="L145" s="574"/>
      <c r="M145" s="574"/>
      <c r="N145" s="574"/>
      <c r="O145" s="585"/>
      <c r="P145" s="574"/>
      <c r="Q145" s="574"/>
      <c r="R145" s="574"/>
      <c r="S145" s="574"/>
      <c r="T145" s="586"/>
      <c r="U145" s="574"/>
      <c r="V145" s="574"/>
      <c r="W145" s="738"/>
      <c r="X145" s="738"/>
      <c r="Y145" s="738"/>
      <c r="Z145" s="738"/>
      <c r="AA145" s="738"/>
      <c r="AB145" s="738"/>
      <c r="AC145" s="738"/>
      <c r="AD145" s="738"/>
      <c r="AE145" s="738"/>
      <c r="AF145" s="738"/>
      <c r="AG145" s="738"/>
      <c r="AH145" s="738"/>
      <c r="AI145" s="738"/>
      <c r="AJ145" s="738"/>
    </row>
    <row r="146" spans="1:36" s="587" customFormat="1" ht="15.95" customHeight="1">
      <c r="A146" s="596"/>
      <c r="B146" s="574"/>
      <c r="C146" s="574"/>
      <c r="D146" s="574"/>
      <c r="E146" s="574"/>
      <c r="F146" s="574"/>
      <c r="G146" s="574"/>
      <c r="H146" s="574"/>
      <c r="I146" s="574"/>
      <c r="J146" s="574"/>
      <c r="K146" s="574"/>
      <c r="L146" s="574"/>
      <c r="M146" s="574"/>
      <c r="N146" s="574"/>
      <c r="O146" s="585"/>
      <c r="P146" s="574"/>
      <c r="Q146" s="574"/>
      <c r="R146" s="574"/>
      <c r="S146" s="574"/>
      <c r="T146" s="586"/>
      <c r="U146" s="574"/>
      <c r="V146" s="574"/>
      <c r="W146" s="738"/>
      <c r="X146" s="738"/>
      <c r="Y146" s="738"/>
      <c r="Z146" s="738"/>
      <c r="AA146" s="738"/>
      <c r="AB146" s="738"/>
      <c r="AC146" s="738"/>
      <c r="AD146" s="738"/>
      <c r="AE146" s="738"/>
      <c r="AF146" s="738"/>
      <c r="AG146" s="738"/>
      <c r="AH146" s="738"/>
      <c r="AI146" s="738"/>
      <c r="AJ146" s="738"/>
    </row>
    <row r="147" spans="1:36" s="587" customFormat="1" ht="15.95" customHeight="1">
      <c r="A147" s="596"/>
      <c r="B147" s="574"/>
      <c r="C147" s="574"/>
      <c r="D147" s="574"/>
      <c r="E147" s="574"/>
      <c r="F147" s="574"/>
      <c r="G147" s="574"/>
      <c r="H147" s="574"/>
      <c r="I147" s="574"/>
      <c r="J147" s="574"/>
      <c r="K147" s="574"/>
      <c r="L147" s="574"/>
      <c r="M147" s="574"/>
      <c r="N147" s="574"/>
      <c r="O147" s="585"/>
      <c r="P147" s="574"/>
      <c r="Q147" s="574"/>
      <c r="R147" s="574"/>
      <c r="S147" s="574"/>
      <c r="T147" s="586"/>
      <c r="U147" s="574"/>
      <c r="V147" s="574"/>
      <c r="W147" s="738"/>
      <c r="X147" s="738"/>
      <c r="Y147" s="738"/>
      <c r="Z147" s="738"/>
      <c r="AA147" s="738"/>
      <c r="AB147" s="738"/>
      <c r="AC147" s="738"/>
      <c r="AD147" s="738"/>
      <c r="AE147" s="738"/>
      <c r="AF147" s="738"/>
      <c r="AG147" s="738"/>
      <c r="AH147" s="738"/>
      <c r="AI147" s="738"/>
      <c r="AJ147" s="738"/>
    </row>
    <row r="148" spans="1:36" s="587" customFormat="1" ht="15.95" customHeight="1">
      <c r="A148" s="596"/>
      <c r="B148" s="574"/>
      <c r="C148" s="574"/>
      <c r="D148" s="574"/>
      <c r="E148" s="574"/>
      <c r="F148" s="574"/>
      <c r="G148" s="574"/>
      <c r="H148" s="574"/>
      <c r="I148" s="574"/>
      <c r="J148" s="574"/>
      <c r="K148" s="574"/>
      <c r="L148" s="574"/>
      <c r="M148" s="574"/>
      <c r="N148" s="574"/>
      <c r="O148" s="585"/>
      <c r="P148" s="574"/>
      <c r="Q148" s="574"/>
      <c r="R148" s="574"/>
      <c r="S148" s="574"/>
      <c r="T148" s="586"/>
      <c r="U148" s="574"/>
      <c r="V148" s="574"/>
      <c r="W148" s="738"/>
      <c r="X148" s="738"/>
      <c r="Y148" s="738"/>
      <c r="Z148" s="738"/>
      <c r="AA148" s="738"/>
      <c r="AB148" s="738"/>
      <c r="AC148" s="738"/>
      <c r="AD148" s="738"/>
      <c r="AE148" s="738"/>
      <c r="AF148" s="738"/>
      <c r="AG148" s="738"/>
      <c r="AH148" s="738"/>
      <c r="AI148" s="738"/>
      <c r="AJ148" s="738"/>
    </row>
    <row r="149" spans="1:36" s="587" customFormat="1" ht="15.95" customHeight="1">
      <c r="A149" s="596"/>
      <c r="B149" s="574"/>
      <c r="C149" s="574"/>
      <c r="D149" s="574"/>
      <c r="E149" s="574"/>
      <c r="F149" s="574"/>
      <c r="G149" s="574"/>
      <c r="H149" s="574"/>
      <c r="I149" s="574"/>
      <c r="J149" s="574"/>
      <c r="K149" s="574"/>
      <c r="L149" s="574"/>
      <c r="M149" s="574"/>
      <c r="N149" s="574"/>
      <c r="O149" s="585"/>
      <c r="P149" s="574"/>
      <c r="Q149" s="574"/>
      <c r="R149" s="574"/>
      <c r="S149" s="574"/>
      <c r="T149" s="586"/>
      <c r="U149" s="574"/>
      <c r="V149" s="574"/>
      <c r="W149" s="738"/>
      <c r="X149" s="738"/>
      <c r="Y149" s="738"/>
      <c r="Z149" s="738"/>
      <c r="AA149" s="738"/>
      <c r="AB149" s="738"/>
      <c r="AC149" s="738"/>
      <c r="AD149" s="738"/>
      <c r="AE149" s="738"/>
      <c r="AF149" s="738"/>
      <c r="AG149" s="738"/>
      <c r="AH149" s="738"/>
      <c r="AI149" s="738"/>
      <c r="AJ149" s="738"/>
    </row>
    <row r="150" spans="1:36" s="587" customFormat="1" ht="15.95" customHeight="1">
      <c r="A150" s="596"/>
      <c r="B150" s="574"/>
      <c r="C150" s="574"/>
      <c r="D150" s="574"/>
      <c r="E150" s="574"/>
      <c r="F150" s="574"/>
      <c r="G150" s="574"/>
      <c r="H150" s="574"/>
      <c r="I150" s="574"/>
      <c r="J150" s="574"/>
      <c r="K150" s="574"/>
      <c r="L150" s="574"/>
      <c r="M150" s="574"/>
      <c r="N150" s="574"/>
      <c r="O150" s="585"/>
      <c r="P150" s="574"/>
      <c r="Q150" s="574"/>
      <c r="R150" s="574"/>
      <c r="S150" s="574"/>
      <c r="T150" s="586"/>
      <c r="U150" s="574"/>
      <c r="V150" s="574"/>
      <c r="W150" s="738"/>
      <c r="X150" s="738"/>
      <c r="Y150" s="738"/>
      <c r="Z150" s="738"/>
      <c r="AA150" s="738"/>
      <c r="AB150" s="738"/>
      <c r="AC150" s="738"/>
      <c r="AD150" s="738"/>
      <c r="AE150" s="738"/>
      <c r="AF150" s="738"/>
      <c r="AG150" s="738"/>
      <c r="AH150" s="738"/>
      <c r="AI150" s="738"/>
      <c r="AJ150" s="738"/>
    </row>
    <row r="151" spans="1:36" s="587" customFormat="1" ht="15.95" customHeight="1">
      <c r="A151" s="596"/>
      <c r="B151" s="574"/>
      <c r="C151" s="574"/>
      <c r="D151" s="574"/>
      <c r="E151" s="574"/>
      <c r="F151" s="574"/>
      <c r="G151" s="574"/>
      <c r="H151" s="574"/>
      <c r="I151" s="574"/>
      <c r="J151" s="574"/>
      <c r="K151" s="574"/>
      <c r="L151" s="574"/>
      <c r="M151" s="574"/>
      <c r="N151" s="574"/>
      <c r="O151" s="585"/>
      <c r="P151" s="574"/>
      <c r="Q151" s="574"/>
      <c r="R151" s="574"/>
      <c r="S151" s="574"/>
      <c r="T151" s="586"/>
      <c r="U151" s="574"/>
      <c r="V151" s="574"/>
      <c r="W151" s="738"/>
      <c r="X151" s="738"/>
      <c r="Y151" s="738"/>
      <c r="Z151" s="738"/>
      <c r="AA151" s="738"/>
      <c r="AB151" s="738"/>
      <c r="AC151" s="738"/>
      <c r="AD151" s="738"/>
      <c r="AE151" s="738"/>
      <c r="AF151" s="738"/>
      <c r="AG151" s="738"/>
      <c r="AH151" s="738"/>
      <c r="AI151" s="738"/>
      <c r="AJ151" s="738"/>
    </row>
    <row r="152" spans="1:36" s="587" customFormat="1" ht="15.95" customHeight="1">
      <c r="A152" s="596"/>
      <c r="B152" s="574"/>
      <c r="C152" s="574"/>
      <c r="D152" s="574"/>
      <c r="E152" s="574"/>
      <c r="F152" s="574"/>
      <c r="G152" s="574"/>
      <c r="H152" s="574"/>
      <c r="I152" s="574"/>
      <c r="J152" s="574"/>
      <c r="K152" s="574"/>
      <c r="L152" s="574"/>
      <c r="M152" s="574"/>
      <c r="N152" s="574"/>
      <c r="O152" s="585"/>
      <c r="P152" s="574"/>
      <c r="Q152" s="574"/>
      <c r="R152" s="574"/>
      <c r="S152" s="574"/>
      <c r="T152" s="586"/>
      <c r="U152" s="574"/>
      <c r="V152" s="574"/>
      <c r="W152" s="738"/>
      <c r="X152" s="738"/>
      <c r="Y152" s="738"/>
      <c r="Z152" s="738"/>
      <c r="AA152" s="738"/>
      <c r="AB152" s="738"/>
      <c r="AC152" s="738"/>
      <c r="AD152" s="738"/>
      <c r="AE152" s="738"/>
      <c r="AF152" s="738"/>
      <c r="AG152" s="738"/>
      <c r="AH152" s="738"/>
      <c r="AI152" s="738"/>
      <c r="AJ152" s="738"/>
    </row>
    <row r="153" spans="1:36" s="587" customFormat="1" ht="15.95" customHeight="1">
      <c r="A153" s="596"/>
      <c r="B153" s="574"/>
      <c r="C153" s="574"/>
      <c r="D153" s="574"/>
      <c r="E153" s="574"/>
      <c r="F153" s="574"/>
      <c r="G153" s="574"/>
      <c r="H153" s="574"/>
      <c r="I153" s="574"/>
      <c r="J153" s="574"/>
      <c r="K153" s="574"/>
      <c r="L153" s="574"/>
      <c r="M153" s="574"/>
      <c r="N153" s="574"/>
      <c r="O153" s="585"/>
      <c r="P153" s="574"/>
      <c r="Q153" s="574"/>
      <c r="R153" s="574"/>
      <c r="S153" s="574"/>
      <c r="T153" s="586"/>
      <c r="U153" s="574"/>
      <c r="V153" s="574"/>
      <c r="W153" s="738"/>
      <c r="X153" s="738"/>
      <c r="Y153" s="738"/>
      <c r="Z153" s="738"/>
      <c r="AA153" s="738"/>
      <c r="AB153" s="738"/>
      <c r="AC153" s="738"/>
      <c r="AD153" s="738"/>
      <c r="AE153" s="738"/>
      <c r="AF153" s="738"/>
      <c r="AG153" s="738"/>
      <c r="AH153" s="738"/>
      <c r="AI153" s="738"/>
      <c r="AJ153" s="738"/>
    </row>
    <row r="154" spans="1:36" s="587" customFormat="1" ht="15.95" customHeight="1">
      <c r="A154" s="596"/>
      <c r="B154" s="574"/>
      <c r="C154" s="574"/>
      <c r="D154" s="574"/>
      <c r="E154" s="574"/>
      <c r="F154" s="574"/>
      <c r="G154" s="574"/>
      <c r="H154" s="574"/>
      <c r="I154" s="574"/>
      <c r="J154" s="574"/>
      <c r="K154" s="574"/>
      <c r="L154" s="574"/>
      <c r="M154" s="574"/>
      <c r="N154" s="574"/>
      <c r="O154" s="585"/>
      <c r="P154" s="574"/>
      <c r="Q154" s="574"/>
      <c r="R154" s="574"/>
      <c r="S154" s="574"/>
      <c r="T154" s="586"/>
      <c r="U154" s="574"/>
      <c r="V154" s="574"/>
      <c r="W154" s="738"/>
      <c r="X154" s="738"/>
      <c r="Y154" s="738"/>
      <c r="Z154" s="738"/>
      <c r="AA154" s="738"/>
      <c r="AB154" s="738"/>
      <c r="AC154" s="738"/>
      <c r="AD154" s="738"/>
      <c r="AE154" s="738"/>
      <c r="AF154" s="738"/>
      <c r="AG154" s="738"/>
      <c r="AH154" s="738"/>
      <c r="AI154" s="738"/>
      <c r="AJ154" s="738"/>
    </row>
    <row r="155" spans="1:36" s="587" customFormat="1" ht="15.95" customHeight="1">
      <c r="A155" s="596"/>
      <c r="B155" s="574"/>
      <c r="C155" s="574"/>
      <c r="D155" s="574"/>
      <c r="E155" s="574"/>
      <c r="F155" s="574"/>
      <c r="G155" s="574"/>
      <c r="H155" s="574"/>
      <c r="I155" s="574"/>
      <c r="J155" s="574"/>
      <c r="K155" s="574"/>
      <c r="L155" s="574"/>
      <c r="M155" s="574"/>
      <c r="N155" s="574"/>
      <c r="O155" s="585"/>
      <c r="P155" s="574"/>
      <c r="Q155" s="574"/>
      <c r="R155" s="574"/>
      <c r="S155" s="574"/>
      <c r="T155" s="586"/>
      <c r="U155" s="574"/>
      <c r="V155" s="574"/>
      <c r="W155" s="738"/>
      <c r="X155" s="738"/>
      <c r="Y155" s="738"/>
      <c r="Z155" s="738"/>
      <c r="AA155" s="738"/>
      <c r="AB155" s="738"/>
      <c r="AC155" s="738"/>
      <c r="AD155" s="738"/>
      <c r="AE155" s="738"/>
      <c r="AF155" s="738"/>
      <c r="AG155" s="738"/>
      <c r="AH155" s="738"/>
      <c r="AI155" s="738"/>
      <c r="AJ155" s="738"/>
    </row>
    <row r="156" spans="1:36" s="587" customFormat="1" ht="15.95" customHeight="1">
      <c r="A156" s="596"/>
      <c r="B156" s="574"/>
      <c r="C156" s="574"/>
      <c r="D156" s="574"/>
      <c r="E156" s="574"/>
      <c r="F156" s="574"/>
      <c r="G156" s="574"/>
      <c r="H156" s="574"/>
      <c r="I156" s="574"/>
      <c r="J156" s="574"/>
      <c r="K156" s="574"/>
      <c r="L156" s="574"/>
      <c r="M156" s="574"/>
      <c r="N156" s="574"/>
      <c r="O156" s="585"/>
      <c r="P156" s="574"/>
      <c r="Q156" s="574"/>
      <c r="R156" s="574"/>
      <c r="S156" s="574"/>
      <c r="T156" s="586"/>
      <c r="U156" s="574"/>
      <c r="V156" s="574"/>
      <c r="W156" s="738"/>
      <c r="X156" s="738"/>
      <c r="Y156" s="738"/>
      <c r="Z156" s="738"/>
      <c r="AA156" s="738"/>
      <c r="AB156" s="738"/>
      <c r="AC156" s="738"/>
      <c r="AD156" s="738"/>
      <c r="AE156" s="738"/>
      <c r="AF156" s="738"/>
      <c r="AG156" s="738"/>
      <c r="AH156" s="738"/>
      <c r="AI156" s="738"/>
      <c r="AJ156" s="738"/>
    </row>
    <row r="157" spans="1:36" s="587" customFormat="1" ht="15.95" customHeight="1">
      <c r="A157" s="596"/>
      <c r="B157" s="574"/>
      <c r="C157" s="574"/>
      <c r="D157" s="574"/>
      <c r="E157" s="574"/>
      <c r="F157" s="574"/>
      <c r="G157" s="574"/>
      <c r="H157" s="574"/>
      <c r="I157" s="574"/>
      <c r="J157" s="574"/>
      <c r="K157" s="574"/>
      <c r="L157" s="574"/>
      <c r="M157" s="574"/>
      <c r="N157" s="574"/>
      <c r="O157" s="585"/>
      <c r="P157" s="574"/>
      <c r="Q157" s="574"/>
      <c r="R157" s="574"/>
      <c r="S157" s="574"/>
      <c r="T157" s="586"/>
      <c r="U157" s="574"/>
      <c r="V157" s="574"/>
      <c r="W157" s="738"/>
      <c r="X157" s="738"/>
      <c r="Y157" s="738"/>
      <c r="Z157" s="738"/>
      <c r="AA157" s="738"/>
      <c r="AB157" s="738"/>
      <c r="AC157" s="738"/>
      <c r="AD157" s="738"/>
      <c r="AE157" s="738"/>
      <c r="AF157" s="738"/>
      <c r="AG157" s="738"/>
      <c r="AH157" s="738"/>
      <c r="AI157" s="738"/>
      <c r="AJ157" s="738"/>
    </row>
    <row r="158" spans="1:36" s="587" customFormat="1" ht="15.95" customHeight="1">
      <c r="A158" s="596"/>
      <c r="B158" s="574"/>
      <c r="C158" s="574"/>
      <c r="D158" s="574"/>
      <c r="E158" s="574"/>
      <c r="F158" s="574"/>
      <c r="G158" s="574"/>
      <c r="H158" s="574"/>
      <c r="I158" s="574"/>
      <c r="J158" s="574"/>
      <c r="K158" s="574"/>
      <c r="L158" s="574"/>
      <c r="M158" s="574"/>
      <c r="N158" s="574"/>
      <c r="O158" s="585"/>
      <c r="P158" s="574"/>
      <c r="Q158" s="574"/>
      <c r="R158" s="574"/>
      <c r="S158" s="574"/>
      <c r="T158" s="586"/>
      <c r="U158" s="574"/>
      <c r="V158" s="574"/>
      <c r="W158" s="738"/>
      <c r="X158" s="738"/>
      <c r="Y158" s="738"/>
      <c r="Z158" s="738"/>
      <c r="AA158" s="738"/>
      <c r="AB158" s="738"/>
      <c r="AC158" s="738"/>
      <c r="AD158" s="738"/>
      <c r="AE158" s="738"/>
      <c r="AF158" s="738"/>
      <c r="AG158" s="738"/>
      <c r="AH158" s="738"/>
      <c r="AI158" s="738"/>
      <c r="AJ158" s="738"/>
    </row>
    <row r="159" spans="1:36" s="587" customFormat="1" ht="15.95" customHeight="1">
      <c r="A159" s="596"/>
      <c r="B159" s="574"/>
      <c r="C159" s="574"/>
      <c r="D159" s="574"/>
      <c r="E159" s="574"/>
      <c r="F159" s="574"/>
      <c r="G159" s="574"/>
      <c r="H159" s="574"/>
      <c r="I159" s="574"/>
      <c r="J159" s="574"/>
      <c r="K159" s="574"/>
      <c r="L159" s="574"/>
      <c r="M159" s="574"/>
      <c r="N159" s="574"/>
      <c r="O159" s="585"/>
      <c r="P159" s="574"/>
      <c r="Q159" s="574"/>
      <c r="R159" s="574"/>
      <c r="S159" s="574"/>
      <c r="T159" s="586"/>
      <c r="U159" s="574"/>
      <c r="V159" s="574"/>
      <c r="W159" s="738"/>
      <c r="X159" s="738"/>
      <c r="Y159" s="738"/>
      <c r="Z159" s="738"/>
      <c r="AA159" s="738"/>
      <c r="AB159" s="738"/>
      <c r="AC159" s="738"/>
      <c r="AD159" s="738"/>
      <c r="AE159" s="738"/>
      <c r="AF159" s="738"/>
      <c r="AG159" s="738"/>
      <c r="AH159" s="738"/>
      <c r="AI159" s="738"/>
      <c r="AJ159" s="738"/>
    </row>
    <row r="160" spans="1:36" s="587" customFormat="1" ht="15.95" customHeight="1">
      <c r="A160" s="596"/>
      <c r="B160" s="574"/>
      <c r="C160" s="574"/>
      <c r="D160" s="574"/>
      <c r="E160" s="574"/>
      <c r="F160" s="574"/>
      <c r="G160" s="574"/>
      <c r="H160" s="574"/>
      <c r="I160" s="574"/>
      <c r="J160" s="574"/>
      <c r="K160" s="574"/>
      <c r="L160" s="574"/>
      <c r="M160" s="574"/>
      <c r="N160" s="574"/>
      <c r="O160" s="585"/>
      <c r="P160" s="574"/>
      <c r="Q160" s="574"/>
      <c r="R160" s="574"/>
      <c r="S160" s="574"/>
      <c r="T160" s="586"/>
      <c r="U160" s="574"/>
      <c r="V160" s="574"/>
      <c r="W160" s="738"/>
      <c r="X160" s="738"/>
      <c r="Y160" s="738"/>
      <c r="Z160" s="738"/>
      <c r="AA160" s="738"/>
      <c r="AB160" s="738"/>
      <c r="AC160" s="738"/>
      <c r="AD160" s="738"/>
      <c r="AE160" s="738"/>
      <c r="AF160" s="738"/>
      <c r="AG160" s="738"/>
      <c r="AH160" s="738"/>
      <c r="AI160" s="738"/>
      <c r="AJ160" s="738"/>
    </row>
    <row r="161" spans="1:36" s="587" customFormat="1" ht="15.95" customHeight="1">
      <c r="A161" s="596"/>
      <c r="B161" s="574"/>
      <c r="C161" s="574"/>
      <c r="D161" s="574"/>
      <c r="E161" s="574"/>
      <c r="F161" s="574"/>
      <c r="G161" s="574"/>
      <c r="H161" s="574"/>
      <c r="I161" s="574"/>
      <c r="J161" s="574"/>
      <c r="K161" s="574"/>
      <c r="L161" s="574"/>
      <c r="M161" s="574"/>
      <c r="N161" s="574"/>
      <c r="O161" s="585"/>
      <c r="P161" s="574"/>
      <c r="Q161" s="574"/>
      <c r="R161" s="574"/>
      <c r="S161" s="574"/>
      <c r="T161" s="586"/>
      <c r="U161" s="574"/>
      <c r="V161" s="574"/>
      <c r="W161" s="738"/>
      <c r="X161" s="738"/>
      <c r="Y161" s="738"/>
      <c r="Z161" s="738"/>
      <c r="AA161" s="738"/>
      <c r="AB161" s="738"/>
      <c r="AC161" s="738"/>
      <c r="AD161" s="738"/>
      <c r="AE161" s="738"/>
      <c r="AF161" s="738"/>
      <c r="AG161" s="738"/>
      <c r="AH161" s="738"/>
      <c r="AI161" s="738"/>
      <c r="AJ161" s="738"/>
    </row>
    <row r="162" spans="1:36" s="587" customFormat="1" ht="15.95" customHeight="1">
      <c r="A162" s="596"/>
      <c r="B162" s="574"/>
      <c r="C162" s="574"/>
      <c r="D162" s="574"/>
      <c r="E162" s="574"/>
      <c r="F162" s="574"/>
      <c r="G162" s="574"/>
      <c r="H162" s="574"/>
      <c r="I162" s="574"/>
      <c r="J162" s="574"/>
      <c r="K162" s="574"/>
      <c r="L162" s="574"/>
      <c r="M162" s="574"/>
      <c r="N162" s="574"/>
      <c r="O162" s="585"/>
      <c r="P162" s="574"/>
      <c r="Q162" s="574"/>
      <c r="R162" s="574"/>
      <c r="S162" s="574"/>
      <c r="T162" s="586"/>
      <c r="U162" s="574"/>
      <c r="V162" s="574"/>
      <c r="W162" s="738"/>
      <c r="X162" s="738"/>
      <c r="Y162" s="738"/>
      <c r="Z162" s="738"/>
      <c r="AA162" s="738"/>
      <c r="AB162" s="738"/>
      <c r="AC162" s="738"/>
      <c r="AD162" s="738"/>
      <c r="AE162" s="738"/>
      <c r="AF162" s="738"/>
      <c r="AG162" s="738"/>
      <c r="AH162" s="738"/>
      <c r="AI162" s="738"/>
      <c r="AJ162" s="738"/>
    </row>
    <row r="163" spans="1:36" s="587" customFormat="1" ht="15.95" customHeight="1">
      <c r="A163" s="596"/>
      <c r="B163" s="574"/>
      <c r="C163" s="574"/>
      <c r="D163" s="574"/>
      <c r="E163" s="574"/>
      <c r="F163" s="574"/>
      <c r="G163" s="574"/>
      <c r="H163" s="574"/>
      <c r="I163" s="574"/>
      <c r="J163" s="574"/>
      <c r="K163" s="574"/>
      <c r="L163" s="574"/>
      <c r="M163" s="574"/>
      <c r="N163" s="574"/>
      <c r="O163" s="585"/>
      <c r="P163" s="574"/>
      <c r="Q163" s="574"/>
      <c r="R163" s="574"/>
      <c r="S163" s="574"/>
      <c r="T163" s="586"/>
      <c r="U163" s="574"/>
      <c r="V163" s="574"/>
      <c r="W163" s="738"/>
      <c r="X163" s="738"/>
      <c r="Y163" s="738"/>
      <c r="Z163" s="738"/>
      <c r="AA163" s="738"/>
      <c r="AB163" s="738"/>
      <c r="AC163" s="738"/>
      <c r="AD163" s="738"/>
      <c r="AE163" s="738"/>
      <c r="AF163" s="738"/>
      <c r="AG163" s="738"/>
      <c r="AH163" s="738"/>
      <c r="AI163" s="738"/>
      <c r="AJ163" s="738"/>
    </row>
    <row r="164" spans="1:36" s="587" customFormat="1" ht="15.95" customHeight="1">
      <c r="A164" s="596"/>
      <c r="B164" s="574"/>
      <c r="C164" s="574"/>
      <c r="D164" s="574"/>
      <c r="E164" s="574"/>
      <c r="F164" s="574"/>
      <c r="G164" s="574"/>
      <c r="H164" s="574"/>
      <c r="I164" s="574"/>
      <c r="J164" s="574"/>
      <c r="K164" s="574"/>
      <c r="L164" s="574"/>
      <c r="M164" s="574"/>
      <c r="N164" s="574"/>
      <c r="O164" s="585"/>
      <c r="P164" s="574"/>
      <c r="Q164" s="574"/>
      <c r="R164" s="574"/>
      <c r="S164" s="574"/>
      <c r="T164" s="586"/>
      <c r="U164" s="574"/>
      <c r="V164" s="574"/>
      <c r="W164" s="738"/>
      <c r="X164" s="738"/>
      <c r="Y164" s="738"/>
      <c r="Z164" s="738"/>
      <c r="AA164" s="738"/>
      <c r="AB164" s="738"/>
      <c r="AC164" s="738"/>
      <c r="AD164" s="738"/>
      <c r="AE164" s="738"/>
      <c r="AF164" s="738"/>
      <c r="AG164" s="738"/>
      <c r="AH164" s="738"/>
      <c r="AI164" s="738"/>
      <c r="AJ164" s="738"/>
    </row>
    <row r="165" spans="1:36" s="587" customFormat="1" ht="15.95" customHeight="1">
      <c r="A165" s="596"/>
      <c r="B165" s="574"/>
      <c r="C165" s="574"/>
      <c r="D165" s="574"/>
      <c r="E165" s="574"/>
      <c r="F165" s="574"/>
      <c r="G165" s="574"/>
      <c r="H165" s="574"/>
      <c r="I165" s="574"/>
      <c r="J165" s="574"/>
      <c r="K165" s="574"/>
      <c r="L165" s="574"/>
      <c r="M165" s="574"/>
      <c r="N165" s="574"/>
      <c r="O165" s="585"/>
      <c r="P165" s="574"/>
      <c r="Q165" s="574"/>
      <c r="R165" s="574"/>
      <c r="S165" s="574"/>
      <c r="T165" s="586"/>
      <c r="U165" s="574"/>
      <c r="V165" s="574"/>
      <c r="W165" s="738"/>
      <c r="X165" s="738"/>
      <c r="Y165" s="738"/>
      <c r="Z165" s="738"/>
      <c r="AA165" s="738"/>
      <c r="AB165" s="738"/>
      <c r="AC165" s="738"/>
      <c r="AD165" s="738"/>
      <c r="AE165" s="738"/>
      <c r="AF165" s="738"/>
      <c r="AG165" s="738"/>
      <c r="AH165" s="738"/>
      <c r="AI165" s="738"/>
      <c r="AJ165" s="738"/>
    </row>
    <row r="166" spans="1:36" s="587" customFormat="1" ht="15.95" customHeight="1">
      <c r="A166" s="596"/>
      <c r="B166" s="574"/>
      <c r="C166" s="574"/>
      <c r="D166" s="574"/>
      <c r="E166" s="574"/>
      <c r="F166" s="574"/>
      <c r="G166" s="574"/>
      <c r="H166" s="574"/>
      <c r="I166" s="574"/>
      <c r="J166" s="574"/>
      <c r="K166" s="574"/>
      <c r="L166" s="574"/>
      <c r="M166" s="574"/>
      <c r="N166" s="574"/>
      <c r="O166" s="585"/>
      <c r="P166" s="574"/>
      <c r="Q166" s="574"/>
      <c r="R166" s="574"/>
      <c r="S166" s="574"/>
      <c r="T166" s="586"/>
      <c r="U166" s="574"/>
      <c r="V166" s="574"/>
      <c r="W166" s="738"/>
      <c r="X166" s="738"/>
      <c r="Y166" s="738"/>
      <c r="Z166" s="738"/>
      <c r="AA166" s="738"/>
      <c r="AB166" s="738"/>
      <c r="AC166" s="738"/>
      <c r="AD166" s="738"/>
      <c r="AE166" s="738"/>
      <c r="AF166" s="738"/>
      <c r="AG166" s="738"/>
      <c r="AH166" s="738"/>
      <c r="AI166" s="738"/>
      <c r="AJ166" s="738"/>
    </row>
    <row r="167" spans="1:36" s="587" customFormat="1" ht="15.95" customHeight="1">
      <c r="A167" s="596"/>
      <c r="B167" s="574"/>
      <c r="C167" s="574"/>
      <c r="D167" s="574"/>
      <c r="E167" s="574"/>
      <c r="F167" s="574"/>
      <c r="G167" s="574"/>
      <c r="H167" s="574"/>
      <c r="I167" s="574"/>
      <c r="J167" s="574"/>
      <c r="K167" s="574"/>
      <c r="L167" s="574"/>
      <c r="M167" s="574"/>
      <c r="N167" s="574"/>
      <c r="O167" s="585"/>
      <c r="P167" s="574"/>
      <c r="Q167" s="574"/>
      <c r="R167" s="574"/>
      <c r="S167" s="574"/>
      <c r="T167" s="586"/>
      <c r="U167" s="574"/>
      <c r="V167" s="574"/>
      <c r="W167" s="738"/>
      <c r="X167" s="738"/>
      <c r="Y167" s="738"/>
      <c r="Z167" s="738"/>
      <c r="AA167" s="738"/>
      <c r="AB167" s="738"/>
      <c r="AC167" s="738"/>
      <c r="AD167" s="738"/>
      <c r="AE167" s="738"/>
      <c r="AF167" s="738"/>
      <c r="AG167" s="738"/>
      <c r="AH167" s="738"/>
      <c r="AI167" s="738"/>
      <c r="AJ167" s="738"/>
    </row>
    <row r="168" spans="1:36" s="587" customFormat="1" ht="15.95" customHeight="1">
      <c r="A168" s="596"/>
      <c r="B168" s="574"/>
      <c r="C168" s="574"/>
      <c r="D168" s="574"/>
      <c r="E168" s="574"/>
      <c r="F168" s="574"/>
      <c r="G168" s="574"/>
      <c r="H168" s="574"/>
      <c r="I168" s="574"/>
      <c r="J168" s="574"/>
      <c r="K168" s="574"/>
      <c r="L168" s="574"/>
      <c r="M168" s="574"/>
      <c r="N168" s="574"/>
      <c r="O168" s="585"/>
      <c r="P168" s="574"/>
      <c r="Q168" s="574"/>
      <c r="R168" s="574"/>
      <c r="S168" s="574"/>
      <c r="T168" s="586"/>
      <c r="U168" s="574"/>
      <c r="V168" s="574"/>
      <c r="W168" s="738"/>
      <c r="X168" s="738"/>
      <c r="Y168" s="738"/>
      <c r="Z168" s="738"/>
      <c r="AA168" s="738"/>
      <c r="AB168" s="738"/>
      <c r="AC168" s="738"/>
      <c r="AD168" s="738"/>
      <c r="AE168" s="738"/>
      <c r="AF168" s="738"/>
      <c r="AG168" s="738"/>
      <c r="AH168" s="738"/>
      <c r="AI168" s="738"/>
      <c r="AJ168" s="738"/>
    </row>
    <row r="169" spans="1:36" s="587" customFormat="1" ht="15.95" customHeight="1">
      <c r="A169" s="596"/>
      <c r="B169" s="574"/>
      <c r="C169" s="574"/>
      <c r="D169" s="574"/>
      <c r="E169" s="574"/>
      <c r="F169" s="574"/>
      <c r="G169" s="574"/>
      <c r="H169" s="574"/>
      <c r="I169" s="574"/>
      <c r="J169" s="574"/>
      <c r="K169" s="574"/>
      <c r="L169" s="574"/>
      <c r="M169" s="574"/>
      <c r="N169" s="574"/>
      <c r="O169" s="585"/>
      <c r="P169" s="574"/>
      <c r="Q169" s="574"/>
      <c r="R169" s="574"/>
      <c r="S169" s="574"/>
      <c r="T169" s="586"/>
      <c r="U169" s="574"/>
      <c r="V169" s="574"/>
      <c r="W169" s="738"/>
      <c r="X169" s="738"/>
      <c r="Y169" s="738"/>
      <c r="Z169" s="738"/>
      <c r="AA169" s="738"/>
      <c r="AB169" s="738"/>
      <c r="AC169" s="738"/>
      <c r="AD169" s="738"/>
      <c r="AE169" s="738"/>
      <c r="AF169" s="738"/>
      <c r="AG169" s="738"/>
      <c r="AH169" s="738"/>
      <c r="AI169" s="738"/>
      <c r="AJ169" s="738"/>
    </row>
    <row r="170" spans="1:36" s="587" customFormat="1" ht="15.95" customHeight="1">
      <c r="A170" s="596"/>
      <c r="B170" s="574"/>
      <c r="C170" s="574"/>
      <c r="D170" s="574"/>
      <c r="E170" s="574"/>
      <c r="F170" s="574"/>
      <c r="G170" s="574"/>
      <c r="H170" s="574"/>
      <c r="I170" s="574"/>
      <c r="J170" s="574"/>
      <c r="K170" s="574"/>
      <c r="L170" s="574"/>
      <c r="M170" s="574"/>
      <c r="N170" s="574"/>
      <c r="O170" s="585"/>
      <c r="P170" s="574"/>
      <c r="Q170" s="574"/>
      <c r="R170" s="574"/>
      <c r="S170" s="574"/>
      <c r="T170" s="586"/>
      <c r="U170" s="574"/>
      <c r="V170" s="574"/>
      <c r="W170" s="738"/>
      <c r="X170" s="738"/>
      <c r="Y170" s="738"/>
      <c r="Z170" s="738"/>
      <c r="AA170" s="738"/>
      <c r="AB170" s="738"/>
      <c r="AC170" s="738"/>
      <c r="AD170" s="738"/>
      <c r="AE170" s="738"/>
      <c r="AF170" s="738"/>
      <c r="AG170" s="738"/>
      <c r="AH170" s="738"/>
      <c r="AI170" s="738"/>
      <c r="AJ170" s="738"/>
    </row>
    <row r="171" spans="1:36" s="587" customFormat="1" ht="15.95" customHeight="1">
      <c r="A171" s="596"/>
      <c r="B171" s="574"/>
      <c r="C171" s="574"/>
      <c r="D171" s="574"/>
      <c r="E171" s="574"/>
      <c r="F171" s="574"/>
      <c r="G171" s="574"/>
      <c r="H171" s="574"/>
      <c r="I171" s="574"/>
      <c r="J171" s="574"/>
      <c r="K171" s="574"/>
      <c r="L171" s="574"/>
      <c r="M171" s="574"/>
      <c r="N171" s="574"/>
      <c r="O171" s="585"/>
      <c r="P171" s="574"/>
      <c r="Q171" s="574"/>
      <c r="R171" s="574"/>
      <c r="S171" s="574"/>
      <c r="T171" s="586"/>
      <c r="U171" s="574"/>
      <c r="V171" s="574"/>
      <c r="W171" s="738"/>
      <c r="X171" s="738"/>
      <c r="Y171" s="738"/>
      <c r="Z171" s="738"/>
      <c r="AA171" s="738"/>
      <c r="AB171" s="738"/>
      <c r="AC171" s="738"/>
      <c r="AD171" s="738"/>
      <c r="AE171" s="738"/>
      <c r="AF171" s="738"/>
      <c r="AG171" s="738"/>
      <c r="AH171" s="738"/>
      <c r="AI171" s="738"/>
      <c r="AJ171" s="738"/>
    </row>
    <row r="172" spans="1:36" s="587" customFormat="1" ht="15.95" customHeight="1">
      <c r="A172" s="596"/>
      <c r="B172" s="574"/>
      <c r="C172" s="574"/>
      <c r="D172" s="574"/>
      <c r="E172" s="574"/>
      <c r="F172" s="574"/>
      <c r="G172" s="574"/>
      <c r="H172" s="574"/>
      <c r="I172" s="574"/>
      <c r="J172" s="574"/>
      <c r="K172" s="574"/>
      <c r="L172" s="574"/>
      <c r="M172" s="574"/>
      <c r="N172" s="574"/>
      <c r="O172" s="585"/>
      <c r="P172" s="574"/>
      <c r="Q172" s="574"/>
      <c r="R172" s="574"/>
      <c r="S172" s="574"/>
      <c r="T172" s="586"/>
      <c r="U172" s="574"/>
      <c r="V172" s="574"/>
      <c r="W172" s="738"/>
      <c r="X172" s="738"/>
      <c r="Y172" s="738"/>
      <c r="Z172" s="738"/>
      <c r="AA172" s="738"/>
      <c r="AB172" s="738"/>
      <c r="AC172" s="738"/>
      <c r="AD172" s="738"/>
      <c r="AE172" s="738"/>
      <c r="AF172" s="738"/>
      <c r="AG172" s="738"/>
      <c r="AH172" s="738"/>
      <c r="AI172" s="738"/>
      <c r="AJ172" s="738"/>
    </row>
    <row r="173" spans="1:36" s="587" customFormat="1" ht="15.95" customHeight="1">
      <c r="A173" s="596"/>
      <c r="B173" s="574"/>
      <c r="C173" s="574"/>
      <c r="D173" s="574"/>
      <c r="E173" s="574"/>
      <c r="F173" s="574"/>
      <c r="G173" s="574"/>
      <c r="H173" s="574"/>
      <c r="I173" s="574"/>
      <c r="J173" s="574"/>
      <c r="K173" s="574"/>
      <c r="L173" s="574"/>
      <c r="M173" s="574"/>
      <c r="N173" s="574"/>
      <c r="O173" s="585"/>
      <c r="P173" s="574"/>
      <c r="Q173" s="574"/>
      <c r="R173" s="574"/>
      <c r="S173" s="574"/>
      <c r="T173" s="586"/>
      <c r="U173" s="574"/>
      <c r="V173" s="574"/>
      <c r="W173" s="738"/>
      <c r="X173" s="738"/>
      <c r="Y173" s="738"/>
      <c r="Z173" s="738"/>
      <c r="AA173" s="738"/>
      <c r="AB173" s="738"/>
      <c r="AC173" s="738"/>
      <c r="AD173" s="738"/>
      <c r="AE173" s="738"/>
      <c r="AF173" s="738"/>
      <c r="AG173" s="738"/>
      <c r="AH173" s="738"/>
      <c r="AI173" s="738"/>
      <c r="AJ173" s="738"/>
    </row>
    <row r="174" spans="1:36" s="587" customFormat="1" ht="15.95" customHeight="1">
      <c r="A174" s="596"/>
      <c r="B174" s="574"/>
      <c r="C174" s="574"/>
      <c r="D174" s="574"/>
      <c r="E174" s="574"/>
      <c r="F174" s="574"/>
      <c r="G174" s="574"/>
      <c r="H174" s="574"/>
      <c r="I174" s="574"/>
      <c r="J174" s="574"/>
      <c r="K174" s="574"/>
      <c r="L174" s="574"/>
      <c r="M174" s="574"/>
      <c r="N174" s="574"/>
      <c r="O174" s="585"/>
      <c r="P174" s="574"/>
      <c r="Q174" s="574"/>
      <c r="R174" s="574"/>
      <c r="S174" s="574"/>
      <c r="T174" s="586"/>
      <c r="U174" s="574"/>
      <c r="V174" s="574"/>
      <c r="W174" s="738"/>
      <c r="X174" s="738"/>
      <c r="Y174" s="738"/>
      <c r="Z174" s="738"/>
      <c r="AA174" s="738"/>
      <c r="AB174" s="738"/>
      <c r="AC174" s="738"/>
      <c r="AD174" s="738"/>
      <c r="AE174" s="738"/>
      <c r="AF174" s="738"/>
      <c r="AG174" s="738"/>
      <c r="AH174" s="738"/>
      <c r="AI174" s="738"/>
      <c r="AJ174" s="738"/>
    </row>
    <row r="175" spans="1:36" s="587" customFormat="1" ht="15.95" customHeight="1">
      <c r="A175" s="596"/>
      <c r="B175" s="574"/>
      <c r="C175" s="574"/>
      <c r="D175" s="574"/>
      <c r="E175" s="574"/>
      <c r="F175" s="574"/>
      <c r="G175" s="574"/>
      <c r="H175" s="574"/>
      <c r="I175" s="574"/>
      <c r="J175" s="574"/>
      <c r="K175" s="574"/>
      <c r="L175" s="574"/>
      <c r="M175" s="574"/>
      <c r="N175" s="574"/>
      <c r="O175" s="585"/>
      <c r="P175" s="574"/>
      <c r="Q175" s="574"/>
      <c r="R175" s="574"/>
      <c r="S175" s="574"/>
      <c r="T175" s="586"/>
      <c r="U175" s="574"/>
      <c r="V175" s="574"/>
      <c r="W175" s="738"/>
      <c r="X175" s="738"/>
      <c r="Y175" s="738"/>
      <c r="Z175" s="738"/>
      <c r="AA175" s="738"/>
      <c r="AB175" s="738"/>
      <c r="AC175" s="738"/>
      <c r="AD175" s="738"/>
      <c r="AE175" s="738"/>
      <c r="AF175" s="738"/>
      <c r="AG175" s="738"/>
      <c r="AH175" s="738"/>
      <c r="AI175" s="738"/>
      <c r="AJ175" s="738"/>
    </row>
    <row r="176" spans="1:36" s="587" customFormat="1" ht="15.95" customHeight="1">
      <c r="A176" s="596"/>
      <c r="B176" s="574"/>
      <c r="C176" s="574"/>
      <c r="D176" s="574"/>
      <c r="E176" s="574"/>
      <c r="F176" s="574"/>
      <c r="G176" s="574"/>
      <c r="H176" s="574"/>
      <c r="I176" s="574"/>
      <c r="J176" s="574"/>
      <c r="K176" s="574"/>
      <c r="L176" s="574"/>
      <c r="M176" s="574"/>
      <c r="N176" s="574"/>
      <c r="O176" s="585"/>
      <c r="P176" s="574"/>
      <c r="Q176" s="574"/>
      <c r="R176" s="574"/>
      <c r="S176" s="574"/>
      <c r="T176" s="586"/>
      <c r="U176" s="574"/>
      <c r="V176" s="574"/>
      <c r="W176" s="738"/>
      <c r="X176" s="738"/>
      <c r="Y176" s="738"/>
      <c r="Z176" s="738"/>
      <c r="AA176" s="738"/>
      <c r="AB176" s="738"/>
      <c r="AC176" s="738"/>
      <c r="AD176" s="738"/>
      <c r="AE176" s="738"/>
      <c r="AF176" s="738"/>
      <c r="AG176" s="738"/>
      <c r="AH176" s="738"/>
      <c r="AI176" s="738"/>
      <c r="AJ176" s="738"/>
    </row>
    <row r="177" spans="1:36" s="587" customFormat="1" ht="15.95" customHeight="1">
      <c r="A177" s="596"/>
      <c r="B177" s="574"/>
      <c r="C177" s="574"/>
      <c r="D177" s="574"/>
      <c r="E177" s="574"/>
      <c r="F177" s="574"/>
      <c r="G177" s="574"/>
      <c r="H177" s="574"/>
      <c r="I177" s="574"/>
      <c r="J177" s="574"/>
      <c r="K177" s="574"/>
      <c r="L177" s="574"/>
      <c r="M177" s="574"/>
      <c r="N177" s="574"/>
      <c r="O177" s="585"/>
      <c r="P177" s="574"/>
      <c r="Q177" s="574"/>
      <c r="R177" s="574"/>
      <c r="S177" s="574"/>
      <c r="T177" s="586"/>
      <c r="U177" s="574"/>
      <c r="V177" s="574"/>
      <c r="W177" s="738"/>
      <c r="X177" s="738"/>
      <c r="Y177" s="738"/>
      <c r="Z177" s="738"/>
      <c r="AA177" s="738"/>
      <c r="AB177" s="738"/>
      <c r="AC177" s="738"/>
      <c r="AD177" s="738"/>
      <c r="AE177" s="738"/>
      <c r="AF177" s="738"/>
      <c r="AG177" s="738"/>
      <c r="AH177" s="738"/>
      <c r="AI177" s="738"/>
      <c r="AJ177" s="738"/>
    </row>
    <row r="178" spans="1:36" s="587" customFormat="1" ht="15.95" customHeight="1">
      <c r="A178" s="596"/>
      <c r="B178" s="574"/>
      <c r="C178" s="574"/>
      <c r="D178" s="574"/>
      <c r="E178" s="574"/>
      <c r="F178" s="574"/>
      <c r="G178" s="574"/>
      <c r="H178" s="574"/>
      <c r="I178" s="574"/>
      <c r="J178" s="574"/>
      <c r="K178" s="574"/>
      <c r="L178" s="574"/>
      <c r="M178" s="574"/>
      <c r="N178" s="574"/>
      <c r="O178" s="585"/>
      <c r="P178" s="574"/>
      <c r="Q178" s="574"/>
      <c r="R178" s="574"/>
      <c r="S178" s="574"/>
      <c r="T178" s="586"/>
      <c r="U178" s="574"/>
      <c r="V178" s="574"/>
      <c r="W178" s="738"/>
      <c r="X178" s="738"/>
      <c r="Y178" s="738"/>
      <c r="Z178" s="738"/>
      <c r="AA178" s="738"/>
      <c r="AB178" s="738"/>
      <c r="AC178" s="738"/>
      <c r="AD178" s="738"/>
      <c r="AE178" s="738"/>
      <c r="AF178" s="738"/>
      <c r="AG178" s="738"/>
      <c r="AH178" s="738"/>
      <c r="AI178" s="738"/>
      <c r="AJ178" s="738"/>
    </row>
    <row r="179" spans="1:36" s="587" customFormat="1" ht="15.95" customHeight="1">
      <c r="A179" s="596"/>
      <c r="B179" s="574"/>
      <c r="C179" s="574"/>
      <c r="D179" s="574"/>
      <c r="E179" s="574"/>
      <c r="F179" s="574"/>
      <c r="G179" s="574"/>
      <c r="H179" s="574"/>
      <c r="I179" s="574"/>
      <c r="J179" s="574"/>
      <c r="K179" s="574"/>
      <c r="L179" s="574"/>
      <c r="M179" s="574"/>
      <c r="N179" s="574"/>
      <c r="O179" s="585"/>
      <c r="P179" s="574"/>
      <c r="Q179" s="574"/>
      <c r="R179" s="574"/>
      <c r="S179" s="574"/>
      <c r="T179" s="586"/>
      <c r="U179" s="574"/>
      <c r="V179" s="574"/>
      <c r="W179" s="738"/>
      <c r="X179" s="738"/>
      <c r="Y179" s="738"/>
      <c r="Z179" s="738"/>
      <c r="AA179" s="738"/>
      <c r="AB179" s="738"/>
      <c r="AC179" s="738"/>
      <c r="AD179" s="738"/>
      <c r="AE179" s="738"/>
      <c r="AF179" s="738"/>
      <c r="AG179" s="738"/>
      <c r="AH179" s="738"/>
      <c r="AI179" s="738"/>
      <c r="AJ179" s="738"/>
    </row>
    <row r="180" spans="1:36" s="587" customFormat="1" ht="15.95" customHeight="1">
      <c r="A180" s="596"/>
      <c r="B180" s="574"/>
      <c r="C180" s="574"/>
      <c r="D180" s="574"/>
      <c r="E180" s="574"/>
      <c r="F180" s="574"/>
      <c r="G180" s="574"/>
      <c r="H180" s="574"/>
      <c r="I180" s="574"/>
      <c r="J180" s="574"/>
      <c r="K180" s="574"/>
      <c r="L180" s="574"/>
      <c r="M180" s="574"/>
      <c r="N180" s="574"/>
      <c r="O180" s="585"/>
      <c r="P180" s="574"/>
      <c r="Q180" s="574"/>
      <c r="R180" s="574"/>
      <c r="S180" s="574"/>
      <c r="T180" s="586"/>
      <c r="U180" s="574"/>
      <c r="V180" s="574"/>
      <c r="W180" s="738"/>
      <c r="X180" s="738"/>
      <c r="Y180" s="738"/>
      <c r="Z180" s="738"/>
      <c r="AA180" s="738"/>
      <c r="AB180" s="738"/>
      <c r="AC180" s="738"/>
      <c r="AD180" s="738"/>
      <c r="AE180" s="738"/>
      <c r="AF180" s="738"/>
      <c r="AG180" s="738"/>
      <c r="AH180" s="738"/>
      <c r="AI180" s="738"/>
      <c r="AJ180" s="738"/>
    </row>
    <row r="181" spans="1:36" s="587" customFormat="1" ht="15.95" customHeight="1">
      <c r="A181" s="596"/>
      <c r="B181" s="574"/>
      <c r="C181" s="574"/>
      <c r="D181" s="574"/>
      <c r="E181" s="574"/>
      <c r="F181" s="574"/>
      <c r="G181" s="574"/>
      <c r="H181" s="574"/>
      <c r="I181" s="574"/>
      <c r="J181" s="574"/>
      <c r="K181" s="574"/>
      <c r="L181" s="574"/>
      <c r="M181" s="574"/>
      <c r="N181" s="574"/>
      <c r="O181" s="585"/>
      <c r="P181" s="574"/>
      <c r="Q181" s="574"/>
      <c r="R181" s="574"/>
      <c r="S181" s="574"/>
      <c r="T181" s="586"/>
      <c r="U181" s="574"/>
      <c r="V181" s="574"/>
      <c r="W181" s="738"/>
      <c r="X181" s="738"/>
      <c r="Y181" s="738"/>
      <c r="Z181" s="738"/>
      <c r="AA181" s="738"/>
      <c r="AB181" s="738"/>
      <c r="AC181" s="738"/>
      <c r="AD181" s="738"/>
      <c r="AE181" s="738"/>
      <c r="AF181" s="738"/>
      <c r="AG181" s="738"/>
      <c r="AH181" s="738"/>
      <c r="AI181" s="738"/>
      <c r="AJ181" s="738"/>
    </row>
    <row r="182" spans="1:36" s="587" customFormat="1" ht="15.95" customHeight="1">
      <c r="A182" s="596"/>
      <c r="B182" s="574"/>
      <c r="C182" s="574"/>
      <c r="D182" s="574"/>
      <c r="E182" s="574"/>
      <c r="F182" s="574"/>
      <c r="G182" s="574"/>
      <c r="H182" s="574"/>
      <c r="I182" s="574"/>
      <c r="J182" s="574"/>
      <c r="K182" s="574"/>
      <c r="L182" s="574"/>
      <c r="M182" s="574"/>
      <c r="N182" s="574"/>
      <c r="O182" s="585"/>
      <c r="P182" s="574"/>
      <c r="Q182" s="574"/>
      <c r="R182" s="574"/>
      <c r="S182" s="574"/>
      <c r="T182" s="586"/>
      <c r="U182" s="574"/>
      <c r="V182" s="574"/>
      <c r="W182" s="738"/>
      <c r="X182" s="738"/>
      <c r="Y182" s="738"/>
      <c r="Z182" s="738"/>
      <c r="AA182" s="738"/>
      <c r="AB182" s="738"/>
      <c r="AC182" s="738"/>
      <c r="AD182" s="738"/>
      <c r="AE182" s="738"/>
      <c r="AF182" s="738"/>
      <c r="AG182" s="738"/>
      <c r="AH182" s="738"/>
      <c r="AI182" s="738"/>
      <c r="AJ182" s="738"/>
    </row>
    <row r="183" spans="1:36" s="587" customFormat="1" ht="15.95" customHeight="1">
      <c r="A183" s="596"/>
      <c r="B183" s="574"/>
      <c r="C183" s="574"/>
      <c r="D183" s="574"/>
      <c r="E183" s="574"/>
      <c r="F183" s="574"/>
      <c r="G183" s="574"/>
      <c r="H183" s="574"/>
      <c r="I183" s="574"/>
      <c r="J183" s="574"/>
      <c r="K183" s="574"/>
      <c r="L183" s="574"/>
      <c r="M183" s="574"/>
      <c r="N183" s="574"/>
      <c r="O183" s="585"/>
      <c r="P183" s="574"/>
      <c r="Q183" s="574"/>
      <c r="R183" s="574"/>
      <c r="S183" s="574"/>
      <c r="T183" s="586"/>
      <c r="U183" s="574"/>
      <c r="V183" s="574"/>
      <c r="W183" s="738"/>
      <c r="X183" s="738"/>
      <c r="Y183" s="738"/>
      <c r="Z183" s="738"/>
      <c r="AA183" s="738"/>
      <c r="AB183" s="738"/>
      <c r="AC183" s="738"/>
      <c r="AD183" s="738"/>
      <c r="AE183" s="738"/>
      <c r="AF183" s="738"/>
      <c r="AG183" s="738"/>
      <c r="AH183" s="738"/>
      <c r="AI183" s="738"/>
      <c r="AJ183" s="738"/>
    </row>
    <row r="184" spans="1:36" s="587" customFormat="1" ht="15.95" customHeight="1">
      <c r="A184" s="596"/>
      <c r="B184" s="574"/>
      <c r="C184" s="574"/>
      <c r="D184" s="574"/>
      <c r="E184" s="574"/>
      <c r="F184" s="574"/>
      <c r="G184" s="574"/>
      <c r="H184" s="574"/>
      <c r="I184" s="574"/>
      <c r="J184" s="574"/>
      <c r="K184" s="574"/>
      <c r="L184" s="574"/>
      <c r="M184" s="574"/>
      <c r="N184" s="574"/>
      <c r="O184" s="585"/>
      <c r="P184" s="574"/>
      <c r="Q184" s="574"/>
      <c r="R184" s="574"/>
      <c r="S184" s="574"/>
      <c r="T184" s="586"/>
      <c r="U184" s="574"/>
      <c r="V184" s="574"/>
      <c r="W184" s="738"/>
      <c r="X184" s="738"/>
      <c r="Y184" s="738"/>
      <c r="Z184" s="738"/>
      <c r="AA184" s="738"/>
      <c r="AB184" s="738"/>
      <c r="AC184" s="738"/>
      <c r="AD184" s="738"/>
      <c r="AE184" s="738"/>
      <c r="AF184" s="738"/>
      <c r="AG184" s="738"/>
      <c r="AH184" s="738"/>
      <c r="AI184" s="738"/>
      <c r="AJ184" s="738"/>
    </row>
    <row r="185" spans="1:36" s="587" customFormat="1" ht="15.95" customHeight="1">
      <c r="A185" s="596"/>
      <c r="B185" s="574"/>
      <c r="C185" s="574"/>
      <c r="D185" s="574"/>
      <c r="E185" s="574"/>
      <c r="F185" s="574"/>
      <c r="G185" s="574"/>
      <c r="H185" s="574"/>
      <c r="I185" s="574"/>
      <c r="J185" s="574"/>
      <c r="K185" s="574"/>
      <c r="L185" s="574"/>
      <c r="M185" s="574"/>
      <c r="N185" s="574"/>
      <c r="O185" s="585"/>
      <c r="P185" s="574"/>
      <c r="Q185" s="574"/>
      <c r="R185" s="574"/>
      <c r="S185" s="574"/>
      <c r="T185" s="586"/>
      <c r="U185" s="574"/>
      <c r="V185" s="574"/>
      <c r="W185" s="738"/>
      <c r="X185" s="738"/>
      <c r="Y185" s="738"/>
      <c r="Z185" s="738"/>
      <c r="AA185" s="738"/>
      <c r="AB185" s="738"/>
      <c r="AC185" s="738"/>
      <c r="AD185" s="738"/>
      <c r="AE185" s="738"/>
      <c r="AF185" s="738"/>
      <c r="AG185" s="738"/>
      <c r="AH185" s="738"/>
      <c r="AI185" s="738"/>
      <c r="AJ185" s="738"/>
    </row>
    <row r="186" spans="1:36" s="587" customFormat="1" ht="15.95" customHeight="1">
      <c r="A186" s="596"/>
      <c r="B186" s="574"/>
      <c r="C186" s="574"/>
      <c r="D186" s="574"/>
      <c r="E186" s="574"/>
      <c r="F186" s="574"/>
      <c r="G186" s="574"/>
      <c r="H186" s="574"/>
      <c r="I186" s="574"/>
      <c r="J186" s="574"/>
      <c r="K186" s="574"/>
      <c r="L186" s="574"/>
      <c r="M186" s="574"/>
      <c r="N186" s="574"/>
      <c r="O186" s="585"/>
      <c r="P186" s="574"/>
      <c r="Q186" s="574"/>
      <c r="R186" s="574"/>
      <c r="S186" s="574"/>
      <c r="T186" s="586"/>
      <c r="U186" s="574"/>
      <c r="V186" s="574"/>
      <c r="W186" s="738"/>
      <c r="X186" s="738"/>
      <c r="Y186" s="738"/>
      <c r="Z186" s="738"/>
      <c r="AA186" s="738"/>
      <c r="AB186" s="738"/>
      <c r="AC186" s="738"/>
      <c r="AD186" s="738"/>
      <c r="AE186" s="738"/>
      <c r="AF186" s="738"/>
      <c r="AG186" s="738"/>
      <c r="AH186" s="738"/>
      <c r="AI186" s="738"/>
      <c r="AJ186" s="738"/>
    </row>
    <row r="187" spans="1:36" s="587" customFormat="1" ht="15.95" customHeight="1">
      <c r="A187" s="596"/>
      <c r="B187" s="574"/>
      <c r="C187" s="574"/>
      <c r="D187" s="574"/>
      <c r="E187" s="574"/>
      <c r="F187" s="574"/>
      <c r="G187" s="574"/>
      <c r="H187" s="574"/>
      <c r="I187" s="574"/>
      <c r="J187" s="574"/>
      <c r="K187" s="574"/>
      <c r="L187" s="574"/>
      <c r="M187" s="574"/>
      <c r="N187" s="574"/>
      <c r="O187" s="585"/>
      <c r="P187" s="574"/>
      <c r="Q187" s="574"/>
      <c r="R187" s="574"/>
      <c r="S187" s="574"/>
      <c r="T187" s="586"/>
      <c r="U187" s="574"/>
      <c r="V187" s="574"/>
      <c r="W187" s="738"/>
      <c r="X187" s="738"/>
      <c r="Y187" s="738"/>
      <c r="Z187" s="738"/>
      <c r="AA187" s="738"/>
      <c r="AB187" s="738"/>
      <c r="AC187" s="738"/>
      <c r="AD187" s="738"/>
      <c r="AE187" s="738"/>
      <c r="AF187" s="738"/>
      <c r="AG187" s="738"/>
      <c r="AH187" s="738"/>
      <c r="AI187" s="738"/>
      <c r="AJ187" s="738"/>
    </row>
    <row r="188" spans="1:36" s="587" customFormat="1" ht="15.95" customHeight="1">
      <c r="A188" s="596"/>
      <c r="B188" s="574"/>
      <c r="C188" s="574"/>
      <c r="D188" s="574"/>
      <c r="E188" s="574"/>
      <c r="F188" s="574"/>
      <c r="G188" s="574"/>
      <c r="H188" s="574"/>
      <c r="I188" s="574"/>
      <c r="J188" s="574"/>
      <c r="K188" s="574"/>
      <c r="L188" s="574"/>
      <c r="M188" s="574"/>
      <c r="N188" s="574"/>
      <c r="O188" s="585"/>
      <c r="P188" s="574"/>
      <c r="Q188" s="574"/>
      <c r="R188" s="574"/>
      <c r="S188" s="574"/>
      <c r="T188" s="586"/>
      <c r="U188" s="574"/>
      <c r="V188" s="574"/>
      <c r="W188" s="738"/>
      <c r="X188" s="738"/>
      <c r="Y188" s="738"/>
      <c r="Z188" s="738"/>
      <c r="AA188" s="738"/>
      <c r="AB188" s="738"/>
      <c r="AC188" s="738"/>
      <c r="AD188" s="738"/>
      <c r="AE188" s="738"/>
      <c r="AF188" s="738"/>
      <c r="AG188" s="738"/>
      <c r="AH188" s="738"/>
      <c r="AI188" s="738"/>
      <c r="AJ188" s="738"/>
    </row>
    <row r="189" spans="1:36" s="587" customFormat="1" ht="15.95" customHeight="1">
      <c r="A189" s="596"/>
      <c r="B189" s="574"/>
      <c r="C189" s="574"/>
      <c r="D189" s="574"/>
      <c r="E189" s="574"/>
      <c r="F189" s="574"/>
      <c r="G189" s="574"/>
      <c r="H189" s="574"/>
      <c r="I189" s="574"/>
      <c r="J189" s="574"/>
      <c r="K189" s="574"/>
      <c r="L189" s="574"/>
      <c r="M189" s="574"/>
      <c r="N189" s="574"/>
      <c r="O189" s="585"/>
      <c r="P189" s="574"/>
      <c r="Q189" s="574"/>
      <c r="R189" s="574"/>
      <c r="S189" s="574"/>
      <c r="T189" s="586"/>
      <c r="U189" s="574"/>
      <c r="V189" s="574"/>
      <c r="W189" s="738"/>
      <c r="X189" s="738"/>
      <c r="Y189" s="738"/>
      <c r="Z189" s="738"/>
      <c r="AA189" s="738"/>
      <c r="AB189" s="738"/>
      <c r="AC189" s="738"/>
      <c r="AD189" s="738"/>
      <c r="AE189" s="738"/>
      <c r="AF189" s="738"/>
      <c r="AG189" s="738"/>
      <c r="AH189" s="738"/>
      <c r="AI189" s="738"/>
      <c r="AJ189" s="738"/>
    </row>
    <row r="190" spans="1:36" s="587" customFormat="1" ht="15.95" customHeight="1">
      <c r="A190" s="596"/>
      <c r="B190" s="574"/>
      <c r="C190" s="574"/>
      <c r="D190" s="574"/>
      <c r="E190" s="574"/>
      <c r="F190" s="574"/>
      <c r="G190" s="574"/>
      <c r="H190" s="574"/>
      <c r="I190" s="574"/>
      <c r="J190" s="574"/>
      <c r="K190" s="574"/>
      <c r="L190" s="574"/>
      <c r="M190" s="574"/>
      <c r="N190" s="574"/>
      <c r="O190" s="585"/>
      <c r="P190" s="574"/>
      <c r="Q190" s="574"/>
      <c r="R190" s="574"/>
      <c r="S190" s="574"/>
      <c r="T190" s="586"/>
      <c r="U190" s="574"/>
      <c r="V190" s="574"/>
      <c r="W190" s="738"/>
      <c r="X190" s="738"/>
      <c r="Y190" s="738"/>
      <c r="Z190" s="738"/>
      <c r="AA190" s="738"/>
      <c r="AB190" s="738"/>
      <c r="AC190" s="738"/>
      <c r="AD190" s="738"/>
      <c r="AE190" s="738"/>
      <c r="AF190" s="738"/>
      <c r="AG190" s="738"/>
      <c r="AH190" s="738"/>
      <c r="AI190" s="738"/>
      <c r="AJ190" s="738"/>
    </row>
    <row r="191" spans="1:36" s="587" customFormat="1" ht="15.95" customHeight="1">
      <c r="A191" s="596"/>
      <c r="B191" s="574"/>
      <c r="C191" s="574"/>
      <c r="D191" s="574"/>
      <c r="E191" s="574"/>
      <c r="F191" s="574"/>
      <c r="G191" s="574"/>
      <c r="H191" s="574"/>
      <c r="I191" s="574"/>
      <c r="J191" s="574"/>
      <c r="K191" s="574"/>
      <c r="L191" s="574"/>
      <c r="M191" s="574"/>
      <c r="N191" s="574"/>
      <c r="O191" s="585"/>
      <c r="P191" s="574"/>
      <c r="Q191" s="574"/>
      <c r="R191" s="574"/>
      <c r="S191" s="574"/>
      <c r="T191" s="586"/>
      <c r="U191" s="574"/>
      <c r="V191" s="574"/>
      <c r="W191" s="738"/>
      <c r="X191" s="738"/>
      <c r="Y191" s="738"/>
      <c r="Z191" s="738"/>
      <c r="AA191" s="738"/>
      <c r="AB191" s="738"/>
      <c r="AC191" s="738"/>
      <c r="AD191" s="738"/>
      <c r="AE191" s="738"/>
      <c r="AF191" s="738"/>
      <c r="AG191" s="738"/>
      <c r="AH191" s="738"/>
      <c r="AI191" s="738"/>
      <c r="AJ191" s="738"/>
    </row>
    <row r="192" spans="1:36" s="587" customFormat="1" ht="15.95" customHeight="1">
      <c r="A192" s="596"/>
      <c r="B192" s="574"/>
      <c r="C192" s="574"/>
      <c r="D192" s="574"/>
      <c r="E192" s="574"/>
      <c r="F192" s="574"/>
      <c r="G192" s="574"/>
      <c r="H192" s="574"/>
      <c r="I192" s="574"/>
      <c r="J192" s="574"/>
      <c r="K192" s="574"/>
      <c r="L192" s="574"/>
      <c r="M192" s="574"/>
      <c r="N192" s="574"/>
      <c r="O192" s="585"/>
      <c r="P192" s="574"/>
      <c r="Q192" s="574"/>
      <c r="R192" s="574"/>
      <c r="S192" s="574"/>
      <c r="T192" s="586"/>
      <c r="U192" s="574"/>
      <c r="V192" s="574"/>
      <c r="W192" s="738"/>
      <c r="X192" s="738"/>
      <c r="Y192" s="738"/>
      <c r="Z192" s="738"/>
      <c r="AA192" s="738"/>
      <c r="AB192" s="738"/>
      <c r="AC192" s="738"/>
      <c r="AD192" s="738"/>
      <c r="AE192" s="738"/>
      <c r="AF192" s="738"/>
      <c r="AG192" s="738"/>
      <c r="AH192" s="738"/>
      <c r="AI192" s="738"/>
      <c r="AJ192" s="738"/>
    </row>
    <row r="193" spans="1:36" s="587" customFormat="1" ht="15.95" customHeight="1">
      <c r="A193" s="596"/>
      <c r="B193" s="574"/>
      <c r="C193" s="574"/>
      <c r="D193" s="574"/>
      <c r="E193" s="574"/>
      <c r="F193" s="574"/>
      <c r="G193" s="574"/>
      <c r="H193" s="574"/>
      <c r="I193" s="574"/>
      <c r="J193" s="574"/>
      <c r="K193" s="574"/>
      <c r="L193" s="574"/>
      <c r="M193" s="574"/>
      <c r="N193" s="574"/>
      <c r="O193" s="585"/>
      <c r="P193" s="574"/>
      <c r="Q193" s="574"/>
      <c r="R193" s="574"/>
      <c r="S193" s="574"/>
      <c r="T193" s="586"/>
      <c r="U193" s="574"/>
      <c r="V193" s="574"/>
      <c r="W193" s="738"/>
      <c r="X193" s="738"/>
      <c r="Y193" s="738"/>
      <c r="Z193" s="738"/>
      <c r="AA193" s="738"/>
      <c r="AB193" s="738"/>
      <c r="AC193" s="738"/>
      <c r="AD193" s="738"/>
      <c r="AE193" s="738"/>
      <c r="AF193" s="738"/>
      <c r="AG193" s="738"/>
      <c r="AH193" s="738"/>
      <c r="AI193" s="738"/>
      <c r="AJ193" s="738"/>
    </row>
  </sheetData>
  <sheetProtection formatCells="0" selectLockedCells="1"/>
  <mergeCells count="102">
    <mergeCell ref="B7:D7"/>
    <mergeCell ref="E7:I7"/>
    <mergeCell ref="J7:P7"/>
    <mergeCell ref="Q7:V7"/>
    <mergeCell ref="B8:D8"/>
    <mergeCell ref="E8:I8"/>
    <mergeCell ref="J8:P8"/>
    <mergeCell ref="Q8:V8"/>
    <mergeCell ref="E2:S5"/>
    <mergeCell ref="T2:U2"/>
    <mergeCell ref="T3:U3"/>
    <mergeCell ref="T4:U4"/>
    <mergeCell ref="T5:U5"/>
    <mergeCell ref="B6:D6"/>
    <mergeCell ref="E6:I6"/>
    <mergeCell ref="J6:P6"/>
    <mergeCell ref="Q6:V6"/>
    <mergeCell ref="H15:N15"/>
    <mergeCell ref="P15:Q15"/>
    <mergeCell ref="H16:N16"/>
    <mergeCell ref="P16:Q16"/>
    <mergeCell ref="H17:N17"/>
    <mergeCell ref="P17:Q17"/>
    <mergeCell ref="B9:V9"/>
    <mergeCell ref="J12:L12"/>
    <mergeCell ref="M12:N12"/>
    <mergeCell ref="H13:N13"/>
    <mergeCell ref="P13:Q13"/>
    <mergeCell ref="H14:N14"/>
    <mergeCell ref="P14:Q14"/>
    <mergeCell ref="H21:N21"/>
    <mergeCell ref="P21:Q21"/>
    <mergeCell ref="H22:N22"/>
    <mergeCell ref="P22:Q22"/>
    <mergeCell ref="H23:N23"/>
    <mergeCell ref="P23:Q23"/>
    <mergeCell ref="H18:N18"/>
    <mergeCell ref="P18:Q18"/>
    <mergeCell ref="H19:N19"/>
    <mergeCell ref="P19:Q19"/>
    <mergeCell ref="H20:N20"/>
    <mergeCell ref="P20:Q20"/>
    <mergeCell ref="H27:N27"/>
    <mergeCell ref="P27:Q27"/>
    <mergeCell ref="H28:N28"/>
    <mergeCell ref="P28:Q28"/>
    <mergeCell ref="H29:N29"/>
    <mergeCell ref="P29:Q29"/>
    <mergeCell ref="H24:N24"/>
    <mergeCell ref="P24:Q24"/>
    <mergeCell ref="H25:N25"/>
    <mergeCell ref="P25:Q25"/>
    <mergeCell ref="H26:N26"/>
    <mergeCell ref="P26:Q26"/>
    <mergeCell ref="H33:N33"/>
    <mergeCell ref="P33:Q33"/>
    <mergeCell ref="C37:V37"/>
    <mergeCell ref="D38:V38"/>
    <mergeCell ref="D39:V39"/>
    <mergeCell ref="D40:V40"/>
    <mergeCell ref="H30:N30"/>
    <mergeCell ref="P30:Q30"/>
    <mergeCell ref="H31:N31"/>
    <mergeCell ref="P31:Q31"/>
    <mergeCell ref="H32:N32"/>
    <mergeCell ref="P32:Q32"/>
    <mergeCell ref="D47:V47"/>
    <mergeCell ref="D48:V48"/>
    <mergeCell ref="D49:V49"/>
    <mergeCell ref="D50:V50"/>
    <mergeCell ref="D51:V51"/>
    <mergeCell ref="D52:V52"/>
    <mergeCell ref="D41:V41"/>
    <mergeCell ref="D42:V42"/>
    <mergeCell ref="D43:V43"/>
    <mergeCell ref="D44:V44"/>
    <mergeCell ref="D45:V45"/>
    <mergeCell ref="D46:V46"/>
    <mergeCell ref="C57:G57"/>
    <mergeCell ref="H57:V57"/>
    <mergeCell ref="C58:G58"/>
    <mergeCell ref="H58:V58"/>
    <mergeCell ref="C59:G59"/>
    <mergeCell ref="H59:V59"/>
    <mergeCell ref="D53:V53"/>
    <mergeCell ref="C54:V54"/>
    <mergeCell ref="C55:G55"/>
    <mergeCell ref="H55:V55"/>
    <mergeCell ref="C56:G56"/>
    <mergeCell ref="H56:V56"/>
    <mergeCell ref="C63:G63"/>
    <mergeCell ref="H63:V63"/>
    <mergeCell ref="C64:G64"/>
    <mergeCell ref="H64:V64"/>
    <mergeCell ref="C65:G65"/>
    <mergeCell ref="H65:V65"/>
    <mergeCell ref="C60:G60"/>
    <mergeCell ref="H60:V60"/>
    <mergeCell ref="C61:G61"/>
    <mergeCell ref="H61:V61"/>
    <mergeCell ref="C62:G62"/>
    <mergeCell ref="H62:V62"/>
  </mergeCells>
  <printOptions horizontalCentered="1"/>
  <pageMargins left="0.75" right="0.35" top="0.6" bottom="0.55000000000000004" header="0.5" footer="0.4"/>
  <pageSetup scale="53" orientation="portrait" r:id="rId1"/>
  <headerFooter alignWithMargins="0">
    <oddFooter>&amp;L&amp;"Arial,Italic"&amp;8File: &amp;F&amp;R&amp;"Arial,Italic"&amp;8Printed: &amp;D</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R69"/>
  <sheetViews>
    <sheetView view="pageBreakPreview" topLeftCell="B1" zoomScaleNormal="85" zoomScaleSheetLayoutView="100" workbookViewId="0">
      <selection activeCell="R1" sqref="R1"/>
    </sheetView>
  </sheetViews>
  <sheetFormatPr defaultRowHeight="12.75"/>
  <cols>
    <col min="1" max="1" width="4.85546875" customWidth="1"/>
    <col min="2" max="2" width="5.140625" customWidth="1"/>
    <col min="3" max="3" width="1.5703125" customWidth="1"/>
    <col min="4" max="4" width="10.140625" customWidth="1"/>
    <col min="5" max="8" width="9.140625" customWidth="1"/>
    <col min="9" max="9" width="17.42578125" customWidth="1"/>
    <col min="10" max="10" width="7.28515625" customWidth="1"/>
    <col min="11" max="11" width="6.85546875" customWidth="1"/>
    <col min="12" max="12" width="6.7109375" customWidth="1"/>
    <col min="13" max="13" width="20.140625" customWidth="1"/>
    <col min="14" max="15" width="9.42578125" customWidth="1"/>
    <col min="16" max="17" width="8.85546875" customWidth="1"/>
    <col min="18" max="18" width="10.28515625" customWidth="1"/>
  </cols>
  <sheetData>
    <row r="1" spans="2:18" ht="16.5" customHeight="1" thickBot="1">
      <c r="B1" s="133"/>
      <c r="C1" s="133"/>
      <c r="D1" s="133"/>
      <c r="E1" s="133"/>
      <c r="F1" s="133"/>
      <c r="G1" s="133"/>
      <c r="H1" s="133"/>
      <c r="I1" s="133"/>
      <c r="J1" s="133"/>
      <c r="K1" s="133"/>
      <c r="L1" s="133"/>
      <c r="M1" s="133"/>
      <c r="N1" s="133"/>
      <c r="O1" s="133"/>
      <c r="P1" s="133"/>
      <c r="Q1" s="173" t="s">
        <v>211</v>
      </c>
      <c r="R1" s="174">
        <f>'Drain Pipe Rupture'!V1+1</f>
        <v>6</v>
      </c>
    </row>
    <row r="2" spans="2:18" ht="16.5" customHeight="1">
      <c r="B2" s="106"/>
      <c r="C2" s="107"/>
      <c r="D2" s="107"/>
      <c r="E2" s="915" t="s">
        <v>218</v>
      </c>
      <c r="F2" s="915"/>
      <c r="G2" s="915"/>
      <c r="H2" s="915"/>
      <c r="I2" s="915"/>
      <c r="J2" s="915"/>
      <c r="K2" s="915"/>
      <c r="L2" s="915"/>
      <c r="M2" s="915"/>
      <c r="N2" s="915"/>
      <c r="O2" s="915"/>
      <c r="P2" s="1324" t="s">
        <v>161</v>
      </c>
      <c r="Q2" s="1325"/>
      <c r="R2" s="175" t="str">
        <f>IF(ISBLANK(General!$E$6),"",General!$E$6)</f>
        <v>A</v>
      </c>
    </row>
    <row r="3" spans="2:18" ht="16.5" customHeight="1">
      <c r="B3" s="108"/>
      <c r="C3" s="57"/>
      <c r="D3" s="58"/>
      <c r="E3" s="916"/>
      <c r="F3" s="916"/>
      <c r="G3" s="916"/>
      <c r="H3" s="916"/>
      <c r="I3" s="916"/>
      <c r="J3" s="916"/>
      <c r="K3" s="916"/>
      <c r="L3" s="916"/>
      <c r="M3" s="916"/>
      <c r="N3" s="916"/>
      <c r="O3" s="916"/>
      <c r="P3" s="1326" t="s">
        <v>212</v>
      </c>
      <c r="Q3" s="1327"/>
      <c r="R3" s="176" t="str">
        <f>IF(ISBLANK(General!$E$12),"",General!$E$12)</f>
        <v>NRB</v>
      </c>
    </row>
    <row r="4" spans="2:18" ht="16.5" customHeight="1">
      <c r="B4" s="108"/>
      <c r="C4" s="57"/>
      <c r="D4" s="58"/>
      <c r="E4" s="916"/>
      <c r="F4" s="916"/>
      <c r="G4" s="916"/>
      <c r="H4" s="916"/>
      <c r="I4" s="916"/>
      <c r="J4" s="916"/>
      <c r="K4" s="916"/>
      <c r="L4" s="916"/>
      <c r="M4" s="916"/>
      <c r="N4" s="916"/>
      <c r="O4" s="916"/>
      <c r="P4" s="1326" t="s">
        <v>213</v>
      </c>
      <c r="Q4" s="1327"/>
      <c r="R4" s="177">
        <f>IF(ISBLANK(General!$E$13),"",General!$E$13)</f>
        <v>42018</v>
      </c>
    </row>
    <row r="5" spans="2:18" ht="16.5" customHeight="1">
      <c r="B5" s="116"/>
      <c r="C5" s="56"/>
      <c r="D5" s="56"/>
      <c r="E5" s="917"/>
      <c r="F5" s="917"/>
      <c r="G5" s="917"/>
      <c r="H5" s="917"/>
      <c r="I5" s="917"/>
      <c r="J5" s="917"/>
      <c r="K5" s="917"/>
      <c r="L5" s="917"/>
      <c r="M5" s="917"/>
      <c r="N5" s="917"/>
      <c r="O5" s="917"/>
      <c r="P5" s="1328" t="s">
        <v>214</v>
      </c>
      <c r="Q5" s="1329"/>
      <c r="R5" s="178" t="str">
        <f>IF(ISBLANK(General!$E$14),"",General!$E$14)</f>
        <v/>
      </c>
    </row>
    <row r="6" spans="2:18" ht="16.5" customHeight="1">
      <c r="B6" s="1116" t="s">
        <v>165</v>
      </c>
      <c r="C6" s="1330"/>
      <c r="D6" s="1118"/>
      <c r="E6" s="927" t="str">
        <f>IF(ISBLANK(General!$E$8),"",General!$E$8)</f>
        <v>Flint Hills Resources</v>
      </c>
      <c r="F6" s="928"/>
      <c r="G6" s="928"/>
      <c r="H6" s="928"/>
      <c r="I6" s="929"/>
      <c r="J6" s="1334" t="s">
        <v>215</v>
      </c>
      <c r="K6" s="1335"/>
      <c r="L6" s="1336"/>
      <c r="M6" s="927" t="str">
        <f>IF(ISBLANK(General!$C$30),"",General!$C$30)</f>
        <v>High Pressure KO Drum</v>
      </c>
      <c r="N6" s="928"/>
      <c r="O6" s="928"/>
      <c r="P6" s="928"/>
      <c r="Q6" s="928"/>
      <c r="R6" s="933"/>
    </row>
    <row r="7" spans="2:18" ht="16.5" customHeight="1">
      <c r="B7" s="1129" t="s">
        <v>216</v>
      </c>
      <c r="C7" s="1130"/>
      <c r="D7" s="1131"/>
      <c r="E7" s="1126" t="str">
        <f>IF(ISBLANK(General!$E$9),"",General!$E$9)</f>
        <v>EDCP</v>
      </c>
      <c r="F7" s="1127"/>
      <c r="G7" s="1127"/>
      <c r="H7" s="1127"/>
      <c r="I7" s="1128"/>
      <c r="J7" s="1337" t="s">
        <v>217</v>
      </c>
      <c r="K7" s="1338"/>
      <c r="L7" s="1339"/>
      <c r="M7" s="1126" t="str">
        <f>IF(ISBLANK(General!$D$30),"",General!$D$30)</f>
        <v>84V-11</v>
      </c>
      <c r="N7" s="1127"/>
      <c r="O7" s="1127"/>
      <c r="P7" s="1127"/>
      <c r="Q7" s="1127"/>
      <c r="R7" s="1132"/>
    </row>
    <row r="8" spans="2:18" ht="16.5" customHeight="1">
      <c r="B8" s="1123" t="s">
        <v>176</v>
      </c>
      <c r="C8" s="1124"/>
      <c r="D8" s="1125"/>
      <c r="E8" s="908" t="str">
        <f>IF(ISBLANK(General!$E$17),"",General!$E$17)</f>
        <v>Crude #3</v>
      </c>
      <c r="F8" s="909"/>
      <c r="G8" s="909"/>
      <c r="H8" s="909"/>
      <c r="I8" s="910"/>
      <c r="J8" s="1340" t="s">
        <v>175</v>
      </c>
      <c r="K8" s="1341"/>
      <c r="L8" s="1342"/>
      <c r="M8" s="908" t="str">
        <f>IF(ISBLANK(General!$E$16),"",General!$E$16)</f>
        <v>Corpus Christi, TX</v>
      </c>
      <c r="N8" s="909"/>
      <c r="O8" s="909"/>
      <c r="P8" s="909"/>
      <c r="Q8" s="909"/>
      <c r="R8" s="914"/>
    </row>
    <row r="9" spans="2:18" ht="15.75">
      <c r="B9" s="1331" t="s">
        <v>264</v>
      </c>
      <c r="C9" s="1332"/>
      <c r="D9" s="1332"/>
      <c r="E9" s="1332"/>
      <c r="F9" s="1332"/>
      <c r="G9" s="1332"/>
      <c r="H9" s="1332"/>
      <c r="I9" s="1332"/>
      <c r="J9" s="1332"/>
      <c r="K9" s="1332"/>
      <c r="L9" s="1332"/>
      <c r="M9" s="1332"/>
      <c r="N9" s="1332"/>
      <c r="O9" s="1332"/>
      <c r="P9" s="1332"/>
      <c r="Q9" s="1332"/>
      <c r="R9" s="1333"/>
    </row>
    <row r="10" spans="2:18">
      <c r="B10" s="1077" t="s">
        <v>221</v>
      </c>
      <c r="C10" s="1305"/>
      <c r="D10" s="1305"/>
      <c r="E10" s="1305"/>
      <c r="F10" s="1305"/>
      <c r="G10" s="1305"/>
      <c r="H10" s="1305"/>
      <c r="I10" s="1305"/>
      <c r="J10" s="1305"/>
      <c r="K10" s="1305" t="s">
        <v>237</v>
      </c>
      <c r="L10" s="1305"/>
      <c r="M10" s="1305"/>
      <c r="N10" s="1305"/>
      <c r="O10" s="1305"/>
      <c r="P10" s="1305"/>
      <c r="Q10" s="1305"/>
      <c r="R10" s="1305"/>
    </row>
    <row r="11" spans="2:18" ht="12.75" customHeight="1">
      <c r="B11" s="180"/>
      <c r="C11" s="134"/>
      <c r="D11" s="134"/>
      <c r="E11" s="134"/>
      <c r="F11" s="134"/>
      <c r="G11" s="134"/>
      <c r="H11" s="134"/>
      <c r="I11" s="134"/>
      <c r="J11" s="134"/>
      <c r="K11" s="134"/>
      <c r="L11" s="134"/>
      <c r="M11" s="134"/>
      <c r="N11" s="134"/>
      <c r="O11" s="134"/>
      <c r="P11" s="134"/>
      <c r="Q11" s="134"/>
      <c r="R11" s="181"/>
    </row>
    <row r="12" spans="2:18" ht="12.75" customHeight="1">
      <c r="B12" s="405"/>
      <c r="C12" s="405"/>
      <c r="D12" s="405"/>
      <c r="E12" s="405"/>
      <c r="F12" s="405"/>
      <c r="G12" s="405"/>
      <c r="H12" s="405"/>
      <c r="I12" s="405"/>
      <c r="K12" s="1296" t="s">
        <v>222</v>
      </c>
      <c r="L12" s="1296"/>
      <c r="M12" s="1296"/>
      <c r="N12" s="1296"/>
      <c r="O12" s="1296"/>
      <c r="P12" s="1296"/>
      <c r="Q12" s="1296"/>
      <c r="R12" s="1306"/>
    </row>
    <row r="13" spans="2:18" ht="12.75" customHeight="1">
      <c r="B13" s="180"/>
      <c r="C13" s="134"/>
      <c r="D13" s="405"/>
      <c r="E13" s="405"/>
      <c r="F13" s="405"/>
      <c r="G13" s="405"/>
      <c r="H13" s="134"/>
      <c r="I13" s="134"/>
      <c r="J13" s="134"/>
      <c r="K13" s="134"/>
      <c r="L13" s="134"/>
      <c r="M13" s="1286" t="s">
        <v>349</v>
      </c>
      <c r="N13" s="1287"/>
      <c r="O13" s="1287"/>
      <c r="P13" s="1288"/>
      <c r="Q13" s="134"/>
      <c r="R13" s="181"/>
    </row>
    <row r="14" spans="2:18" ht="12.75" customHeight="1">
      <c r="B14" s="1321" t="s">
        <v>222</v>
      </c>
      <c r="C14" s="1296"/>
      <c r="D14" s="1296"/>
      <c r="E14" s="1296"/>
      <c r="F14" s="1296"/>
      <c r="G14" s="1296"/>
      <c r="H14" s="1296"/>
      <c r="I14" s="1296"/>
      <c r="J14" s="1296"/>
      <c r="K14" s="134"/>
      <c r="L14" s="134"/>
      <c r="M14" s="1289"/>
      <c r="N14" s="1290"/>
      <c r="O14" s="1290"/>
      <c r="P14" s="1291"/>
      <c r="Q14" s="134"/>
      <c r="R14" s="181"/>
    </row>
    <row r="15" spans="2:18" ht="12.75" customHeight="1">
      <c r="B15" s="403"/>
      <c r="C15" s="404"/>
      <c r="D15" s="1286" t="s">
        <v>223</v>
      </c>
      <c r="E15" s="1287"/>
      <c r="F15" s="1287"/>
      <c r="G15" s="1288"/>
      <c r="H15" s="404"/>
      <c r="I15" s="404"/>
      <c r="J15" s="404"/>
      <c r="K15" s="1296" t="s">
        <v>224</v>
      </c>
      <c r="L15" s="1296"/>
      <c r="M15" s="1296"/>
      <c r="N15" s="1296"/>
      <c r="O15" s="1296"/>
      <c r="P15" s="1296"/>
      <c r="Q15" s="1296"/>
      <c r="R15" s="1306"/>
    </row>
    <row r="16" spans="2:18" ht="12.75" customHeight="1">
      <c r="B16" s="180"/>
      <c r="C16" s="134"/>
      <c r="D16" s="1289"/>
      <c r="E16" s="1290"/>
      <c r="F16" s="1290"/>
      <c r="G16" s="1291"/>
      <c r="H16" s="134"/>
      <c r="I16" s="134"/>
      <c r="J16" s="134"/>
      <c r="K16" s="134"/>
      <c r="L16" s="134"/>
      <c r="M16" s="1286" t="s">
        <v>348</v>
      </c>
      <c r="N16" s="1287"/>
      <c r="O16" s="1287"/>
      <c r="P16" s="1288"/>
      <c r="Q16" s="134"/>
      <c r="R16" s="181"/>
    </row>
    <row r="17" spans="2:18" ht="12.75" customHeight="1">
      <c r="B17" s="180"/>
      <c r="C17" s="134"/>
      <c r="D17" s="186"/>
      <c r="E17" s="186"/>
      <c r="F17" s="186"/>
      <c r="G17" s="186"/>
      <c r="H17" s="134"/>
      <c r="I17" s="134"/>
      <c r="J17" s="134"/>
      <c r="K17" s="134"/>
      <c r="L17" s="134"/>
      <c r="M17" s="1289"/>
      <c r="N17" s="1290"/>
      <c r="O17" s="1290"/>
      <c r="P17" s="1291"/>
      <c r="Q17" s="134"/>
      <c r="R17" s="181"/>
    </row>
    <row r="18" spans="2:18" ht="12.75" customHeight="1">
      <c r="B18" s="180"/>
      <c r="C18" s="134"/>
      <c r="D18" s="28" t="s">
        <v>225</v>
      </c>
      <c r="E18" s="134"/>
      <c r="F18" s="134"/>
      <c r="G18" s="134"/>
      <c r="H18" s="134"/>
      <c r="I18" s="134"/>
      <c r="J18" s="134"/>
      <c r="K18" s="134"/>
      <c r="L18" s="134"/>
      <c r="M18" s="28" t="s">
        <v>225</v>
      </c>
      <c r="N18" s="134"/>
      <c r="O18" s="134"/>
      <c r="P18" s="134"/>
      <c r="Q18" s="134"/>
      <c r="R18" s="181"/>
    </row>
    <row r="19" spans="2:18" ht="12.75" customHeight="1">
      <c r="B19" s="180"/>
      <c r="C19" s="134"/>
      <c r="D19" s="1292" t="s">
        <v>260</v>
      </c>
      <c r="E19" s="1292"/>
      <c r="F19" s="1292"/>
      <c r="G19" s="1292"/>
      <c r="H19" s="1292"/>
      <c r="I19" s="1292"/>
      <c r="J19" s="134"/>
      <c r="K19" s="134"/>
      <c r="L19" s="134"/>
      <c r="M19" s="1292" t="s">
        <v>350</v>
      </c>
      <c r="N19" s="1292"/>
      <c r="O19" s="1292"/>
      <c r="P19" s="1292"/>
      <c r="Q19" s="1292"/>
      <c r="R19" s="1293"/>
    </row>
    <row r="20" spans="2:18" ht="12.75" customHeight="1">
      <c r="B20" s="180"/>
      <c r="C20" s="134"/>
      <c r="D20" s="1292" t="s">
        <v>261</v>
      </c>
      <c r="E20" s="1292"/>
      <c r="F20" s="1292"/>
      <c r="G20" s="1292"/>
      <c r="H20" s="1292"/>
      <c r="I20" s="1292"/>
      <c r="J20" s="134"/>
      <c r="K20" s="134"/>
      <c r="L20" s="134"/>
      <c r="M20" s="1292" t="s">
        <v>262</v>
      </c>
      <c r="N20" s="1292"/>
      <c r="O20" s="1292"/>
      <c r="P20" s="1292"/>
      <c r="Q20" s="1292"/>
      <c r="R20" s="1293"/>
    </row>
    <row r="21" spans="2:18" ht="12.75" customHeight="1">
      <c r="B21" s="180"/>
      <c r="C21" s="134"/>
      <c r="D21" s="179"/>
      <c r="E21" s="134"/>
      <c r="F21" s="134"/>
      <c r="G21" s="134"/>
      <c r="H21" s="134"/>
      <c r="I21" s="134"/>
      <c r="J21" s="134"/>
      <c r="K21" s="134"/>
      <c r="L21" s="182" t="s">
        <v>238</v>
      </c>
      <c r="M21" s="183"/>
      <c r="N21" s="184"/>
      <c r="O21" s="184"/>
      <c r="P21" s="184"/>
      <c r="Q21" s="184"/>
      <c r="R21" s="185"/>
    </row>
    <row r="22" spans="2:18" ht="12.75" customHeight="1">
      <c r="B22" s="1120" t="s">
        <v>226</v>
      </c>
      <c r="C22" s="1121"/>
      <c r="D22" s="1121"/>
      <c r="E22" s="1121"/>
      <c r="F22" s="1121"/>
      <c r="G22" s="1121"/>
      <c r="H22" s="1121"/>
      <c r="I22" s="1121"/>
      <c r="J22" s="1121"/>
      <c r="K22" s="134"/>
      <c r="L22" s="1308" t="s">
        <v>333</v>
      </c>
      <c r="M22" s="1308"/>
      <c r="N22" s="1308"/>
      <c r="O22" s="1308"/>
      <c r="P22" s="1308"/>
      <c r="Q22" s="1308"/>
      <c r="R22" s="1309"/>
    </row>
    <row r="23" spans="2:18" ht="12.75" customHeight="1">
      <c r="B23" s="180"/>
      <c r="C23" s="134"/>
      <c r="D23" s="1286" t="s">
        <v>227</v>
      </c>
      <c r="E23" s="1287"/>
      <c r="F23" s="1287"/>
      <c r="G23" s="1287"/>
      <c r="H23" s="1288"/>
      <c r="I23" s="186"/>
      <c r="J23" s="134"/>
      <c r="K23" s="134"/>
      <c r="L23" s="1308"/>
      <c r="M23" s="1308"/>
      <c r="N23" s="1308"/>
      <c r="O23" s="1308"/>
      <c r="P23" s="1308"/>
      <c r="Q23" s="1308"/>
      <c r="R23" s="1309"/>
    </row>
    <row r="24" spans="2:18" ht="12.75" customHeight="1">
      <c r="B24" s="180"/>
      <c r="C24" s="134"/>
      <c r="D24" s="1289"/>
      <c r="E24" s="1290"/>
      <c r="F24" s="1290"/>
      <c r="G24" s="1290"/>
      <c r="H24" s="1291"/>
      <c r="I24" s="186"/>
      <c r="J24" s="134"/>
      <c r="K24" s="134"/>
      <c r="L24" s="1308" t="s">
        <v>263</v>
      </c>
      <c r="M24" s="1308"/>
      <c r="N24" s="1308"/>
      <c r="O24" s="1308"/>
      <c r="P24" s="1308"/>
      <c r="Q24" s="1308"/>
      <c r="R24" s="1309"/>
    </row>
    <row r="25" spans="2:18" ht="12.75" customHeight="1">
      <c r="B25" s="180"/>
      <c r="C25" s="134"/>
      <c r="D25" s="28" t="s">
        <v>225</v>
      </c>
      <c r="E25" s="134"/>
      <c r="F25" s="134"/>
      <c r="G25" s="134"/>
      <c r="H25" s="134"/>
      <c r="I25" s="134"/>
      <c r="J25" s="134"/>
      <c r="K25" s="134"/>
      <c r="L25" s="1308"/>
      <c r="M25" s="1308"/>
      <c r="N25" s="1308"/>
      <c r="O25" s="1308"/>
      <c r="P25" s="1308"/>
      <c r="Q25" s="1308"/>
      <c r="R25" s="1309"/>
    </row>
    <row r="26" spans="2:18" ht="12.75" customHeight="1">
      <c r="B26" s="180"/>
      <c r="C26" s="134"/>
      <c r="D26" s="1292" t="s">
        <v>256</v>
      </c>
      <c r="E26" s="1292"/>
      <c r="F26" s="1292"/>
      <c r="G26" s="1292"/>
      <c r="H26" s="1292"/>
      <c r="I26" s="1292"/>
      <c r="J26" s="134"/>
      <c r="K26" s="134"/>
      <c r="L26" s="134"/>
      <c r="M26" s="134"/>
      <c r="N26" s="134"/>
      <c r="O26" s="134"/>
      <c r="P26" s="134"/>
      <c r="Q26" s="134"/>
      <c r="R26" s="181"/>
    </row>
    <row r="27" spans="2:18" ht="12.75" customHeight="1">
      <c r="B27" s="180"/>
      <c r="C27" s="134"/>
      <c r="D27" s="1294" t="s">
        <v>257</v>
      </c>
      <c r="E27" s="1294"/>
      <c r="F27" s="1294"/>
      <c r="G27" s="1294"/>
      <c r="H27" s="1294"/>
      <c r="I27" s="1294"/>
      <c r="J27" s="134"/>
      <c r="K27" s="1121" t="s">
        <v>239</v>
      </c>
      <c r="L27" s="1121"/>
      <c r="M27" s="1121"/>
      <c r="N27" s="1121"/>
      <c r="O27" s="1121"/>
      <c r="P27" s="1121"/>
      <c r="Q27" s="1121"/>
      <c r="R27" s="1121"/>
    </row>
    <row r="28" spans="2:18" ht="12.75" customHeight="1">
      <c r="B28" s="180"/>
      <c r="C28" s="134"/>
      <c r="D28" s="1294"/>
      <c r="E28" s="1294"/>
      <c r="F28" s="1294"/>
      <c r="G28" s="1294"/>
      <c r="H28" s="1294"/>
      <c r="I28" s="1294"/>
      <c r="J28" s="134"/>
      <c r="K28" s="134"/>
      <c r="L28" s="134"/>
      <c r="M28" s="1286" t="s">
        <v>240</v>
      </c>
      <c r="N28" s="1287"/>
      <c r="O28" s="1287"/>
      <c r="P28" s="1287"/>
      <c r="Q28" s="1288"/>
      <c r="R28" s="187"/>
    </row>
    <row r="29" spans="2:18" ht="12.75" customHeight="1">
      <c r="B29" s="180"/>
      <c r="C29" s="134"/>
      <c r="D29" s="1292" t="s">
        <v>258</v>
      </c>
      <c r="E29" s="1292"/>
      <c r="F29" s="1292"/>
      <c r="G29" s="1292"/>
      <c r="H29" s="1292"/>
      <c r="I29" s="1292"/>
      <c r="J29" s="134"/>
      <c r="K29" s="134"/>
      <c r="L29" s="134"/>
      <c r="M29" s="1289"/>
      <c r="N29" s="1290"/>
      <c r="O29" s="1290"/>
      <c r="P29" s="1290"/>
      <c r="Q29" s="1291"/>
      <c r="R29" s="187"/>
    </row>
    <row r="30" spans="2:18" ht="12.75" customHeight="1">
      <c r="B30" s="180"/>
      <c r="C30" s="134"/>
      <c r="D30" s="1292" t="s">
        <v>259</v>
      </c>
      <c r="E30" s="1292"/>
      <c r="F30" s="1292"/>
      <c r="G30" s="1292"/>
      <c r="H30" s="1292"/>
      <c r="I30" s="1292"/>
      <c r="J30" s="134"/>
      <c r="K30" s="134"/>
      <c r="L30" s="134"/>
      <c r="M30" s="28" t="s">
        <v>225</v>
      </c>
      <c r="N30" s="134"/>
      <c r="O30" s="134"/>
      <c r="P30" s="134"/>
      <c r="Q30" s="134"/>
      <c r="R30" s="181"/>
    </row>
    <row r="31" spans="2:18" ht="12.75" customHeight="1">
      <c r="B31" s="1120" t="s">
        <v>228</v>
      </c>
      <c r="C31" s="1121"/>
      <c r="D31" s="1121"/>
      <c r="E31" s="1121"/>
      <c r="F31" s="1121"/>
      <c r="G31" s="1121"/>
      <c r="H31" s="1121"/>
      <c r="I31" s="1121"/>
      <c r="J31" s="1121"/>
      <c r="K31" s="134"/>
      <c r="L31" s="134"/>
      <c r="M31" s="1292" t="s">
        <v>256</v>
      </c>
      <c r="N31" s="1292"/>
      <c r="O31" s="1292"/>
      <c r="P31" s="1292"/>
      <c r="Q31" s="1292"/>
      <c r="R31" s="1293"/>
    </row>
    <row r="32" spans="2:18" ht="12.75" customHeight="1">
      <c r="B32" s="180"/>
      <c r="C32" s="134"/>
      <c r="D32" s="1300" t="s">
        <v>0</v>
      </c>
      <c r="E32" s="1073" t="s">
        <v>1</v>
      </c>
      <c r="F32" s="1073"/>
      <c r="G32" s="1073"/>
      <c r="H32" s="1073"/>
      <c r="I32" s="134"/>
      <c r="J32" s="134"/>
      <c r="K32" s="134"/>
      <c r="L32" s="134"/>
      <c r="M32" s="1294" t="s">
        <v>257</v>
      </c>
      <c r="N32" s="1294"/>
      <c r="O32" s="1294"/>
      <c r="P32" s="1294"/>
      <c r="Q32" s="1294"/>
      <c r="R32" s="1295"/>
    </row>
    <row r="33" spans="2:18" ht="12.75" customHeight="1">
      <c r="B33" s="180"/>
      <c r="C33" s="134"/>
      <c r="D33" s="1301"/>
      <c r="E33" s="1061" t="s">
        <v>86</v>
      </c>
      <c r="F33" s="1062"/>
      <c r="G33" s="1061" t="s">
        <v>87</v>
      </c>
      <c r="H33" s="1062"/>
      <c r="I33" s="134"/>
      <c r="J33" s="134"/>
      <c r="K33" s="134"/>
      <c r="L33" s="134"/>
      <c r="M33" s="1294"/>
      <c r="N33" s="1294"/>
      <c r="O33" s="1294"/>
      <c r="P33" s="1294"/>
      <c r="Q33" s="1294"/>
      <c r="R33" s="1295"/>
    </row>
    <row r="34" spans="2:18" ht="12.75" customHeight="1">
      <c r="B34" s="180"/>
      <c r="C34" s="134"/>
      <c r="D34" s="1301"/>
      <c r="E34" s="1063"/>
      <c r="F34" s="1064"/>
      <c r="G34" s="1063"/>
      <c r="H34" s="1064"/>
      <c r="I34" s="134"/>
      <c r="J34" s="134"/>
      <c r="K34" s="134"/>
      <c r="L34" s="134"/>
      <c r="M34" s="1292" t="s">
        <v>258</v>
      </c>
      <c r="N34" s="1292"/>
      <c r="O34" s="1292"/>
      <c r="P34" s="1292"/>
      <c r="Q34" s="1292"/>
      <c r="R34" s="1293"/>
    </row>
    <row r="35" spans="2:18" ht="12.75" customHeight="1">
      <c r="B35" s="180"/>
      <c r="C35" s="134"/>
      <c r="D35" s="1301"/>
      <c r="E35" s="1074" t="s">
        <v>22</v>
      </c>
      <c r="F35" s="1074"/>
      <c r="G35" s="1074"/>
      <c r="H35" s="1074"/>
      <c r="I35" s="134"/>
      <c r="J35" s="134"/>
      <c r="K35" s="134"/>
      <c r="L35" s="134"/>
      <c r="M35" s="1292" t="s">
        <v>259</v>
      </c>
      <c r="N35" s="1292"/>
      <c r="O35" s="1292"/>
      <c r="P35" s="1292"/>
      <c r="Q35" s="1292"/>
      <c r="R35" s="1293"/>
    </row>
    <row r="36" spans="2:18" ht="12.75" customHeight="1">
      <c r="B36" s="180"/>
      <c r="C36" s="134"/>
      <c r="D36" s="1302"/>
      <c r="E36" s="125" t="s">
        <v>2</v>
      </c>
      <c r="F36" s="125" t="s">
        <v>3</v>
      </c>
      <c r="G36" s="125" t="s">
        <v>2</v>
      </c>
      <c r="H36" s="125" t="s">
        <v>3</v>
      </c>
      <c r="I36" s="134"/>
      <c r="J36" s="134"/>
      <c r="K36" s="1121" t="s">
        <v>244</v>
      </c>
      <c r="L36" s="1121"/>
      <c r="M36" s="1121"/>
      <c r="N36" s="1121"/>
      <c r="O36" s="1121"/>
      <c r="P36" s="1121"/>
      <c r="Q36" s="1121"/>
      <c r="R36" s="1121"/>
    </row>
    <row r="37" spans="2:18" ht="12.75" customHeight="1">
      <c r="B37" s="180"/>
      <c r="C37" s="134"/>
      <c r="D37" s="130" t="s">
        <v>4</v>
      </c>
      <c r="E37" s="126">
        <v>4</v>
      </c>
      <c r="F37" s="126">
        <v>6.5</v>
      </c>
      <c r="G37" s="126">
        <v>6.5</v>
      </c>
      <c r="H37" s="126">
        <v>6.5</v>
      </c>
      <c r="I37" s="134"/>
      <c r="J37" s="134"/>
      <c r="K37" s="134"/>
      <c r="L37" s="134"/>
      <c r="M37" s="135" t="s">
        <v>0</v>
      </c>
      <c r="N37" s="129" t="s">
        <v>28</v>
      </c>
      <c r="O37" s="136"/>
      <c r="P37" s="136"/>
      <c r="Q37" s="136"/>
      <c r="R37" s="181"/>
    </row>
    <row r="38" spans="2:18" ht="12.75" customHeight="1">
      <c r="B38" s="180"/>
      <c r="C38" s="134"/>
      <c r="D38" s="129" t="s">
        <v>229</v>
      </c>
      <c r="E38" s="126">
        <v>3</v>
      </c>
      <c r="F38" s="126">
        <v>5</v>
      </c>
      <c r="G38" s="126">
        <v>5</v>
      </c>
      <c r="H38" s="126">
        <v>5</v>
      </c>
      <c r="I38" s="134"/>
      <c r="J38" s="134"/>
      <c r="K38" s="134"/>
      <c r="L38" s="134"/>
      <c r="M38" s="138" t="s">
        <v>241</v>
      </c>
      <c r="N38" s="139">
        <v>0.32</v>
      </c>
      <c r="O38" s="137"/>
      <c r="P38" s="137"/>
      <c r="Q38" s="137"/>
      <c r="R38" s="181"/>
    </row>
    <row r="39" spans="2:18" ht="12.75" customHeight="1">
      <c r="B39" s="180"/>
      <c r="C39" s="134"/>
      <c r="D39" s="130" t="s">
        <v>6</v>
      </c>
      <c r="E39" s="126">
        <v>2.5</v>
      </c>
      <c r="F39" s="126">
        <v>4</v>
      </c>
      <c r="G39" s="126">
        <v>4</v>
      </c>
      <c r="H39" s="126">
        <v>4</v>
      </c>
      <c r="I39" s="134"/>
      <c r="J39" s="134"/>
      <c r="K39" s="134"/>
      <c r="L39" s="134"/>
      <c r="M39" s="138" t="s">
        <v>242</v>
      </c>
      <c r="N39" s="139">
        <v>0.25</v>
      </c>
      <c r="O39" s="137"/>
      <c r="P39" s="137"/>
      <c r="Q39" s="137"/>
      <c r="R39" s="181"/>
    </row>
    <row r="40" spans="2:18" ht="12.75" customHeight="1">
      <c r="B40" s="180"/>
      <c r="C40" s="134"/>
      <c r="D40" s="134"/>
      <c r="E40" s="134"/>
      <c r="F40" s="134"/>
      <c r="G40" s="134"/>
      <c r="H40" s="134"/>
      <c r="I40" s="134"/>
      <c r="J40" s="134"/>
      <c r="K40" s="134"/>
      <c r="L40" s="134"/>
      <c r="M40" s="135" t="s">
        <v>243</v>
      </c>
      <c r="N40" s="143">
        <v>0.2</v>
      </c>
      <c r="O40" s="21"/>
      <c r="P40" s="21"/>
      <c r="Q40" s="21"/>
      <c r="R40" s="181"/>
    </row>
    <row r="41" spans="2:18" ht="12.75" customHeight="1">
      <c r="B41" s="1320" t="s">
        <v>266</v>
      </c>
      <c r="C41" s="1307"/>
      <c r="D41" s="1307"/>
      <c r="E41" s="1307"/>
      <c r="F41" s="1307"/>
      <c r="G41" s="1307"/>
      <c r="H41" s="1307"/>
      <c r="I41" s="1307"/>
      <c r="J41" s="1307"/>
      <c r="K41" s="1307" t="s">
        <v>266</v>
      </c>
      <c r="L41" s="1307"/>
      <c r="M41" s="1307"/>
      <c r="N41" s="1307"/>
      <c r="O41" s="1307"/>
      <c r="P41" s="1307"/>
      <c r="Q41" s="1307"/>
      <c r="R41" s="1307"/>
    </row>
    <row r="42" spans="2:18" ht="12.75" customHeight="1">
      <c r="B42" s="180"/>
      <c r="C42" s="134"/>
      <c r="D42" s="134"/>
      <c r="E42" s="134"/>
      <c r="F42" s="134"/>
      <c r="G42" s="134"/>
      <c r="H42" s="134"/>
      <c r="I42" s="134"/>
      <c r="J42" s="134"/>
      <c r="K42" s="134"/>
      <c r="L42" s="134"/>
      <c r="M42" s="134"/>
      <c r="N42" s="134"/>
      <c r="O42" s="134"/>
      <c r="P42" s="134"/>
      <c r="Q42" s="134"/>
      <c r="R42" s="181"/>
    </row>
    <row r="43" spans="2:18" ht="12.75" customHeight="1">
      <c r="B43" s="1321" t="s">
        <v>230</v>
      </c>
      <c r="C43" s="1296"/>
      <c r="D43" s="1296"/>
      <c r="E43" s="134"/>
      <c r="F43" s="1297" t="s">
        <v>150</v>
      </c>
      <c r="G43" s="1298"/>
      <c r="H43" s="1298"/>
      <c r="I43" s="1323"/>
      <c r="J43" s="134"/>
      <c r="K43" s="1296" t="s">
        <v>230</v>
      </c>
      <c r="L43" s="1296"/>
      <c r="M43" s="1296"/>
      <c r="N43" s="134"/>
      <c r="O43" s="1297" t="s">
        <v>150</v>
      </c>
      <c r="P43" s="1298"/>
      <c r="Q43" s="1298"/>
      <c r="R43" s="1299"/>
    </row>
    <row r="44" spans="2:18" ht="12.75" customHeight="1">
      <c r="B44" s="1322" t="s">
        <v>246</v>
      </c>
      <c r="C44" s="1277"/>
      <c r="D44" s="188">
        <v>1</v>
      </c>
      <c r="E44" s="134"/>
      <c r="F44" s="1278" t="s">
        <v>236</v>
      </c>
      <c r="G44" s="1279"/>
      <c r="H44" s="1282" t="s">
        <v>105</v>
      </c>
      <c r="I44" s="1282" t="s">
        <v>147</v>
      </c>
      <c r="J44" s="134"/>
      <c r="K44" s="1276" t="s">
        <v>246</v>
      </c>
      <c r="L44" s="1277"/>
      <c r="M44" s="188">
        <v>1</v>
      </c>
      <c r="N44" s="134"/>
      <c r="O44" s="1278" t="s">
        <v>236</v>
      </c>
      <c r="P44" s="1279"/>
      <c r="Q44" s="1282" t="s">
        <v>105</v>
      </c>
      <c r="R44" s="1284" t="s">
        <v>147</v>
      </c>
    </row>
    <row r="45" spans="2:18" ht="12.75" customHeight="1">
      <c r="B45" s="180"/>
      <c r="C45" s="134"/>
      <c r="D45" s="134"/>
      <c r="E45" s="134"/>
      <c r="F45" s="1280"/>
      <c r="G45" s="1281"/>
      <c r="H45" s="1283"/>
      <c r="I45" s="1283"/>
      <c r="J45" s="134"/>
      <c r="K45" s="134"/>
      <c r="L45" s="134"/>
      <c r="M45" s="134"/>
      <c r="N45" s="134"/>
      <c r="O45" s="1280"/>
      <c r="P45" s="1281"/>
      <c r="Q45" s="1283"/>
      <c r="R45" s="1285"/>
    </row>
    <row r="46" spans="2:18" ht="12.75" customHeight="1">
      <c r="B46" s="1321" t="s">
        <v>230</v>
      </c>
      <c r="C46" s="1296"/>
      <c r="D46" s="1296"/>
      <c r="E46" s="134"/>
      <c r="F46" s="189" t="s">
        <v>234</v>
      </c>
      <c r="G46" s="190"/>
      <c r="H46" s="125">
        <v>0.05</v>
      </c>
      <c r="I46" s="125">
        <v>2.8899999999999999E-2</v>
      </c>
      <c r="J46" s="134"/>
      <c r="K46" s="1296" t="s">
        <v>230</v>
      </c>
      <c r="L46" s="1296"/>
      <c r="M46" s="1296"/>
      <c r="N46" s="134"/>
      <c r="O46" s="1310" t="s">
        <v>234</v>
      </c>
      <c r="P46" s="1311"/>
      <c r="Q46" s="125">
        <v>0.05</v>
      </c>
      <c r="R46" s="191">
        <v>2.8899999999999999E-2</v>
      </c>
    </row>
    <row r="47" spans="2:18" ht="12.75" customHeight="1">
      <c r="B47" s="1322" t="s">
        <v>246</v>
      </c>
      <c r="C47" s="1277"/>
      <c r="D47" s="188" t="s">
        <v>231</v>
      </c>
      <c r="E47" s="134"/>
      <c r="F47" s="189" t="s">
        <v>18</v>
      </c>
      <c r="G47" s="190"/>
      <c r="H47" s="125">
        <v>0.04</v>
      </c>
      <c r="I47" s="395">
        <v>2.3099999999999999E-2</v>
      </c>
      <c r="J47" s="134"/>
      <c r="K47" s="1276" t="s">
        <v>246</v>
      </c>
      <c r="L47" s="1277"/>
      <c r="M47" s="188" t="s">
        <v>231</v>
      </c>
      <c r="N47" s="134"/>
      <c r="O47" s="1310" t="s">
        <v>18</v>
      </c>
      <c r="P47" s="1311"/>
      <c r="Q47" s="125">
        <v>0.04</v>
      </c>
      <c r="R47" s="191">
        <v>2.3099999999999999E-2</v>
      </c>
    </row>
    <row r="48" spans="2:18" ht="12.75" customHeight="1">
      <c r="B48" s="180"/>
      <c r="C48" s="134"/>
      <c r="D48" s="28" t="s">
        <v>225</v>
      </c>
      <c r="E48" s="134"/>
      <c r="F48" s="1316" t="s">
        <v>19</v>
      </c>
      <c r="G48" s="1317"/>
      <c r="H48" s="125">
        <v>0.06</v>
      </c>
      <c r="I48" s="125">
        <v>3.4700000000000002E-2</v>
      </c>
      <c r="J48" s="134"/>
      <c r="K48" s="134"/>
      <c r="L48" s="134"/>
      <c r="M48" s="28" t="s">
        <v>225</v>
      </c>
      <c r="N48" s="134"/>
      <c r="O48" s="1316" t="s">
        <v>19</v>
      </c>
      <c r="P48" s="1317"/>
      <c r="Q48" s="125">
        <v>0.06</v>
      </c>
      <c r="R48" s="191">
        <v>3.4700000000000002E-2</v>
      </c>
    </row>
    <row r="49" spans="2:18" ht="12.75" customHeight="1">
      <c r="B49" s="180"/>
      <c r="C49" s="134"/>
      <c r="D49" s="28"/>
      <c r="E49" s="134"/>
      <c r="F49" s="1316" t="s">
        <v>235</v>
      </c>
      <c r="G49" s="1317"/>
      <c r="H49" s="125">
        <v>7.0000000000000007E-2</v>
      </c>
      <c r="I49" s="395">
        <v>4.0399999999999998E-2</v>
      </c>
      <c r="J49" s="134"/>
      <c r="K49" s="134"/>
      <c r="L49" s="134"/>
      <c r="M49" s="28"/>
      <c r="N49" s="134"/>
      <c r="O49" s="1316" t="s">
        <v>235</v>
      </c>
      <c r="P49" s="1317"/>
      <c r="Q49" s="125">
        <v>7.0000000000000007E-2</v>
      </c>
      <c r="R49" s="191">
        <v>4.0399999999999998E-2</v>
      </c>
    </row>
    <row r="50" spans="2:18" ht="12.75" customHeight="1">
      <c r="B50" s="180"/>
      <c r="C50" s="134"/>
      <c r="D50" s="134"/>
      <c r="E50" s="134"/>
      <c r="F50" s="133"/>
      <c r="G50" s="133"/>
      <c r="H50" s="133"/>
      <c r="I50" s="133"/>
      <c r="J50" s="134"/>
      <c r="K50" s="134"/>
      <c r="L50" s="134"/>
      <c r="M50" s="134"/>
      <c r="N50" s="134"/>
      <c r="O50" s="134"/>
      <c r="P50" s="134"/>
      <c r="Q50" s="134"/>
      <c r="R50" s="181"/>
    </row>
    <row r="51" spans="2:18" ht="12.75" customHeight="1">
      <c r="B51" s="180"/>
      <c r="C51" s="134"/>
      <c r="D51" s="134"/>
      <c r="E51" s="134"/>
      <c r="F51" s="133"/>
      <c r="G51" s="133"/>
      <c r="H51" s="133"/>
      <c r="I51" s="133"/>
      <c r="J51" s="134"/>
      <c r="K51" s="134"/>
      <c r="L51" s="134"/>
      <c r="M51" s="134"/>
      <c r="N51" s="134"/>
      <c r="O51" s="134"/>
      <c r="P51" s="134"/>
      <c r="Q51" s="134"/>
      <c r="R51" s="181"/>
    </row>
    <row r="52" spans="2:18" ht="12.75" customHeight="1">
      <c r="B52" s="180"/>
      <c r="C52" s="134"/>
      <c r="D52" s="28" t="s">
        <v>225</v>
      </c>
      <c r="E52" s="134"/>
      <c r="F52" s="134"/>
      <c r="G52" s="134"/>
      <c r="H52" s="134"/>
      <c r="I52" s="134"/>
      <c r="J52" s="134"/>
      <c r="K52" s="134"/>
      <c r="L52" s="134"/>
      <c r="M52" s="28" t="s">
        <v>225</v>
      </c>
      <c r="N52" s="134"/>
      <c r="O52" s="134"/>
      <c r="P52" s="134"/>
      <c r="Q52" s="134"/>
      <c r="R52" s="181"/>
    </row>
    <row r="53" spans="2:18" ht="12.75" customHeight="1">
      <c r="B53" s="180"/>
      <c r="C53" s="134"/>
      <c r="D53" s="1292" t="s">
        <v>253</v>
      </c>
      <c r="E53" s="1292"/>
      <c r="F53" s="1292"/>
      <c r="G53" s="1292"/>
      <c r="H53" s="1292"/>
      <c r="I53" s="1292"/>
      <c r="J53" s="134"/>
      <c r="K53" s="134"/>
      <c r="L53" s="134"/>
      <c r="M53" s="1318" t="s">
        <v>251</v>
      </c>
      <c r="N53" s="1318"/>
      <c r="O53" s="1318"/>
      <c r="P53" s="1318"/>
      <c r="Q53" s="1318"/>
      <c r="R53" s="1319"/>
    </row>
    <row r="54" spans="2:18" ht="12.75" customHeight="1">
      <c r="B54" s="180"/>
      <c r="C54" s="134"/>
      <c r="D54" s="1343" t="s">
        <v>232</v>
      </c>
      <c r="E54" s="1343"/>
      <c r="F54" s="1343"/>
      <c r="G54" s="1343"/>
      <c r="H54" s="1343"/>
      <c r="I54" s="1343"/>
      <c r="J54" s="134"/>
      <c r="K54" s="134"/>
      <c r="L54" s="134"/>
      <c r="M54" s="1312" t="s">
        <v>232</v>
      </c>
      <c r="N54" s="1312"/>
      <c r="O54" s="1312"/>
      <c r="P54" s="1312"/>
      <c r="Q54" s="1312"/>
      <c r="R54" s="1313"/>
    </row>
    <row r="55" spans="2:18" ht="12.75" customHeight="1">
      <c r="B55" s="180"/>
      <c r="C55" s="134"/>
      <c r="D55" s="1292" t="s">
        <v>254</v>
      </c>
      <c r="E55" s="1292"/>
      <c r="F55" s="1292"/>
      <c r="G55" s="1292"/>
      <c r="H55" s="1292"/>
      <c r="I55" s="1292"/>
      <c r="J55" s="134"/>
      <c r="K55" s="134"/>
      <c r="L55" s="134"/>
      <c r="M55" s="1292" t="s">
        <v>250</v>
      </c>
      <c r="N55" s="1292"/>
      <c r="O55" s="1292"/>
      <c r="P55" s="1292"/>
      <c r="Q55" s="1292"/>
      <c r="R55" s="1293"/>
    </row>
    <row r="56" spans="2:18" ht="12.75" customHeight="1">
      <c r="B56" s="180"/>
      <c r="C56" s="134"/>
      <c r="D56" s="1314" t="s">
        <v>255</v>
      </c>
      <c r="E56" s="1314"/>
      <c r="F56" s="1314"/>
      <c r="G56" s="1314"/>
      <c r="H56" s="1314"/>
      <c r="I56" s="1314"/>
      <c r="J56" s="134"/>
      <c r="K56" s="134"/>
      <c r="L56" s="134"/>
      <c r="M56" s="1314" t="s">
        <v>249</v>
      </c>
      <c r="N56" s="1314"/>
      <c r="O56" s="1314"/>
      <c r="P56" s="1314"/>
      <c r="Q56" s="1314"/>
      <c r="R56" s="1315"/>
    </row>
    <row r="57" spans="2:18" ht="12.75" customHeight="1">
      <c r="B57" s="180"/>
      <c r="C57" s="134"/>
      <c r="D57" s="134"/>
      <c r="E57" s="134"/>
      <c r="F57" s="134"/>
      <c r="G57" s="134"/>
      <c r="H57" s="134"/>
      <c r="I57" s="134"/>
      <c r="J57" s="134"/>
      <c r="K57" s="134"/>
      <c r="L57" s="134"/>
      <c r="M57" s="134"/>
      <c r="N57" s="134"/>
      <c r="O57" s="134"/>
      <c r="P57" s="134"/>
      <c r="Q57" s="134"/>
      <c r="R57" s="181"/>
    </row>
    <row r="58" spans="2:18" ht="12.75" customHeight="1">
      <c r="B58" s="1321" t="s">
        <v>233</v>
      </c>
      <c r="C58" s="1296"/>
      <c r="D58" s="1296"/>
      <c r="E58" s="1296"/>
      <c r="F58" s="134"/>
      <c r="G58" s="134"/>
      <c r="H58" s="134"/>
      <c r="I58" s="134"/>
      <c r="J58" s="134"/>
      <c r="K58" s="1296" t="s">
        <v>233</v>
      </c>
      <c r="L58" s="1296"/>
      <c r="M58" s="1296"/>
      <c r="N58" s="134"/>
      <c r="O58" s="134"/>
      <c r="P58" s="134"/>
      <c r="Q58" s="134"/>
      <c r="R58" s="181"/>
    </row>
    <row r="59" spans="2:18" ht="12.75" customHeight="1">
      <c r="B59" s="1322" t="s">
        <v>246</v>
      </c>
      <c r="C59" s="1277"/>
      <c r="D59" s="192" t="s">
        <v>245</v>
      </c>
      <c r="E59" s="193"/>
      <c r="F59" s="134"/>
      <c r="G59" s="134"/>
      <c r="H59" s="134"/>
      <c r="I59" s="134"/>
      <c r="J59" s="134"/>
      <c r="K59" s="1276" t="s">
        <v>246</v>
      </c>
      <c r="L59" s="1277"/>
      <c r="M59" s="192" t="s">
        <v>245</v>
      </c>
      <c r="N59" s="193"/>
      <c r="O59" s="134"/>
      <c r="P59" s="134"/>
      <c r="Q59" s="134"/>
      <c r="R59" s="181"/>
    </row>
    <row r="60" spans="2:18" ht="12.75" customHeight="1">
      <c r="B60" s="180"/>
      <c r="C60" s="134"/>
      <c r="D60" s="28" t="s">
        <v>225</v>
      </c>
      <c r="E60" s="134"/>
      <c r="F60" s="134"/>
      <c r="G60" s="134"/>
      <c r="H60" s="134"/>
      <c r="I60" s="134"/>
      <c r="J60" s="134"/>
      <c r="K60" s="134"/>
      <c r="L60" s="134"/>
      <c r="M60" s="28" t="s">
        <v>225</v>
      </c>
      <c r="N60" s="134"/>
      <c r="O60" s="134"/>
      <c r="P60" s="134"/>
      <c r="Q60" s="134"/>
      <c r="R60" s="181"/>
    </row>
    <row r="61" spans="2:18" ht="12.75" customHeight="1">
      <c r="B61" s="180"/>
      <c r="C61" s="134"/>
      <c r="D61" s="134"/>
      <c r="E61" s="134"/>
      <c r="F61" s="134"/>
      <c r="G61" s="134"/>
      <c r="H61" s="134"/>
      <c r="I61" s="134"/>
      <c r="J61" s="134"/>
      <c r="K61" s="134"/>
      <c r="L61" s="134"/>
      <c r="M61" s="134"/>
      <c r="N61" s="134"/>
      <c r="O61" s="134"/>
      <c r="P61" s="134"/>
      <c r="Q61" s="134"/>
      <c r="R61" s="181"/>
    </row>
    <row r="62" spans="2:18" ht="12.75" customHeight="1">
      <c r="B62" s="180"/>
      <c r="C62" s="134"/>
      <c r="D62" s="134"/>
      <c r="E62" s="134"/>
      <c r="F62" s="134"/>
      <c r="G62" s="134"/>
      <c r="H62" s="134"/>
      <c r="I62" s="134"/>
      <c r="J62" s="134"/>
      <c r="K62" s="134"/>
      <c r="L62" s="134"/>
      <c r="M62" s="134"/>
      <c r="N62" s="134"/>
      <c r="O62" s="134"/>
      <c r="P62" s="134"/>
      <c r="Q62" s="134"/>
      <c r="R62" s="181"/>
    </row>
    <row r="63" spans="2:18" ht="12.75" customHeight="1">
      <c r="B63" s="180"/>
      <c r="C63" s="134"/>
      <c r="D63" s="134"/>
      <c r="E63" s="134"/>
      <c r="F63" s="134"/>
      <c r="G63" s="134"/>
      <c r="H63" s="134"/>
      <c r="I63" s="134"/>
      <c r="J63" s="134"/>
      <c r="K63" s="134"/>
      <c r="L63" s="134"/>
      <c r="M63" s="134"/>
      <c r="N63" s="134"/>
      <c r="O63" s="134"/>
      <c r="P63" s="134"/>
      <c r="Q63" s="134"/>
      <c r="R63" s="181"/>
    </row>
    <row r="64" spans="2:18" ht="12.75" customHeight="1">
      <c r="B64" s="180"/>
      <c r="C64" s="134"/>
      <c r="D64" s="28" t="s">
        <v>225</v>
      </c>
      <c r="E64" s="134"/>
      <c r="F64" s="134"/>
      <c r="G64" s="134"/>
      <c r="H64" s="134"/>
      <c r="I64" s="134"/>
      <c r="J64" s="134"/>
      <c r="K64" s="134"/>
      <c r="L64" s="134"/>
      <c r="M64" s="28" t="s">
        <v>225</v>
      </c>
      <c r="N64" s="134"/>
      <c r="O64" s="134"/>
      <c r="P64" s="134"/>
      <c r="Q64" s="134"/>
      <c r="R64" s="181"/>
    </row>
    <row r="65" spans="2:18" ht="12.75" customHeight="1">
      <c r="B65" s="180"/>
      <c r="C65" s="134"/>
      <c r="D65" s="1292" t="s">
        <v>247</v>
      </c>
      <c r="E65" s="1292"/>
      <c r="F65" s="1292"/>
      <c r="G65" s="1292"/>
      <c r="H65" s="1292"/>
      <c r="I65" s="1292"/>
      <c r="J65" s="134"/>
      <c r="K65" s="134"/>
      <c r="L65" s="134"/>
      <c r="M65" s="1292" t="s">
        <v>299</v>
      </c>
      <c r="N65" s="1292"/>
      <c r="O65" s="1292"/>
      <c r="P65" s="1292"/>
      <c r="Q65" s="1292"/>
      <c r="R65" s="1293"/>
    </row>
    <row r="66" spans="2:18" ht="12.75" customHeight="1" thickBot="1">
      <c r="B66" s="194"/>
      <c r="C66" s="195"/>
      <c r="D66" s="1303" t="s">
        <v>252</v>
      </c>
      <c r="E66" s="1303"/>
      <c r="F66" s="1303"/>
      <c r="G66" s="1303"/>
      <c r="H66" s="1303"/>
      <c r="I66" s="1303"/>
      <c r="J66" s="195"/>
      <c r="K66" s="195"/>
      <c r="L66" s="195"/>
      <c r="M66" s="1303" t="s">
        <v>248</v>
      </c>
      <c r="N66" s="1303"/>
      <c r="O66" s="1303"/>
      <c r="P66" s="1303"/>
      <c r="Q66" s="1303"/>
      <c r="R66" s="1304"/>
    </row>
    <row r="69" spans="2:18" ht="12.75" customHeight="1"/>
  </sheetData>
  <sheetProtection formatCells="0"/>
  <customSheetViews>
    <customSheetView guid="{E5D99FF3-C22B-41B8-A40B-5D821532B165}" scale="85" showPageBreaks="1" fitToPage="1" printArea="1" view="pageBreakPreview">
      <selection activeCell="M7" sqref="M7:R7"/>
      <pageMargins left="1.2" right="0.7" top="0.75" bottom="0.75" header="0.3" footer="0.3"/>
      <pageSetup scale="59" orientation="landscape" r:id="rId1"/>
    </customSheetView>
  </customSheetViews>
  <mergeCells count="91">
    <mergeCell ref="D56:I56"/>
    <mergeCell ref="D54:I54"/>
    <mergeCell ref="B59:C59"/>
    <mergeCell ref="D65:I65"/>
    <mergeCell ref="D66:I66"/>
    <mergeCell ref="B58:E58"/>
    <mergeCell ref="D55:I55"/>
    <mergeCell ref="B6:D6"/>
    <mergeCell ref="E6:I6"/>
    <mergeCell ref="B8:D8"/>
    <mergeCell ref="E8:I8"/>
    <mergeCell ref="B22:J22"/>
    <mergeCell ref="B9:R9"/>
    <mergeCell ref="J6:L6"/>
    <mergeCell ref="M6:R6"/>
    <mergeCell ref="B7:D7"/>
    <mergeCell ref="E7:I7"/>
    <mergeCell ref="J7:L7"/>
    <mergeCell ref="M7:R7"/>
    <mergeCell ref="J8:L8"/>
    <mergeCell ref="M8:R8"/>
    <mergeCell ref="D23:H24"/>
    <mergeCell ref="D26:I26"/>
    <mergeCell ref="E2:O5"/>
    <mergeCell ref="P2:Q2"/>
    <mergeCell ref="P3:Q3"/>
    <mergeCell ref="P4:Q4"/>
    <mergeCell ref="P5:Q5"/>
    <mergeCell ref="M13:P14"/>
    <mergeCell ref="M16:P17"/>
    <mergeCell ref="M19:R19"/>
    <mergeCell ref="M20:R20"/>
    <mergeCell ref="B10:J10"/>
    <mergeCell ref="D19:I19"/>
    <mergeCell ref="D20:I20"/>
    <mergeCell ref="B14:J14"/>
    <mergeCell ref="D15:G16"/>
    <mergeCell ref="D53:I53"/>
    <mergeCell ref="B41:J41"/>
    <mergeCell ref="B43:D43"/>
    <mergeCell ref="B44:C44"/>
    <mergeCell ref="B46:D46"/>
    <mergeCell ref="B47:C47"/>
    <mergeCell ref="F44:G45"/>
    <mergeCell ref="H44:H45"/>
    <mergeCell ref="I44:I45"/>
    <mergeCell ref="F43:I43"/>
    <mergeCell ref="F48:G48"/>
    <mergeCell ref="F49:G49"/>
    <mergeCell ref="K59:L59"/>
    <mergeCell ref="K46:M46"/>
    <mergeCell ref="K47:L47"/>
    <mergeCell ref="O48:P48"/>
    <mergeCell ref="O49:P49"/>
    <mergeCell ref="M53:R53"/>
    <mergeCell ref="M65:R65"/>
    <mergeCell ref="M66:R66"/>
    <mergeCell ref="K10:R10"/>
    <mergeCell ref="K12:R12"/>
    <mergeCell ref="K15:R15"/>
    <mergeCell ref="K27:R27"/>
    <mergeCell ref="K36:R36"/>
    <mergeCell ref="K41:R41"/>
    <mergeCell ref="L22:R23"/>
    <mergeCell ref="L24:R25"/>
    <mergeCell ref="O46:P46"/>
    <mergeCell ref="O47:P47"/>
    <mergeCell ref="M54:R54"/>
    <mergeCell ref="M55:R55"/>
    <mergeCell ref="M56:R56"/>
    <mergeCell ref="K58:M58"/>
    <mergeCell ref="D27:I28"/>
    <mergeCell ref="D30:I30"/>
    <mergeCell ref="K43:M43"/>
    <mergeCell ref="O43:R43"/>
    <mergeCell ref="E33:F34"/>
    <mergeCell ref="E35:H35"/>
    <mergeCell ref="D32:D36"/>
    <mergeCell ref="G33:H34"/>
    <mergeCell ref="D29:I29"/>
    <mergeCell ref="B31:J31"/>
    <mergeCell ref="E32:H32"/>
    <mergeCell ref="K44:L44"/>
    <mergeCell ref="O44:P45"/>
    <mergeCell ref="Q44:Q45"/>
    <mergeCell ref="R44:R45"/>
    <mergeCell ref="M28:Q29"/>
    <mergeCell ref="M31:R31"/>
    <mergeCell ref="M34:R34"/>
    <mergeCell ref="M35:R35"/>
    <mergeCell ref="M32:R33"/>
  </mergeCells>
  <pageMargins left="1.2" right="0.7" top="0.75" bottom="0.75" header="0.3" footer="0.3"/>
  <pageSetup scale="57" orientation="landscape"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R69"/>
  <sheetViews>
    <sheetView view="pageBreakPreview" zoomScale="70" zoomScaleNormal="85" zoomScaleSheetLayoutView="70" workbookViewId="0">
      <selection activeCell="R2" sqref="R2"/>
    </sheetView>
  </sheetViews>
  <sheetFormatPr defaultRowHeight="12.75"/>
  <cols>
    <col min="1" max="1" width="4.85546875" customWidth="1"/>
    <col min="2" max="2" width="5.140625" customWidth="1"/>
    <col min="3" max="3" width="1.5703125" customWidth="1"/>
    <col min="4" max="4" width="10.140625" customWidth="1"/>
    <col min="5" max="8" width="9.140625" customWidth="1"/>
    <col min="9" max="9" width="17.42578125" customWidth="1"/>
    <col min="10" max="10" width="7.28515625" customWidth="1"/>
    <col min="11" max="11" width="6.85546875" customWidth="1"/>
    <col min="12" max="12" width="6.7109375" customWidth="1"/>
    <col min="13" max="13" width="20.140625" customWidth="1"/>
    <col min="14" max="15" width="9.42578125" customWidth="1"/>
    <col min="16" max="17" width="8.85546875" customWidth="1"/>
    <col min="18" max="18" width="10.28515625" customWidth="1"/>
  </cols>
  <sheetData>
    <row r="1" spans="2:18" ht="16.5" customHeight="1" thickBot="1">
      <c r="B1" s="133"/>
      <c r="C1" s="133"/>
      <c r="D1" s="133"/>
      <c r="E1" s="133"/>
      <c r="F1" s="133"/>
      <c r="G1" s="133"/>
      <c r="H1" s="133"/>
      <c r="I1" s="133"/>
      <c r="J1" s="133"/>
      <c r="K1" s="133"/>
      <c r="L1" s="133"/>
      <c r="M1" s="133"/>
      <c r="N1" s="133"/>
      <c r="O1" s="133"/>
      <c r="P1" s="133"/>
      <c r="Q1" s="173" t="s">
        <v>211</v>
      </c>
      <c r="R1" s="174">
        <f>'Calculation Basis'!R1+1</f>
        <v>7</v>
      </c>
    </row>
    <row r="2" spans="2:18" ht="16.5" customHeight="1">
      <c r="B2" s="106"/>
      <c r="C2" s="107"/>
      <c r="D2" s="107"/>
      <c r="E2" s="915" t="s">
        <v>218</v>
      </c>
      <c r="F2" s="915"/>
      <c r="G2" s="915"/>
      <c r="H2" s="915"/>
      <c r="I2" s="915"/>
      <c r="J2" s="915"/>
      <c r="K2" s="915"/>
      <c r="L2" s="915"/>
      <c r="M2" s="915"/>
      <c r="N2" s="915"/>
      <c r="O2" s="915"/>
      <c r="P2" s="1324" t="s">
        <v>161</v>
      </c>
      <c r="Q2" s="1325"/>
      <c r="R2" s="175" t="str">
        <f>IF(ISBLANK(General!$E$6),"",General!$E$6)</f>
        <v>A</v>
      </c>
    </row>
    <row r="3" spans="2:18" ht="16.5" customHeight="1">
      <c r="B3" s="108"/>
      <c r="C3" s="57"/>
      <c r="D3" s="58"/>
      <c r="E3" s="916"/>
      <c r="F3" s="916"/>
      <c r="G3" s="916"/>
      <c r="H3" s="916"/>
      <c r="I3" s="916"/>
      <c r="J3" s="916"/>
      <c r="K3" s="916"/>
      <c r="L3" s="916"/>
      <c r="M3" s="916"/>
      <c r="N3" s="916"/>
      <c r="O3" s="916"/>
      <c r="P3" s="1326" t="s">
        <v>212</v>
      </c>
      <c r="Q3" s="1327"/>
      <c r="R3" s="176" t="str">
        <f>IF(ISBLANK(General!$E$12),"",General!$E$12)</f>
        <v>NRB</v>
      </c>
    </row>
    <row r="4" spans="2:18" ht="16.5" customHeight="1">
      <c r="B4" s="108"/>
      <c r="C4" s="57"/>
      <c r="D4" s="58"/>
      <c r="E4" s="916"/>
      <c r="F4" s="916"/>
      <c r="G4" s="916"/>
      <c r="H4" s="916"/>
      <c r="I4" s="916"/>
      <c r="J4" s="916"/>
      <c r="K4" s="916"/>
      <c r="L4" s="916"/>
      <c r="M4" s="916"/>
      <c r="N4" s="916"/>
      <c r="O4" s="916"/>
      <c r="P4" s="1326" t="s">
        <v>213</v>
      </c>
      <c r="Q4" s="1327"/>
      <c r="R4" s="177">
        <f>IF(ISBLANK(General!$E$13),"",General!$E$13)</f>
        <v>42018</v>
      </c>
    </row>
    <row r="5" spans="2:18" ht="16.5" customHeight="1">
      <c r="B5" s="116"/>
      <c r="C5" s="56"/>
      <c r="D5" s="56"/>
      <c r="E5" s="917"/>
      <c r="F5" s="917"/>
      <c r="G5" s="917"/>
      <c r="H5" s="917"/>
      <c r="I5" s="917"/>
      <c r="J5" s="917"/>
      <c r="K5" s="917"/>
      <c r="L5" s="917"/>
      <c r="M5" s="917"/>
      <c r="N5" s="917"/>
      <c r="O5" s="917"/>
      <c r="P5" s="1326" t="s">
        <v>214</v>
      </c>
      <c r="Q5" s="1327"/>
      <c r="R5" s="178" t="str">
        <f>IF(ISBLANK(General!$E$14),"",General!$E$14)</f>
        <v/>
      </c>
    </row>
    <row r="6" spans="2:18" ht="16.5" customHeight="1">
      <c r="B6" s="1116" t="s">
        <v>165</v>
      </c>
      <c r="C6" s="1330"/>
      <c r="D6" s="1118"/>
      <c r="E6" s="927" t="str">
        <f>IF(ISBLANK(General!$E$8),"",General!$E$8)</f>
        <v>Flint Hills Resources</v>
      </c>
      <c r="F6" s="928"/>
      <c r="G6" s="928"/>
      <c r="H6" s="928"/>
      <c r="I6" s="928"/>
      <c r="J6" s="1334" t="s">
        <v>215</v>
      </c>
      <c r="K6" s="1335"/>
      <c r="L6" s="1336"/>
      <c r="M6" s="927" t="str">
        <f>IF(ISBLANK(General!$C$30),"",General!$C$30)</f>
        <v>High Pressure KO Drum</v>
      </c>
      <c r="N6" s="928"/>
      <c r="O6" s="928"/>
      <c r="P6" s="928"/>
      <c r="Q6" s="928"/>
      <c r="R6" s="933"/>
    </row>
    <row r="7" spans="2:18" ht="16.5" customHeight="1">
      <c r="B7" s="1129" t="s">
        <v>216</v>
      </c>
      <c r="C7" s="1130"/>
      <c r="D7" s="1131"/>
      <c r="E7" s="1126" t="str">
        <f>IF(ISBLANK(General!$E$9),"",General!$E$9)</f>
        <v>EDCP</v>
      </c>
      <c r="F7" s="1127"/>
      <c r="G7" s="1127"/>
      <c r="H7" s="1127"/>
      <c r="I7" s="1128"/>
      <c r="J7" s="1337" t="s">
        <v>217</v>
      </c>
      <c r="K7" s="1338"/>
      <c r="L7" s="1339"/>
      <c r="M7" s="1126" t="str">
        <f>IF(ISBLANK(General!$D$30),"",General!$D$30)</f>
        <v>84V-11</v>
      </c>
      <c r="N7" s="1127"/>
      <c r="O7" s="1127"/>
      <c r="P7" s="1127"/>
      <c r="Q7" s="1127"/>
      <c r="R7" s="1132"/>
    </row>
    <row r="8" spans="2:18" ht="16.5" customHeight="1">
      <c r="B8" s="1123" t="s">
        <v>176</v>
      </c>
      <c r="C8" s="1124"/>
      <c r="D8" s="1125"/>
      <c r="E8" s="908" t="str">
        <f>IF(ISBLANK(General!$E$17),"",General!$E$17)</f>
        <v>Crude #3</v>
      </c>
      <c r="F8" s="909"/>
      <c r="G8" s="909"/>
      <c r="H8" s="909"/>
      <c r="I8" s="910"/>
      <c r="J8" s="1340" t="s">
        <v>175</v>
      </c>
      <c r="K8" s="1341"/>
      <c r="L8" s="1342"/>
      <c r="M8" s="908" t="str">
        <f>IF(ISBLANK(General!$E$16),"",General!$E$16)</f>
        <v>Corpus Christi, TX</v>
      </c>
      <c r="N8" s="909"/>
      <c r="O8" s="909"/>
      <c r="P8" s="909"/>
      <c r="Q8" s="909"/>
      <c r="R8" s="914"/>
    </row>
    <row r="9" spans="2:18" ht="15.75">
      <c r="B9" s="1331" t="s">
        <v>95</v>
      </c>
      <c r="C9" s="1332"/>
      <c r="D9" s="1332"/>
      <c r="E9" s="1332"/>
      <c r="F9" s="1332"/>
      <c r="G9" s="1332"/>
      <c r="H9" s="1332"/>
      <c r="I9" s="1332"/>
      <c r="J9" s="1332"/>
      <c r="K9" s="1332"/>
      <c r="L9" s="1332"/>
      <c r="M9" s="1332"/>
      <c r="N9" s="1332"/>
      <c r="O9" s="1332"/>
      <c r="P9" s="1332"/>
      <c r="Q9" s="1332"/>
      <c r="R9" s="1333"/>
    </row>
    <row r="10" spans="2:18">
      <c r="B10" s="196"/>
      <c r="C10" s="197"/>
      <c r="D10" s="197"/>
      <c r="E10" s="197"/>
      <c r="F10" s="197"/>
      <c r="G10" s="197"/>
      <c r="H10" s="197"/>
      <c r="I10" s="197"/>
      <c r="J10" s="197"/>
      <c r="K10" s="197"/>
      <c r="L10" s="197"/>
      <c r="M10" s="197"/>
      <c r="N10" s="197"/>
      <c r="O10" s="197"/>
      <c r="P10" s="197"/>
      <c r="Q10" s="197"/>
      <c r="R10" s="198"/>
    </row>
    <row r="11" spans="2:18">
      <c r="B11" s="1348">
        <v>1</v>
      </c>
      <c r="C11" s="1349"/>
      <c r="D11" s="1352" t="s">
        <v>136</v>
      </c>
      <c r="E11" s="1352"/>
      <c r="F11" s="1352"/>
      <c r="G11" s="1352"/>
      <c r="H11" s="1352"/>
      <c r="I11" s="1352"/>
      <c r="J11" s="1352"/>
      <c r="K11" s="1352"/>
      <c r="L11" s="1352"/>
      <c r="M11" s="1352"/>
      <c r="N11" s="1352"/>
      <c r="O11" s="1352"/>
      <c r="P11" s="1352"/>
      <c r="Q11" s="1352"/>
      <c r="R11" s="1353"/>
    </row>
    <row r="12" spans="2:18" ht="12.75" customHeight="1">
      <c r="B12" s="1354">
        <v>2</v>
      </c>
      <c r="C12" s="1355"/>
      <c r="D12" s="1352" t="s">
        <v>137</v>
      </c>
      <c r="E12" s="1352"/>
      <c r="F12" s="1352"/>
      <c r="G12" s="1352"/>
      <c r="H12" s="1352"/>
      <c r="I12" s="1352"/>
      <c r="J12" s="1352"/>
      <c r="K12" s="1352"/>
      <c r="L12" s="1352"/>
      <c r="M12" s="1352"/>
      <c r="N12" s="1352"/>
      <c r="O12" s="1352"/>
      <c r="P12" s="1352"/>
      <c r="Q12" s="1352"/>
      <c r="R12" s="1353"/>
    </row>
    <row r="13" spans="2:18" ht="12.75" customHeight="1">
      <c r="B13" s="128"/>
      <c r="C13" s="142"/>
      <c r="D13" s="1350" t="s">
        <v>334</v>
      </c>
      <c r="E13" s="1350"/>
      <c r="F13" s="1350"/>
      <c r="G13" s="1350"/>
      <c r="H13" s="1350"/>
      <c r="I13" s="1350"/>
      <c r="J13" s="1350"/>
      <c r="K13" s="1350"/>
      <c r="L13" s="1350"/>
      <c r="M13" s="1350"/>
      <c r="N13" s="1350"/>
      <c r="O13" s="1350"/>
      <c r="P13" s="1350"/>
      <c r="Q13" s="1350"/>
      <c r="R13" s="1351"/>
    </row>
    <row r="14" spans="2:18">
      <c r="B14" s="1348">
        <v>3</v>
      </c>
      <c r="C14" s="1349"/>
      <c r="D14" s="1350" t="s">
        <v>139</v>
      </c>
      <c r="E14" s="1350"/>
      <c r="F14" s="1350"/>
      <c r="G14" s="1350"/>
      <c r="H14" s="1350"/>
      <c r="I14" s="1350"/>
      <c r="J14" s="1350"/>
      <c r="K14" s="1350"/>
      <c r="L14" s="1350"/>
      <c r="M14" s="1350"/>
      <c r="N14" s="1350"/>
      <c r="O14" s="1350"/>
      <c r="P14" s="1350"/>
      <c r="Q14" s="1350"/>
      <c r="R14" s="1351"/>
    </row>
    <row r="15" spans="2:18" ht="12.75" customHeight="1">
      <c r="B15" s="1354">
        <v>4</v>
      </c>
      <c r="C15" s="1355"/>
      <c r="D15" s="1352" t="s">
        <v>138</v>
      </c>
      <c r="E15" s="1352"/>
      <c r="F15" s="1352"/>
      <c r="G15" s="1352"/>
      <c r="H15" s="1352"/>
      <c r="I15" s="1352"/>
      <c r="J15" s="1352"/>
      <c r="K15" s="1352"/>
      <c r="L15" s="1352"/>
      <c r="M15" s="1352"/>
      <c r="N15" s="1352"/>
      <c r="O15" s="1352"/>
      <c r="P15" s="1352"/>
      <c r="Q15" s="1352"/>
      <c r="R15" s="1353"/>
    </row>
    <row r="16" spans="2:18" ht="12.75" customHeight="1">
      <c r="B16" s="1348"/>
      <c r="C16" s="1349"/>
      <c r="D16" s="1350"/>
      <c r="E16" s="1350"/>
      <c r="F16" s="1350"/>
      <c r="G16" s="1350"/>
      <c r="H16" s="1350"/>
      <c r="I16" s="1350"/>
      <c r="J16" s="1350"/>
      <c r="K16" s="1350"/>
      <c r="L16" s="1350"/>
      <c r="M16" s="1350"/>
      <c r="N16" s="1350"/>
      <c r="O16" s="1350"/>
      <c r="P16" s="1350"/>
      <c r="Q16" s="1350"/>
      <c r="R16" s="1351"/>
    </row>
    <row r="17" spans="2:18">
      <c r="B17" s="1348"/>
      <c r="C17" s="1349"/>
      <c r="D17" s="1350"/>
      <c r="E17" s="1350"/>
      <c r="F17" s="1350"/>
      <c r="G17" s="1350"/>
      <c r="H17" s="1350"/>
      <c r="I17" s="1350"/>
      <c r="J17" s="1350"/>
      <c r="K17" s="1350"/>
      <c r="L17" s="1350"/>
      <c r="M17" s="1350"/>
      <c r="N17" s="1350"/>
      <c r="O17" s="1350"/>
      <c r="P17" s="1350"/>
      <c r="Q17" s="1350"/>
      <c r="R17" s="1351"/>
    </row>
    <row r="18" spans="2:18" ht="12.75" customHeight="1">
      <c r="B18" s="1348"/>
      <c r="C18" s="1349"/>
      <c r="D18" s="1350"/>
      <c r="E18" s="1350"/>
      <c r="F18" s="1350"/>
      <c r="G18" s="1350"/>
      <c r="H18" s="1350"/>
      <c r="I18" s="1350"/>
      <c r="J18" s="1350"/>
      <c r="K18" s="1350"/>
      <c r="L18" s="1350"/>
      <c r="M18" s="1350"/>
      <c r="N18" s="1350"/>
      <c r="O18" s="1350"/>
      <c r="P18" s="1350"/>
      <c r="Q18" s="1350"/>
      <c r="R18" s="1351"/>
    </row>
    <row r="19" spans="2:18" ht="12.75" customHeight="1">
      <c r="B19" s="1348"/>
      <c r="C19" s="1349"/>
      <c r="D19" s="1350"/>
      <c r="E19" s="1350"/>
      <c r="F19" s="1350"/>
      <c r="G19" s="1350"/>
      <c r="H19" s="1350"/>
      <c r="I19" s="1350"/>
      <c r="J19" s="1350"/>
      <c r="K19" s="1350"/>
      <c r="L19" s="1350"/>
      <c r="M19" s="1350"/>
      <c r="N19" s="1350"/>
      <c r="O19" s="1350"/>
      <c r="P19" s="1350"/>
      <c r="Q19" s="1350"/>
      <c r="R19" s="1351"/>
    </row>
    <row r="20" spans="2:18">
      <c r="B20" s="1348"/>
      <c r="C20" s="1349"/>
      <c r="D20" s="1350"/>
      <c r="E20" s="1350"/>
      <c r="F20" s="1350"/>
      <c r="G20" s="1350"/>
      <c r="H20" s="1350"/>
      <c r="I20" s="1350"/>
      <c r="J20" s="1350"/>
      <c r="K20" s="1350"/>
      <c r="L20" s="1350"/>
      <c r="M20" s="1350"/>
      <c r="N20" s="1350"/>
      <c r="O20" s="1350"/>
      <c r="P20" s="1350"/>
      <c r="Q20" s="1350"/>
      <c r="R20" s="1351"/>
    </row>
    <row r="21" spans="2:18">
      <c r="B21" s="1348"/>
      <c r="C21" s="1349"/>
      <c r="D21" s="1350"/>
      <c r="E21" s="1350"/>
      <c r="F21" s="1350"/>
      <c r="G21" s="1350"/>
      <c r="H21" s="1350"/>
      <c r="I21" s="1350"/>
      <c r="J21" s="1350"/>
      <c r="K21" s="1350"/>
      <c r="L21" s="1350"/>
      <c r="M21" s="1350"/>
      <c r="N21" s="1350"/>
      <c r="O21" s="1350"/>
      <c r="P21" s="1350"/>
      <c r="Q21" s="1350"/>
      <c r="R21" s="1351"/>
    </row>
    <row r="22" spans="2:18" ht="12.75" customHeight="1">
      <c r="B22" s="1348"/>
      <c r="C22" s="1349"/>
      <c r="D22" s="1350"/>
      <c r="E22" s="1350"/>
      <c r="F22" s="1350"/>
      <c r="G22" s="1350"/>
      <c r="H22" s="1350"/>
      <c r="I22" s="1350"/>
      <c r="J22" s="1350"/>
      <c r="K22" s="1350"/>
      <c r="L22" s="1350"/>
      <c r="M22" s="1350"/>
      <c r="N22" s="1350"/>
      <c r="O22" s="1350"/>
      <c r="P22" s="1350"/>
      <c r="Q22" s="1350"/>
      <c r="R22" s="1351"/>
    </row>
    <row r="23" spans="2:18" ht="12.75" customHeight="1">
      <c r="B23" s="1348"/>
      <c r="C23" s="1349"/>
      <c r="D23" s="1350"/>
      <c r="E23" s="1350"/>
      <c r="F23" s="1350"/>
      <c r="G23" s="1350"/>
      <c r="H23" s="1350"/>
      <c r="I23" s="1350"/>
      <c r="J23" s="1350"/>
      <c r="K23" s="1350"/>
      <c r="L23" s="1350"/>
      <c r="M23" s="1350"/>
      <c r="N23" s="1350"/>
      <c r="O23" s="1350"/>
      <c r="P23" s="1350"/>
      <c r="Q23" s="1350"/>
      <c r="R23" s="1351"/>
    </row>
    <row r="24" spans="2:18">
      <c r="B24" s="1348"/>
      <c r="C24" s="1349"/>
      <c r="D24" s="1350"/>
      <c r="E24" s="1350"/>
      <c r="F24" s="1350"/>
      <c r="G24" s="1350"/>
      <c r="H24" s="1350"/>
      <c r="I24" s="1350"/>
      <c r="J24" s="1350"/>
      <c r="K24" s="1350"/>
      <c r="L24" s="1350"/>
      <c r="M24" s="1350"/>
      <c r="N24" s="1350"/>
      <c r="O24" s="1350"/>
      <c r="P24" s="1350"/>
      <c r="Q24" s="1350"/>
      <c r="R24" s="1351"/>
    </row>
    <row r="25" spans="2:18" ht="12.75" customHeight="1">
      <c r="B25" s="1348"/>
      <c r="C25" s="1349"/>
      <c r="D25" s="1350"/>
      <c r="E25" s="1350"/>
      <c r="F25" s="1350"/>
      <c r="G25" s="1350"/>
      <c r="H25" s="1350"/>
      <c r="I25" s="1350"/>
      <c r="J25" s="1350"/>
      <c r="K25" s="1350"/>
      <c r="L25" s="1350"/>
      <c r="M25" s="1350"/>
      <c r="N25" s="1350"/>
      <c r="O25" s="1350"/>
      <c r="P25" s="1350"/>
      <c r="Q25" s="1350"/>
      <c r="R25" s="1351"/>
    </row>
    <row r="26" spans="2:18" ht="12.75" customHeight="1">
      <c r="B26" s="1348"/>
      <c r="C26" s="1349"/>
      <c r="D26" s="1350"/>
      <c r="E26" s="1350"/>
      <c r="F26" s="1350"/>
      <c r="G26" s="1350"/>
      <c r="H26" s="1350"/>
      <c r="I26" s="1350"/>
      <c r="J26" s="1350"/>
      <c r="K26" s="1350"/>
      <c r="L26" s="1350"/>
      <c r="M26" s="1350"/>
      <c r="N26" s="1350"/>
      <c r="O26" s="1350"/>
      <c r="P26" s="1350"/>
      <c r="Q26" s="1350"/>
      <c r="R26" s="1351"/>
    </row>
    <row r="27" spans="2:18" ht="12.75" customHeight="1">
      <c r="B27" s="1348"/>
      <c r="C27" s="1349"/>
      <c r="D27" s="1350"/>
      <c r="E27" s="1350"/>
      <c r="F27" s="1350"/>
      <c r="G27" s="1350"/>
      <c r="H27" s="1350"/>
      <c r="I27" s="1350"/>
      <c r="J27" s="1350"/>
      <c r="K27" s="1350"/>
      <c r="L27" s="1350"/>
      <c r="M27" s="1350"/>
      <c r="N27" s="1350"/>
      <c r="O27" s="1350"/>
      <c r="P27" s="1350"/>
      <c r="Q27" s="1350"/>
      <c r="R27" s="1351"/>
    </row>
    <row r="28" spans="2:18" ht="12.75" customHeight="1">
      <c r="B28" s="1348"/>
      <c r="C28" s="1349"/>
      <c r="D28" s="1350"/>
      <c r="E28" s="1350"/>
      <c r="F28" s="1350"/>
      <c r="G28" s="1350"/>
      <c r="H28" s="1350"/>
      <c r="I28" s="1350"/>
      <c r="J28" s="1350"/>
      <c r="K28" s="1350"/>
      <c r="L28" s="1350"/>
      <c r="M28" s="1350"/>
      <c r="N28" s="1350"/>
      <c r="O28" s="1350"/>
      <c r="P28" s="1350"/>
      <c r="Q28" s="1350"/>
      <c r="R28" s="1351"/>
    </row>
    <row r="29" spans="2:18">
      <c r="B29" s="1348"/>
      <c r="C29" s="1349"/>
      <c r="D29" s="1350"/>
      <c r="E29" s="1350"/>
      <c r="F29" s="1350"/>
      <c r="G29" s="1350"/>
      <c r="H29" s="1350"/>
      <c r="I29" s="1350"/>
      <c r="J29" s="1350"/>
      <c r="K29" s="1350"/>
      <c r="L29" s="1350"/>
      <c r="M29" s="1350"/>
      <c r="N29" s="1350"/>
      <c r="O29" s="1350"/>
      <c r="P29" s="1350"/>
      <c r="Q29" s="1350"/>
      <c r="R29" s="1351"/>
    </row>
    <row r="30" spans="2:18">
      <c r="B30" s="1348"/>
      <c r="C30" s="1349"/>
      <c r="D30" s="1350"/>
      <c r="E30" s="1350"/>
      <c r="F30" s="1350"/>
      <c r="G30" s="1350"/>
      <c r="H30" s="1350"/>
      <c r="I30" s="1350"/>
      <c r="J30" s="1350"/>
      <c r="K30" s="1350"/>
      <c r="L30" s="1350"/>
      <c r="M30" s="1350"/>
      <c r="N30" s="1350"/>
      <c r="O30" s="1350"/>
      <c r="P30" s="1350"/>
      <c r="Q30" s="1350"/>
      <c r="R30" s="1351"/>
    </row>
    <row r="31" spans="2:18" ht="16.5" customHeight="1">
      <c r="B31" s="1348"/>
      <c r="C31" s="1349"/>
      <c r="D31" s="1350"/>
      <c r="E31" s="1350"/>
      <c r="F31" s="1350"/>
      <c r="G31" s="1350"/>
      <c r="H31" s="1350"/>
      <c r="I31" s="1350"/>
      <c r="J31" s="1350"/>
      <c r="K31" s="1350"/>
      <c r="L31" s="1350"/>
      <c r="M31" s="1350"/>
      <c r="N31" s="1350"/>
      <c r="O31" s="1350"/>
      <c r="P31" s="1350"/>
      <c r="Q31" s="1350"/>
      <c r="R31" s="1351"/>
    </row>
    <row r="32" spans="2:18" ht="12.75" customHeight="1">
      <c r="B32" s="1348"/>
      <c r="C32" s="1349"/>
      <c r="D32" s="1350"/>
      <c r="E32" s="1350"/>
      <c r="F32" s="1350"/>
      <c r="G32" s="1350"/>
      <c r="H32" s="1350"/>
      <c r="I32" s="1350"/>
      <c r="J32" s="1350"/>
      <c r="K32" s="1350"/>
      <c r="L32" s="1350"/>
      <c r="M32" s="1350"/>
      <c r="N32" s="1350"/>
      <c r="O32" s="1350"/>
      <c r="P32" s="1350"/>
      <c r="Q32" s="1350"/>
      <c r="R32" s="1351"/>
    </row>
    <row r="33" spans="2:18">
      <c r="B33" s="1348"/>
      <c r="C33" s="1349"/>
      <c r="D33" s="1350"/>
      <c r="E33" s="1350"/>
      <c r="F33" s="1350"/>
      <c r="G33" s="1350"/>
      <c r="H33" s="1350"/>
      <c r="I33" s="1350"/>
      <c r="J33" s="1350"/>
      <c r="K33" s="1350"/>
      <c r="L33" s="1350"/>
      <c r="M33" s="1350"/>
      <c r="N33" s="1350"/>
      <c r="O33" s="1350"/>
      <c r="P33" s="1350"/>
      <c r="Q33" s="1350"/>
      <c r="R33" s="1351"/>
    </row>
    <row r="34" spans="2:18">
      <c r="B34" s="1348"/>
      <c r="C34" s="1349"/>
      <c r="D34" s="1350"/>
      <c r="E34" s="1350"/>
      <c r="F34" s="1350"/>
      <c r="G34" s="1350"/>
      <c r="H34" s="1350"/>
      <c r="I34" s="1350"/>
      <c r="J34" s="1350"/>
      <c r="K34" s="1350"/>
      <c r="L34" s="1350"/>
      <c r="M34" s="1350"/>
      <c r="N34" s="1350"/>
      <c r="O34" s="1350"/>
      <c r="P34" s="1350"/>
      <c r="Q34" s="1350"/>
      <c r="R34" s="1351"/>
    </row>
    <row r="35" spans="2:18">
      <c r="B35" s="1348"/>
      <c r="C35" s="1349"/>
      <c r="D35" s="1350"/>
      <c r="E35" s="1350"/>
      <c r="F35" s="1350"/>
      <c r="G35" s="1350"/>
      <c r="H35" s="1350"/>
      <c r="I35" s="1350"/>
      <c r="J35" s="1350"/>
      <c r="K35" s="1350"/>
      <c r="L35" s="1350"/>
      <c r="M35" s="1350"/>
      <c r="N35" s="1350"/>
      <c r="O35" s="1350"/>
      <c r="P35" s="1350"/>
      <c r="Q35" s="1350"/>
      <c r="R35" s="1351"/>
    </row>
    <row r="36" spans="2:18">
      <c r="B36" s="1348"/>
      <c r="C36" s="1349"/>
      <c r="D36" s="1350"/>
      <c r="E36" s="1350"/>
      <c r="F36" s="1350"/>
      <c r="G36" s="1350"/>
      <c r="H36" s="1350"/>
      <c r="I36" s="1350"/>
      <c r="J36" s="1350"/>
      <c r="K36" s="1350"/>
      <c r="L36" s="1350"/>
      <c r="M36" s="1350"/>
      <c r="N36" s="1350"/>
      <c r="O36" s="1350"/>
      <c r="P36" s="1350"/>
      <c r="Q36" s="1350"/>
      <c r="R36" s="1351"/>
    </row>
    <row r="37" spans="2:18">
      <c r="B37" s="1348"/>
      <c r="C37" s="1349"/>
      <c r="D37" s="1350"/>
      <c r="E37" s="1350"/>
      <c r="F37" s="1350"/>
      <c r="G37" s="1350"/>
      <c r="H37" s="1350"/>
      <c r="I37" s="1350"/>
      <c r="J37" s="1350"/>
      <c r="K37" s="1350"/>
      <c r="L37" s="1350"/>
      <c r="M37" s="1350"/>
      <c r="N37" s="1350"/>
      <c r="O37" s="1350"/>
      <c r="P37" s="1350"/>
      <c r="Q37" s="1350"/>
      <c r="R37" s="1351"/>
    </row>
    <row r="38" spans="2:18">
      <c r="B38" s="1348"/>
      <c r="C38" s="1349"/>
      <c r="D38" s="1350"/>
      <c r="E38" s="1350"/>
      <c r="F38" s="1350"/>
      <c r="G38" s="1350"/>
      <c r="H38" s="1350"/>
      <c r="I38" s="1350"/>
      <c r="J38" s="1350"/>
      <c r="K38" s="1350"/>
      <c r="L38" s="1350"/>
      <c r="M38" s="1350"/>
      <c r="N38" s="1350"/>
      <c r="O38" s="1350"/>
      <c r="P38" s="1350"/>
      <c r="Q38" s="1350"/>
      <c r="R38" s="1351"/>
    </row>
    <row r="39" spans="2:18">
      <c r="B39" s="1348"/>
      <c r="C39" s="1349"/>
      <c r="D39" s="1350"/>
      <c r="E39" s="1350"/>
      <c r="F39" s="1350"/>
      <c r="G39" s="1350"/>
      <c r="H39" s="1350"/>
      <c r="I39" s="1350"/>
      <c r="J39" s="1350"/>
      <c r="K39" s="1350"/>
      <c r="L39" s="1350"/>
      <c r="M39" s="1350"/>
      <c r="N39" s="1350"/>
      <c r="O39" s="1350"/>
      <c r="P39" s="1350"/>
      <c r="Q39" s="1350"/>
      <c r="R39" s="1351"/>
    </row>
    <row r="40" spans="2:18">
      <c r="B40" s="1348"/>
      <c r="C40" s="1349"/>
      <c r="D40" s="1350"/>
      <c r="E40" s="1350"/>
      <c r="F40" s="1350"/>
      <c r="G40" s="1350"/>
      <c r="H40" s="1350"/>
      <c r="I40" s="1350"/>
      <c r="J40" s="1350"/>
      <c r="K40" s="1350"/>
      <c r="L40" s="1350"/>
      <c r="M40" s="1350"/>
      <c r="N40" s="1350"/>
      <c r="O40" s="1350"/>
      <c r="P40" s="1350"/>
      <c r="Q40" s="1350"/>
      <c r="R40" s="1351"/>
    </row>
    <row r="41" spans="2:18">
      <c r="B41" s="1348"/>
      <c r="C41" s="1349"/>
      <c r="D41" s="1350"/>
      <c r="E41" s="1350"/>
      <c r="F41" s="1350"/>
      <c r="G41" s="1350"/>
      <c r="H41" s="1350"/>
      <c r="I41" s="1350"/>
      <c r="J41" s="1350"/>
      <c r="K41" s="1350"/>
      <c r="L41" s="1350"/>
      <c r="M41" s="1350"/>
      <c r="N41" s="1350"/>
      <c r="O41" s="1350"/>
      <c r="P41" s="1350"/>
      <c r="Q41" s="1350"/>
      <c r="R41" s="1351"/>
    </row>
    <row r="42" spans="2:18">
      <c r="B42" s="1348"/>
      <c r="C42" s="1349"/>
      <c r="D42" s="1350"/>
      <c r="E42" s="1350"/>
      <c r="F42" s="1350"/>
      <c r="G42" s="1350"/>
      <c r="H42" s="1350"/>
      <c r="I42" s="1350"/>
      <c r="J42" s="1350"/>
      <c r="K42" s="1350"/>
      <c r="L42" s="1350"/>
      <c r="M42" s="1350"/>
      <c r="N42" s="1350"/>
      <c r="O42" s="1350"/>
      <c r="P42" s="1350"/>
      <c r="Q42" s="1350"/>
      <c r="R42" s="1351"/>
    </row>
    <row r="43" spans="2:18" ht="12.75" customHeight="1">
      <c r="B43" s="1348"/>
      <c r="C43" s="1349"/>
      <c r="D43" s="1350"/>
      <c r="E43" s="1350"/>
      <c r="F43" s="1350"/>
      <c r="G43" s="1350"/>
      <c r="H43" s="1350"/>
      <c r="I43" s="1350"/>
      <c r="J43" s="1350"/>
      <c r="K43" s="1350"/>
      <c r="L43" s="1350"/>
      <c r="M43" s="1350"/>
      <c r="N43" s="1350"/>
      <c r="O43" s="1350"/>
      <c r="P43" s="1350"/>
      <c r="Q43" s="1350"/>
      <c r="R43" s="1351"/>
    </row>
    <row r="44" spans="2:18" ht="12.75" customHeight="1">
      <c r="B44" s="1348"/>
      <c r="C44" s="1349"/>
      <c r="D44" s="1350"/>
      <c r="E44" s="1350"/>
      <c r="F44" s="1350"/>
      <c r="G44" s="1350"/>
      <c r="H44" s="1350"/>
      <c r="I44" s="1350"/>
      <c r="J44" s="1350"/>
      <c r="K44" s="1350"/>
      <c r="L44" s="1350"/>
      <c r="M44" s="1350"/>
      <c r="N44" s="1350"/>
      <c r="O44" s="1350"/>
      <c r="P44" s="1350"/>
      <c r="Q44" s="1350"/>
      <c r="R44" s="1351"/>
    </row>
    <row r="45" spans="2:18" ht="12.75" customHeight="1">
      <c r="B45" s="1348"/>
      <c r="C45" s="1349"/>
      <c r="D45" s="1350"/>
      <c r="E45" s="1350"/>
      <c r="F45" s="1350"/>
      <c r="G45" s="1350"/>
      <c r="H45" s="1350"/>
      <c r="I45" s="1350"/>
      <c r="J45" s="1350"/>
      <c r="K45" s="1350"/>
      <c r="L45" s="1350"/>
      <c r="M45" s="1350"/>
      <c r="N45" s="1350"/>
      <c r="O45" s="1350"/>
      <c r="P45" s="1350"/>
      <c r="Q45" s="1350"/>
      <c r="R45" s="1351"/>
    </row>
    <row r="46" spans="2:18" ht="12.75" customHeight="1">
      <c r="B46" s="1348"/>
      <c r="C46" s="1349"/>
      <c r="D46" s="1350"/>
      <c r="E46" s="1350"/>
      <c r="F46" s="1350"/>
      <c r="G46" s="1350"/>
      <c r="H46" s="1350"/>
      <c r="I46" s="1350"/>
      <c r="J46" s="1350"/>
      <c r="K46" s="1350"/>
      <c r="L46" s="1350"/>
      <c r="M46" s="1350"/>
      <c r="N46" s="1350"/>
      <c r="O46" s="1350"/>
      <c r="P46" s="1350"/>
      <c r="Q46" s="1350"/>
      <c r="R46" s="1351"/>
    </row>
    <row r="47" spans="2:18">
      <c r="B47" s="1348"/>
      <c r="C47" s="1349"/>
      <c r="D47" s="1350"/>
      <c r="E47" s="1350"/>
      <c r="F47" s="1350"/>
      <c r="G47" s="1350"/>
      <c r="H47" s="1350"/>
      <c r="I47" s="1350"/>
      <c r="J47" s="1350"/>
      <c r="K47" s="1350"/>
      <c r="L47" s="1350"/>
      <c r="M47" s="1350"/>
      <c r="N47" s="1350"/>
      <c r="O47" s="1350"/>
      <c r="P47" s="1350"/>
      <c r="Q47" s="1350"/>
      <c r="R47" s="1351"/>
    </row>
    <row r="48" spans="2:18">
      <c r="B48" s="1348"/>
      <c r="C48" s="1349"/>
      <c r="D48" s="1350"/>
      <c r="E48" s="1350"/>
      <c r="F48" s="1350"/>
      <c r="G48" s="1350"/>
      <c r="H48" s="1350"/>
      <c r="I48" s="1350"/>
      <c r="J48" s="1350"/>
      <c r="K48" s="1350"/>
      <c r="L48" s="1350"/>
      <c r="M48" s="1350"/>
      <c r="N48" s="1350"/>
      <c r="O48" s="1350"/>
      <c r="P48" s="1350"/>
      <c r="Q48" s="1350"/>
      <c r="R48" s="1351"/>
    </row>
    <row r="49" spans="2:18">
      <c r="B49" s="1348"/>
      <c r="C49" s="1349"/>
      <c r="D49" s="1350"/>
      <c r="E49" s="1350"/>
      <c r="F49" s="1350"/>
      <c r="G49" s="1350"/>
      <c r="H49" s="1350"/>
      <c r="I49" s="1350"/>
      <c r="J49" s="1350"/>
      <c r="K49" s="1350"/>
      <c r="L49" s="1350"/>
      <c r="M49" s="1350"/>
      <c r="N49" s="1350"/>
      <c r="O49" s="1350"/>
      <c r="P49" s="1350"/>
      <c r="Q49" s="1350"/>
      <c r="R49" s="1351"/>
    </row>
    <row r="50" spans="2:18">
      <c r="B50" s="1348"/>
      <c r="C50" s="1349"/>
      <c r="D50" s="1350"/>
      <c r="E50" s="1350"/>
      <c r="F50" s="1350"/>
      <c r="G50" s="1350"/>
      <c r="H50" s="1350"/>
      <c r="I50" s="1350"/>
      <c r="J50" s="1350"/>
      <c r="K50" s="1350"/>
      <c r="L50" s="1350"/>
      <c r="M50" s="1350"/>
      <c r="N50" s="1350"/>
      <c r="O50" s="1350"/>
      <c r="P50" s="1350"/>
      <c r="Q50" s="1350"/>
      <c r="R50" s="1351"/>
    </row>
    <row r="51" spans="2:18">
      <c r="B51" s="1348"/>
      <c r="C51" s="1349"/>
      <c r="D51" s="1350"/>
      <c r="E51" s="1350"/>
      <c r="F51" s="1350"/>
      <c r="G51" s="1350"/>
      <c r="H51" s="1350"/>
      <c r="I51" s="1350"/>
      <c r="J51" s="1350"/>
      <c r="K51" s="1350"/>
      <c r="L51" s="1350"/>
      <c r="M51" s="1350"/>
      <c r="N51" s="1350"/>
      <c r="O51" s="1350"/>
      <c r="P51" s="1350"/>
      <c r="Q51" s="1350"/>
      <c r="R51" s="1351"/>
    </row>
    <row r="52" spans="2:18" ht="12.75" customHeight="1">
      <c r="B52" s="1348"/>
      <c r="C52" s="1349"/>
      <c r="D52" s="1350"/>
      <c r="E52" s="1350"/>
      <c r="F52" s="1350"/>
      <c r="G52" s="1350"/>
      <c r="H52" s="1350"/>
      <c r="I52" s="1350"/>
      <c r="J52" s="1350"/>
      <c r="K52" s="1350"/>
      <c r="L52" s="1350"/>
      <c r="M52" s="1350"/>
      <c r="N52" s="1350"/>
      <c r="O52" s="1350"/>
      <c r="P52" s="1350"/>
      <c r="Q52" s="1350"/>
      <c r="R52" s="1351"/>
    </row>
    <row r="53" spans="2:18" ht="12.75" customHeight="1">
      <c r="B53" s="1348"/>
      <c r="C53" s="1349"/>
      <c r="D53" s="1350"/>
      <c r="E53" s="1350"/>
      <c r="F53" s="1350"/>
      <c r="G53" s="1350"/>
      <c r="H53" s="1350"/>
      <c r="I53" s="1350"/>
      <c r="J53" s="1350"/>
      <c r="K53" s="1350"/>
      <c r="L53" s="1350"/>
      <c r="M53" s="1350"/>
      <c r="N53" s="1350"/>
      <c r="O53" s="1350"/>
      <c r="P53" s="1350"/>
      <c r="Q53" s="1350"/>
      <c r="R53" s="1351"/>
    </row>
    <row r="54" spans="2:18" ht="12.75" customHeight="1">
      <c r="B54" s="1348"/>
      <c r="C54" s="1349"/>
      <c r="D54" s="1350"/>
      <c r="E54" s="1350"/>
      <c r="F54" s="1350"/>
      <c r="G54" s="1350"/>
      <c r="H54" s="1350"/>
      <c r="I54" s="1350"/>
      <c r="J54" s="1350"/>
      <c r="K54" s="1350"/>
      <c r="L54" s="1350"/>
      <c r="M54" s="1350"/>
      <c r="N54" s="1350"/>
      <c r="O54" s="1350"/>
      <c r="P54" s="1350"/>
      <c r="Q54" s="1350"/>
      <c r="R54" s="1351"/>
    </row>
    <row r="55" spans="2:18" ht="12.75" customHeight="1">
      <c r="B55" s="1348"/>
      <c r="C55" s="1349"/>
      <c r="D55" s="1350"/>
      <c r="E55" s="1350"/>
      <c r="F55" s="1350"/>
      <c r="G55" s="1350"/>
      <c r="H55" s="1350"/>
      <c r="I55" s="1350"/>
      <c r="J55" s="1350"/>
      <c r="K55" s="1350"/>
      <c r="L55" s="1350"/>
      <c r="M55" s="1350"/>
      <c r="N55" s="1350"/>
      <c r="O55" s="1350"/>
      <c r="P55" s="1350"/>
      <c r="Q55" s="1350"/>
      <c r="R55" s="1351"/>
    </row>
    <row r="56" spans="2:18">
      <c r="B56" s="1348"/>
      <c r="C56" s="1349"/>
      <c r="D56" s="1350"/>
      <c r="E56" s="1350"/>
      <c r="F56" s="1350"/>
      <c r="G56" s="1350"/>
      <c r="H56" s="1350"/>
      <c r="I56" s="1350"/>
      <c r="J56" s="1350"/>
      <c r="K56" s="1350"/>
      <c r="L56" s="1350"/>
      <c r="M56" s="1350"/>
      <c r="N56" s="1350"/>
      <c r="O56" s="1350"/>
      <c r="P56" s="1350"/>
      <c r="Q56" s="1350"/>
      <c r="R56" s="1351"/>
    </row>
    <row r="57" spans="2:18">
      <c r="B57" s="1348"/>
      <c r="C57" s="1349"/>
      <c r="D57" s="1350"/>
      <c r="E57" s="1350"/>
      <c r="F57" s="1350"/>
      <c r="G57" s="1350"/>
      <c r="H57" s="1350"/>
      <c r="I57" s="1350"/>
      <c r="J57" s="1350"/>
      <c r="K57" s="1350"/>
      <c r="L57" s="1350"/>
      <c r="M57" s="1350"/>
      <c r="N57" s="1350"/>
      <c r="O57" s="1350"/>
      <c r="P57" s="1350"/>
      <c r="Q57" s="1350"/>
      <c r="R57" s="1351"/>
    </row>
    <row r="58" spans="2:18" ht="13.7" customHeight="1">
      <c r="B58" s="1348"/>
      <c r="C58" s="1349"/>
      <c r="D58" s="1350"/>
      <c r="E58" s="1350"/>
      <c r="F58" s="1350"/>
      <c r="G58" s="1350"/>
      <c r="H58" s="1350"/>
      <c r="I58" s="1350"/>
      <c r="J58" s="1350"/>
      <c r="K58" s="1350"/>
      <c r="L58" s="1350"/>
      <c r="M58" s="1350"/>
      <c r="N58" s="1350"/>
      <c r="O58" s="1350"/>
      <c r="P58" s="1350"/>
      <c r="Q58" s="1350"/>
      <c r="R58" s="1351"/>
    </row>
    <row r="59" spans="2:18">
      <c r="B59" s="1348"/>
      <c r="C59" s="1349"/>
      <c r="D59" s="1350"/>
      <c r="E59" s="1350"/>
      <c r="F59" s="1350"/>
      <c r="G59" s="1350"/>
      <c r="H59" s="1350"/>
      <c r="I59" s="1350"/>
      <c r="J59" s="1350"/>
      <c r="K59" s="1350"/>
      <c r="L59" s="1350"/>
      <c r="M59" s="1350"/>
      <c r="N59" s="1350"/>
      <c r="O59" s="1350"/>
      <c r="P59" s="1350"/>
      <c r="Q59" s="1350"/>
      <c r="R59" s="1351"/>
    </row>
    <row r="60" spans="2:18">
      <c r="B60" s="1348"/>
      <c r="C60" s="1349"/>
      <c r="D60" s="1350"/>
      <c r="E60" s="1350"/>
      <c r="F60" s="1350"/>
      <c r="G60" s="1350"/>
      <c r="H60" s="1350"/>
      <c r="I60" s="1350"/>
      <c r="J60" s="1350"/>
      <c r="K60" s="1350"/>
      <c r="L60" s="1350"/>
      <c r="M60" s="1350"/>
      <c r="N60" s="1350"/>
      <c r="O60" s="1350"/>
      <c r="P60" s="1350"/>
      <c r="Q60" s="1350"/>
      <c r="R60" s="1351"/>
    </row>
    <row r="61" spans="2:18">
      <c r="B61" s="1348"/>
      <c r="C61" s="1349"/>
      <c r="D61" s="1350"/>
      <c r="E61" s="1350"/>
      <c r="F61" s="1350"/>
      <c r="G61" s="1350"/>
      <c r="H61" s="1350"/>
      <c r="I61" s="1350"/>
      <c r="J61" s="1350"/>
      <c r="K61" s="1350"/>
      <c r="L61" s="1350"/>
      <c r="M61" s="1350"/>
      <c r="N61" s="1350"/>
      <c r="O61" s="1350"/>
      <c r="P61" s="1350"/>
      <c r="Q61" s="1350"/>
      <c r="R61" s="1351"/>
    </row>
    <row r="62" spans="2:18">
      <c r="B62" s="1348"/>
      <c r="C62" s="1349"/>
      <c r="D62" s="1350"/>
      <c r="E62" s="1350"/>
      <c r="F62" s="1350"/>
      <c r="G62" s="1350"/>
      <c r="H62" s="1350"/>
      <c r="I62" s="1350"/>
      <c r="J62" s="1350"/>
      <c r="K62" s="1350"/>
      <c r="L62" s="1350"/>
      <c r="M62" s="1350"/>
      <c r="N62" s="1350"/>
      <c r="O62" s="1350"/>
      <c r="P62" s="1350"/>
      <c r="Q62" s="1350"/>
      <c r="R62" s="1351"/>
    </row>
    <row r="63" spans="2:18" ht="13.7" customHeight="1">
      <c r="B63" s="1348"/>
      <c r="C63" s="1349"/>
      <c r="D63" s="1350"/>
      <c r="E63" s="1350"/>
      <c r="F63" s="1350"/>
      <c r="G63" s="1350"/>
      <c r="H63" s="1350"/>
      <c r="I63" s="1350"/>
      <c r="J63" s="1350"/>
      <c r="K63" s="1350"/>
      <c r="L63" s="1350"/>
      <c r="M63" s="1350"/>
      <c r="N63" s="1350"/>
      <c r="O63" s="1350"/>
      <c r="P63" s="1350"/>
      <c r="Q63" s="1350"/>
      <c r="R63" s="1351"/>
    </row>
    <row r="64" spans="2:18" ht="13.7" customHeight="1">
      <c r="B64" s="1348"/>
      <c r="C64" s="1349"/>
      <c r="D64" s="1350"/>
      <c r="E64" s="1350"/>
      <c r="F64" s="1350"/>
      <c r="G64" s="1350"/>
      <c r="H64" s="1350"/>
      <c r="I64" s="1350"/>
      <c r="J64" s="1350"/>
      <c r="K64" s="1350"/>
      <c r="L64" s="1350"/>
      <c r="M64" s="1350"/>
      <c r="N64" s="1350"/>
      <c r="O64" s="1350"/>
      <c r="P64" s="1350"/>
      <c r="Q64" s="1350"/>
      <c r="R64" s="1351"/>
    </row>
    <row r="65" spans="2:18" ht="13.7" customHeight="1">
      <c r="B65" s="1348"/>
      <c r="C65" s="1349"/>
      <c r="D65" s="1350"/>
      <c r="E65" s="1350"/>
      <c r="F65" s="1350"/>
      <c r="G65" s="1350"/>
      <c r="H65" s="1350"/>
      <c r="I65" s="1350"/>
      <c r="J65" s="1350"/>
      <c r="K65" s="1350"/>
      <c r="L65" s="1350"/>
      <c r="M65" s="1350"/>
      <c r="N65" s="1350"/>
      <c r="O65" s="1350"/>
      <c r="P65" s="1350"/>
      <c r="Q65" s="1350"/>
      <c r="R65" s="1351"/>
    </row>
    <row r="66" spans="2:18" ht="13.5" thickBot="1">
      <c r="B66" s="1346"/>
      <c r="C66" s="1347"/>
      <c r="D66" s="1344"/>
      <c r="E66" s="1344"/>
      <c r="F66" s="1344"/>
      <c r="G66" s="1344"/>
      <c r="H66" s="1344"/>
      <c r="I66" s="1344"/>
      <c r="J66" s="1344"/>
      <c r="K66" s="1344"/>
      <c r="L66" s="1344"/>
      <c r="M66" s="1344"/>
      <c r="N66" s="1344"/>
      <c r="O66" s="1344"/>
      <c r="P66" s="1344"/>
      <c r="Q66" s="1344"/>
      <c r="R66" s="1345"/>
    </row>
    <row r="69" spans="2:18" ht="12.75" customHeight="1"/>
  </sheetData>
  <sheetProtection formatCells="0"/>
  <customSheetViews>
    <customSheetView guid="{E5D99FF3-C22B-41B8-A40B-5D821532B165}" scale="85" showPageBreaks="1" fitToPage="1" printArea="1" view="pageBreakPreview">
      <selection activeCell="R5" sqref="R5"/>
      <pageMargins left="1.2" right="0.7" top="0.75" bottom="0.75" header="0.3" footer="0.3"/>
      <pageSetup scale="58" orientation="landscape" r:id="rId1"/>
    </customSheetView>
  </customSheetViews>
  <mergeCells count="129">
    <mergeCell ref="B14:C14"/>
    <mergeCell ref="B15:C15"/>
    <mergeCell ref="B16:C16"/>
    <mergeCell ref="B17:C17"/>
    <mergeCell ref="B18:C18"/>
    <mergeCell ref="B19:C19"/>
    <mergeCell ref="E2:O5"/>
    <mergeCell ref="P2:Q2"/>
    <mergeCell ref="P3:Q3"/>
    <mergeCell ref="P4:Q4"/>
    <mergeCell ref="P5:Q5"/>
    <mergeCell ref="B6:D6"/>
    <mergeCell ref="E6:I6"/>
    <mergeCell ref="J6:L6"/>
    <mergeCell ref="M6:R6"/>
    <mergeCell ref="B24:C24"/>
    <mergeCell ref="B25:C25"/>
    <mergeCell ref="B7:D7"/>
    <mergeCell ref="E7:I7"/>
    <mergeCell ref="J7:L7"/>
    <mergeCell ref="M7:R7"/>
    <mergeCell ref="B8:D8"/>
    <mergeCell ref="E8:I8"/>
    <mergeCell ref="J8:L8"/>
    <mergeCell ref="M8:R8"/>
    <mergeCell ref="B11:C11"/>
    <mergeCell ref="B23:C23"/>
    <mergeCell ref="D11:R11"/>
    <mergeCell ref="D12:R12"/>
    <mergeCell ref="D13:R13"/>
    <mergeCell ref="D14:R14"/>
    <mergeCell ref="D15:R15"/>
    <mergeCell ref="D16:R16"/>
    <mergeCell ref="D17:R17"/>
    <mergeCell ref="D18:R18"/>
    <mergeCell ref="B9:R9"/>
    <mergeCell ref="B20:C20"/>
    <mergeCell ref="B22:C22"/>
    <mergeCell ref="B12:C12"/>
    <mergeCell ref="B21:C21"/>
    <mergeCell ref="B45:C45"/>
    <mergeCell ref="B52:C52"/>
    <mergeCell ref="B53:C53"/>
    <mergeCell ref="D64:R64"/>
    <mergeCell ref="B59:C59"/>
    <mergeCell ref="D47:R47"/>
    <mergeCell ref="D19:R19"/>
    <mergeCell ref="B28:C28"/>
    <mergeCell ref="B29:C29"/>
    <mergeCell ref="B26:C26"/>
    <mergeCell ref="B27:C27"/>
    <mergeCell ref="D20:R20"/>
    <mergeCell ref="D27:R27"/>
    <mergeCell ref="B44:C44"/>
    <mergeCell ref="B36:C36"/>
    <mergeCell ref="B37:C37"/>
    <mergeCell ref="B38:C38"/>
    <mergeCell ref="B30:C30"/>
    <mergeCell ref="B31:C31"/>
    <mergeCell ref="B32:C32"/>
    <mergeCell ref="B33:C33"/>
    <mergeCell ref="B34:C34"/>
    <mergeCell ref="B35:C35"/>
    <mergeCell ref="D21:R21"/>
    <mergeCell ref="D22:R22"/>
    <mergeCell ref="D23:R23"/>
    <mergeCell ref="D24:R24"/>
    <mergeCell ref="D25:R25"/>
    <mergeCell ref="D32:R32"/>
    <mergeCell ref="D33:R33"/>
    <mergeCell ref="D34:R34"/>
    <mergeCell ref="D35:R35"/>
    <mergeCell ref="D26:R26"/>
    <mergeCell ref="D28:R28"/>
    <mergeCell ref="D29:R29"/>
    <mergeCell ref="D30:R30"/>
    <mergeCell ref="D31:R31"/>
    <mergeCell ref="D36:R36"/>
    <mergeCell ref="D37:R37"/>
    <mergeCell ref="B41:C41"/>
    <mergeCell ref="B42:C42"/>
    <mergeCell ref="B43:C43"/>
    <mergeCell ref="B48:C48"/>
    <mergeCell ref="B49:C49"/>
    <mergeCell ref="D38:R38"/>
    <mergeCell ref="D39:R39"/>
    <mergeCell ref="D40:R40"/>
    <mergeCell ref="D42:R42"/>
    <mergeCell ref="D43:R43"/>
    <mergeCell ref="D41:R41"/>
    <mergeCell ref="B39:C39"/>
    <mergeCell ref="D44:R44"/>
    <mergeCell ref="D45:R45"/>
    <mergeCell ref="D46:R46"/>
    <mergeCell ref="B40:C40"/>
    <mergeCell ref="B46:C46"/>
    <mergeCell ref="D48:R48"/>
    <mergeCell ref="D49:R49"/>
    <mergeCell ref="D50:R50"/>
    <mergeCell ref="D51:R51"/>
    <mergeCell ref="B47:C47"/>
    <mergeCell ref="B50:C50"/>
    <mergeCell ref="B51:C51"/>
    <mergeCell ref="D58:R58"/>
    <mergeCell ref="D59:R59"/>
    <mergeCell ref="D52:R52"/>
    <mergeCell ref="D53:R53"/>
    <mergeCell ref="D54:R54"/>
    <mergeCell ref="D55:R55"/>
    <mergeCell ref="D56:R56"/>
    <mergeCell ref="D57:R57"/>
    <mergeCell ref="B54:C54"/>
    <mergeCell ref="B55:C55"/>
    <mergeCell ref="B56:C56"/>
    <mergeCell ref="D66:R66"/>
    <mergeCell ref="B66:C66"/>
    <mergeCell ref="B57:C57"/>
    <mergeCell ref="B58:C58"/>
    <mergeCell ref="B60:C60"/>
    <mergeCell ref="B61:C61"/>
    <mergeCell ref="B62:C62"/>
    <mergeCell ref="B63:C63"/>
    <mergeCell ref="B64:C64"/>
    <mergeCell ref="B65:C65"/>
    <mergeCell ref="D65:R65"/>
    <mergeCell ref="D60:R60"/>
    <mergeCell ref="D61:R61"/>
    <mergeCell ref="D62:R62"/>
    <mergeCell ref="D63:R63"/>
  </mergeCells>
  <pageMargins left="1.2" right="0.7" top="0.75" bottom="0.75" header="0.3" footer="0.3"/>
  <pageSetup scale="57" orientation="landscap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K617"/>
  <sheetViews>
    <sheetView view="pageBreakPreview" zoomScaleNormal="85" zoomScaleSheetLayoutView="100" workbookViewId="0">
      <selection activeCell="E47" sqref="E47"/>
    </sheetView>
  </sheetViews>
  <sheetFormatPr defaultRowHeight="11.25"/>
  <cols>
    <col min="1" max="1" width="2.85546875" style="60" customWidth="1"/>
    <col min="2" max="2" width="3.28515625" style="60" bestFit="1" customWidth="1"/>
    <col min="3" max="3" width="17.140625" style="61" customWidth="1"/>
    <col min="4" max="4" width="18.42578125" style="62" customWidth="1"/>
    <col min="5" max="5" width="54" style="60" customWidth="1"/>
    <col min="6" max="6" width="15.42578125" style="63" customWidth="1"/>
    <col min="7" max="7" width="15.42578125" style="419" hidden="1" customWidth="1"/>
    <col min="8" max="8" width="8.85546875" style="63" customWidth="1"/>
    <col min="9" max="9" width="9.140625" style="60"/>
    <col min="10" max="10" width="12" style="64" customWidth="1"/>
    <col min="11" max="256" width="9.140625" style="60"/>
    <col min="257" max="257" width="2.85546875" style="60" customWidth="1"/>
    <col min="258" max="258" width="3.28515625" style="60" bestFit="1" customWidth="1"/>
    <col min="259" max="259" width="17.140625" style="60" customWidth="1"/>
    <col min="260" max="260" width="17.7109375" style="60" customWidth="1"/>
    <col min="261" max="261" width="54" style="60" customWidth="1"/>
    <col min="262" max="262" width="15.42578125" style="60" customWidth="1"/>
    <col min="263" max="263" width="0" style="60" hidden="1" customWidth="1"/>
    <col min="264" max="264" width="8.85546875" style="60" customWidth="1"/>
    <col min="265" max="265" width="9.140625" style="60"/>
    <col min="266" max="266" width="12" style="60" customWidth="1"/>
    <col min="267" max="512" width="9.140625" style="60"/>
    <col min="513" max="513" width="2.85546875" style="60" customWidth="1"/>
    <col min="514" max="514" width="3.28515625" style="60" bestFit="1" customWidth="1"/>
    <col min="515" max="515" width="17.140625" style="60" customWidth="1"/>
    <col min="516" max="516" width="17.7109375" style="60" customWidth="1"/>
    <col min="517" max="517" width="54" style="60" customWidth="1"/>
    <col min="518" max="518" width="15.42578125" style="60" customWidth="1"/>
    <col min="519" max="519" width="0" style="60" hidden="1" customWidth="1"/>
    <col min="520" max="520" width="8.85546875" style="60" customWidth="1"/>
    <col min="521" max="521" width="9.140625" style="60"/>
    <col min="522" max="522" width="12" style="60" customWidth="1"/>
    <col min="523" max="768" width="9.140625" style="60"/>
    <col min="769" max="769" width="2.85546875" style="60" customWidth="1"/>
    <col min="770" max="770" width="3.28515625" style="60" bestFit="1" customWidth="1"/>
    <col min="771" max="771" width="17.140625" style="60" customWidth="1"/>
    <col min="772" max="772" width="17.7109375" style="60" customWidth="1"/>
    <col min="773" max="773" width="54" style="60" customWidth="1"/>
    <col min="774" max="774" width="15.42578125" style="60" customWidth="1"/>
    <col min="775" max="775" width="0" style="60" hidden="1" customWidth="1"/>
    <col min="776" max="776" width="8.85546875" style="60" customWidth="1"/>
    <col min="777" max="777" width="9.140625" style="60"/>
    <col min="778" max="778" width="12" style="60" customWidth="1"/>
    <col min="779" max="1024" width="9.140625" style="60"/>
    <col min="1025" max="1025" width="2.85546875" style="60" customWidth="1"/>
    <col min="1026" max="1026" width="3.28515625" style="60" bestFit="1" customWidth="1"/>
    <col min="1027" max="1027" width="17.140625" style="60" customWidth="1"/>
    <col min="1028" max="1028" width="17.7109375" style="60" customWidth="1"/>
    <col min="1029" max="1029" width="54" style="60" customWidth="1"/>
    <col min="1030" max="1030" width="15.42578125" style="60" customWidth="1"/>
    <col min="1031" max="1031" width="0" style="60" hidden="1" customWidth="1"/>
    <col min="1032" max="1032" width="8.85546875" style="60" customWidth="1"/>
    <col min="1033" max="1033" width="9.140625" style="60"/>
    <col min="1034" max="1034" width="12" style="60" customWidth="1"/>
    <col min="1035" max="1280" width="9.140625" style="60"/>
    <col min="1281" max="1281" width="2.85546875" style="60" customWidth="1"/>
    <col min="1282" max="1282" width="3.28515625" style="60" bestFit="1" customWidth="1"/>
    <col min="1283" max="1283" width="17.140625" style="60" customWidth="1"/>
    <col min="1284" max="1284" width="17.7109375" style="60" customWidth="1"/>
    <col min="1285" max="1285" width="54" style="60" customWidth="1"/>
    <col min="1286" max="1286" width="15.42578125" style="60" customWidth="1"/>
    <col min="1287" max="1287" width="0" style="60" hidden="1" customWidth="1"/>
    <col min="1288" max="1288" width="8.85546875" style="60" customWidth="1"/>
    <col min="1289" max="1289" width="9.140625" style="60"/>
    <col min="1290" max="1290" width="12" style="60" customWidth="1"/>
    <col min="1291" max="1536" width="9.140625" style="60"/>
    <col min="1537" max="1537" width="2.85546875" style="60" customWidth="1"/>
    <col min="1538" max="1538" width="3.28515625" style="60" bestFit="1" customWidth="1"/>
    <col min="1539" max="1539" width="17.140625" style="60" customWidth="1"/>
    <col min="1540" max="1540" width="17.7109375" style="60" customWidth="1"/>
    <col min="1541" max="1541" width="54" style="60" customWidth="1"/>
    <col min="1542" max="1542" width="15.42578125" style="60" customWidth="1"/>
    <col min="1543" max="1543" width="0" style="60" hidden="1" customWidth="1"/>
    <col min="1544" max="1544" width="8.85546875" style="60" customWidth="1"/>
    <col min="1545" max="1545" width="9.140625" style="60"/>
    <col min="1546" max="1546" width="12" style="60" customWidth="1"/>
    <col min="1547" max="1792" width="9.140625" style="60"/>
    <col min="1793" max="1793" width="2.85546875" style="60" customWidth="1"/>
    <col min="1794" max="1794" width="3.28515625" style="60" bestFit="1" customWidth="1"/>
    <col min="1795" max="1795" width="17.140625" style="60" customWidth="1"/>
    <col min="1796" max="1796" width="17.7109375" style="60" customWidth="1"/>
    <col min="1797" max="1797" width="54" style="60" customWidth="1"/>
    <col min="1798" max="1798" width="15.42578125" style="60" customWidth="1"/>
    <col min="1799" max="1799" width="0" style="60" hidden="1" customWidth="1"/>
    <col min="1800" max="1800" width="8.85546875" style="60" customWidth="1"/>
    <col min="1801" max="1801" width="9.140625" style="60"/>
    <col min="1802" max="1802" width="12" style="60" customWidth="1"/>
    <col min="1803" max="2048" width="9.140625" style="60"/>
    <col min="2049" max="2049" width="2.85546875" style="60" customWidth="1"/>
    <col min="2050" max="2050" width="3.28515625" style="60" bestFit="1" customWidth="1"/>
    <col min="2051" max="2051" width="17.140625" style="60" customWidth="1"/>
    <col min="2052" max="2052" width="17.7109375" style="60" customWidth="1"/>
    <col min="2053" max="2053" width="54" style="60" customWidth="1"/>
    <col min="2054" max="2054" width="15.42578125" style="60" customWidth="1"/>
    <col min="2055" max="2055" width="0" style="60" hidden="1" customWidth="1"/>
    <col min="2056" max="2056" width="8.85546875" style="60" customWidth="1"/>
    <col min="2057" max="2057" width="9.140625" style="60"/>
    <col min="2058" max="2058" width="12" style="60" customWidth="1"/>
    <col min="2059" max="2304" width="9.140625" style="60"/>
    <col min="2305" max="2305" width="2.85546875" style="60" customWidth="1"/>
    <col min="2306" max="2306" width="3.28515625" style="60" bestFit="1" customWidth="1"/>
    <col min="2307" max="2307" width="17.140625" style="60" customWidth="1"/>
    <col min="2308" max="2308" width="17.7109375" style="60" customWidth="1"/>
    <col min="2309" max="2309" width="54" style="60" customWidth="1"/>
    <col min="2310" max="2310" width="15.42578125" style="60" customWidth="1"/>
    <col min="2311" max="2311" width="0" style="60" hidden="1" customWidth="1"/>
    <col min="2312" max="2312" width="8.85546875" style="60" customWidth="1"/>
    <col min="2313" max="2313" width="9.140625" style="60"/>
    <col min="2314" max="2314" width="12" style="60" customWidth="1"/>
    <col min="2315" max="2560" width="9.140625" style="60"/>
    <col min="2561" max="2561" width="2.85546875" style="60" customWidth="1"/>
    <col min="2562" max="2562" width="3.28515625" style="60" bestFit="1" customWidth="1"/>
    <col min="2563" max="2563" width="17.140625" style="60" customWidth="1"/>
    <col min="2564" max="2564" width="17.7109375" style="60" customWidth="1"/>
    <col min="2565" max="2565" width="54" style="60" customWidth="1"/>
    <col min="2566" max="2566" width="15.42578125" style="60" customWidth="1"/>
    <col min="2567" max="2567" width="0" style="60" hidden="1" customWidth="1"/>
    <col min="2568" max="2568" width="8.85546875" style="60" customWidth="1"/>
    <col min="2569" max="2569" width="9.140625" style="60"/>
    <col min="2570" max="2570" width="12" style="60" customWidth="1"/>
    <col min="2571" max="2816" width="9.140625" style="60"/>
    <col min="2817" max="2817" width="2.85546875" style="60" customWidth="1"/>
    <col min="2818" max="2818" width="3.28515625" style="60" bestFit="1" customWidth="1"/>
    <col min="2819" max="2819" width="17.140625" style="60" customWidth="1"/>
    <col min="2820" max="2820" width="17.7109375" style="60" customWidth="1"/>
    <col min="2821" max="2821" width="54" style="60" customWidth="1"/>
    <col min="2822" max="2822" width="15.42578125" style="60" customWidth="1"/>
    <col min="2823" max="2823" width="0" style="60" hidden="1" customWidth="1"/>
    <col min="2824" max="2824" width="8.85546875" style="60" customWidth="1"/>
    <col min="2825" max="2825" width="9.140625" style="60"/>
    <col min="2826" max="2826" width="12" style="60" customWidth="1"/>
    <col min="2827" max="3072" width="9.140625" style="60"/>
    <col min="3073" max="3073" width="2.85546875" style="60" customWidth="1"/>
    <col min="3074" max="3074" width="3.28515625" style="60" bestFit="1" customWidth="1"/>
    <col min="3075" max="3075" width="17.140625" style="60" customWidth="1"/>
    <col min="3076" max="3076" width="17.7109375" style="60" customWidth="1"/>
    <col min="3077" max="3077" width="54" style="60" customWidth="1"/>
    <col min="3078" max="3078" width="15.42578125" style="60" customWidth="1"/>
    <col min="3079" max="3079" width="0" style="60" hidden="1" customWidth="1"/>
    <col min="3080" max="3080" width="8.85546875" style="60" customWidth="1"/>
    <col min="3081" max="3081" width="9.140625" style="60"/>
    <col min="3082" max="3082" width="12" style="60" customWidth="1"/>
    <col min="3083" max="3328" width="9.140625" style="60"/>
    <col min="3329" max="3329" width="2.85546875" style="60" customWidth="1"/>
    <col min="3330" max="3330" width="3.28515625" style="60" bestFit="1" customWidth="1"/>
    <col min="3331" max="3331" width="17.140625" style="60" customWidth="1"/>
    <col min="3332" max="3332" width="17.7109375" style="60" customWidth="1"/>
    <col min="3333" max="3333" width="54" style="60" customWidth="1"/>
    <col min="3334" max="3334" width="15.42578125" style="60" customWidth="1"/>
    <col min="3335" max="3335" width="0" style="60" hidden="1" customWidth="1"/>
    <col min="3336" max="3336" width="8.85546875" style="60" customWidth="1"/>
    <col min="3337" max="3337" width="9.140625" style="60"/>
    <col min="3338" max="3338" width="12" style="60" customWidth="1"/>
    <col min="3339" max="3584" width="9.140625" style="60"/>
    <col min="3585" max="3585" width="2.85546875" style="60" customWidth="1"/>
    <col min="3586" max="3586" width="3.28515625" style="60" bestFit="1" customWidth="1"/>
    <col min="3587" max="3587" width="17.140625" style="60" customWidth="1"/>
    <col min="3588" max="3588" width="17.7109375" style="60" customWidth="1"/>
    <col min="3589" max="3589" width="54" style="60" customWidth="1"/>
    <col min="3590" max="3590" width="15.42578125" style="60" customWidth="1"/>
    <col min="3591" max="3591" width="0" style="60" hidden="1" customWidth="1"/>
    <col min="3592" max="3592" width="8.85546875" style="60" customWidth="1"/>
    <col min="3593" max="3593" width="9.140625" style="60"/>
    <col min="3594" max="3594" width="12" style="60" customWidth="1"/>
    <col min="3595" max="3840" width="9.140625" style="60"/>
    <col min="3841" max="3841" width="2.85546875" style="60" customWidth="1"/>
    <col min="3842" max="3842" width="3.28515625" style="60" bestFit="1" customWidth="1"/>
    <col min="3843" max="3843" width="17.140625" style="60" customWidth="1"/>
    <col min="3844" max="3844" width="17.7109375" style="60" customWidth="1"/>
    <col min="3845" max="3845" width="54" style="60" customWidth="1"/>
    <col min="3846" max="3846" width="15.42578125" style="60" customWidth="1"/>
    <col min="3847" max="3847" width="0" style="60" hidden="1" customWidth="1"/>
    <col min="3848" max="3848" width="8.85546875" style="60" customWidth="1"/>
    <col min="3849" max="3849" width="9.140625" style="60"/>
    <col min="3850" max="3850" width="12" style="60" customWidth="1"/>
    <col min="3851" max="4096" width="9.140625" style="60"/>
    <col min="4097" max="4097" width="2.85546875" style="60" customWidth="1"/>
    <col min="4098" max="4098" width="3.28515625" style="60" bestFit="1" customWidth="1"/>
    <col min="4099" max="4099" width="17.140625" style="60" customWidth="1"/>
    <col min="4100" max="4100" width="17.7109375" style="60" customWidth="1"/>
    <col min="4101" max="4101" width="54" style="60" customWidth="1"/>
    <col min="4102" max="4102" width="15.42578125" style="60" customWidth="1"/>
    <col min="4103" max="4103" width="0" style="60" hidden="1" customWidth="1"/>
    <col min="4104" max="4104" width="8.85546875" style="60" customWidth="1"/>
    <col min="4105" max="4105" width="9.140625" style="60"/>
    <col min="4106" max="4106" width="12" style="60" customWidth="1"/>
    <col min="4107" max="4352" width="9.140625" style="60"/>
    <col min="4353" max="4353" width="2.85546875" style="60" customWidth="1"/>
    <col min="4354" max="4354" width="3.28515625" style="60" bestFit="1" customWidth="1"/>
    <col min="4355" max="4355" width="17.140625" style="60" customWidth="1"/>
    <col min="4356" max="4356" width="17.7109375" style="60" customWidth="1"/>
    <col min="4357" max="4357" width="54" style="60" customWidth="1"/>
    <col min="4358" max="4358" width="15.42578125" style="60" customWidth="1"/>
    <col min="4359" max="4359" width="0" style="60" hidden="1" customWidth="1"/>
    <col min="4360" max="4360" width="8.85546875" style="60" customWidth="1"/>
    <col min="4361" max="4361" width="9.140625" style="60"/>
    <col min="4362" max="4362" width="12" style="60" customWidth="1"/>
    <col min="4363" max="4608" width="9.140625" style="60"/>
    <col min="4609" max="4609" width="2.85546875" style="60" customWidth="1"/>
    <col min="4610" max="4610" width="3.28515625" style="60" bestFit="1" customWidth="1"/>
    <col min="4611" max="4611" width="17.140625" style="60" customWidth="1"/>
    <col min="4612" max="4612" width="17.7109375" style="60" customWidth="1"/>
    <col min="4613" max="4613" width="54" style="60" customWidth="1"/>
    <col min="4614" max="4614" width="15.42578125" style="60" customWidth="1"/>
    <col min="4615" max="4615" width="0" style="60" hidden="1" customWidth="1"/>
    <col min="4616" max="4616" width="8.85546875" style="60" customWidth="1"/>
    <col min="4617" max="4617" width="9.140625" style="60"/>
    <col min="4618" max="4618" width="12" style="60" customWidth="1"/>
    <col min="4619" max="4864" width="9.140625" style="60"/>
    <col min="4865" max="4865" width="2.85546875" style="60" customWidth="1"/>
    <col min="4866" max="4866" width="3.28515625" style="60" bestFit="1" customWidth="1"/>
    <col min="4867" max="4867" width="17.140625" style="60" customWidth="1"/>
    <col min="4868" max="4868" width="17.7109375" style="60" customWidth="1"/>
    <col min="4869" max="4869" width="54" style="60" customWidth="1"/>
    <col min="4870" max="4870" width="15.42578125" style="60" customWidth="1"/>
    <col min="4871" max="4871" width="0" style="60" hidden="1" customWidth="1"/>
    <col min="4872" max="4872" width="8.85546875" style="60" customWidth="1"/>
    <col min="4873" max="4873" width="9.140625" style="60"/>
    <col min="4874" max="4874" width="12" style="60" customWidth="1"/>
    <col min="4875" max="5120" width="9.140625" style="60"/>
    <col min="5121" max="5121" width="2.85546875" style="60" customWidth="1"/>
    <col min="5122" max="5122" width="3.28515625" style="60" bestFit="1" customWidth="1"/>
    <col min="5123" max="5123" width="17.140625" style="60" customWidth="1"/>
    <col min="5124" max="5124" width="17.7109375" style="60" customWidth="1"/>
    <col min="5125" max="5125" width="54" style="60" customWidth="1"/>
    <col min="5126" max="5126" width="15.42578125" style="60" customWidth="1"/>
    <col min="5127" max="5127" width="0" style="60" hidden="1" customWidth="1"/>
    <col min="5128" max="5128" width="8.85546875" style="60" customWidth="1"/>
    <col min="5129" max="5129" width="9.140625" style="60"/>
    <col min="5130" max="5130" width="12" style="60" customWidth="1"/>
    <col min="5131" max="5376" width="9.140625" style="60"/>
    <col min="5377" max="5377" width="2.85546875" style="60" customWidth="1"/>
    <col min="5378" max="5378" width="3.28515625" style="60" bestFit="1" customWidth="1"/>
    <col min="5379" max="5379" width="17.140625" style="60" customWidth="1"/>
    <col min="5380" max="5380" width="17.7109375" style="60" customWidth="1"/>
    <col min="5381" max="5381" width="54" style="60" customWidth="1"/>
    <col min="5382" max="5382" width="15.42578125" style="60" customWidth="1"/>
    <col min="5383" max="5383" width="0" style="60" hidden="1" customWidth="1"/>
    <col min="5384" max="5384" width="8.85546875" style="60" customWidth="1"/>
    <col min="5385" max="5385" width="9.140625" style="60"/>
    <col min="5386" max="5386" width="12" style="60" customWidth="1"/>
    <col min="5387" max="5632" width="9.140625" style="60"/>
    <col min="5633" max="5633" width="2.85546875" style="60" customWidth="1"/>
    <col min="5634" max="5634" width="3.28515625" style="60" bestFit="1" customWidth="1"/>
    <col min="5635" max="5635" width="17.140625" style="60" customWidth="1"/>
    <col min="5636" max="5636" width="17.7109375" style="60" customWidth="1"/>
    <col min="5637" max="5637" width="54" style="60" customWidth="1"/>
    <col min="5638" max="5638" width="15.42578125" style="60" customWidth="1"/>
    <col min="5639" max="5639" width="0" style="60" hidden="1" customWidth="1"/>
    <col min="5640" max="5640" width="8.85546875" style="60" customWidth="1"/>
    <col min="5641" max="5641" width="9.140625" style="60"/>
    <col min="5642" max="5642" width="12" style="60" customWidth="1"/>
    <col min="5643" max="5888" width="9.140625" style="60"/>
    <col min="5889" max="5889" width="2.85546875" style="60" customWidth="1"/>
    <col min="5890" max="5890" width="3.28515625" style="60" bestFit="1" customWidth="1"/>
    <col min="5891" max="5891" width="17.140625" style="60" customWidth="1"/>
    <col min="5892" max="5892" width="17.7109375" style="60" customWidth="1"/>
    <col min="5893" max="5893" width="54" style="60" customWidth="1"/>
    <col min="5894" max="5894" width="15.42578125" style="60" customWidth="1"/>
    <col min="5895" max="5895" width="0" style="60" hidden="1" customWidth="1"/>
    <col min="5896" max="5896" width="8.85546875" style="60" customWidth="1"/>
    <col min="5897" max="5897" width="9.140625" style="60"/>
    <col min="5898" max="5898" width="12" style="60" customWidth="1"/>
    <col min="5899" max="6144" width="9.140625" style="60"/>
    <col min="6145" max="6145" width="2.85546875" style="60" customWidth="1"/>
    <col min="6146" max="6146" width="3.28515625" style="60" bestFit="1" customWidth="1"/>
    <col min="6147" max="6147" width="17.140625" style="60" customWidth="1"/>
    <col min="6148" max="6148" width="17.7109375" style="60" customWidth="1"/>
    <col min="6149" max="6149" width="54" style="60" customWidth="1"/>
    <col min="6150" max="6150" width="15.42578125" style="60" customWidth="1"/>
    <col min="6151" max="6151" width="0" style="60" hidden="1" customWidth="1"/>
    <col min="6152" max="6152" width="8.85546875" style="60" customWidth="1"/>
    <col min="6153" max="6153" width="9.140625" style="60"/>
    <col min="6154" max="6154" width="12" style="60" customWidth="1"/>
    <col min="6155" max="6400" width="9.140625" style="60"/>
    <col min="6401" max="6401" width="2.85546875" style="60" customWidth="1"/>
    <col min="6402" max="6402" width="3.28515625" style="60" bestFit="1" customWidth="1"/>
    <col min="6403" max="6403" width="17.140625" style="60" customWidth="1"/>
    <col min="6404" max="6404" width="17.7109375" style="60" customWidth="1"/>
    <col min="6405" max="6405" width="54" style="60" customWidth="1"/>
    <col min="6406" max="6406" width="15.42578125" style="60" customWidth="1"/>
    <col min="6407" max="6407" width="0" style="60" hidden="1" customWidth="1"/>
    <col min="6408" max="6408" width="8.85546875" style="60" customWidth="1"/>
    <col min="6409" max="6409" width="9.140625" style="60"/>
    <col min="6410" max="6410" width="12" style="60" customWidth="1"/>
    <col min="6411" max="6656" width="9.140625" style="60"/>
    <col min="6657" max="6657" width="2.85546875" style="60" customWidth="1"/>
    <col min="6658" max="6658" width="3.28515625" style="60" bestFit="1" customWidth="1"/>
    <col min="6659" max="6659" width="17.140625" style="60" customWidth="1"/>
    <col min="6660" max="6660" width="17.7109375" style="60" customWidth="1"/>
    <col min="6661" max="6661" width="54" style="60" customWidth="1"/>
    <col min="6662" max="6662" width="15.42578125" style="60" customWidth="1"/>
    <col min="6663" max="6663" width="0" style="60" hidden="1" customWidth="1"/>
    <col min="6664" max="6664" width="8.85546875" style="60" customWidth="1"/>
    <col min="6665" max="6665" width="9.140625" style="60"/>
    <col min="6666" max="6666" width="12" style="60" customWidth="1"/>
    <col min="6667" max="6912" width="9.140625" style="60"/>
    <col min="6913" max="6913" width="2.85546875" style="60" customWidth="1"/>
    <col min="6914" max="6914" width="3.28515625" style="60" bestFit="1" customWidth="1"/>
    <col min="6915" max="6915" width="17.140625" style="60" customWidth="1"/>
    <col min="6916" max="6916" width="17.7109375" style="60" customWidth="1"/>
    <col min="6917" max="6917" width="54" style="60" customWidth="1"/>
    <col min="6918" max="6918" width="15.42578125" style="60" customWidth="1"/>
    <col min="6919" max="6919" width="0" style="60" hidden="1" customWidth="1"/>
    <col min="6920" max="6920" width="8.85546875" style="60" customWidth="1"/>
    <col min="6921" max="6921" width="9.140625" style="60"/>
    <col min="6922" max="6922" width="12" style="60" customWidth="1"/>
    <col min="6923" max="7168" width="9.140625" style="60"/>
    <col min="7169" max="7169" width="2.85546875" style="60" customWidth="1"/>
    <col min="7170" max="7170" width="3.28515625" style="60" bestFit="1" customWidth="1"/>
    <col min="7171" max="7171" width="17.140625" style="60" customWidth="1"/>
    <col min="7172" max="7172" width="17.7109375" style="60" customWidth="1"/>
    <col min="7173" max="7173" width="54" style="60" customWidth="1"/>
    <col min="7174" max="7174" width="15.42578125" style="60" customWidth="1"/>
    <col min="7175" max="7175" width="0" style="60" hidden="1" customWidth="1"/>
    <col min="7176" max="7176" width="8.85546875" style="60" customWidth="1"/>
    <col min="7177" max="7177" width="9.140625" style="60"/>
    <col min="7178" max="7178" width="12" style="60" customWidth="1"/>
    <col min="7179" max="7424" width="9.140625" style="60"/>
    <col min="7425" max="7425" width="2.85546875" style="60" customWidth="1"/>
    <col min="7426" max="7426" width="3.28515625" style="60" bestFit="1" customWidth="1"/>
    <col min="7427" max="7427" width="17.140625" style="60" customWidth="1"/>
    <col min="7428" max="7428" width="17.7109375" style="60" customWidth="1"/>
    <col min="7429" max="7429" width="54" style="60" customWidth="1"/>
    <col min="7430" max="7430" width="15.42578125" style="60" customWidth="1"/>
    <col min="7431" max="7431" width="0" style="60" hidden="1" customWidth="1"/>
    <col min="7432" max="7432" width="8.85546875" style="60" customWidth="1"/>
    <col min="7433" max="7433" width="9.140625" style="60"/>
    <col min="7434" max="7434" width="12" style="60" customWidth="1"/>
    <col min="7435" max="7680" width="9.140625" style="60"/>
    <col min="7681" max="7681" width="2.85546875" style="60" customWidth="1"/>
    <col min="7682" max="7682" width="3.28515625" style="60" bestFit="1" customWidth="1"/>
    <col min="7683" max="7683" width="17.140625" style="60" customWidth="1"/>
    <col min="7684" max="7684" width="17.7109375" style="60" customWidth="1"/>
    <col min="7685" max="7685" width="54" style="60" customWidth="1"/>
    <col min="7686" max="7686" width="15.42578125" style="60" customWidth="1"/>
    <col min="7687" max="7687" width="0" style="60" hidden="1" customWidth="1"/>
    <col min="7688" max="7688" width="8.85546875" style="60" customWidth="1"/>
    <col min="7689" max="7689" width="9.140625" style="60"/>
    <col min="7690" max="7690" width="12" style="60" customWidth="1"/>
    <col min="7691" max="7936" width="9.140625" style="60"/>
    <col min="7937" max="7937" width="2.85546875" style="60" customWidth="1"/>
    <col min="7938" max="7938" width="3.28515625" style="60" bestFit="1" customWidth="1"/>
    <col min="7939" max="7939" width="17.140625" style="60" customWidth="1"/>
    <col min="7940" max="7940" width="17.7109375" style="60" customWidth="1"/>
    <col min="7941" max="7941" width="54" style="60" customWidth="1"/>
    <col min="7942" max="7942" width="15.42578125" style="60" customWidth="1"/>
    <col min="7943" max="7943" width="0" style="60" hidden="1" customWidth="1"/>
    <col min="7944" max="7944" width="8.85546875" style="60" customWidth="1"/>
    <col min="7945" max="7945" width="9.140625" style="60"/>
    <col min="7946" max="7946" width="12" style="60" customWidth="1"/>
    <col min="7947" max="8192" width="9.140625" style="60"/>
    <col min="8193" max="8193" width="2.85546875" style="60" customWidth="1"/>
    <col min="8194" max="8194" width="3.28515625" style="60" bestFit="1" customWidth="1"/>
    <col min="8195" max="8195" width="17.140625" style="60" customWidth="1"/>
    <col min="8196" max="8196" width="17.7109375" style="60" customWidth="1"/>
    <col min="8197" max="8197" width="54" style="60" customWidth="1"/>
    <col min="8198" max="8198" width="15.42578125" style="60" customWidth="1"/>
    <col min="8199" max="8199" width="0" style="60" hidden="1" customWidth="1"/>
    <col min="8200" max="8200" width="8.85546875" style="60" customWidth="1"/>
    <col min="8201" max="8201" width="9.140625" style="60"/>
    <col min="8202" max="8202" width="12" style="60" customWidth="1"/>
    <col min="8203" max="8448" width="9.140625" style="60"/>
    <col min="8449" max="8449" width="2.85546875" style="60" customWidth="1"/>
    <col min="8450" max="8450" width="3.28515625" style="60" bestFit="1" customWidth="1"/>
    <col min="8451" max="8451" width="17.140625" style="60" customWidth="1"/>
    <col min="8452" max="8452" width="17.7109375" style="60" customWidth="1"/>
    <col min="8453" max="8453" width="54" style="60" customWidth="1"/>
    <col min="8454" max="8454" width="15.42578125" style="60" customWidth="1"/>
    <col min="8455" max="8455" width="0" style="60" hidden="1" customWidth="1"/>
    <col min="8456" max="8456" width="8.85546875" style="60" customWidth="1"/>
    <col min="8457" max="8457" width="9.140625" style="60"/>
    <col min="8458" max="8458" width="12" style="60" customWidth="1"/>
    <col min="8459" max="8704" width="9.140625" style="60"/>
    <col min="8705" max="8705" width="2.85546875" style="60" customWidth="1"/>
    <col min="8706" max="8706" width="3.28515625" style="60" bestFit="1" customWidth="1"/>
    <col min="8707" max="8707" width="17.140625" style="60" customWidth="1"/>
    <col min="8708" max="8708" width="17.7109375" style="60" customWidth="1"/>
    <col min="8709" max="8709" width="54" style="60" customWidth="1"/>
    <col min="8710" max="8710" width="15.42578125" style="60" customWidth="1"/>
    <col min="8711" max="8711" width="0" style="60" hidden="1" customWidth="1"/>
    <col min="8712" max="8712" width="8.85546875" style="60" customWidth="1"/>
    <col min="8713" max="8713" width="9.140625" style="60"/>
    <col min="8714" max="8714" width="12" style="60" customWidth="1"/>
    <col min="8715" max="8960" width="9.140625" style="60"/>
    <col min="8961" max="8961" width="2.85546875" style="60" customWidth="1"/>
    <col min="8962" max="8962" width="3.28515625" style="60" bestFit="1" customWidth="1"/>
    <col min="8963" max="8963" width="17.140625" style="60" customWidth="1"/>
    <col min="8964" max="8964" width="17.7109375" style="60" customWidth="1"/>
    <col min="8965" max="8965" width="54" style="60" customWidth="1"/>
    <col min="8966" max="8966" width="15.42578125" style="60" customWidth="1"/>
    <col min="8967" max="8967" width="0" style="60" hidden="1" customWidth="1"/>
    <col min="8968" max="8968" width="8.85546875" style="60" customWidth="1"/>
    <col min="8969" max="8969" width="9.140625" style="60"/>
    <col min="8970" max="8970" width="12" style="60" customWidth="1"/>
    <col min="8971" max="9216" width="9.140625" style="60"/>
    <col min="9217" max="9217" width="2.85546875" style="60" customWidth="1"/>
    <col min="9218" max="9218" width="3.28515625" style="60" bestFit="1" customWidth="1"/>
    <col min="9219" max="9219" width="17.140625" style="60" customWidth="1"/>
    <col min="9220" max="9220" width="17.7109375" style="60" customWidth="1"/>
    <col min="9221" max="9221" width="54" style="60" customWidth="1"/>
    <col min="9222" max="9222" width="15.42578125" style="60" customWidth="1"/>
    <col min="9223" max="9223" width="0" style="60" hidden="1" customWidth="1"/>
    <col min="9224" max="9224" width="8.85546875" style="60" customWidth="1"/>
    <col min="9225" max="9225" width="9.140625" style="60"/>
    <col min="9226" max="9226" width="12" style="60" customWidth="1"/>
    <col min="9227" max="9472" width="9.140625" style="60"/>
    <col min="9473" max="9473" width="2.85546875" style="60" customWidth="1"/>
    <col min="9474" max="9474" width="3.28515625" style="60" bestFit="1" customWidth="1"/>
    <col min="9475" max="9475" width="17.140625" style="60" customWidth="1"/>
    <col min="9476" max="9476" width="17.7109375" style="60" customWidth="1"/>
    <col min="9477" max="9477" width="54" style="60" customWidth="1"/>
    <col min="9478" max="9478" width="15.42578125" style="60" customWidth="1"/>
    <col min="9479" max="9479" width="0" style="60" hidden="1" customWidth="1"/>
    <col min="9480" max="9480" width="8.85546875" style="60" customWidth="1"/>
    <col min="9481" max="9481" width="9.140625" style="60"/>
    <col min="9482" max="9482" width="12" style="60" customWidth="1"/>
    <col min="9483" max="9728" width="9.140625" style="60"/>
    <col min="9729" max="9729" width="2.85546875" style="60" customWidth="1"/>
    <col min="9730" max="9730" width="3.28515625" style="60" bestFit="1" customWidth="1"/>
    <col min="9731" max="9731" width="17.140625" style="60" customWidth="1"/>
    <col min="9732" max="9732" width="17.7109375" style="60" customWidth="1"/>
    <col min="9733" max="9733" width="54" style="60" customWidth="1"/>
    <col min="9734" max="9734" width="15.42578125" style="60" customWidth="1"/>
    <col min="9735" max="9735" width="0" style="60" hidden="1" customWidth="1"/>
    <col min="9736" max="9736" width="8.85546875" style="60" customWidth="1"/>
    <col min="9737" max="9737" width="9.140625" style="60"/>
    <col min="9738" max="9738" width="12" style="60" customWidth="1"/>
    <col min="9739" max="9984" width="9.140625" style="60"/>
    <col min="9985" max="9985" width="2.85546875" style="60" customWidth="1"/>
    <col min="9986" max="9986" width="3.28515625" style="60" bestFit="1" customWidth="1"/>
    <col min="9987" max="9987" width="17.140625" style="60" customWidth="1"/>
    <col min="9988" max="9988" width="17.7109375" style="60" customWidth="1"/>
    <col min="9989" max="9989" width="54" style="60" customWidth="1"/>
    <col min="9990" max="9990" width="15.42578125" style="60" customWidth="1"/>
    <col min="9991" max="9991" width="0" style="60" hidden="1" customWidth="1"/>
    <col min="9992" max="9992" width="8.85546875" style="60" customWidth="1"/>
    <col min="9993" max="9993" width="9.140625" style="60"/>
    <col min="9994" max="9994" width="12" style="60" customWidth="1"/>
    <col min="9995" max="10240" width="9.140625" style="60"/>
    <col min="10241" max="10241" width="2.85546875" style="60" customWidth="1"/>
    <col min="10242" max="10242" width="3.28515625" style="60" bestFit="1" customWidth="1"/>
    <col min="10243" max="10243" width="17.140625" style="60" customWidth="1"/>
    <col min="10244" max="10244" width="17.7109375" style="60" customWidth="1"/>
    <col min="10245" max="10245" width="54" style="60" customWidth="1"/>
    <col min="10246" max="10246" width="15.42578125" style="60" customWidth="1"/>
    <col min="10247" max="10247" width="0" style="60" hidden="1" customWidth="1"/>
    <col min="10248" max="10248" width="8.85546875" style="60" customWidth="1"/>
    <col min="10249" max="10249" width="9.140625" style="60"/>
    <col min="10250" max="10250" width="12" style="60" customWidth="1"/>
    <col min="10251" max="10496" width="9.140625" style="60"/>
    <col min="10497" max="10497" width="2.85546875" style="60" customWidth="1"/>
    <col min="10498" max="10498" width="3.28515625" style="60" bestFit="1" customWidth="1"/>
    <col min="10499" max="10499" width="17.140625" style="60" customWidth="1"/>
    <col min="10500" max="10500" width="17.7109375" style="60" customWidth="1"/>
    <col min="10501" max="10501" width="54" style="60" customWidth="1"/>
    <col min="10502" max="10502" width="15.42578125" style="60" customWidth="1"/>
    <col min="10503" max="10503" width="0" style="60" hidden="1" customWidth="1"/>
    <col min="10504" max="10504" width="8.85546875" style="60" customWidth="1"/>
    <col min="10505" max="10505" width="9.140625" style="60"/>
    <col min="10506" max="10506" width="12" style="60" customWidth="1"/>
    <col min="10507" max="10752" width="9.140625" style="60"/>
    <col min="10753" max="10753" width="2.85546875" style="60" customWidth="1"/>
    <col min="10754" max="10754" width="3.28515625" style="60" bestFit="1" customWidth="1"/>
    <col min="10755" max="10755" width="17.140625" style="60" customWidth="1"/>
    <col min="10756" max="10756" width="17.7109375" style="60" customWidth="1"/>
    <col min="10757" max="10757" width="54" style="60" customWidth="1"/>
    <col min="10758" max="10758" width="15.42578125" style="60" customWidth="1"/>
    <col min="10759" max="10759" width="0" style="60" hidden="1" customWidth="1"/>
    <col min="10760" max="10760" width="8.85546875" style="60" customWidth="1"/>
    <col min="10761" max="10761" width="9.140625" style="60"/>
    <col min="10762" max="10762" width="12" style="60" customWidth="1"/>
    <col min="10763" max="11008" width="9.140625" style="60"/>
    <col min="11009" max="11009" width="2.85546875" style="60" customWidth="1"/>
    <col min="11010" max="11010" width="3.28515625" style="60" bestFit="1" customWidth="1"/>
    <col min="11011" max="11011" width="17.140625" style="60" customWidth="1"/>
    <col min="11012" max="11012" width="17.7109375" style="60" customWidth="1"/>
    <col min="11013" max="11013" width="54" style="60" customWidth="1"/>
    <col min="11014" max="11014" width="15.42578125" style="60" customWidth="1"/>
    <col min="11015" max="11015" width="0" style="60" hidden="1" customWidth="1"/>
    <col min="11016" max="11016" width="8.85546875" style="60" customWidth="1"/>
    <col min="11017" max="11017" width="9.140625" style="60"/>
    <col min="11018" max="11018" width="12" style="60" customWidth="1"/>
    <col min="11019" max="11264" width="9.140625" style="60"/>
    <col min="11265" max="11265" width="2.85546875" style="60" customWidth="1"/>
    <col min="11266" max="11266" width="3.28515625" style="60" bestFit="1" customWidth="1"/>
    <col min="11267" max="11267" width="17.140625" style="60" customWidth="1"/>
    <col min="11268" max="11268" width="17.7109375" style="60" customWidth="1"/>
    <col min="11269" max="11269" width="54" style="60" customWidth="1"/>
    <col min="11270" max="11270" width="15.42578125" style="60" customWidth="1"/>
    <col min="11271" max="11271" width="0" style="60" hidden="1" customWidth="1"/>
    <col min="11272" max="11272" width="8.85546875" style="60" customWidth="1"/>
    <col min="11273" max="11273" width="9.140625" style="60"/>
    <col min="11274" max="11274" width="12" style="60" customWidth="1"/>
    <col min="11275" max="11520" width="9.140625" style="60"/>
    <col min="11521" max="11521" width="2.85546875" style="60" customWidth="1"/>
    <col min="11522" max="11522" width="3.28515625" style="60" bestFit="1" customWidth="1"/>
    <col min="11523" max="11523" width="17.140625" style="60" customWidth="1"/>
    <col min="11524" max="11524" width="17.7109375" style="60" customWidth="1"/>
    <col min="11525" max="11525" width="54" style="60" customWidth="1"/>
    <col min="11526" max="11526" width="15.42578125" style="60" customWidth="1"/>
    <col min="11527" max="11527" width="0" style="60" hidden="1" customWidth="1"/>
    <col min="11528" max="11528" width="8.85546875" style="60" customWidth="1"/>
    <col min="11529" max="11529" width="9.140625" style="60"/>
    <col min="11530" max="11530" width="12" style="60" customWidth="1"/>
    <col min="11531" max="11776" width="9.140625" style="60"/>
    <col min="11777" max="11777" width="2.85546875" style="60" customWidth="1"/>
    <col min="11778" max="11778" width="3.28515625" style="60" bestFit="1" customWidth="1"/>
    <col min="11779" max="11779" width="17.140625" style="60" customWidth="1"/>
    <col min="11780" max="11780" width="17.7109375" style="60" customWidth="1"/>
    <col min="11781" max="11781" width="54" style="60" customWidth="1"/>
    <col min="11782" max="11782" width="15.42578125" style="60" customWidth="1"/>
    <col min="11783" max="11783" width="0" style="60" hidden="1" customWidth="1"/>
    <col min="11784" max="11784" width="8.85546875" style="60" customWidth="1"/>
    <col min="11785" max="11785" width="9.140625" style="60"/>
    <col min="11786" max="11786" width="12" style="60" customWidth="1"/>
    <col min="11787" max="12032" width="9.140625" style="60"/>
    <col min="12033" max="12033" width="2.85546875" style="60" customWidth="1"/>
    <col min="12034" max="12034" width="3.28515625" style="60" bestFit="1" customWidth="1"/>
    <col min="12035" max="12035" width="17.140625" style="60" customWidth="1"/>
    <col min="12036" max="12036" width="17.7109375" style="60" customWidth="1"/>
    <col min="12037" max="12037" width="54" style="60" customWidth="1"/>
    <col min="12038" max="12038" width="15.42578125" style="60" customWidth="1"/>
    <col min="12039" max="12039" width="0" style="60" hidden="1" customWidth="1"/>
    <col min="12040" max="12040" width="8.85546875" style="60" customWidth="1"/>
    <col min="12041" max="12041" width="9.140625" style="60"/>
    <col min="12042" max="12042" width="12" style="60" customWidth="1"/>
    <col min="12043" max="12288" width="9.140625" style="60"/>
    <col min="12289" max="12289" width="2.85546875" style="60" customWidth="1"/>
    <col min="12290" max="12290" width="3.28515625" style="60" bestFit="1" customWidth="1"/>
    <col min="12291" max="12291" width="17.140625" style="60" customWidth="1"/>
    <col min="12292" max="12292" width="17.7109375" style="60" customWidth="1"/>
    <col min="12293" max="12293" width="54" style="60" customWidth="1"/>
    <col min="12294" max="12294" width="15.42578125" style="60" customWidth="1"/>
    <col min="12295" max="12295" width="0" style="60" hidden="1" customWidth="1"/>
    <col min="12296" max="12296" width="8.85546875" style="60" customWidth="1"/>
    <col min="12297" max="12297" width="9.140625" style="60"/>
    <col min="12298" max="12298" width="12" style="60" customWidth="1"/>
    <col min="12299" max="12544" width="9.140625" style="60"/>
    <col min="12545" max="12545" width="2.85546875" style="60" customWidth="1"/>
    <col min="12546" max="12546" width="3.28515625" style="60" bestFit="1" customWidth="1"/>
    <col min="12547" max="12547" width="17.140625" style="60" customWidth="1"/>
    <col min="12548" max="12548" width="17.7109375" style="60" customWidth="1"/>
    <col min="12549" max="12549" width="54" style="60" customWidth="1"/>
    <col min="12550" max="12550" width="15.42578125" style="60" customWidth="1"/>
    <col min="12551" max="12551" width="0" style="60" hidden="1" customWidth="1"/>
    <col min="12552" max="12552" width="8.85546875" style="60" customWidth="1"/>
    <col min="12553" max="12553" width="9.140625" style="60"/>
    <col min="12554" max="12554" width="12" style="60" customWidth="1"/>
    <col min="12555" max="12800" width="9.140625" style="60"/>
    <col min="12801" max="12801" width="2.85546875" style="60" customWidth="1"/>
    <col min="12802" max="12802" width="3.28515625" style="60" bestFit="1" customWidth="1"/>
    <col min="12803" max="12803" width="17.140625" style="60" customWidth="1"/>
    <col min="12804" max="12804" width="17.7109375" style="60" customWidth="1"/>
    <col min="12805" max="12805" width="54" style="60" customWidth="1"/>
    <col min="12806" max="12806" width="15.42578125" style="60" customWidth="1"/>
    <col min="12807" max="12807" width="0" style="60" hidden="1" customWidth="1"/>
    <col min="12808" max="12808" width="8.85546875" style="60" customWidth="1"/>
    <col min="12809" max="12809" width="9.140625" style="60"/>
    <col min="12810" max="12810" width="12" style="60" customWidth="1"/>
    <col min="12811" max="13056" width="9.140625" style="60"/>
    <col min="13057" max="13057" width="2.85546875" style="60" customWidth="1"/>
    <col min="13058" max="13058" width="3.28515625" style="60" bestFit="1" customWidth="1"/>
    <col min="13059" max="13059" width="17.140625" style="60" customWidth="1"/>
    <col min="13060" max="13060" width="17.7109375" style="60" customWidth="1"/>
    <col min="13061" max="13061" width="54" style="60" customWidth="1"/>
    <col min="13062" max="13062" width="15.42578125" style="60" customWidth="1"/>
    <col min="13063" max="13063" width="0" style="60" hidden="1" customWidth="1"/>
    <col min="13064" max="13064" width="8.85546875" style="60" customWidth="1"/>
    <col min="13065" max="13065" width="9.140625" style="60"/>
    <col min="13066" max="13066" width="12" style="60" customWidth="1"/>
    <col min="13067" max="13312" width="9.140625" style="60"/>
    <col min="13313" max="13313" width="2.85546875" style="60" customWidth="1"/>
    <col min="13314" max="13314" width="3.28515625" style="60" bestFit="1" customWidth="1"/>
    <col min="13315" max="13315" width="17.140625" style="60" customWidth="1"/>
    <col min="13316" max="13316" width="17.7109375" style="60" customWidth="1"/>
    <col min="13317" max="13317" width="54" style="60" customWidth="1"/>
    <col min="13318" max="13318" width="15.42578125" style="60" customWidth="1"/>
    <col min="13319" max="13319" width="0" style="60" hidden="1" customWidth="1"/>
    <col min="13320" max="13320" width="8.85546875" style="60" customWidth="1"/>
    <col min="13321" max="13321" width="9.140625" style="60"/>
    <col min="13322" max="13322" width="12" style="60" customWidth="1"/>
    <col min="13323" max="13568" width="9.140625" style="60"/>
    <col min="13569" max="13569" width="2.85546875" style="60" customWidth="1"/>
    <col min="13570" max="13570" width="3.28515625" style="60" bestFit="1" customWidth="1"/>
    <col min="13571" max="13571" width="17.140625" style="60" customWidth="1"/>
    <col min="13572" max="13572" width="17.7109375" style="60" customWidth="1"/>
    <col min="13573" max="13573" width="54" style="60" customWidth="1"/>
    <col min="13574" max="13574" width="15.42578125" style="60" customWidth="1"/>
    <col min="13575" max="13575" width="0" style="60" hidden="1" customWidth="1"/>
    <col min="13576" max="13576" width="8.85546875" style="60" customWidth="1"/>
    <col min="13577" max="13577" width="9.140625" style="60"/>
    <col min="13578" max="13578" width="12" style="60" customWidth="1"/>
    <col min="13579" max="13824" width="9.140625" style="60"/>
    <col min="13825" max="13825" width="2.85546875" style="60" customWidth="1"/>
    <col min="13826" max="13826" width="3.28515625" style="60" bestFit="1" customWidth="1"/>
    <col min="13827" max="13827" width="17.140625" style="60" customWidth="1"/>
    <col min="13828" max="13828" width="17.7109375" style="60" customWidth="1"/>
    <col min="13829" max="13829" width="54" style="60" customWidth="1"/>
    <col min="13830" max="13830" width="15.42578125" style="60" customWidth="1"/>
    <col min="13831" max="13831" width="0" style="60" hidden="1" customWidth="1"/>
    <col min="13832" max="13832" width="8.85546875" style="60" customWidth="1"/>
    <col min="13833" max="13833" width="9.140625" style="60"/>
    <col min="13834" max="13834" width="12" style="60" customWidth="1"/>
    <col min="13835" max="14080" width="9.140625" style="60"/>
    <col min="14081" max="14081" width="2.85546875" style="60" customWidth="1"/>
    <col min="14082" max="14082" width="3.28515625" style="60" bestFit="1" customWidth="1"/>
    <col min="14083" max="14083" width="17.140625" style="60" customWidth="1"/>
    <col min="14084" max="14084" width="17.7109375" style="60" customWidth="1"/>
    <col min="14085" max="14085" width="54" style="60" customWidth="1"/>
    <col min="14086" max="14086" width="15.42578125" style="60" customWidth="1"/>
    <col min="14087" max="14087" width="0" style="60" hidden="1" customWidth="1"/>
    <col min="14088" max="14088" width="8.85546875" style="60" customWidth="1"/>
    <col min="14089" max="14089" width="9.140625" style="60"/>
    <col min="14090" max="14090" width="12" style="60" customWidth="1"/>
    <col min="14091" max="14336" width="9.140625" style="60"/>
    <col min="14337" max="14337" width="2.85546875" style="60" customWidth="1"/>
    <col min="14338" max="14338" width="3.28515625" style="60" bestFit="1" customWidth="1"/>
    <col min="14339" max="14339" width="17.140625" style="60" customWidth="1"/>
    <col min="14340" max="14340" width="17.7109375" style="60" customWidth="1"/>
    <col min="14341" max="14341" width="54" style="60" customWidth="1"/>
    <col min="14342" max="14342" width="15.42578125" style="60" customWidth="1"/>
    <col min="14343" max="14343" width="0" style="60" hidden="1" customWidth="1"/>
    <col min="14344" max="14344" width="8.85546875" style="60" customWidth="1"/>
    <col min="14345" max="14345" width="9.140625" style="60"/>
    <col min="14346" max="14346" width="12" style="60" customWidth="1"/>
    <col min="14347" max="14592" width="9.140625" style="60"/>
    <col min="14593" max="14593" width="2.85546875" style="60" customWidth="1"/>
    <col min="14594" max="14594" width="3.28515625" style="60" bestFit="1" customWidth="1"/>
    <col min="14595" max="14595" width="17.140625" style="60" customWidth="1"/>
    <col min="14596" max="14596" width="17.7109375" style="60" customWidth="1"/>
    <col min="14597" max="14597" width="54" style="60" customWidth="1"/>
    <col min="14598" max="14598" width="15.42578125" style="60" customWidth="1"/>
    <col min="14599" max="14599" width="0" style="60" hidden="1" customWidth="1"/>
    <col min="14600" max="14600" width="8.85546875" style="60" customWidth="1"/>
    <col min="14601" max="14601" width="9.140625" style="60"/>
    <col min="14602" max="14602" width="12" style="60" customWidth="1"/>
    <col min="14603" max="14848" width="9.140625" style="60"/>
    <col min="14849" max="14849" width="2.85546875" style="60" customWidth="1"/>
    <col min="14850" max="14850" width="3.28515625" style="60" bestFit="1" customWidth="1"/>
    <col min="14851" max="14851" width="17.140625" style="60" customWidth="1"/>
    <col min="14852" max="14852" width="17.7109375" style="60" customWidth="1"/>
    <col min="14853" max="14853" width="54" style="60" customWidth="1"/>
    <col min="14854" max="14854" width="15.42578125" style="60" customWidth="1"/>
    <col min="14855" max="14855" width="0" style="60" hidden="1" customWidth="1"/>
    <col min="14856" max="14856" width="8.85546875" style="60" customWidth="1"/>
    <col min="14857" max="14857" width="9.140625" style="60"/>
    <col min="14858" max="14858" width="12" style="60" customWidth="1"/>
    <col min="14859" max="15104" width="9.140625" style="60"/>
    <col min="15105" max="15105" width="2.85546875" style="60" customWidth="1"/>
    <col min="15106" max="15106" width="3.28515625" style="60" bestFit="1" customWidth="1"/>
    <col min="15107" max="15107" width="17.140625" style="60" customWidth="1"/>
    <col min="15108" max="15108" width="17.7109375" style="60" customWidth="1"/>
    <col min="15109" max="15109" width="54" style="60" customWidth="1"/>
    <col min="15110" max="15110" width="15.42578125" style="60" customWidth="1"/>
    <col min="15111" max="15111" width="0" style="60" hidden="1" customWidth="1"/>
    <col min="15112" max="15112" width="8.85546875" style="60" customWidth="1"/>
    <col min="15113" max="15113" width="9.140625" style="60"/>
    <col min="15114" max="15114" width="12" style="60" customWidth="1"/>
    <col min="15115" max="15360" width="9.140625" style="60"/>
    <col min="15361" max="15361" width="2.85546875" style="60" customWidth="1"/>
    <col min="15362" max="15362" width="3.28515625" style="60" bestFit="1" customWidth="1"/>
    <col min="15363" max="15363" width="17.140625" style="60" customWidth="1"/>
    <col min="15364" max="15364" width="17.7109375" style="60" customWidth="1"/>
    <col min="15365" max="15365" width="54" style="60" customWidth="1"/>
    <col min="15366" max="15366" width="15.42578125" style="60" customWidth="1"/>
    <col min="15367" max="15367" width="0" style="60" hidden="1" customWidth="1"/>
    <col min="15368" max="15368" width="8.85546875" style="60" customWidth="1"/>
    <col min="15369" max="15369" width="9.140625" style="60"/>
    <col min="15370" max="15370" width="12" style="60" customWidth="1"/>
    <col min="15371" max="15616" width="9.140625" style="60"/>
    <col min="15617" max="15617" width="2.85546875" style="60" customWidth="1"/>
    <col min="15618" max="15618" width="3.28515625" style="60" bestFit="1" customWidth="1"/>
    <col min="15619" max="15619" width="17.140625" style="60" customWidth="1"/>
    <col min="15620" max="15620" width="17.7109375" style="60" customWidth="1"/>
    <col min="15621" max="15621" width="54" style="60" customWidth="1"/>
    <col min="15622" max="15622" width="15.42578125" style="60" customWidth="1"/>
    <col min="15623" max="15623" width="0" style="60" hidden="1" customWidth="1"/>
    <col min="15624" max="15624" width="8.85546875" style="60" customWidth="1"/>
    <col min="15625" max="15625" width="9.140625" style="60"/>
    <col min="15626" max="15626" width="12" style="60" customWidth="1"/>
    <col min="15627" max="15872" width="9.140625" style="60"/>
    <col min="15873" max="15873" width="2.85546875" style="60" customWidth="1"/>
    <col min="15874" max="15874" width="3.28515625" style="60" bestFit="1" customWidth="1"/>
    <col min="15875" max="15875" width="17.140625" style="60" customWidth="1"/>
    <col min="15876" max="15876" width="17.7109375" style="60" customWidth="1"/>
    <col min="15877" max="15877" width="54" style="60" customWidth="1"/>
    <col min="15878" max="15878" width="15.42578125" style="60" customWidth="1"/>
    <col min="15879" max="15879" width="0" style="60" hidden="1" customWidth="1"/>
    <col min="15880" max="15880" width="8.85546875" style="60" customWidth="1"/>
    <col min="15881" max="15881" width="9.140625" style="60"/>
    <col min="15882" max="15882" width="12" style="60" customWidth="1"/>
    <col min="15883" max="16128" width="9.140625" style="60"/>
    <col min="16129" max="16129" width="2.85546875" style="60" customWidth="1"/>
    <col min="16130" max="16130" width="3.28515625" style="60" bestFit="1" customWidth="1"/>
    <col min="16131" max="16131" width="17.140625" style="60" customWidth="1"/>
    <col min="16132" max="16132" width="17.7109375" style="60" customWidth="1"/>
    <col min="16133" max="16133" width="54" style="60" customWidth="1"/>
    <col min="16134" max="16134" width="15.42578125" style="60" customWidth="1"/>
    <col min="16135" max="16135" width="0" style="60" hidden="1" customWidth="1"/>
    <col min="16136" max="16136" width="8.85546875" style="60" customWidth="1"/>
    <col min="16137" max="16137" width="9.140625" style="60"/>
    <col min="16138" max="16138" width="12" style="60" customWidth="1"/>
    <col min="16139" max="16384" width="9.140625" style="60"/>
  </cols>
  <sheetData>
    <row r="1" spans="2:11" ht="12" thickBot="1">
      <c r="I1" s="64" t="s">
        <v>190</v>
      </c>
      <c r="J1" s="597">
        <v>2.2000000000000002</v>
      </c>
    </row>
    <row r="2" spans="2:11" ht="33.75" customHeight="1">
      <c r="C2" s="144"/>
      <c r="D2" s="1380" t="s">
        <v>267</v>
      </c>
      <c r="E2" s="1380"/>
      <c r="F2" s="1380"/>
      <c r="G2" s="1380"/>
      <c r="H2" s="1381"/>
      <c r="J2" s="65"/>
      <c r="K2" s="66"/>
    </row>
    <row r="3" spans="2:11" ht="12.75" customHeight="1">
      <c r="C3" s="145"/>
      <c r="D3" s="1382"/>
      <c r="E3" s="1382"/>
      <c r="F3" s="1382"/>
      <c r="G3" s="1382"/>
      <c r="H3" s="1383"/>
      <c r="I3" s="60" t="s">
        <v>84</v>
      </c>
      <c r="K3" s="67"/>
    </row>
    <row r="4" spans="2:11" ht="11.25" customHeight="1">
      <c r="C4" s="146"/>
      <c r="D4" s="1384"/>
      <c r="E4" s="1384"/>
      <c r="F4" s="1384"/>
      <c r="G4" s="1384"/>
      <c r="H4" s="1385"/>
    </row>
    <row r="5" spans="2:11" ht="12.75" customHeight="1">
      <c r="C5" s="1374" t="s">
        <v>268</v>
      </c>
      <c r="D5" s="1375"/>
      <c r="E5" s="1375"/>
      <c r="F5" s="1375"/>
      <c r="G5" s="1375"/>
      <c r="H5" s="1376"/>
    </row>
    <row r="6" spans="2:11" s="69" customFormat="1" ht="12.75">
      <c r="B6" s="68">
        <f>B5+1</f>
        <v>1</v>
      </c>
      <c r="C6" s="147" t="s">
        <v>191</v>
      </c>
      <c r="D6" s="85" t="s">
        <v>343</v>
      </c>
      <c r="E6" s="86" t="s">
        <v>190</v>
      </c>
      <c r="F6" s="87" t="s">
        <v>192</v>
      </c>
      <c r="G6" s="420"/>
      <c r="H6" s="148" t="s">
        <v>193</v>
      </c>
      <c r="J6" s="70"/>
    </row>
    <row r="7" spans="2:11" ht="12.75">
      <c r="B7" s="68">
        <f t="shared" ref="B7:B70" si="0">B6+1</f>
        <v>2</v>
      </c>
      <c r="C7" s="1377" t="s">
        <v>197</v>
      </c>
      <c r="D7" s="1378"/>
      <c r="E7" s="1378"/>
      <c r="F7" s="1379"/>
      <c r="G7" s="149" t="str">
        <f>C7</f>
        <v>1.0</v>
      </c>
      <c r="H7" s="148"/>
    </row>
    <row r="8" spans="2:11">
      <c r="B8" s="68">
        <f t="shared" si="0"/>
        <v>3</v>
      </c>
      <c r="C8" s="411" t="s">
        <v>335</v>
      </c>
      <c r="D8" s="408"/>
      <c r="E8" s="408" t="s">
        <v>198</v>
      </c>
      <c r="F8" s="409" t="s">
        <v>199</v>
      </c>
      <c r="G8" s="413" t="str">
        <f ca="1">IF(ISBLANK(C8),OFFSET(G8,-1,0),IF(ISERR(FIND("/",C8,1)),C8,OFFSET(G8,-1,0)))</f>
        <v>1.0</v>
      </c>
      <c r="H8" s="410">
        <v>1134</v>
      </c>
      <c r="J8" s="418"/>
    </row>
    <row r="9" spans="2:11">
      <c r="B9" s="68">
        <f t="shared" si="0"/>
        <v>4</v>
      </c>
      <c r="C9" s="150" t="s">
        <v>336</v>
      </c>
      <c r="D9" s="88" t="s">
        <v>200</v>
      </c>
      <c r="E9" s="88" t="s">
        <v>201</v>
      </c>
      <c r="F9" s="89" t="s">
        <v>199</v>
      </c>
      <c r="G9" s="414" t="str">
        <f t="shared" ref="G9:G72" ca="1" si="1">IF(ISBLANK(C9),OFFSET(G9,-1,0),IF(ISERR(FIND("/",C9,1)),C9,OFFSET(G9,-1,0)))</f>
        <v>1.0</v>
      </c>
      <c r="H9" s="151">
        <v>1134</v>
      </c>
      <c r="I9" s="60" t="s">
        <v>84</v>
      </c>
      <c r="J9" s="418"/>
    </row>
    <row r="10" spans="2:11">
      <c r="B10" s="68">
        <f t="shared" si="0"/>
        <v>5</v>
      </c>
      <c r="C10" s="152" t="s">
        <v>337</v>
      </c>
      <c r="D10" s="90" t="s">
        <v>195</v>
      </c>
      <c r="E10" s="71" t="s">
        <v>202</v>
      </c>
      <c r="F10" s="1365" t="s">
        <v>199</v>
      </c>
      <c r="G10" s="415" t="str">
        <f t="shared" ca="1" si="1"/>
        <v>1.0</v>
      </c>
      <c r="H10" s="1368">
        <v>1134</v>
      </c>
      <c r="J10" s="418"/>
    </row>
    <row r="11" spans="2:11">
      <c r="B11" s="68">
        <f t="shared" si="0"/>
        <v>6</v>
      </c>
      <c r="C11" s="153"/>
      <c r="D11" s="74" t="s">
        <v>194</v>
      </c>
      <c r="E11" s="75" t="s">
        <v>202</v>
      </c>
      <c r="F11" s="1367"/>
      <c r="G11" s="416" t="str">
        <f t="shared" ca="1" si="1"/>
        <v>1.0</v>
      </c>
      <c r="H11" s="1370"/>
      <c r="J11" s="418"/>
    </row>
    <row r="12" spans="2:11">
      <c r="B12" s="68">
        <f t="shared" si="0"/>
        <v>7</v>
      </c>
      <c r="C12" s="160" t="s">
        <v>338</v>
      </c>
      <c r="D12" s="90" t="s">
        <v>195</v>
      </c>
      <c r="E12" s="71" t="s">
        <v>269</v>
      </c>
      <c r="F12" s="1365" t="s">
        <v>199</v>
      </c>
      <c r="G12" s="415" t="str">
        <f t="shared" ca="1" si="1"/>
        <v>1.0</v>
      </c>
      <c r="H12" s="1368">
        <v>1134</v>
      </c>
      <c r="J12" s="418"/>
    </row>
    <row r="13" spans="2:11">
      <c r="B13" s="68">
        <f t="shared" si="0"/>
        <v>8</v>
      </c>
      <c r="C13" s="154"/>
      <c r="D13" s="72" t="s">
        <v>270</v>
      </c>
      <c r="E13" s="1364" t="s">
        <v>271</v>
      </c>
      <c r="F13" s="1366"/>
      <c r="G13" s="149" t="str">
        <f t="shared" ca="1" si="1"/>
        <v>1.0</v>
      </c>
      <c r="H13" s="1369"/>
      <c r="J13" s="418"/>
    </row>
    <row r="14" spans="2:11">
      <c r="B14" s="68">
        <f t="shared" si="0"/>
        <v>9</v>
      </c>
      <c r="C14" s="154"/>
      <c r="D14" s="72"/>
      <c r="E14" s="1364"/>
      <c r="F14" s="1367"/>
      <c r="G14" s="149" t="str">
        <f t="shared" ca="1" si="1"/>
        <v>1.0</v>
      </c>
      <c r="H14" s="1370"/>
      <c r="J14" s="418"/>
    </row>
    <row r="15" spans="2:11">
      <c r="B15" s="68">
        <f t="shared" si="0"/>
        <v>10</v>
      </c>
      <c r="C15" s="161" t="s">
        <v>339</v>
      </c>
      <c r="D15" s="90" t="s">
        <v>272</v>
      </c>
      <c r="E15" s="71" t="s">
        <v>274</v>
      </c>
      <c r="F15" s="1365" t="s">
        <v>199</v>
      </c>
      <c r="G15" s="415" t="str">
        <f t="shared" ca="1" si="1"/>
        <v>1.0</v>
      </c>
      <c r="H15" s="1371">
        <v>1134</v>
      </c>
      <c r="J15" s="418"/>
    </row>
    <row r="16" spans="2:11">
      <c r="B16" s="68">
        <f t="shared" si="0"/>
        <v>11</v>
      </c>
      <c r="C16" s="162"/>
      <c r="D16" s="72" t="s">
        <v>273</v>
      </c>
      <c r="E16" s="73" t="s">
        <v>274</v>
      </c>
      <c r="F16" s="1366"/>
      <c r="G16" s="149" t="str">
        <f t="shared" ca="1" si="1"/>
        <v>1.0</v>
      </c>
      <c r="H16" s="1372"/>
      <c r="J16" s="418"/>
    </row>
    <row r="17" spans="2:10" ht="12.75">
      <c r="B17" s="68">
        <f t="shared" si="0"/>
        <v>12</v>
      </c>
      <c r="C17" s="165"/>
      <c r="D17" s="166" t="s">
        <v>194</v>
      </c>
      <c r="E17" s="429" t="s">
        <v>274</v>
      </c>
      <c r="F17" s="1367"/>
      <c r="G17" s="416" t="str">
        <f t="shared" ca="1" si="1"/>
        <v>1.0</v>
      </c>
      <c r="H17" s="1373"/>
      <c r="I17" s="60" t="s">
        <v>84</v>
      </c>
      <c r="J17" s="418"/>
    </row>
    <row r="18" spans="2:10">
      <c r="B18" s="68">
        <f t="shared" si="0"/>
        <v>13</v>
      </c>
      <c r="C18" s="412" t="s">
        <v>340</v>
      </c>
      <c r="D18" s="282" t="s">
        <v>195</v>
      </c>
      <c r="E18" s="71" t="s">
        <v>324</v>
      </c>
      <c r="F18" s="283"/>
      <c r="G18" s="415" t="str">
        <f t="shared" ca="1" si="1"/>
        <v>1.0</v>
      </c>
      <c r="H18" s="284"/>
      <c r="J18" s="418"/>
    </row>
    <row r="19" spans="2:10">
      <c r="B19" s="68">
        <f t="shared" si="0"/>
        <v>14</v>
      </c>
      <c r="C19" s="163"/>
      <c r="D19" s="76" t="s">
        <v>270</v>
      </c>
      <c r="E19" s="73" t="s">
        <v>325</v>
      </c>
      <c r="F19" s="77" t="s">
        <v>199</v>
      </c>
      <c r="G19" s="149" t="str">
        <f t="shared" ca="1" si="1"/>
        <v>1.0</v>
      </c>
      <c r="H19" s="164">
        <v>1134</v>
      </c>
      <c r="J19" s="418"/>
    </row>
    <row r="20" spans="2:10" ht="12.75">
      <c r="B20" s="68">
        <f t="shared" si="0"/>
        <v>15</v>
      </c>
      <c r="C20" s="421" t="s">
        <v>341</v>
      </c>
      <c r="D20" s="422"/>
      <c r="E20" s="430"/>
      <c r="F20" s="422"/>
      <c r="G20" s="423" t="str">
        <f t="shared" ca="1" si="1"/>
        <v>1.1</v>
      </c>
      <c r="H20" s="424"/>
      <c r="J20" s="418"/>
    </row>
    <row r="21" spans="2:10">
      <c r="B21" s="68">
        <f t="shared" si="0"/>
        <v>16</v>
      </c>
      <c r="C21" s="152" t="s">
        <v>342</v>
      </c>
      <c r="D21" s="282" t="s">
        <v>195</v>
      </c>
      <c r="E21" s="71" t="s">
        <v>344</v>
      </c>
      <c r="F21" s="406"/>
      <c r="G21" s="415" t="str">
        <f t="shared" ca="1" si="1"/>
        <v>1.1</v>
      </c>
      <c r="H21" s="407"/>
      <c r="J21" s="418"/>
    </row>
    <row r="22" spans="2:10" ht="22.5">
      <c r="B22" s="68">
        <f t="shared" si="0"/>
        <v>17</v>
      </c>
      <c r="C22" s="157"/>
      <c r="D22" s="425" t="s">
        <v>270</v>
      </c>
      <c r="E22" s="73" t="s">
        <v>345</v>
      </c>
      <c r="F22" s="77"/>
      <c r="G22" s="149" t="str">
        <f t="shared" ca="1" si="1"/>
        <v>1.1</v>
      </c>
      <c r="H22" s="156"/>
      <c r="J22" s="418"/>
    </row>
    <row r="23" spans="2:10">
      <c r="B23" s="68">
        <f t="shared" si="0"/>
        <v>18</v>
      </c>
      <c r="C23" s="157"/>
      <c r="D23" s="76"/>
      <c r="E23" s="73" t="s">
        <v>346</v>
      </c>
      <c r="F23" s="77"/>
      <c r="G23" s="149" t="str">
        <f t="shared" ca="1" si="1"/>
        <v>1.1</v>
      </c>
      <c r="H23" s="156"/>
      <c r="J23" s="418"/>
    </row>
    <row r="24" spans="2:10">
      <c r="B24" s="68">
        <f t="shared" si="0"/>
        <v>19</v>
      </c>
      <c r="C24" s="157"/>
      <c r="D24" s="76" t="s">
        <v>194</v>
      </c>
      <c r="E24" s="73" t="s">
        <v>347</v>
      </c>
      <c r="F24" s="77" t="s">
        <v>199</v>
      </c>
      <c r="G24" s="149" t="str">
        <f t="shared" ca="1" si="1"/>
        <v>1.1</v>
      </c>
      <c r="H24" s="156">
        <v>1134</v>
      </c>
      <c r="J24" s="418"/>
    </row>
    <row r="25" spans="2:10" ht="22.5">
      <c r="B25" s="68">
        <f t="shared" si="0"/>
        <v>20</v>
      </c>
      <c r="C25" s="152" t="s">
        <v>357</v>
      </c>
      <c r="D25" s="282" t="s">
        <v>270</v>
      </c>
      <c r="E25" s="71" t="s">
        <v>358</v>
      </c>
      <c r="F25" s="426"/>
      <c r="G25" s="428" t="str">
        <f ca="1">IF(ISBLANK(C25),OFFSET(G25,-1,0),IF(ISERR(FIND("/",C25,1)),C25,OFFSET(G25,-1,0)))</f>
        <v>1.1</v>
      </c>
      <c r="H25" s="427"/>
      <c r="J25" s="418"/>
    </row>
    <row r="26" spans="2:10" ht="22.5">
      <c r="B26" s="68">
        <f t="shared" si="0"/>
        <v>21</v>
      </c>
      <c r="C26" s="155"/>
      <c r="D26" s="76" t="s">
        <v>272</v>
      </c>
      <c r="E26" s="73" t="s">
        <v>359</v>
      </c>
      <c r="F26" s="77" t="s">
        <v>199</v>
      </c>
      <c r="G26" s="149" t="str">
        <f ca="1">IF(ISBLANK(C26),OFFSET(G26,-1,0),IF(ISERR(FIND("/",C26,1)),C26,OFFSET(G26,-1,0)))</f>
        <v>1.1</v>
      </c>
      <c r="H26" s="156">
        <v>1134</v>
      </c>
      <c r="J26" s="418"/>
    </row>
    <row r="27" spans="2:10" ht="12.75">
      <c r="B27" s="68">
        <f t="shared" si="0"/>
        <v>22</v>
      </c>
      <c r="C27" s="436" t="s">
        <v>366</v>
      </c>
      <c r="D27" s="437"/>
      <c r="E27" s="438"/>
      <c r="F27" s="439"/>
      <c r="G27" s="440" t="str">
        <f t="shared" ca="1" si="1"/>
        <v>2.0</v>
      </c>
      <c r="H27" s="441"/>
      <c r="J27" s="418"/>
    </row>
    <row r="28" spans="2:10">
      <c r="B28" s="68">
        <f t="shared" si="0"/>
        <v>23</v>
      </c>
      <c r="C28" s="152" t="s">
        <v>557</v>
      </c>
      <c r="D28" s="282" t="s">
        <v>558</v>
      </c>
      <c r="E28" s="1358" t="s">
        <v>562</v>
      </c>
      <c r="F28" s="1360" t="s">
        <v>199</v>
      </c>
      <c r="G28" s="428" t="str">
        <f t="shared" ca="1" si="1"/>
        <v>2.0</v>
      </c>
      <c r="H28" s="1362">
        <v>1134</v>
      </c>
      <c r="J28" s="418"/>
    </row>
    <row r="29" spans="2:10">
      <c r="B29" s="68">
        <f t="shared" si="0"/>
        <v>24</v>
      </c>
      <c r="C29" s="157"/>
      <c r="D29" s="76" t="s">
        <v>559</v>
      </c>
      <c r="E29" s="1359"/>
      <c r="F29" s="1361"/>
      <c r="G29" s="149" t="str">
        <f t="shared" ca="1" si="1"/>
        <v>2.0</v>
      </c>
      <c r="H29" s="1363"/>
      <c r="J29" s="418"/>
    </row>
    <row r="30" spans="2:10">
      <c r="B30" s="68">
        <f t="shared" si="0"/>
        <v>25</v>
      </c>
      <c r="C30" s="157"/>
      <c r="D30" s="76" t="s">
        <v>560</v>
      </c>
      <c r="E30" s="1359"/>
      <c r="F30" s="1361"/>
      <c r="G30" s="149" t="str">
        <f t="shared" ca="1" si="1"/>
        <v>2.0</v>
      </c>
      <c r="H30" s="1363"/>
      <c r="J30" s="418"/>
    </row>
    <row r="31" spans="2:10">
      <c r="B31" s="68">
        <f t="shared" si="0"/>
        <v>26</v>
      </c>
      <c r="C31" s="157"/>
      <c r="D31" s="76" t="s">
        <v>561</v>
      </c>
      <c r="E31" s="1359"/>
      <c r="F31" s="1361"/>
      <c r="G31" s="149" t="str">
        <f t="shared" ca="1" si="1"/>
        <v>2.0</v>
      </c>
      <c r="H31" s="1363"/>
      <c r="J31" s="418"/>
    </row>
    <row r="32" spans="2:10" ht="12.75">
      <c r="B32" s="68">
        <f t="shared" si="0"/>
        <v>27</v>
      </c>
      <c r="C32" s="436" t="s">
        <v>563</v>
      </c>
      <c r="D32" s="437"/>
      <c r="E32" s="438"/>
      <c r="F32" s="439"/>
      <c r="G32" s="440" t="str">
        <f t="shared" ca="1" si="1"/>
        <v>2.1</v>
      </c>
      <c r="H32" s="441"/>
      <c r="J32" s="418"/>
    </row>
    <row r="33" spans="2:10">
      <c r="B33" s="68">
        <f t="shared" si="0"/>
        <v>28</v>
      </c>
      <c r="C33" s="773" t="s">
        <v>564</v>
      </c>
      <c r="D33" s="1356" t="s">
        <v>195</v>
      </c>
      <c r="E33" s="71" t="s">
        <v>565</v>
      </c>
      <c r="F33" s="1360" t="s">
        <v>199</v>
      </c>
      <c r="G33" s="428" t="str">
        <f t="shared" ca="1" si="1"/>
        <v>2.1</v>
      </c>
      <c r="H33" s="1362">
        <v>1134</v>
      </c>
      <c r="J33" s="418"/>
    </row>
    <row r="34" spans="2:10">
      <c r="B34" s="68">
        <f t="shared" si="0"/>
        <v>29</v>
      </c>
      <c r="C34" s="157"/>
      <c r="D34" s="1357"/>
      <c r="E34" s="73" t="s">
        <v>566</v>
      </c>
      <c r="F34" s="1361"/>
      <c r="G34" s="149" t="str">
        <f t="shared" ca="1" si="1"/>
        <v>2.1</v>
      </c>
      <c r="H34" s="1363"/>
      <c r="J34" s="418"/>
    </row>
    <row r="35" spans="2:10">
      <c r="B35" s="68">
        <f t="shared" si="0"/>
        <v>30</v>
      </c>
      <c r="C35" s="157"/>
      <c r="D35" s="76" t="s">
        <v>558</v>
      </c>
      <c r="E35" s="73" t="s">
        <v>571</v>
      </c>
      <c r="F35" s="1361"/>
      <c r="G35" s="149" t="str">
        <f t="shared" ca="1" si="1"/>
        <v>2.1</v>
      </c>
      <c r="H35" s="1363"/>
      <c r="J35" s="418"/>
    </row>
    <row r="36" spans="2:10" ht="22.5">
      <c r="B36" s="68">
        <f t="shared" si="0"/>
        <v>31</v>
      </c>
      <c r="C36" s="157"/>
      <c r="D36" s="1357" t="s">
        <v>270</v>
      </c>
      <c r="E36" s="73" t="s">
        <v>567</v>
      </c>
      <c r="F36" s="1361"/>
      <c r="G36" s="149" t="str">
        <f t="shared" ca="1" si="1"/>
        <v>2.1</v>
      </c>
      <c r="H36" s="1363"/>
      <c r="J36" s="418"/>
    </row>
    <row r="37" spans="2:10" ht="22.5">
      <c r="B37" s="68">
        <f t="shared" si="0"/>
        <v>32</v>
      </c>
      <c r="C37" s="157"/>
      <c r="D37" s="1357"/>
      <c r="E37" s="73" t="s">
        <v>570</v>
      </c>
      <c r="F37" s="1361"/>
      <c r="G37" s="149" t="str">
        <f t="shared" ca="1" si="1"/>
        <v>2.1</v>
      </c>
      <c r="H37" s="1363"/>
      <c r="J37" s="418"/>
    </row>
    <row r="38" spans="2:10" ht="22.5">
      <c r="B38" s="68">
        <f t="shared" si="0"/>
        <v>33</v>
      </c>
      <c r="C38" s="157"/>
      <c r="D38" s="1357"/>
      <c r="E38" s="73" t="s">
        <v>572</v>
      </c>
      <c r="F38" s="1361"/>
      <c r="G38" s="149" t="str">
        <f t="shared" ca="1" si="1"/>
        <v>2.1</v>
      </c>
      <c r="H38" s="1363"/>
      <c r="J38" s="418"/>
    </row>
    <row r="39" spans="2:10">
      <c r="B39" s="68">
        <f t="shared" si="0"/>
        <v>34</v>
      </c>
      <c r="C39" s="157"/>
      <c r="D39" s="76" t="s">
        <v>568</v>
      </c>
      <c r="E39" s="73" t="s">
        <v>569</v>
      </c>
      <c r="F39" s="1361"/>
      <c r="G39" s="149" t="str">
        <f t="shared" ca="1" si="1"/>
        <v>2.1</v>
      </c>
      <c r="H39" s="1363"/>
      <c r="J39" s="418"/>
    </row>
    <row r="40" spans="2:10" ht="12.75">
      <c r="B40" s="68">
        <f t="shared" si="0"/>
        <v>35</v>
      </c>
      <c r="C40" s="436" t="s">
        <v>574</v>
      </c>
      <c r="D40" s="437"/>
      <c r="E40" s="438"/>
      <c r="F40" s="439"/>
      <c r="G40" s="440" t="str">
        <f t="shared" ca="1" si="1"/>
        <v>2.2</v>
      </c>
      <c r="H40" s="441"/>
      <c r="J40" s="418"/>
    </row>
    <row r="41" spans="2:10" ht="22.5">
      <c r="B41" s="68">
        <f t="shared" si="0"/>
        <v>36</v>
      </c>
      <c r="C41" s="773" t="s">
        <v>575</v>
      </c>
      <c r="D41" s="282" t="s">
        <v>270</v>
      </c>
      <c r="E41" s="71" t="s">
        <v>576</v>
      </c>
      <c r="F41" s="774" t="s">
        <v>199</v>
      </c>
      <c r="G41" s="428" t="str">
        <f t="shared" ca="1" si="1"/>
        <v>2.2</v>
      </c>
      <c r="H41" s="775">
        <v>1134</v>
      </c>
      <c r="J41" s="418"/>
    </row>
    <row r="42" spans="2:10">
      <c r="B42" s="68">
        <f t="shared" si="0"/>
        <v>37</v>
      </c>
      <c r="C42" s="157"/>
      <c r="D42" s="76"/>
      <c r="E42" s="73"/>
      <c r="F42" s="77"/>
      <c r="G42" s="149" t="str">
        <f t="shared" ca="1" si="1"/>
        <v>2.2</v>
      </c>
      <c r="H42" s="156"/>
      <c r="J42" s="418"/>
    </row>
    <row r="43" spans="2:10">
      <c r="B43" s="68">
        <f t="shared" si="0"/>
        <v>38</v>
      </c>
      <c r="C43" s="157"/>
      <c r="D43" s="76"/>
      <c r="E43" s="73"/>
      <c r="F43" s="77"/>
      <c r="G43" s="149" t="str">
        <f t="shared" ca="1" si="1"/>
        <v>2.2</v>
      </c>
      <c r="H43" s="156"/>
      <c r="J43" s="418"/>
    </row>
    <row r="44" spans="2:10">
      <c r="B44" s="68">
        <f t="shared" si="0"/>
        <v>39</v>
      </c>
      <c r="C44" s="155"/>
      <c r="D44" s="76"/>
      <c r="E44" s="73"/>
      <c r="F44" s="77"/>
      <c r="G44" s="149" t="str">
        <f t="shared" ca="1" si="1"/>
        <v>2.2</v>
      </c>
      <c r="H44" s="156"/>
      <c r="J44" s="418"/>
    </row>
    <row r="45" spans="2:10">
      <c r="B45" s="68">
        <f t="shared" si="0"/>
        <v>40</v>
      </c>
      <c r="C45" s="157"/>
      <c r="D45" s="76"/>
      <c r="E45" s="73"/>
      <c r="F45" s="77"/>
      <c r="G45" s="149" t="str">
        <f t="shared" ca="1" si="1"/>
        <v>2.2</v>
      </c>
      <c r="H45" s="156"/>
      <c r="J45" s="418"/>
    </row>
    <row r="46" spans="2:10">
      <c r="B46" s="68">
        <f t="shared" si="0"/>
        <v>41</v>
      </c>
      <c r="C46" s="157"/>
      <c r="D46" s="76"/>
      <c r="E46" s="73"/>
      <c r="F46" s="77"/>
      <c r="G46" s="149" t="str">
        <f t="shared" ca="1" si="1"/>
        <v>2.2</v>
      </c>
      <c r="H46" s="156"/>
      <c r="J46" s="418"/>
    </row>
    <row r="47" spans="2:10">
      <c r="B47" s="68">
        <f t="shared" si="0"/>
        <v>42</v>
      </c>
      <c r="C47" s="157"/>
      <c r="D47" s="76"/>
      <c r="E47" s="73"/>
      <c r="F47" s="77"/>
      <c r="G47" s="149" t="str">
        <f t="shared" ca="1" si="1"/>
        <v>2.2</v>
      </c>
      <c r="H47" s="156"/>
      <c r="J47" s="418"/>
    </row>
    <row r="48" spans="2:10">
      <c r="B48" s="68">
        <f t="shared" si="0"/>
        <v>43</v>
      </c>
      <c r="C48" s="157"/>
      <c r="D48" s="76"/>
      <c r="E48" s="73"/>
      <c r="F48" s="77"/>
      <c r="G48" s="149" t="str">
        <f t="shared" ca="1" si="1"/>
        <v>2.2</v>
      </c>
      <c r="H48" s="156"/>
      <c r="J48" s="418"/>
    </row>
    <row r="49" spans="2:10">
      <c r="B49" s="68">
        <f t="shared" si="0"/>
        <v>44</v>
      </c>
      <c r="C49" s="157"/>
      <c r="D49" s="76"/>
      <c r="E49" s="73"/>
      <c r="F49" s="77"/>
      <c r="G49" s="149" t="str">
        <f t="shared" ca="1" si="1"/>
        <v>2.2</v>
      </c>
      <c r="H49" s="156"/>
      <c r="J49" s="418"/>
    </row>
    <row r="50" spans="2:10">
      <c r="B50" s="68">
        <f t="shared" si="0"/>
        <v>45</v>
      </c>
      <c r="C50" s="157"/>
      <c r="D50" s="76"/>
      <c r="E50" s="73"/>
      <c r="F50" s="77"/>
      <c r="G50" s="149" t="str">
        <f t="shared" ca="1" si="1"/>
        <v>2.2</v>
      </c>
      <c r="H50" s="156"/>
      <c r="J50" s="418"/>
    </row>
    <row r="51" spans="2:10">
      <c r="B51" s="68">
        <f t="shared" si="0"/>
        <v>46</v>
      </c>
      <c r="C51" s="157"/>
      <c r="D51" s="76"/>
      <c r="E51" s="73"/>
      <c r="F51" s="77"/>
      <c r="G51" s="149" t="str">
        <f t="shared" ca="1" si="1"/>
        <v>2.2</v>
      </c>
      <c r="H51" s="156"/>
      <c r="J51" s="418"/>
    </row>
    <row r="52" spans="2:10">
      <c r="B52" s="68">
        <f t="shared" si="0"/>
        <v>47</v>
      </c>
      <c r="C52" s="157"/>
      <c r="D52" s="76"/>
      <c r="E52" s="73"/>
      <c r="F52" s="77"/>
      <c r="G52" s="149" t="str">
        <f t="shared" ca="1" si="1"/>
        <v>2.2</v>
      </c>
      <c r="H52" s="156"/>
      <c r="J52" s="418"/>
    </row>
    <row r="53" spans="2:10">
      <c r="B53" s="68">
        <f t="shared" si="0"/>
        <v>48</v>
      </c>
      <c r="C53" s="155"/>
      <c r="D53" s="76"/>
      <c r="E53" s="73"/>
      <c r="F53" s="77"/>
      <c r="G53" s="149" t="str">
        <f t="shared" ca="1" si="1"/>
        <v>2.2</v>
      </c>
      <c r="H53" s="156"/>
      <c r="J53" s="418"/>
    </row>
    <row r="54" spans="2:10">
      <c r="B54" s="68">
        <f t="shared" si="0"/>
        <v>49</v>
      </c>
      <c r="C54" s="157"/>
      <c r="D54" s="76"/>
      <c r="E54" s="73"/>
      <c r="F54" s="77"/>
      <c r="G54" s="149" t="str">
        <f t="shared" ca="1" si="1"/>
        <v>2.2</v>
      </c>
      <c r="H54" s="156"/>
      <c r="J54" s="418"/>
    </row>
    <row r="55" spans="2:10">
      <c r="B55" s="68">
        <f t="shared" si="0"/>
        <v>50</v>
      </c>
      <c r="C55" s="157"/>
      <c r="D55" s="76"/>
      <c r="E55" s="73"/>
      <c r="F55" s="77"/>
      <c r="G55" s="149" t="str">
        <f t="shared" ca="1" si="1"/>
        <v>2.2</v>
      </c>
      <c r="H55" s="156"/>
      <c r="J55" s="418"/>
    </row>
    <row r="56" spans="2:10">
      <c r="B56" s="68">
        <f t="shared" si="0"/>
        <v>51</v>
      </c>
      <c r="C56" s="157"/>
      <c r="D56" s="76"/>
      <c r="E56" s="73"/>
      <c r="F56" s="77"/>
      <c r="G56" s="149" t="str">
        <f t="shared" ca="1" si="1"/>
        <v>2.2</v>
      </c>
      <c r="H56" s="156"/>
      <c r="J56" s="418"/>
    </row>
    <row r="57" spans="2:10">
      <c r="B57" s="68">
        <f t="shared" si="0"/>
        <v>52</v>
      </c>
      <c r="C57" s="157"/>
      <c r="D57" s="76"/>
      <c r="E57" s="73"/>
      <c r="F57" s="77"/>
      <c r="G57" s="149" t="str">
        <f t="shared" ca="1" si="1"/>
        <v>2.2</v>
      </c>
      <c r="H57" s="156"/>
      <c r="J57" s="418"/>
    </row>
    <row r="58" spans="2:10">
      <c r="B58" s="68">
        <f t="shared" si="0"/>
        <v>53</v>
      </c>
      <c r="C58" s="157"/>
      <c r="D58" s="76"/>
      <c r="E58" s="73"/>
      <c r="F58" s="77"/>
      <c r="G58" s="149" t="str">
        <f t="shared" ca="1" si="1"/>
        <v>2.2</v>
      </c>
      <c r="H58" s="156"/>
      <c r="J58" s="418"/>
    </row>
    <row r="59" spans="2:10">
      <c r="B59" s="68">
        <f t="shared" si="0"/>
        <v>54</v>
      </c>
      <c r="C59" s="157"/>
      <c r="D59" s="76"/>
      <c r="E59" s="73"/>
      <c r="F59" s="77"/>
      <c r="G59" s="149" t="str">
        <f t="shared" ca="1" si="1"/>
        <v>2.2</v>
      </c>
      <c r="H59" s="156"/>
      <c r="J59" s="418"/>
    </row>
    <row r="60" spans="2:10">
      <c r="B60" s="68">
        <f t="shared" si="0"/>
        <v>55</v>
      </c>
      <c r="C60" s="157"/>
      <c r="D60" s="76"/>
      <c r="E60" s="73"/>
      <c r="F60" s="77"/>
      <c r="G60" s="149" t="str">
        <f t="shared" ca="1" si="1"/>
        <v>2.2</v>
      </c>
      <c r="H60" s="156"/>
      <c r="J60" s="418"/>
    </row>
    <row r="61" spans="2:10">
      <c r="B61" s="68">
        <f t="shared" si="0"/>
        <v>56</v>
      </c>
      <c r="C61" s="157"/>
      <c r="D61" s="76"/>
      <c r="E61" s="73"/>
      <c r="F61" s="77"/>
      <c r="G61" s="149" t="str">
        <f t="shared" ca="1" si="1"/>
        <v>2.2</v>
      </c>
      <c r="H61" s="156"/>
      <c r="J61" s="418"/>
    </row>
    <row r="62" spans="2:10">
      <c r="B62" s="68">
        <f t="shared" si="0"/>
        <v>57</v>
      </c>
      <c r="C62" s="157"/>
      <c r="D62" s="76"/>
      <c r="E62" s="73"/>
      <c r="F62" s="77"/>
      <c r="G62" s="149" t="str">
        <f t="shared" ca="1" si="1"/>
        <v>2.2</v>
      </c>
      <c r="H62" s="156"/>
      <c r="J62" s="418"/>
    </row>
    <row r="63" spans="2:10">
      <c r="B63" s="68">
        <f t="shared" si="0"/>
        <v>58</v>
      </c>
      <c r="C63" s="157"/>
      <c r="D63" s="76"/>
      <c r="E63" s="73"/>
      <c r="F63" s="77"/>
      <c r="G63" s="149" t="str">
        <f t="shared" ca="1" si="1"/>
        <v>2.2</v>
      </c>
      <c r="H63" s="156"/>
      <c r="J63" s="418"/>
    </row>
    <row r="64" spans="2:10">
      <c r="B64" s="68">
        <f t="shared" si="0"/>
        <v>59</v>
      </c>
      <c r="C64" s="157"/>
      <c r="D64" s="76"/>
      <c r="E64" s="73"/>
      <c r="F64" s="77"/>
      <c r="G64" s="149" t="str">
        <f t="shared" ca="1" si="1"/>
        <v>2.2</v>
      </c>
      <c r="H64" s="156"/>
      <c r="J64" s="418"/>
    </row>
    <row r="65" spans="2:10">
      <c r="B65" s="68">
        <f t="shared" si="0"/>
        <v>60</v>
      </c>
      <c r="C65" s="157"/>
      <c r="D65" s="76"/>
      <c r="E65" s="73"/>
      <c r="F65" s="77"/>
      <c r="G65" s="149" t="str">
        <f t="shared" ca="1" si="1"/>
        <v>2.2</v>
      </c>
      <c r="H65" s="156"/>
      <c r="J65" s="418"/>
    </row>
    <row r="66" spans="2:10">
      <c r="B66" s="68">
        <f t="shared" si="0"/>
        <v>61</v>
      </c>
      <c r="C66" s="157"/>
      <c r="D66" s="76"/>
      <c r="E66" s="73"/>
      <c r="F66" s="77"/>
      <c r="G66" s="149" t="str">
        <f t="shared" ca="1" si="1"/>
        <v>2.2</v>
      </c>
      <c r="H66" s="156"/>
      <c r="J66" s="418"/>
    </row>
    <row r="67" spans="2:10">
      <c r="B67" s="68">
        <f t="shared" si="0"/>
        <v>62</v>
      </c>
      <c r="C67" s="155"/>
      <c r="D67" s="76"/>
      <c r="E67" s="73"/>
      <c r="F67" s="77"/>
      <c r="G67" s="149" t="str">
        <f t="shared" ca="1" si="1"/>
        <v>2.2</v>
      </c>
      <c r="H67" s="156"/>
      <c r="J67" s="418"/>
    </row>
    <row r="68" spans="2:10">
      <c r="B68" s="68">
        <f t="shared" si="0"/>
        <v>63</v>
      </c>
      <c r="C68" s="157"/>
      <c r="D68" s="76"/>
      <c r="E68" s="73"/>
      <c r="F68" s="77"/>
      <c r="G68" s="149" t="str">
        <f t="shared" ca="1" si="1"/>
        <v>2.2</v>
      </c>
      <c r="H68" s="156"/>
      <c r="J68" s="418"/>
    </row>
    <row r="69" spans="2:10">
      <c r="B69" s="68">
        <f t="shared" si="0"/>
        <v>64</v>
      </c>
      <c r="C69" s="157"/>
      <c r="D69" s="76"/>
      <c r="E69" s="73"/>
      <c r="F69" s="77"/>
      <c r="G69" s="149" t="str">
        <f t="shared" ca="1" si="1"/>
        <v>2.2</v>
      </c>
      <c r="H69" s="156"/>
      <c r="J69" s="418"/>
    </row>
    <row r="70" spans="2:10">
      <c r="B70" s="68">
        <f t="shared" si="0"/>
        <v>65</v>
      </c>
      <c r="C70" s="157"/>
      <c r="D70" s="76"/>
      <c r="E70" s="73"/>
      <c r="F70" s="77"/>
      <c r="G70" s="149" t="str">
        <f t="shared" ca="1" si="1"/>
        <v>2.2</v>
      </c>
      <c r="H70" s="156"/>
      <c r="J70" s="418"/>
    </row>
    <row r="71" spans="2:10">
      <c r="B71" s="68">
        <f t="shared" ref="B71:B110" si="2">B70+1</f>
        <v>66</v>
      </c>
      <c r="C71" s="157"/>
      <c r="D71" s="76"/>
      <c r="E71" s="73"/>
      <c r="F71" s="77"/>
      <c r="G71" s="149" t="str">
        <f t="shared" ca="1" si="1"/>
        <v>2.2</v>
      </c>
      <c r="H71" s="156"/>
      <c r="J71" s="418"/>
    </row>
    <row r="72" spans="2:10">
      <c r="B72" s="68">
        <f t="shared" si="2"/>
        <v>67</v>
      </c>
      <c r="C72" s="157"/>
      <c r="D72" s="76"/>
      <c r="E72" s="73"/>
      <c r="F72" s="77"/>
      <c r="G72" s="149" t="str">
        <f t="shared" ca="1" si="1"/>
        <v>2.2</v>
      </c>
      <c r="H72" s="156"/>
      <c r="J72" s="418"/>
    </row>
    <row r="73" spans="2:10">
      <c r="B73" s="68">
        <f t="shared" si="2"/>
        <v>68</v>
      </c>
      <c r="C73" s="157"/>
      <c r="D73" s="76"/>
      <c r="E73" s="73"/>
      <c r="F73" s="77"/>
      <c r="G73" s="149" t="str">
        <f t="shared" ref="G73:G89" ca="1" si="3">IF(ISBLANK(C73),OFFSET(G73,-1,0),IF(ISERR(FIND("/",C73,1)),C73,OFFSET(G73,-1,0)))</f>
        <v>2.2</v>
      </c>
      <c r="H73" s="156"/>
      <c r="J73" s="418"/>
    </row>
    <row r="74" spans="2:10">
      <c r="B74" s="68">
        <f t="shared" si="2"/>
        <v>69</v>
      </c>
      <c r="C74" s="157"/>
      <c r="D74" s="76"/>
      <c r="E74" s="73"/>
      <c r="F74" s="77"/>
      <c r="G74" s="149" t="str">
        <f t="shared" ca="1" si="3"/>
        <v>2.2</v>
      </c>
      <c r="H74" s="156"/>
      <c r="J74" s="418"/>
    </row>
    <row r="75" spans="2:10">
      <c r="B75" s="68">
        <f t="shared" si="2"/>
        <v>70</v>
      </c>
      <c r="C75" s="157"/>
      <c r="D75" s="76"/>
      <c r="E75" s="73"/>
      <c r="F75" s="77"/>
      <c r="G75" s="149" t="str">
        <f t="shared" ca="1" si="3"/>
        <v>2.2</v>
      </c>
      <c r="H75" s="156"/>
      <c r="J75" s="418"/>
    </row>
    <row r="76" spans="2:10">
      <c r="B76" s="68">
        <f t="shared" si="2"/>
        <v>71</v>
      </c>
      <c r="C76" s="157"/>
      <c r="D76" s="76"/>
      <c r="E76" s="73"/>
      <c r="F76" s="77"/>
      <c r="G76" s="149" t="str">
        <f t="shared" ca="1" si="3"/>
        <v>2.2</v>
      </c>
      <c r="H76" s="156"/>
      <c r="J76" s="418"/>
    </row>
    <row r="77" spans="2:10">
      <c r="B77" s="68">
        <f t="shared" si="2"/>
        <v>72</v>
      </c>
      <c r="C77" s="157"/>
      <c r="D77" s="76"/>
      <c r="E77" s="73"/>
      <c r="F77" s="77"/>
      <c r="G77" s="149" t="str">
        <f t="shared" ca="1" si="3"/>
        <v>2.2</v>
      </c>
      <c r="H77" s="156"/>
      <c r="J77" s="418"/>
    </row>
    <row r="78" spans="2:10">
      <c r="B78" s="68">
        <f t="shared" si="2"/>
        <v>73</v>
      </c>
      <c r="C78" s="157"/>
      <c r="D78" s="76"/>
      <c r="E78" s="73"/>
      <c r="F78" s="77"/>
      <c r="G78" s="149" t="str">
        <f t="shared" ca="1" si="3"/>
        <v>2.2</v>
      </c>
      <c r="H78" s="156"/>
      <c r="J78" s="418"/>
    </row>
    <row r="79" spans="2:10">
      <c r="B79" s="68">
        <f t="shared" si="2"/>
        <v>74</v>
      </c>
      <c r="C79" s="157"/>
      <c r="D79" s="76"/>
      <c r="E79" s="73"/>
      <c r="F79" s="77"/>
      <c r="G79" s="149" t="str">
        <f t="shared" ca="1" si="3"/>
        <v>2.2</v>
      </c>
      <c r="H79" s="156"/>
      <c r="J79" s="418"/>
    </row>
    <row r="80" spans="2:10" ht="12.75">
      <c r="B80" s="68">
        <f t="shared" si="2"/>
        <v>75</v>
      </c>
      <c r="C80" s="158"/>
      <c r="D80" s="78"/>
      <c r="E80" s="431"/>
      <c r="F80" s="79"/>
      <c r="G80" s="149" t="str">
        <f t="shared" ca="1" si="3"/>
        <v>2.2</v>
      </c>
      <c r="H80" s="159"/>
      <c r="J80" s="418"/>
    </row>
    <row r="81" spans="2:10">
      <c r="B81" s="68">
        <f t="shared" si="2"/>
        <v>76</v>
      </c>
      <c r="C81" s="157"/>
      <c r="D81" s="76"/>
      <c r="E81" s="73"/>
      <c r="F81" s="77"/>
      <c r="G81" s="149" t="str">
        <f t="shared" ca="1" si="3"/>
        <v>2.2</v>
      </c>
      <c r="H81" s="156"/>
      <c r="J81" s="418"/>
    </row>
    <row r="82" spans="2:10">
      <c r="B82" s="68">
        <f t="shared" si="2"/>
        <v>77</v>
      </c>
      <c r="C82" s="157"/>
      <c r="D82" s="76"/>
      <c r="E82" s="73"/>
      <c r="F82" s="77"/>
      <c r="G82" s="149" t="str">
        <f t="shared" ca="1" si="3"/>
        <v>2.2</v>
      </c>
      <c r="H82" s="156"/>
      <c r="J82" s="418"/>
    </row>
    <row r="83" spans="2:10">
      <c r="B83" s="68">
        <f t="shared" si="2"/>
        <v>78</v>
      </c>
      <c r="C83" s="157"/>
      <c r="D83" s="76"/>
      <c r="E83" s="73"/>
      <c r="F83" s="77"/>
      <c r="G83" s="149" t="str">
        <f t="shared" ca="1" si="3"/>
        <v>2.2</v>
      </c>
      <c r="H83" s="156"/>
      <c r="J83" s="418"/>
    </row>
    <row r="84" spans="2:10">
      <c r="B84" s="68">
        <f t="shared" si="2"/>
        <v>79</v>
      </c>
      <c r="C84" s="157"/>
      <c r="D84" s="76"/>
      <c r="E84" s="73"/>
      <c r="F84" s="77"/>
      <c r="G84" s="149" t="str">
        <f t="shared" ca="1" si="3"/>
        <v>2.2</v>
      </c>
      <c r="H84" s="156"/>
      <c r="J84" s="418"/>
    </row>
    <row r="85" spans="2:10">
      <c r="B85" s="68">
        <f t="shared" si="2"/>
        <v>80</v>
      </c>
      <c r="C85" s="157"/>
      <c r="D85" s="76"/>
      <c r="E85" s="73"/>
      <c r="F85" s="77"/>
      <c r="G85" s="149" t="str">
        <f t="shared" ca="1" si="3"/>
        <v>2.2</v>
      </c>
      <c r="H85" s="156"/>
      <c r="J85" s="418"/>
    </row>
    <row r="86" spans="2:10">
      <c r="B86" s="68">
        <f t="shared" si="2"/>
        <v>81</v>
      </c>
      <c r="C86" s="157"/>
      <c r="D86" s="76"/>
      <c r="E86" s="73"/>
      <c r="F86" s="77"/>
      <c r="G86" s="149" t="str">
        <f t="shared" ca="1" si="3"/>
        <v>2.2</v>
      </c>
      <c r="H86" s="156"/>
      <c r="J86" s="418"/>
    </row>
    <row r="87" spans="2:10">
      <c r="B87" s="68">
        <f t="shared" si="2"/>
        <v>82</v>
      </c>
      <c r="C87" s="157"/>
      <c r="D87" s="76"/>
      <c r="E87" s="73"/>
      <c r="F87" s="77"/>
      <c r="G87" s="149" t="str">
        <f t="shared" ca="1" si="3"/>
        <v>2.2</v>
      </c>
      <c r="H87" s="156"/>
      <c r="J87" s="418"/>
    </row>
    <row r="88" spans="2:10">
      <c r="B88" s="68">
        <f t="shared" si="2"/>
        <v>83</v>
      </c>
      <c r="C88" s="157"/>
      <c r="D88" s="76"/>
      <c r="E88" s="73"/>
      <c r="F88" s="77"/>
      <c r="G88" s="149" t="str">
        <f t="shared" ca="1" si="3"/>
        <v>2.2</v>
      </c>
      <c r="H88" s="156"/>
      <c r="J88" s="418"/>
    </row>
    <row r="89" spans="2:10">
      <c r="B89" s="68">
        <f t="shared" si="2"/>
        <v>84</v>
      </c>
      <c r="C89" s="157"/>
      <c r="D89" s="76"/>
      <c r="E89" s="73"/>
      <c r="F89" s="77"/>
      <c r="G89" s="149" t="str">
        <f t="shared" ca="1" si="3"/>
        <v>2.2</v>
      </c>
      <c r="H89" s="156"/>
      <c r="J89" s="418"/>
    </row>
    <row r="90" spans="2:10">
      <c r="B90" s="68">
        <f t="shared" si="2"/>
        <v>85</v>
      </c>
      <c r="C90" s="157"/>
      <c r="D90" s="76"/>
      <c r="E90" s="73"/>
      <c r="F90" s="77"/>
      <c r="G90" s="149" t="str">
        <f t="shared" ref="G90:G138" ca="1" si="4">IF(ISBLANK(C90),OFFSET(G90,-1,0),IF(ISERR(FIND("/",C90,1)),C90,OFFSET(G90,-1,0)))</f>
        <v>2.2</v>
      </c>
      <c r="H90" s="156"/>
      <c r="J90" s="418"/>
    </row>
    <row r="91" spans="2:10">
      <c r="B91" s="68">
        <f t="shared" si="2"/>
        <v>86</v>
      </c>
      <c r="C91" s="157"/>
      <c r="D91" s="76"/>
      <c r="E91" s="73"/>
      <c r="F91" s="77"/>
      <c r="G91" s="149" t="str">
        <f t="shared" ca="1" si="4"/>
        <v>2.2</v>
      </c>
      <c r="H91" s="156"/>
      <c r="J91" s="418"/>
    </row>
    <row r="92" spans="2:10">
      <c r="B92" s="68">
        <f t="shared" si="2"/>
        <v>87</v>
      </c>
      <c r="C92" s="157"/>
      <c r="D92" s="76"/>
      <c r="E92" s="73"/>
      <c r="F92" s="77"/>
      <c r="G92" s="149" t="str">
        <f t="shared" ca="1" si="4"/>
        <v>2.2</v>
      </c>
      <c r="H92" s="156"/>
      <c r="J92" s="418"/>
    </row>
    <row r="93" spans="2:10">
      <c r="B93" s="68">
        <f t="shared" si="2"/>
        <v>88</v>
      </c>
      <c r="C93" s="157"/>
      <c r="D93" s="76"/>
      <c r="E93" s="73"/>
      <c r="F93" s="77"/>
      <c r="G93" s="149" t="str">
        <f t="shared" ca="1" si="4"/>
        <v>2.2</v>
      </c>
      <c r="H93" s="156"/>
      <c r="J93" s="418"/>
    </row>
    <row r="94" spans="2:10">
      <c r="B94" s="68">
        <f t="shared" si="2"/>
        <v>89</v>
      </c>
      <c r="C94" s="157"/>
      <c r="D94" s="76"/>
      <c r="E94" s="73"/>
      <c r="F94" s="77"/>
      <c r="G94" s="149" t="str">
        <f t="shared" ca="1" si="4"/>
        <v>2.2</v>
      </c>
      <c r="H94" s="156"/>
      <c r="J94" s="418"/>
    </row>
    <row r="95" spans="2:10">
      <c r="B95" s="68">
        <f t="shared" si="2"/>
        <v>90</v>
      </c>
      <c r="C95" s="157"/>
      <c r="D95" s="76"/>
      <c r="E95" s="73"/>
      <c r="F95" s="77"/>
      <c r="G95" s="149" t="str">
        <f t="shared" ca="1" si="4"/>
        <v>2.2</v>
      </c>
      <c r="H95" s="156"/>
      <c r="J95" s="418"/>
    </row>
    <row r="96" spans="2:10">
      <c r="B96" s="68">
        <f t="shared" si="2"/>
        <v>91</v>
      </c>
      <c r="C96" s="157"/>
      <c r="D96" s="76"/>
      <c r="E96" s="73"/>
      <c r="F96" s="77"/>
      <c r="G96" s="149" t="str">
        <f t="shared" ca="1" si="4"/>
        <v>2.2</v>
      </c>
      <c r="H96" s="156"/>
      <c r="J96" s="418"/>
    </row>
    <row r="97" spans="2:10">
      <c r="B97" s="68">
        <f t="shared" si="2"/>
        <v>92</v>
      </c>
      <c r="C97" s="157"/>
      <c r="D97" s="76"/>
      <c r="E97" s="73"/>
      <c r="F97" s="77"/>
      <c r="G97" s="149" t="str">
        <f t="shared" ca="1" si="4"/>
        <v>2.2</v>
      </c>
      <c r="H97" s="156"/>
      <c r="J97" s="418"/>
    </row>
    <row r="98" spans="2:10">
      <c r="B98" s="68">
        <f t="shared" si="2"/>
        <v>93</v>
      </c>
      <c r="C98" s="157"/>
      <c r="D98" s="76"/>
      <c r="E98" s="73"/>
      <c r="F98" s="77"/>
      <c r="G98" s="149" t="str">
        <f t="shared" ca="1" si="4"/>
        <v>2.2</v>
      </c>
      <c r="H98" s="156"/>
      <c r="J98" s="418"/>
    </row>
    <row r="99" spans="2:10">
      <c r="B99" s="68">
        <f t="shared" si="2"/>
        <v>94</v>
      </c>
      <c r="C99" s="157"/>
      <c r="D99" s="76"/>
      <c r="E99" s="73"/>
      <c r="F99" s="77"/>
      <c r="G99" s="149" t="str">
        <f t="shared" ca="1" si="4"/>
        <v>2.2</v>
      </c>
      <c r="H99" s="156"/>
      <c r="J99" s="418"/>
    </row>
    <row r="100" spans="2:10">
      <c r="B100" s="68">
        <f t="shared" si="2"/>
        <v>95</v>
      </c>
      <c r="C100" s="157"/>
      <c r="D100" s="76"/>
      <c r="E100" s="73"/>
      <c r="F100" s="77"/>
      <c r="G100" s="149" t="str">
        <f t="shared" ca="1" si="4"/>
        <v>2.2</v>
      </c>
      <c r="H100" s="156"/>
      <c r="J100" s="418"/>
    </row>
    <row r="101" spans="2:10">
      <c r="B101" s="68">
        <f t="shared" si="2"/>
        <v>96</v>
      </c>
      <c r="C101" s="157"/>
      <c r="D101" s="76"/>
      <c r="E101" s="73"/>
      <c r="F101" s="77"/>
      <c r="G101" s="149" t="str">
        <f t="shared" ca="1" si="4"/>
        <v>2.2</v>
      </c>
      <c r="H101" s="156"/>
      <c r="J101" s="418"/>
    </row>
    <row r="102" spans="2:10">
      <c r="B102" s="68">
        <f t="shared" si="2"/>
        <v>97</v>
      </c>
      <c r="C102" s="157"/>
      <c r="D102" s="76"/>
      <c r="E102" s="73"/>
      <c r="F102" s="77"/>
      <c r="G102" s="149" t="str">
        <f t="shared" ca="1" si="4"/>
        <v>2.2</v>
      </c>
      <c r="H102" s="156"/>
      <c r="J102" s="418"/>
    </row>
    <row r="103" spans="2:10">
      <c r="B103" s="68">
        <f t="shared" si="2"/>
        <v>98</v>
      </c>
      <c r="C103" s="157"/>
      <c r="D103" s="76"/>
      <c r="E103" s="73"/>
      <c r="F103" s="77"/>
      <c r="G103" s="149" t="str">
        <f t="shared" ca="1" si="4"/>
        <v>2.2</v>
      </c>
      <c r="H103" s="156"/>
      <c r="J103" s="418"/>
    </row>
    <row r="104" spans="2:10">
      <c r="B104" s="68">
        <f t="shared" si="2"/>
        <v>99</v>
      </c>
      <c r="C104" s="157"/>
      <c r="D104" s="76"/>
      <c r="E104" s="73"/>
      <c r="F104" s="77"/>
      <c r="G104" s="149" t="str">
        <f t="shared" ca="1" si="4"/>
        <v>2.2</v>
      </c>
      <c r="H104" s="156"/>
      <c r="J104" s="418"/>
    </row>
    <row r="105" spans="2:10">
      <c r="B105" s="68">
        <f t="shared" si="2"/>
        <v>100</v>
      </c>
      <c r="C105" s="157"/>
      <c r="D105" s="76"/>
      <c r="E105" s="73"/>
      <c r="F105" s="77"/>
      <c r="G105" s="149" t="str">
        <f t="shared" ca="1" si="4"/>
        <v>2.2</v>
      </c>
      <c r="H105" s="156"/>
      <c r="J105" s="418"/>
    </row>
    <row r="106" spans="2:10">
      <c r="B106" s="68">
        <f t="shared" si="2"/>
        <v>101</v>
      </c>
      <c r="C106" s="157"/>
      <c r="D106" s="76"/>
      <c r="E106" s="73"/>
      <c r="F106" s="77"/>
      <c r="G106" s="149" t="str">
        <f t="shared" ca="1" si="4"/>
        <v>2.2</v>
      </c>
      <c r="H106" s="156"/>
      <c r="J106" s="418"/>
    </row>
    <row r="107" spans="2:10">
      <c r="B107" s="68">
        <f t="shared" si="2"/>
        <v>102</v>
      </c>
      <c r="C107" s="157"/>
      <c r="D107" s="76"/>
      <c r="E107" s="73"/>
      <c r="F107" s="77"/>
      <c r="G107" s="149" t="str">
        <f t="shared" ca="1" si="4"/>
        <v>2.2</v>
      </c>
      <c r="H107" s="156"/>
      <c r="J107" s="418"/>
    </row>
    <row r="108" spans="2:10">
      <c r="B108" s="68">
        <f t="shared" si="2"/>
        <v>103</v>
      </c>
      <c r="C108" s="157"/>
      <c r="D108" s="76"/>
      <c r="E108" s="73"/>
      <c r="F108" s="77"/>
      <c r="G108" s="149" t="str">
        <f t="shared" ca="1" si="4"/>
        <v>2.2</v>
      </c>
      <c r="H108" s="156"/>
      <c r="J108" s="418"/>
    </row>
    <row r="109" spans="2:10">
      <c r="B109" s="68">
        <f t="shared" si="2"/>
        <v>104</v>
      </c>
      <c r="C109" s="157"/>
      <c r="D109" s="76"/>
      <c r="E109" s="73"/>
      <c r="F109" s="77"/>
      <c r="G109" s="149" t="str">
        <f t="shared" ca="1" si="4"/>
        <v>2.2</v>
      </c>
      <c r="H109" s="156"/>
      <c r="J109" s="418"/>
    </row>
    <row r="110" spans="2:10">
      <c r="B110" s="68">
        <f t="shared" si="2"/>
        <v>105</v>
      </c>
      <c r="C110" s="157"/>
      <c r="D110" s="76"/>
      <c r="E110" s="73"/>
      <c r="F110" s="77"/>
      <c r="G110" s="149" t="str">
        <f t="shared" ca="1" si="4"/>
        <v>2.2</v>
      </c>
      <c r="H110" s="156"/>
      <c r="I110" s="80" t="s">
        <v>196</v>
      </c>
      <c r="J110" s="418"/>
    </row>
    <row r="111" spans="2:10">
      <c r="C111" s="81"/>
      <c r="D111" s="82"/>
      <c r="E111" s="82"/>
      <c r="F111" s="83"/>
      <c r="G111" s="417" t="str">
        <f t="shared" ca="1" si="4"/>
        <v>2.2</v>
      </c>
      <c r="H111" s="83"/>
      <c r="J111" s="418"/>
    </row>
    <row r="112" spans="2:10">
      <c r="C112" s="84"/>
      <c r="E112" s="62"/>
      <c r="G112" s="417" t="str">
        <f t="shared" ca="1" si="4"/>
        <v>2.2</v>
      </c>
      <c r="J112" s="418"/>
    </row>
    <row r="113" spans="3:10">
      <c r="C113" s="84"/>
      <c r="E113" s="62"/>
      <c r="G113" s="417" t="str">
        <f t="shared" ca="1" si="4"/>
        <v>2.2</v>
      </c>
      <c r="J113" s="418"/>
    </row>
    <row r="114" spans="3:10">
      <c r="C114" s="84"/>
      <c r="E114" s="62"/>
      <c r="G114" s="417" t="str">
        <f t="shared" ca="1" si="4"/>
        <v>2.2</v>
      </c>
      <c r="J114" s="418"/>
    </row>
    <row r="115" spans="3:10">
      <c r="C115" s="84"/>
      <c r="E115" s="62"/>
      <c r="G115" s="417" t="str">
        <f t="shared" ca="1" si="4"/>
        <v>2.2</v>
      </c>
      <c r="J115" s="418"/>
    </row>
    <row r="116" spans="3:10">
      <c r="C116" s="84"/>
      <c r="E116" s="62"/>
      <c r="G116" s="417" t="str">
        <f t="shared" ca="1" si="4"/>
        <v>2.2</v>
      </c>
      <c r="J116" s="418"/>
    </row>
    <row r="117" spans="3:10">
      <c r="C117" s="84"/>
      <c r="E117" s="62"/>
      <c r="G117" s="417" t="str">
        <f t="shared" ca="1" si="4"/>
        <v>2.2</v>
      </c>
      <c r="J117" s="418"/>
    </row>
    <row r="118" spans="3:10">
      <c r="C118" s="84"/>
      <c r="E118" s="62"/>
      <c r="G118" s="417" t="str">
        <f t="shared" ca="1" si="4"/>
        <v>2.2</v>
      </c>
      <c r="J118" s="418"/>
    </row>
    <row r="119" spans="3:10">
      <c r="C119" s="84"/>
      <c r="E119" s="62"/>
      <c r="G119" s="417" t="str">
        <f t="shared" ca="1" si="4"/>
        <v>2.2</v>
      </c>
      <c r="J119" s="418"/>
    </row>
    <row r="120" spans="3:10">
      <c r="C120" s="84"/>
      <c r="E120" s="62"/>
      <c r="G120" s="417" t="str">
        <f t="shared" ca="1" si="4"/>
        <v>2.2</v>
      </c>
      <c r="J120" s="418"/>
    </row>
    <row r="121" spans="3:10">
      <c r="C121" s="84"/>
      <c r="E121" s="62"/>
      <c r="G121" s="417" t="str">
        <f t="shared" ca="1" si="4"/>
        <v>2.2</v>
      </c>
      <c r="J121" s="418"/>
    </row>
    <row r="122" spans="3:10">
      <c r="C122" s="84"/>
      <c r="E122" s="62"/>
      <c r="G122" s="417" t="str">
        <f t="shared" ca="1" si="4"/>
        <v>2.2</v>
      </c>
      <c r="J122" s="418"/>
    </row>
    <row r="123" spans="3:10">
      <c r="C123" s="84"/>
      <c r="E123" s="62"/>
      <c r="G123" s="417" t="str">
        <f t="shared" ca="1" si="4"/>
        <v>2.2</v>
      </c>
      <c r="J123" s="418"/>
    </row>
    <row r="124" spans="3:10">
      <c r="C124" s="84"/>
      <c r="E124" s="62"/>
      <c r="G124" s="417" t="str">
        <f t="shared" ca="1" si="4"/>
        <v>2.2</v>
      </c>
      <c r="J124" s="418"/>
    </row>
    <row r="125" spans="3:10">
      <c r="C125" s="84"/>
      <c r="E125" s="62"/>
      <c r="G125" s="417" t="str">
        <f t="shared" ca="1" si="4"/>
        <v>2.2</v>
      </c>
      <c r="J125" s="418"/>
    </row>
    <row r="126" spans="3:10">
      <c r="C126" s="84"/>
      <c r="E126" s="62"/>
      <c r="G126" s="417" t="str">
        <f t="shared" ca="1" si="4"/>
        <v>2.2</v>
      </c>
      <c r="J126" s="418"/>
    </row>
    <row r="127" spans="3:10">
      <c r="C127" s="84"/>
      <c r="E127" s="62"/>
      <c r="G127" s="417" t="str">
        <f t="shared" ca="1" si="4"/>
        <v>2.2</v>
      </c>
      <c r="J127" s="418"/>
    </row>
    <row r="128" spans="3:10">
      <c r="C128" s="84"/>
      <c r="E128" s="62"/>
      <c r="G128" s="417" t="str">
        <f t="shared" ca="1" si="4"/>
        <v>2.2</v>
      </c>
      <c r="J128" s="418"/>
    </row>
    <row r="129" spans="3:10">
      <c r="C129" s="84"/>
      <c r="E129" s="62"/>
      <c r="G129" s="417" t="str">
        <f t="shared" ca="1" si="4"/>
        <v>2.2</v>
      </c>
      <c r="J129" s="418"/>
    </row>
    <row r="130" spans="3:10">
      <c r="C130" s="84"/>
      <c r="E130" s="62"/>
      <c r="G130" s="417" t="str">
        <f t="shared" ca="1" si="4"/>
        <v>2.2</v>
      </c>
      <c r="J130" s="418"/>
    </row>
    <row r="131" spans="3:10">
      <c r="C131" s="84"/>
      <c r="E131" s="62"/>
      <c r="G131" s="417" t="str">
        <f t="shared" ca="1" si="4"/>
        <v>2.2</v>
      </c>
      <c r="J131" s="418"/>
    </row>
    <row r="132" spans="3:10">
      <c r="C132" s="84"/>
      <c r="E132" s="62"/>
      <c r="G132" s="417" t="str">
        <f t="shared" ca="1" si="4"/>
        <v>2.2</v>
      </c>
      <c r="J132" s="418"/>
    </row>
    <row r="133" spans="3:10">
      <c r="C133" s="84"/>
      <c r="E133" s="62"/>
      <c r="G133" s="417" t="str">
        <f t="shared" ca="1" si="4"/>
        <v>2.2</v>
      </c>
      <c r="J133" s="418"/>
    </row>
    <row r="134" spans="3:10">
      <c r="C134" s="84"/>
      <c r="E134" s="62"/>
      <c r="G134" s="417" t="str">
        <f t="shared" ca="1" si="4"/>
        <v>2.2</v>
      </c>
      <c r="J134" s="418"/>
    </row>
    <row r="135" spans="3:10">
      <c r="C135" s="84"/>
      <c r="E135" s="62"/>
      <c r="G135" s="417" t="str">
        <f t="shared" ca="1" si="4"/>
        <v>2.2</v>
      </c>
      <c r="J135" s="418"/>
    </row>
    <row r="136" spans="3:10">
      <c r="C136" s="84"/>
      <c r="E136" s="62"/>
      <c r="G136" s="417" t="str">
        <f t="shared" ca="1" si="4"/>
        <v>2.2</v>
      </c>
      <c r="J136" s="418"/>
    </row>
    <row r="137" spans="3:10">
      <c r="C137" s="84"/>
      <c r="E137" s="62"/>
      <c r="G137" s="417" t="str">
        <f t="shared" ca="1" si="4"/>
        <v>2.2</v>
      </c>
      <c r="J137" s="418"/>
    </row>
    <row r="138" spans="3:10">
      <c r="C138" s="84"/>
      <c r="E138" s="62"/>
      <c r="G138" s="417" t="str">
        <f t="shared" ca="1" si="4"/>
        <v>2.2</v>
      </c>
      <c r="J138" s="418"/>
    </row>
    <row r="139" spans="3:10">
      <c r="C139" s="84"/>
      <c r="E139" s="62"/>
      <c r="G139" s="417" t="str">
        <f t="shared" ref="G139:G202" ca="1" si="5">IF(ISBLANK(C139),OFFSET(G139,-1,0),IF(ISERR(FIND("/",C139,1)),C139,OFFSET(G139,-1,0)))</f>
        <v>2.2</v>
      </c>
      <c r="J139" s="418"/>
    </row>
    <row r="140" spans="3:10">
      <c r="C140" s="84"/>
      <c r="E140" s="62"/>
      <c r="G140" s="417" t="str">
        <f t="shared" ca="1" si="5"/>
        <v>2.2</v>
      </c>
      <c r="J140" s="418"/>
    </row>
    <row r="141" spans="3:10">
      <c r="C141" s="84"/>
      <c r="E141" s="62"/>
      <c r="G141" s="417" t="str">
        <f t="shared" ca="1" si="5"/>
        <v>2.2</v>
      </c>
      <c r="J141" s="418"/>
    </row>
    <row r="142" spans="3:10">
      <c r="C142" s="84"/>
      <c r="E142" s="62"/>
      <c r="G142" s="417" t="str">
        <f t="shared" ca="1" si="5"/>
        <v>2.2</v>
      </c>
      <c r="J142" s="418"/>
    </row>
    <row r="143" spans="3:10">
      <c r="C143" s="84"/>
      <c r="E143" s="62"/>
      <c r="G143" s="417" t="str">
        <f t="shared" ca="1" si="5"/>
        <v>2.2</v>
      </c>
      <c r="J143" s="418"/>
    </row>
    <row r="144" spans="3:10">
      <c r="C144" s="84"/>
      <c r="E144" s="62"/>
      <c r="G144" s="417" t="str">
        <f t="shared" ca="1" si="5"/>
        <v>2.2</v>
      </c>
      <c r="J144" s="418"/>
    </row>
    <row r="145" spans="3:10">
      <c r="C145" s="84"/>
      <c r="E145" s="62"/>
      <c r="G145" s="417" t="str">
        <f t="shared" ca="1" si="5"/>
        <v>2.2</v>
      </c>
      <c r="J145" s="418"/>
    </row>
    <row r="146" spans="3:10">
      <c r="C146" s="84"/>
      <c r="E146" s="62"/>
      <c r="G146" s="417" t="str">
        <f t="shared" ca="1" si="5"/>
        <v>2.2</v>
      </c>
      <c r="J146" s="418"/>
    </row>
    <row r="147" spans="3:10">
      <c r="C147" s="84"/>
      <c r="E147" s="62"/>
      <c r="G147" s="417" t="str">
        <f t="shared" ca="1" si="5"/>
        <v>2.2</v>
      </c>
      <c r="J147" s="418"/>
    </row>
    <row r="148" spans="3:10">
      <c r="C148" s="84"/>
      <c r="E148" s="62"/>
      <c r="G148" s="417" t="str">
        <f t="shared" ca="1" si="5"/>
        <v>2.2</v>
      </c>
      <c r="J148" s="418"/>
    </row>
    <row r="149" spans="3:10">
      <c r="C149" s="84"/>
      <c r="E149" s="62"/>
      <c r="G149" s="417" t="str">
        <f t="shared" ca="1" si="5"/>
        <v>2.2</v>
      </c>
      <c r="J149" s="418"/>
    </row>
    <row r="150" spans="3:10">
      <c r="C150" s="84"/>
      <c r="E150" s="62"/>
      <c r="G150" s="417" t="str">
        <f t="shared" ca="1" si="5"/>
        <v>2.2</v>
      </c>
      <c r="J150" s="418"/>
    </row>
    <row r="151" spans="3:10">
      <c r="C151" s="84"/>
      <c r="E151" s="62"/>
      <c r="G151" s="417" t="str">
        <f t="shared" ca="1" si="5"/>
        <v>2.2</v>
      </c>
      <c r="J151" s="418"/>
    </row>
    <row r="152" spans="3:10">
      <c r="C152" s="84"/>
      <c r="E152" s="62"/>
      <c r="G152" s="417" t="str">
        <f t="shared" ca="1" si="5"/>
        <v>2.2</v>
      </c>
      <c r="J152" s="418"/>
    </row>
    <row r="153" spans="3:10">
      <c r="C153" s="84"/>
      <c r="E153" s="62"/>
      <c r="G153" s="417" t="str">
        <f t="shared" ca="1" si="5"/>
        <v>2.2</v>
      </c>
      <c r="J153" s="418"/>
    </row>
    <row r="154" spans="3:10">
      <c r="C154" s="84"/>
      <c r="E154" s="62"/>
      <c r="G154" s="417" t="str">
        <f t="shared" ca="1" si="5"/>
        <v>2.2</v>
      </c>
      <c r="J154" s="418"/>
    </row>
    <row r="155" spans="3:10">
      <c r="C155" s="84"/>
      <c r="E155" s="62"/>
      <c r="G155" s="417" t="str">
        <f t="shared" ca="1" si="5"/>
        <v>2.2</v>
      </c>
      <c r="J155" s="418"/>
    </row>
    <row r="156" spans="3:10">
      <c r="C156" s="84"/>
      <c r="E156" s="62"/>
      <c r="G156" s="417" t="str">
        <f t="shared" ca="1" si="5"/>
        <v>2.2</v>
      </c>
      <c r="J156" s="418"/>
    </row>
    <row r="157" spans="3:10">
      <c r="C157" s="84"/>
      <c r="E157" s="62"/>
      <c r="G157" s="417" t="str">
        <f t="shared" ca="1" si="5"/>
        <v>2.2</v>
      </c>
      <c r="J157" s="418"/>
    </row>
    <row r="158" spans="3:10">
      <c r="C158" s="84"/>
      <c r="E158" s="62"/>
      <c r="G158" s="417" t="str">
        <f t="shared" ca="1" si="5"/>
        <v>2.2</v>
      </c>
      <c r="J158" s="418"/>
    </row>
    <row r="159" spans="3:10">
      <c r="C159" s="84"/>
      <c r="E159" s="62"/>
      <c r="G159" s="417" t="str">
        <f t="shared" ca="1" si="5"/>
        <v>2.2</v>
      </c>
      <c r="J159" s="418"/>
    </row>
    <row r="160" spans="3:10">
      <c r="C160" s="84"/>
      <c r="E160" s="62"/>
      <c r="G160" s="417" t="str">
        <f t="shared" ca="1" si="5"/>
        <v>2.2</v>
      </c>
      <c r="J160" s="418"/>
    </row>
    <row r="161" spans="3:10">
      <c r="C161" s="84"/>
      <c r="E161" s="62"/>
      <c r="G161" s="417" t="str">
        <f t="shared" ca="1" si="5"/>
        <v>2.2</v>
      </c>
      <c r="J161" s="418"/>
    </row>
    <row r="162" spans="3:10">
      <c r="C162" s="84"/>
      <c r="E162" s="62"/>
      <c r="G162" s="417" t="str">
        <f t="shared" ca="1" si="5"/>
        <v>2.2</v>
      </c>
      <c r="J162" s="418"/>
    </row>
    <row r="163" spans="3:10">
      <c r="C163" s="84"/>
      <c r="E163" s="62"/>
      <c r="G163" s="417" t="str">
        <f t="shared" ca="1" si="5"/>
        <v>2.2</v>
      </c>
      <c r="J163" s="418"/>
    </row>
    <row r="164" spans="3:10">
      <c r="C164" s="84"/>
      <c r="E164" s="62"/>
      <c r="G164" s="417" t="str">
        <f t="shared" ca="1" si="5"/>
        <v>2.2</v>
      </c>
      <c r="J164" s="418"/>
    </row>
    <row r="165" spans="3:10">
      <c r="C165" s="84"/>
      <c r="E165" s="62"/>
      <c r="G165" s="417" t="str">
        <f t="shared" ca="1" si="5"/>
        <v>2.2</v>
      </c>
      <c r="J165" s="418"/>
    </row>
    <row r="166" spans="3:10">
      <c r="C166" s="84"/>
      <c r="E166" s="62"/>
      <c r="G166" s="417" t="str">
        <f t="shared" ca="1" si="5"/>
        <v>2.2</v>
      </c>
      <c r="J166" s="418"/>
    </row>
    <row r="167" spans="3:10">
      <c r="C167" s="84"/>
      <c r="E167" s="62"/>
      <c r="G167" s="417" t="str">
        <f t="shared" ca="1" si="5"/>
        <v>2.2</v>
      </c>
      <c r="J167" s="418"/>
    </row>
    <row r="168" spans="3:10">
      <c r="C168" s="84"/>
      <c r="E168" s="62"/>
      <c r="G168" s="417" t="str">
        <f t="shared" ca="1" si="5"/>
        <v>2.2</v>
      </c>
      <c r="J168" s="418"/>
    </row>
    <row r="169" spans="3:10">
      <c r="C169" s="84"/>
      <c r="E169" s="62"/>
      <c r="G169" s="417" t="str">
        <f t="shared" ca="1" si="5"/>
        <v>2.2</v>
      </c>
      <c r="J169" s="418"/>
    </row>
    <row r="170" spans="3:10">
      <c r="C170" s="84"/>
      <c r="E170" s="62"/>
      <c r="G170" s="417" t="str">
        <f t="shared" ca="1" si="5"/>
        <v>2.2</v>
      </c>
      <c r="J170" s="418"/>
    </row>
    <row r="171" spans="3:10">
      <c r="C171" s="84"/>
      <c r="E171" s="62"/>
      <c r="G171" s="417" t="str">
        <f t="shared" ca="1" si="5"/>
        <v>2.2</v>
      </c>
      <c r="J171" s="418"/>
    </row>
    <row r="172" spans="3:10">
      <c r="C172" s="84"/>
      <c r="E172" s="62"/>
      <c r="G172" s="417" t="str">
        <f t="shared" ca="1" si="5"/>
        <v>2.2</v>
      </c>
      <c r="J172" s="418"/>
    </row>
    <row r="173" spans="3:10">
      <c r="C173" s="84"/>
      <c r="E173" s="62"/>
      <c r="G173" s="417" t="str">
        <f t="shared" ca="1" si="5"/>
        <v>2.2</v>
      </c>
      <c r="J173" s="418"/>
    </row>
    <row r="174" spans="3:10">
      <c r="C174" s="84"/>
      <c r="E174" s="62"/>
      <c r="G174" s="417" t="str">
        <f t="shared" ca="1" si="5"/>
        <v>2.2</v>
      </c>
      <c r="J174" s="418"/>
    </row>
    <row r="175" spans="3:10">
      <c r="C175" s="84"/>
      <c r="E175" s="62"/>
      <c r="G175" s="417" t="str">
        <f t="shared" ca="1" si="5"/>
        <v>2.2</v>
      </c>
      <c r="J175" s="418"/>
    </row>
    <row r="176" spans="3:10">
      <c r="C176" s="84"/>
      <c r="E176" s="62"/>
      <c r="G176" s="417" t="str">
        <f t="shared" ca="1" si="5"/>
        <v>2.2</v>
      </c>
      <c r="J176" s="418"/>
    </row>
    <row r="177" spans="3:10">
      <c r="C177" s="84"/>
      <c r="E177" s="62"/>
      <c r="G177" s="417" t="str">
        <f t="shared" ca="1" si="5"/>
        <v>2.2</v>
      </c>
      <c r="J177" s="418"/>
    </row>
    <row r="178" spans="3:10">
      <c r="C178" s="84"/>
      <c r="E178" s="62"/>
      <c r="G178" s="417" t="str">
        <f t="shared" ca="1" si="5"/>
        <v>2.2</v>
      </c>
      <c r="J178" s="418"/>
    </row>
    <row r="179" spans="3:10">
      <c r="C179" s="84"/>
      <c r="E179" s="62"/>
      <c r="G179" s="417" t="str">
        <f t="shared" ca="1" si="5"/>
        <v>2.2</v>
      </c>
      <c r="J179" s="418"/>
    </row>
    <row r="180" spans="3:10">
      <c r="C180" s="84"/>
      <c r="E180" s="62"/>
      <c r="G180" s="417" t="str">
        <f t="shared" ca="1" si="5"/>
        <v>2.2</v>
      </c>
      <c r="J180" s="418"/>
    </row>
    <row r="181" spans="3:10">
      <c r="C181" s="84"/>
      <c r="E181" s="62"/>
      <c r="G181" s="417" t="str">
        <f t="shared" ca="1" si="5"/>
        <v>2.2</v>
      </c>
      <c r="J181" s="418"/>
    </row>
    <row r="182" spans="3:10">
      <c r="C182" s="84"/>
      <c r="E182" s="62"/>
      <c r="G182" s="417" t="str">
        <f t="shared" ca="1" si="5"/>
        <v>2.2</v>
      </c>
      <c r="J182" s="418"/>
    </row>
    <row r="183" spans="3:10">
      <c r="C183" s="84"/>
      <c r="E183" s="62"/>
      <c r="G183" s="417" t="str">
        <f t="shared" ca="1" si="5"/>
        <v>2.2</v>
      </c>
      <c r="J183" s="418"/>
    </row>
    <row r="184" spans="3:10">
      <c r="C184" s="84"/>
      <c r="E184" s="62"/>
      <c r="G184" s="417" t="str">
        <f t="shared" ca="1" si="5"/>
        <v>2.2</v>
      </c>
      <c r="J184" s="418"/>
    </row>
    <row r="185" spans="3:10">
      <c r="C185" s="84"/>
      <c r="E185" s="62"/>
      <c r="G185" s="417" t="str">
        <f t="shared" ca="1" si="5"/>
        <v>2.2</v>
      </c>
      <c r="J185" s="418"/>
    </row>
    <row r="186" spans="3:10">
      <c r="C186" s="84"/>
      <c r="E186" s="62"/>
      <c r="G186" s="417" t="str">
        <f t="shared" ca="1" si="5"/>
        <v>2.2</v>
      </c>
      <c r="J186" s="418"/>
    </row>
    <row r="187" spans="3:10">
      <c r="C187" s="84"/>
      <c r="E187" s="62"/>
      <c r="G187" s="417" t="str">
        <f t="shared" ca="1" si="5"/>
        <v>2.2</v>
      </c>
      <c r="J187" s="418"/>
    </row>
    <row r="188" spans="3:10">
      <c r="C188" s="84"/>
      <c r="E188" s="62"/>
      <c r="G188" s="417" t="str">
        <f t="shared" ca="1" si="5"/>
        <v>2.2</v>
      </c>
      <c r="J188" s="418"/>
    </row>
    <row r="189" spans="3:10">
      <c r="C189" s="84"/>
      <c r="E189" s="62"/>
      <c r="G189" s="417" t="str">
        <f t="shared" ca="1" si="5"/>
        <v>2.2</v>
      </c>
      <c r="J189" s="418"/>
    </row>
    <row r="190" spans="3:10">
      <c r="C190" s="84"/>
      <c r="E190" s="62"/>
      <c r="G190" s="417" t="str">
        <f t="shared" ca="1" si="5"/>
        <v>2.2</v>
      </c>
      <c r="J190" s="418"/>
    </row>
    <row r="191" spans="3:10">
      <c r="C191" s="84"/>
      <c r="E191" s="62"/>
      <c r="G191" s="417" t="str">
        <f t="shared" ca="1" si="5"/>
        <v>2.2</v>
      </c>
      <c r="J191" s="418"/>
    </row>
    <row r="192" spans="3:10">
      <c r="C192" s="84"/>
      <c r="E192" s="62"/>
      <c r="G192" s="417" t="str">
        <f t="shared" ca="1" si="5"/>
        <v>2.2</v>
      </c>
      <c r="J192" s="418"/>
    </row>
    <row r="193" spans="3:10">
      <c r="C193" s="84"/>
      <c r="E193" s="62"/>
      <c r="G193" s="417" t="str">
        <f t="shared" ca="1" si="5"/>
        <v>2.2</v>
      </c>
      <c r="J193" s="418"/>
    </row>
    <row r="194" spans="3:10">
      <c r="C194" s="84"/>
      <c r="E194" s="62"/>
      <c r="G194" s="417" t="str">
        <f t="shared" ca="1" si="5"/>
        <v>2.2</v>
      </c>
      <c r="J194" s="418"/>
    </row>
    <row r="195" spans="3:10">
      <c r="C195" s="84"/>
      <c r="E195" s="62"/>
      <c r="G195" s="417" t="str">
        <f t="shared" ca="1" si="5"/>
        <v>2.2</v>
      </c>
      <c r="J195" s="418"/>
    </row>
    <row r="196" spans="3:10">
      <c r="C196" s="84"/>
      <c r="E196" s="62"/>
      <c r="G196" s="417" t="str">
        <f t="shared" ca="1" si="5"/>
        <v>2.2</v>
      </c>
      <c r="J196" s="418"/>
    </row>
    <row r="197" spans="3:10">
      <c r="C197" s="84"/>
      <c r="E197" s="62"/>
      <c r="G197" s="417" t="str">
        <f t="shared" ca="1" si="5"/>
        <v>2.2</v>
      </c>
      <c r="J197" s="418"/>
    </row>
    <row r="198" spans="3:10">
      <c r="C198" s="84"/>
      <c r="E198" s="62"/>
      <c r="G198" s="417" t="str">
        <f t="shared" ca="1" si="5"/>
        <v>2.2</v>
      </c>
      <c r="J198" s="418"/>
    </row>
    <row r="199" spans="3:10">
      <c r="C199" s="84"/>
      <c r="E199" s="62"/>
      <c r="G199" s="417" t="str">
        <f t="shared" ca="1" si="5"/>
        <v>2.2</v>
      </c>
      <c r="J199" s="418"/>
    </row>
    <row r="200" spans="3:10">
      <c r="C200" s="84"/>
      <c r="E200" s="62"/>
      <c r="G200" s="417" t="str">
        <f t="shared" ca="1" si="5"/>
        <v>2.2</v>
      </c>
      <c r="J200" s="418"/>
    </row>
    <row r="201" spans="3:10">
      <c r="C201" s="84"/>
      <c r="E201" s="62"/>
      <c r="G201" s="417" t="str">
        <f t="shared" ca="1" si="5"/>
        <v>2.2</v>
      </c>
      <c r="J201" s="418"/>
    </row>
    <row r="202" spans="3:10">
      <c r="C202" s="84"/>
      <c r="E202" s="62"/>
      <c r="G202" s="417" t="str">
        <f t="shared" ca="1" si="5"/>
        <v>2.2</v>
      </c>
      <c r="J202" s="418"/>
    </row>
    <row r="203" spans="3:10">
      <c r="C203" s="84"/>
      <c r="E203" s="62"/>
      <c r="G203" s="417" t="str">
        <f t="shared" ref="G203:G266" ca="1" si="6">IF(ISBLANK(C203),OFFSET(G203,-1,0),IF(ISERR(FIND("/",C203,1)),C203,OFFSET(G203,-1,0)))</f>
        <v>2.2</v>
      </c>
      <c r="J203" s="418"/>
    </row>
    <row r="204" spans="3:10">
      <c r="C204" s="84"/>
      <c r="E204" s="62"/>
      <c r="G204" s="417" t="str">
        <f t="shared" ca="1" si="6"/>
        <v>2.2</v>
      </c>
      <c r="J204" s="418"/>
    </row>
    <row r="205" spans="3:10">
      <c r="C205" s="84"/>
      <c r="E205" s="62"/>
      <c r="G205" s="417" t="str">
        <f t="shared" ca="1" si="6"/>
        <v>2.2</v>
      </c>
      <c r="J205" s="418"/>
    </row>
    <row r="206" spans="3:10">
      <c r="C206" s="84"/>
      <c r="E206" s="62"/>
      <c r="G206" s="417" t="str">
        <f t="shared" ca="1" si="6"/>
        <v>2.2</v>
      </c>
      <c r="J206" s="418"/>
    </row>
    <row r="207" spans="3:10">
      <c r="C207" s="84"/>
      <c r="E207" s="62"/>
      <c r="G207" s="417" t="str">
        <f t="shared" ca="1" si="6"/>
        <v>2.2</v>
      </c>
      <c r="J207" s="418"/>
    </row>
    <row r="208" spans="3:10">
      <c r="C208" s="84"/>
      <c r="E208" s="62"/>
      <c r="G208" s="417" t="str">
        <f t="shared" ca="1" si="6"/>
        <v>2.2</v>
      </c>
      <c r="J208" s="418"/>
    </row>
    <row r="209" spans="3:10">
      <c r="C209" s="84"/>
      <c r="E209" s="62"/>
      <c r="G209" s="417" t="str">
        <f t="shared" ca="1" si="6"/>
        <v>2.2</v>
      </c>
      <c r="J209" s="418"/>
    </row>
    <row r="210" spans="3:10">
      <c r="C210" s="84"/>
      <c r="E210" s="62"/>
      <c r="G210" s="417" t="str">
        <f t="shared" ca="1" si="6"/>
        <v>2.2</v>
      </c>
      <c r="J210" s="418"/>
    </row>
    <row r="211" spans="3:10">
      <c r="C211" s="84"/>
      <c r="E211" s="62"/>
      <c r="G211" s="417" t="str">
        <f t="shared" ca="1" si="6"/>
        <v>2.2</v>
      </c>
      <c r="J211" s="418"/>
    </row>
    <row r="212" spans="3:10">
      <c r="C212" s="84"/>
      <c r="E212" s="62"/>
      <c r="G212" s="417" t="str">
        <f t="shared" ca="1" si="6"/>
        <v>2.2</v>
      </c>
      <c r="J212" s="418"/>
    </row>
    <row r="213" spans="3:10">
      <c r="C213" s="84"/>
      <c r="E213" s="62"/>
      <c r="G213" s="417" t="str">
        <f t="shared" ca="1" si="6"/>
        <v>2.2</v>
      </c>
      <c r="J213" s="418"/>
    </row>
    <row r="214" spans="3:10">
      <c r="C214" s="84"/>
      <c r="E214" s="62"/>
      <c r="G214" s="417" t="str">
        <f t="shared" ca="1" si="6"/>
        <v>2.2</v>
      </c>
      <c r="J214" s="418"/>
    </row>
    <row r="215" spans="3:10">
      <c r="C215" s="84"/>
      <c r="E215" s="62"/>
      <c r="G215" s="417" t="str">
        <f t="shared" ca="1" si="6"/>
        <v>2.2</v>
      </c>
      <c r="J215" s="418"/>
    </row>
    <row r="216" spans="3:10">
      <c r="C216" s="84"/>
      <c r="E216" s="62"/>
      <c r="G216" s="417" t="str">
        <f t="shared" ca="1" si="6"/>
        <v>2.2</v>
      </c>
      <c r="J216" s="418"/>
    </row>
    <row r="217" spans="3:10">
      <c r="C217" s="84"/>
      <c r="E217" s="62"/>
      <c r="G217" s="417" t="str">
        <f t="shared" ca="1" si="6"/>
        <v>2.2</v>
      </c>
      <c r="J217" s="418"/>
    </row>
    <row r="218" spans="3:10">
      <c r="C218" s="84"/>
      <c r="E218" s="62"/>
      <c r="G218" s="417" t="str">
        <f t="shared" ca="1" si="6"/>
        <v>2.2</v>
      </c>
      <c r="J218" s="418"/>
    </row>
    <row r="219" spans="3:10">
      <c r="C219" s="84"/>
      <c r="E219" s="62"/>
      <c r="G219" s="417" t="str">
        <f t="shared" ca="1" si="6"/>
        <v>2.2</v>
      </c>
      <c r="J219" s="418"/>
    </row>
    <row r="220" spans="3:10">
      <c r="C220" s="84"/>
      <c r="E220" s="62"/>
      <c r="G220" s="417" t="str">
        <f t="shared" ca="1" si="6"/>
        <v>2.2</v>
      </c>
      <c r="J220" s="418"/>
    </row>
    <row r="221" spans="3:10">
      <c r="C221" s="84"/>
      <c r="E221" s="62"/>
      <c r="G221" s="417" t="str">
        <f t="shared" ca="1" si="6"/>
        <v>2.2</v>
      </c>
      <c r="J221" s="418"/>
    </row>
    <row r="222" spans="3:10">
      <c r="C222" s="84"/>
      <c r="E222" s="62"/>
      <c r="G222" s="417" t="str">
        <f t="shared" ca="1" si="6"/>
        <v>2.2</v>
      </c>
      <c r="J222" s="418"/>
    </row>
    <row r="223" spans="3:10">
      <c r="C223" s="84"/>
      <c r="E223" s="62"/>
      <c r="G223" s="417" t="str">
        <f t="shared" ca="1" si="6"/>
        <v>2.2</v>
      </c>
      <c r="J223" s="418"/>
    </row>
    <row r="224" spans="3:10">
      <c r="C224" s="84"/>
      <c r="E224" s="62"/>
      <c r="G224" s="417" t="str">
        <f t="shared" ca="1" si="6"/>
        <v>2.2</v>
      </c>
      <c r="J224" s="418"/>
    </row>
    <row r="225" spans="3:10">
      <c r="C225" s="84"/>
      <c r="E225" s="62"/>
      <c r="G225" s="417" t="str">
        <f t="shared" ca="1" si="6"/>
        <v>2.2</v>
      </c>
      <c r="J225" s="418"/>
    </row>
    <row r="226" spans="3:10">
      <c r="C226" s="84"/>
      <c r="E226" s="62"/>
      <c r="G226" s="417" t="str">
        <f t="shared" ca="1" si="6"/>
        <v>2.2</v>
      </c>
      <c r="J226" s="418"/>
    </row>
    <row r="227" spans="3:10">
      <c r="C227" s="84"/>
      <c r="E227" s="62"/>
      <c r="G227" s="417" t="str">
        <f t="shared" ca="1" si="6"/>
        <v>2.2</v>
      </c>
      <c r="J227" s="418"/>
    </row>
    <row r="228" spans="3:10">
      <c r="C228" s="84"/>
      <c r="E228" s="62"/>
      <c r="G228" s="417" t="str">
        <f t="shared" ca="1" si="6"/>
        <v>2.2</v>
      </c>
      <c r="J228" s="418"/>
    </row>
    <row r="229" spans="3:10">
      <c r="C229" s="84"/>
      <c r="E229" s="62"/>
      <c r="G229" s="417" t="str">
        <f t="shared" ca="1" si="6"/>
        <v>2.2</v>
      </c>
      <c r="J229" s="418"/>
    </row>
    <row r="230" spans="3:10">
      <c r="C230" s="84"/>
      <c r="E230" s="62"/>
      <c r="G230" s="417" t="str">
        <f t="shared" ca="1" si="6"/>
        <v>2.2</v>
      </c>
      <c r="J230" s="418"/>
    </row>
    <row r="231" spans="3:10">
      <c r="C231" s="84"/>
      <c r="E231" s="62"/>
      <c r="G231" s="417" t="str">
        <f t="shared" ca="1" si="6"/>
        <v>2.2</v>
      </c>
      <c r="J231" s="418"/>
    </row>
    <row r="232" spans="3:10">
      <c r="C232" s="84"/>
      <c r="E232" s="62"/>
      <c r="G232" s="417" t="str">
        <f t="shared" ca="1" si="6"/>
        <v>2.2</v>
      </c>
      <c r="J232" s="418"/>
    </row>
    <row r="233" spans="3:10">
      <c r="C233" s="84"/>
      <c r="E233" s="62"/>
      <c r="G233" s="417" t="str">
        <f t="shared" ca="1" si="6"/>
        <v>2.2</v>
      </c>
      <c r="J233" s="418"/>
    </row>
    <row r="234" spans="3:10">
      <c r="C234" s="84"/>
      <c r="E234" s="62"/>
      <c r="G234" s="417" t="str">
        <f t="shared" ca="1" si="6"/>
        <v>2.2</v>
      </c>
      <c r="J234" s="418"/>
    </row>
    <row r="235" spans="3:10">
      <c r="C235" s="84"/>
      <c r="E235" s="62"/>
      <c r="G235" s="417" t="str">
        <f t="shared" ca="1" si="6"/>
        <v>2.2</v>
      </c>
      <c r="J235" s="418"/>
    </row>
    <row r="236" spans="3:10">
      <c r="C236" s="84"/>
      <c r="E236" s="62"/>
      <c r="G236" s="417" t="str">
        <f t="shared" ca="1" si="6"/>
        <v>2.2</v>
      </c>
      <c r="J236" s="418"/>
    </row>
    <row r="237" spans="3:10">
      <c r="C237" s="84"/>
      <c r="E237" s="62"/>
      <c r="G237" s="417" t="str">
        <f t="shared" ca="1" si="6"/>
        <v>2.2</v>
      </c>
      <c r="J237" s="418"/>
    </row>
    <row r="238" spans="3:10">
      <c r="C238" s="84"/>
      <c r="E238" s="62"/>
      <c r="G238" s="417" t="str">
        <f t="shared" ca="1" si="6"/>
        <v>2.2</v>
      </c>
      <c r="J238" s="418"/>
    </row>
    <row r="239" spans="3:10">
      <c r="C239" s="84"/>
      <c r="E239" s="62"/>
      <c r="G239" s="417" t="str">
        <f t="shared" ca="1" si="6"/>
        <v>2.2</v>
      </c>
      <c r="J239" s="418"/>
    </row>
    <row r="240" spans="3:10">
      <c r="C240" s="84"/>
      <c r="E240" s="62"/>
      <c r="G240" s="417" t="str">
        <f t="shared" ca="1" si="6"/>
        <v>2.2</v>
      </c>
      <c r="J240" s="418"/>
    </row>
    <row r="241" spans="3:10">
      <c r="C241" s="84"/>
      <c r="E241" s="62"/>
      <c r="G241" s="417" t="str">
        <f t="shared" ca="1" si="6"/>
        <v>2.2</v>
      </c>
      <c r="J241" s="418"/>
    </row>
    <row r="242" spans="3:10">
      <c r="C242" s="84"/>
      <c r="E242" s="62"/>
      <c r="G242" s="417" t="str">
        <f t="shared" ca="1" si="6"/>
        <v>2.2</v>
      </c>
      <c r="J242" s="418"/>
    </row>
    <row r="243" spans="3:10">
      <c r="C243" s="84"/>
      <c r="E243" s="62"/>
      <c r="G243" s="417" t="str">
        <f t="shared" ca="1" si="6"/>
        <v>2.2</v>
      </c>
      <c r="J243" s="418"/>
    </row>
    <row r="244" spans="3:10">
      <c r="C244" s="84"/>
      <c r="E244" s="62"/>
      <c r="G244" s="417" t="str">
        <f t="shared" ca="1" si="6"/>
        <v>2.2</v>
      </c>
      <c r="J244" s="418"/>
    </row>
    <row r="245" spans="3:10">
      <c r="C245" s="84"/>
      <c r="E245" s="62"/>
      <c r="G245" s="417" t="str">
        <f t="shared" ca="1" si="6"/>
        <v>2.2</v>
      </c>
      <c r="J245" s="418"/>
    </row>
    <row r="246" spans="3:10">
      <c r="C246" s="84"/>
      <c r="E246" s="62"/>
      <c r="G246" s="417" t="str">
        <f t="shared" ca="1" si="6"/>
        <v>2.2</v>
      </c>
      <c r="J246" s="418"/>
    </row>
    <row r="247" spans="3:10">
      <c r="C247" s="84"/>
      <c r="E247" s="62"/>
      <c r="G247" s="417" t="str">
        <f t="shared" ca="1" si="6"/>
        <v>2.2</v>
      </c>
      <c r="J247" s="418"/>
    </row>
    <row r="248" spans="3:10">
      <c r="C248" s="84"/>
      <c r="E248" s="62"/>
      <c r="G248" s="417" t="str">
        <f t="shared" ca="1" si="6"/>
        <v>2.2</v>
      </c>
      <c r="J248" s="418"/>
    </row>
    <row r="249" spans="3:10">
      <c r="C249" s="84"/>
      <c r="E249" s="62"/>
      <c r="G249" s="417" t="str">
        <f t="shared" ca="1" si="6"/>
        <v>2.2</v>
      </c>
      <c r="J249" s="418"/>
    </row>
    <row r="250" spans="3:10">
      <c r="C250" s="84"/>
      <c r="E250" s="62"/>
      <c r="G250" s="417" t="str">
        <f t="shared" ca="1" si="6"/>
        <v>2.2</v>
      </c>
      <c r="J250" s="418"/>
    </row>
    <row r="251" spans="3:10">
      <c r="C251" s="84"/>
      <c r="E251" s="62"/>
      <c r="G251" s="417" t="str">
        <f t="shared" ca="1" si="6"/>
        <v>2.2</v>
      </c>
      <c r="J251" s="418"/>
    </row>
    <row r="252" spans="3:10">
      <c r="C252" s="84"/>
      <c r="E252" s="62"/>
      <c r="G252" s="417" t="str">
        <f t="shared" ca="1" si="6"/>
        <v>2.2</v>
      </c>
      <c r="J252" s="418"/>
    </row>
    <row r="253" spans="3:10">
      <c r="C253" s="84"/>
      <c r="E253" s="62"/>
      <c r="G253" s="417" t="str">
        <f t="shared" ca="1" si="6"/>
        <v>2.2</v>
      </c>
      <c r="J253" s="418"/>
    </row>
    <row r="254" spans="3:10">
      <c r="C254" s="84"/>
      <c r="E254" s="62"/>
      <c r="G254" s="417" t="str">
        <f t="shared" ca="1" si="6"/>
        <v>2.2</v>
      </c>
      <c r="J254" s="418"/>
    </row>
    <row r="255" spans="3:10">
      <c r="C255" s="84"/>
      <c r="E255" s="62"/>
      <c r="G255" s="417" t="str">
        <f t="shared" ca="1" si="6"/>
        <v>2.2</v>
      </c>
      <c r="J255" s="418"/>
    </row>
    <row r="256" spans="3:10">
      <c r="C256" s="84"/>
      <c r="E256" s="62"/>
      <c r="G256" s="417" t="str">
        <f t="shared" ca="1" si="6"/>
        <v>2.2</v>
      </c>
      <c r="J256" s="418"/>
    </row>
    <row r="257" spans="3:10">
      <c r="C257" s="84"/>
      <c r="E257" s="62"/>
      <c r="G257" s="417" t="str">
        <f t="shared" ca="1" si="6"/>
        <v>2.2</v>
      </c>
      <c r="J257" s="418"/>
    </row>
    <row r="258" spans="3:10">
      <c r="C258" s="84"/>
      <c r="E258" s="62"/>
      <c r="G258" s="417" t="str">
        <f t="shared" ca="1" si="6"/>
        <v>2.2</v>
      </c>
      <c r="J258" s="418"/>
    </row>
    <row r="259" spans="3:10">
      <c r="C259" s="84"/>
      <c r="E259" s="62"/>
      <c r="G259" s="417" t="str">
        <f t="shared" ca="1" si="6"/>
        <v>2.2</v>
      </c>
      <c r="J259" s="418"/>
    </row>
    <row r="260" spans="3:10">
      <c r="C260" s="84"/>
      <c r="E260" s="62"/>
      <c r="G260" s="417" t="str">
        <f t="shared" ca="1" si="6"/>
        <v>2.2</v>
      </c>
      <c r="J260" s="418"/>
    </row>
    <row r="261" spans="3:10">
      <c r="C261" s="84"/>
      <c r="E261" s="62"/>
      <c r="G261" s="417" t="str">
        <f t="shared" ca="1" si="6"/>
        <v>2.2</v>
      </c>
      <c r="J261" s="418"/>
    </row>
    <row r="262" spans="3:10">
      <c r="C262" s="84"/>
      <c r="E262" s="62"/>
      <c r="G262" s="417" t="str">
        <f t="shared" ca="1" si="6"/>
        <v>2.2</v>
      </c>
      <c r="J262" s="418"/>
    </row>
    <row r="263" spans="3:10">
      <c r="C263" s="84"/>
      <c r="E263" s="62"/>
      <c r="G263" s="417" t="str">
        <f t="shared" ca="1" si="6"/>
        <v>2.2</v>
      </c>
      <c r="J263" s="418"/>
    </row>
    <row r="264" spans="3:10">
      <c r="C264" s="84"/>
      <c r="E264" s="62"/>
      <c r="G264" s="417" t="str">
        <f t="shared" ca="1" si="6"/>
        <v>2.2</v>
      </c>
      <c r="J264" s="418"/>
    </row>
    <row r="265" spans="3:10">
      <c r="C265" s="84"/>
      <c r="E265" s="62"/>
      <c r="G265" s="417" t="str">
        <f t="shared" ca="1" si="6"/>
        <v>2.2</v>
      </c>
      <c r="J265" s="418"/>
    </row>
    <row r="266" spans="3:10">
      <c r="C266" s="84"/>
      <c r="E266" s="62"/>
      <c r="G266" s="417" t="str">
        <f t="shared" ca="1" si="6"/>
        <v>2.2</v>
      </c>
      <c r="J266" s="418"/>
    </row>
    <row r="267" spans="3:10">
      <c r="C267" s="84"/>
      <c r="E267" s="62"/>
      <c r="G267" s="417" t="str">
        <f t="shared" ref="G267:G330" ca="1" si="7">IF(ISBLANK(C267),OFFSET(G267,-1,0),IF(ISERR(FIND("/",C267,1)),C267,OFFSET(G267,-1,0)))</f>
        <v>2.2</v>
      </c>
      <c r="J267" s="418"/>
    </row>
    <row r="268" spans="3:10">
      <c r="C268" s="84"/>
      <c r="E268" s="62"/>
      <c r="G268" s="417" t="str">
        <f t="shared" ca="1" si="7"/>
        <v>2.2</v>
      </c>
      <c r="J268" s="418"/>
    </row>
    <row r="269" spans="3:10">
      <c r="C269" s="84"/>
      <c r="E269" s="62"/>
      <c r="G269" s="417" t="str">
        <f t="shared" ca="1" si="7"/>
        <v>2.2</v>
      </c>
      <c r="J269" s="418"/>
    </row>
    <row r="270" spans="3:10">
      <c r="C270" s="84"/>
      <c r="E270" s="62"/>
      <c r="G270" s="417" t="str">
        <f t="shared" ca="1" si="7"/>
        <v>2.2</v>
      </c>
      <c r="J270" s="418"/>
    </row>
    <row r="271" spans="3:10">
      <c r="C271" s="84"/>
      <c r="E271" s="62"/>
      <c r="G271" s="417" t="str">
        <f t="shared" ca="1" si="7"/>
        <v>2.2</v>
      </c>
      <c r="J271" s="418"/>
    </row>
    <row r="272" spans="3:10">
      <c r="C272" s="84"/>
      <c r="E272" s="62"/>
      <c r="G272" s="417" t="str">
        <f t="shared" ca="1" si="7"/>
        <v>2.2</v>
      </c>
      <c r="J272" s="418"/>
    </row>
    <row r="273" spans="3:10">
      <c r="C273" s="84"/>
      <c r="E273" s="62"/>
      <c r="G273" s="417" t="str">
        <f t="shared" ca="1" si="7"/>
        <v>2.2</v>
      </c>
      <c r="J273" s="418"/>
    </row>
    <row r="274" spans="3:10">
      <c r="C274" s="84"/>
      <c r="E274" s="62"/>
      <c r="G274" s="417" t="str">
        <f t="shared" ca="1" si="7"/>
        <v>2.2</v>
      </c>
      <c r="J274" s="418"/>
    </row>
    <row r="275" spans="3:10">
      <c r="C275" s="84"/>
      <c r="E275" s="62"/>
      <c r="G275" s="417" t="str">
        <f t="shared" ca="1" si="7"/>
        <v>2.2</v>
      </c>
      <c r="J275" s="418"/>
    </row>
    <row r="276" spans="3:10">
      <c r="C276" s="84"/>
      <c r="E276" s="62"/>
      <c r="G276" s="417" t="str">
        <f t="shared" ca="1" si="7"/>
        <v>2.2</v>
      </c>
      <c r="J276" s="418"/>
    </row>
    <row r="277" spans="3:10">
      <c r="C277" s="84"/>
      <c r="E277" s="62"/>
      <c r="G277" s="417" t="str">
        <f t="shared" ca="1" si="7"/>
        <v>2.2</v>
      </c>
      <c r="J277" s="418"/>
    </row>
    <row r="278" spans="3:10">
      <c r="C278" s="84"/>
      <c r="E278" s="62"/>
      <c r="G278" s="417" t="str">
        <f t="shared" ca="1" si="7"/>
        <v>2.2</v>
      </c>
      <c r="J278" s="418"/>
    </row>
    <row r="279" spans="3:10">
      <c r="C279" s="84"/>
      <c r="E279" s="62"/>
      <c r="G279" s="417" t="str">
        <f t="shared" ca="1" si="7"/>
        <v>2.2</v>
      </c>
      <c r="J279" s="418"/>
    </row>
    <row r="280" spans="3:10">
      <c r="C280" s="84"/>
      <c r="E280" s="62"/>
      <c r="G280" s="417" t="str">
        <f t="shared" ca="1" si="7"/>
        <v>2.2</v>
      </c>
      <c r="J280" s="418"/>
    </row>
    <row r="281" spans="3:10">
      <c r="C281" s="84"/>
      <c r="E281" s="62"/>
      <c r="G281" s="417" t="str">
        <f t="shared" ca="1" si="7"/>
        <v>2.2</v>
      </c>
      <c r="J281" s="418"/>
    </row>
    <row r="282" spans="3:10">
      <c r="C282" s="84"/>
      <c r="E282" s="62"/>
      <c r="G282" s="417" t="str">
        <f t="shared" ca="1" si="7"/>
        <v>2.2</v>
      </c>
      <c r="J282" s="418"/>
    </row>
    <row r="283" spans="3:10">
      <c r="C283" s="84"/>
      <c r="E283" s="62"/>
      <c r="G283" s="417" t="str">
        <f t="shared" ca="1" si="7"/>
        <v>2.2</v>
      </c>
      <c r="J283" s="418"/>
    </row>
    <row r="284" spans="3:10">
      <c r="C284" s="84"/>
      <c r="E284" s="62"/>
      <c r="G284" s="417" t="str">
        <f t="shared" ca="1" si="7"/>
        <v>2.2</v>
      </c>
      <c r="J284" s="418"/>
    </row>
    <row r="285" spans="3:10">
      <c r="C285" s="84"/>
      <c r="E285" s="62"/>
      <c r="G285" s="417" t="str">
        <f t="shared" ca="1" si="7"/>
        <v>2.2</v>
      </c>
      <c r="J285" s="418"/>
    </row>
    <row r="286" spans="3:10">
      <c r="C286" s="84"/>
      <c r="E286" s="62"/>
      <c r="G286" s="417" t="str">
        <f t="shared" ca="1" si="7"/>
        <v>2.2</v>
      </c>
      <c r="J286" s="418"/>
    </row>
    <row r="287" spans="3:10">
      <c r="C287" s="84"/>
      <c r="E287" s="62"/>
      <c r="G287" s="417" t="str">
        <f t="shared" ca="1" si="7"/>
        <v>2.2</v>
      </c>
      <c r="J287" s="418"/>
    </row>
    <row r="288" spans="3:10">
      <c r="C288" s="84"/>
      <c r="E288" s="62"/>
      <c r="G288" s="417" t="str">
        <f t="shared" ca="1" si="7"/>
        <v>2.2</v>
      </c>
      <c r="J288" s="418"/>
    </row>
    <row r="289" spans="3:10">
      <c r="C289" s="84"/>
      <c r="E289" s="62"/>
      <c r="G289" s="417" t="str">
        <f t="shared" ca="1" si="7"/>
        <v>2.2</v>
      </c>
      <c r="J289" s="418"/>
    </row>
    <row r="290" spans="3:10">
      <c r="C290" s="84"/>
      <c r="E290" s="62"/>
      <c r="G290" s="417" t="str">
        <f t="shared" ca="1" si="7"/>
        <v>2.2</v>
      </c>
      <c r="J290" s="418"/>
    </row>
    <row r="291" spans="3:10">
      <c r="C291" s="84"/>
      <c r="E291" s="62"/>
      <c r="G291" s="417" t="str">
        <f t="shared" ca="1" si="7"/>
        <v>2.2</v>
      </c>
      <c r="J291" s="418"/>
    </row>
    <row r="292" spans="3:10">
      <c r="C292" s="84"/>
      <c r="E292" s="62"/>
      <c r="G292" s="417" t="str">
        <f t="shared" ca="1" si="7"/>
        <v>2.2</v>
      </c>
      <c r="J292" s="418"/>
    </row>
    <row r="293" spans="3:10">
      <c r="C293" s="84"/>
      <c r="E293" s="62"/>
      <c r="G293" s="417" t="str">
        <f t="shared" ca="1" si="7"/>
        <v>2.2</v>
      </c>
      <c r="J293" s="418"/>
    </row>
    <row r="294" spans="3:10">
      <c r="C294" s="84"/>
      <c r="E294" s="62"/>
      <c r="G294" s="417" t="str">
        <f t="shared" ca="1" si="7"/>
        <v>2.2</v>
      </c>
      <c r="J294" s="418"/>
    </row>
    <row r="295" spans="3:10">
      <c r="C295" s="84"/>
      <c r="E295" s="62"/>
      <c r="G295" s="417" t="str">
        <f t="shared" ca="1" si="7"/>
        <v>2.2</v>
      </c>
      <c r="J295" s="418"/>
    </row>
    <row r="296" spans="3:10">
      <c r="C296" s="84"/>
      <c r="E296" s="62"/>
      <c r="G296" s="417" t="str">
        <f t="shared" ca="1" si="7"/>
        <v>2.2</v>
      </c>
      <c r="J296" s="418"/>
    </row>
    <row r="297" spans="3:10">
      <c r="C297" s="84"/>
      <c r="E297" s="62"/>
      <c r="G297" s="417" t="str">
        <f t="shared" ca="1" si="7"/>
        <v>2.2</v>
      </c>
      <c r="J297" s="418"/>
    </row>
    <row r="298" spans="3:10">
      <c r="C298" s="84"/>
      <c r="E298" s="62"/>
      <c r="G298" s="417" t="str">
        <f t="shared" ca="1" si="7"/>
        <v>2.2</v>
      </c>
      <c r="J298" s="418"/>
    </row>
    <row r="299" spans="3:10">
      <c r="C299" s="84"/>
      <c r="E299" s="62"/>
      <c r="G299" s="417" t="str">
        <f t="shared" ca="1" si="7"/>
        <v>2.2</v>
      </c>
      <c r="J299" s="418"/>
    </row>
    <row r="300" spans="3:10">
      <c r="C300" s="84"/>
      <c r="E300" s="62"/>
      <c r="G300" s="417" t="str">
        <f t="shared" ca="1" si="7"/>
        <v>2.2</v>
      </c>
      <c r="J300" s="418"/>
    </row>
    <row r="301" spans="3:10">
      <c r="C301" s="84"/>
      <c r="E301" s="62"/>
      <c r="G301" s="417" t="str">
        <f t="shared" ca="1" si="7"/>
        <v>2.2</v>
      </c>
      <c r="J301" s="418"/>
    </row>
    <row r="302" spans="3:10">
      <c r="C302" s="84"/>
      <c r="E302" s="62"/>
      <c r="G302" s="417" t="str">
        <f t="shared" ca="1" si="7"/>
        <v>2.2</v>
      </c>
      <c r="J302" s="418"/>
    </row>
    <row r="303" spans="3:10">
      <c r="C303" s="84"/>
      <c r="E303" s="62"/>
      <c r="G303" s="417" t="str">
        <f t="shared" ca="1" si="7"/>
        <v>2.2</v>
      </c>
      <c r="J303" s="418"/>
    </row>
    <row r="304" spans="3:10">
      <c r="C304" s="84"/>
      <c r="E304" s="62"/>
      <c r="G304" s="417" t="str">
        <f t="shared" ca="1" si="7"/>
        <v>2.2</v>
      </c>
      <c r="J304" s="418"/>
    </row>
    <row r="305" spans="3:10">
      <c r="C305" s="84"/>
      <c r="E305" s="62"/>
      <c r="G305" s="417" t="str">
        <f t="shared" ca="1" si="7"/>
        <v>2.2</v>
      </c>
      <c r="J305" s="418"/>
    </row>
    <row r="306" spans="3:10">
      <c r="C306" s="84"/>
      <c r="E306" s="62"/>
      <c r="G306" s="417" t="str">
        <f t="shared" ca="1" si="7"/>
        <v>2.2</v>
      </c>
      <c r="J306" s="418"/>
    </row>
    <row r="307" spans="3:10">
      <c r="C307" s="84"/>
      <c r="E307" s="62"/>
      <c r="G307" s="417" t="str">
        <f t="shared" ca="1" si="7"/>
        <v>2.2</v>
      </c>
      <c r="J307" s="418"/>
    </row>
    <row r="308" spans="3:10">
      <c r="C308" s="84"/>
      <c r="E308" s="62"/>
      <c r="G308" s="417" t="str">
        <f t="shared" ca="1" si="7"/>
        <v>2.2</v>
      </c>
      <c r="J308" s="418"/>
    </row>
    <row r="309" spans="3:10">
      <c r="C309" s="84"/>
      <c r="E309" s="62"/>
      <c r="G309" s="417" t="str">
        <f t="shared" ca="1" si="7"/>
        <v>2.2</v>
      </c>
      <c r="J309" s="418"/>
    </row>
    <row r="310" spans="3:10">
      <c r="C310" s="84"/>
      <c r="E310" s="62"/>
      <c r="G310" s="417" t="str">
        <f t="shared" ca="1" si="7"/>
        <v>2.2</v>
      </c>
      <c r="J310" s="418"/>
    </row>
    <row r="311" spans="3:10">
      <c r="C311" s="84"/>
      <c r="E311" s="62"/>
      <c r="G311" s="417" t="str">
        <f t="shared" ca="1" si="7"/>
        <v>2.2</v>
      </c>
      <c r="J311" s="418"/>
    </row>
    <row r="312" spans="3:10">
      <c r="C312" s="84"/>
      <c r="E312" s="62"/>
      <c r="G312" s="417" t="str">
        <f t="shared" ca="1" si="7"/>
        <v>2.2</v>
      </c>
      <c r="J312" s="418"/>
    </row>
    <row r="313" spans="3:10">
      <c r="C313" s="84"/>
      <c r="E313" s="62"/>
      <c r="G313" s="417" t="str">
        <f t="shared" ca="1" si="7"/>
        <v>2.2</v>
      </c>
      <c r="J313" s="418"/>
    </row>
    <row r="314" spans="3:10">
      <c r="C314" s="84"/>
      <c r="E314" s="62"/>
      <c r="G314" s="417" t="str">
        <f t="shared" ca="1" si="7"/>
        <v>2.2</v>
      </c>
      <c r="J314" s="418"/>
    </row>
    <row r="315" spans="3:10">
      <c r="C315" s="84"/>
      <c r="E315" s="62"/>
      <c r="G315" s="417" t="str">
        <f t="shared" ca="1" si="7"/>
        <v>2.2</v>
      </c>
      <c r="J315" s="418"/>
    </row>
    <row r="316" spans="3:10">
      <c r="C316" s="84"/>
      <c r="E316" s="62"/>
      <c r="G316" s="417" t="str">
        <f t="shared" ca="1" si="7"/>
        <v>2.2</v>
      </c>
      <c r="J316" s="418"/>
    </row>
    <row r="317" spans="3:10">
      <c r="C317" s="84"/>
      <c r="E317" s="62"/>
      <c r="G317" s="417" t="str">
        <f t="shared" ca="1" si="7"/>
        <v>2.2</v>
      </c>
      <c r="J317" s="418"/>
    </row>
    <row r="318" spans="3:10">
      <c r="C318" s="84"/>
      <c r="E318" s="62"/>
      <c r="G318" s="417" t="str">
        <f t="shared" ca="1" si="7"/>
        <v>2.2</v>
      </c>
      <c r="J318" s="418"/>
    </row>
    <row r="319" spans="3:10">
      <c r="C319" s="84"/>
      <c r="E319" s="62"/>
      <c r="G319" s="417" t="str">
        <f t="shared" ca="1" si="7"/>
        <v>2.2</v>
      </c>
      <c r="J319" s="418"/>
    </row>
    <row r="320" spans="3:10">
      <c r="C320" s="84"/>
      <c r="E320" s="62"/>
      <c r="G320" s="417" t="str">
        <f t="shared" ca="1" si="7"/>
        <v>2.2</v>
      </c>
      <c r="J320" s="418"/>
    </row>
    <row r="321" spans="3:10">
      <c r="C321" s="84"/>
      <c r="E321" s="62"/>
      <c r="G321" s="417" t="str">
        <f t="shared" ca="1" si="7"/>
        <v>2.2</v>
      </c>
      <c r="J321" s="418"/>
    </row>
    <row r="322" spans="3:10">
      <c r="C322" s="84"/>
      <c r="E322" s="62"/>
      <c r="G322" s="417" t="str">
        <f t="shared" ca="1" si="7"/>
        <v>2.2</v>
      </c>
      <c r="J322" s="418"/>
    </row>
    <row r="323" spans="3:10">
      <c r="C323" s="84"/>
      <c r="E323" s="62"/>
      <c r="G323" s="417" t="str">
        <f t="shared" ca="1" si="7"/>
        <v>2.2</v>
      </c>
      <c r="J323" s="418"/>
    </row>
    <row r="324" spans="3:10">
      <c r="C324" s="84"/>
      <c r="E324" s="62"/>
      <c r="G324" s="417" t="str">
        <f t="shared" ca="1" si="7"/>
        <v>2.2</v>
      </c>
      <c r="J324" s="418"/>
    </row>
    <row r="325" spans="3:10">
      <c r="C325" s="84"/>
      <c r="E325" s="62"/>
      <c r="G325" s="417" t="str">
        <f t="shared" ca="1" si="7"/>
        <v>2.2</v>
      </c>
      <c r="J325" s="418"/>
    </row>
    <row r="326" spans="3:10">
      <c r="C326" s="84"/>
      <c r="E326" s="62"/>
      <c r="G326" s="417" t="str">
        <f t="shared" ca="1" si="7"/>
        <v>2.2</v>
      </c>
      <c r="J326" s="418"/>
    </row>
    <row r="327" spans="3:10">
      <c r="C327" s="84"/>
      <c r="E327" s="62"/>
      <c r="G327" s="417" t="str">
        <f t="shared" ca="1" si="7"/>
        <v>2.2</v>
      </c>
      <c r="J327" s="418"/>
    </row>
    <row r="328" spans="3:10">
      <c r="C328" s="84"/>
      <c r="E328" s="62"/>
      <c r="G328" s="417" t="str">
        <f t="shared" ca="1" si="7"/>
        <v>2.2</v>
      </c>
      <c r="J328" s="418"/>
    </row>
    <row r="329" spans="3:10">
      <c r="C329" s="84"/>
      <c r="E329" s="62"/>
      <c r="G329" s="417" t="str">
        <f t="shared" ca="1" si="7"/>
        <v>2.2</v>
      </c>
      <c r="J329" s="418"/>
    </row>
    <row r="330" spans="3:10">
      <c r="C330" s="84"/>
      <c r="E330" s="62"/>
      <c r="G330" s="417" t="str">
        <f t="shared" ca="1" si="7"/>
        <v>2.2</v>
      </c>
      <c r="J330" s="418"/>
    </row>
    <row r="331" spans="3:10">
      <c r="C331" s="84"/>
      <c r="E331" s="62"/>
      <c r="G331" s="417" t="str">
        <f t="shared" ref="G331:G394" ca="1" si="8">IF(ISBLANK(C331),OFFSET(G331,-1,0),IF(ISERR(FIND("/",C331,1)),C331,OFFSET(G331,-1,0)))</f>
        <v>2.2</v>
      </c>
      <c r="J331" s="418"/>
    </row>
    <row r="332" spans="3:10">
      <c r="C332" s="84"/>
      <c r="E332" s="62"/>
      <c r="G332" s="417" t="str">
        <f t="shared" ca="1" si="8"/>
        <v>2.2</v>
      </c>
      <c r="J332" s="418"/>
    </row>
    <row r="333" spans="3:10">
      <c r="C333" s="84"/>
      <c r="E333" s="62"/>
      <c r="G333" s="417" t="str">
        <f t="shared" ca="1" si="8"/>
        <v>2.2</v>
      </c>
      <c r="J333" s="418"/>
    </row>
    <row r="334" spans="3:10">
      <c r="C334" s="84"/>
      <c r="E334" s="62"/>
      <c r="G334" s="417" t="str">
        <f t="shared" ca="1" si="8"/>
        <v>2.2</v>
      </c>
      <c r="J334" s="418"/>
    </row>
    <row r="335" spans="3:10">
      <c r="C335" s="84"/>
      <c r="E335" s="62"/>
      <c r="G335" s="417" t="str">
        <f t="shared" ca="1" si="8"/>
        <v>2.2</v>
      </c>
      <c r="J335" s="418"/>
    </row>
    <row r="336" spans="3:10">
      <c r="C336" s="84"/>
      <c r="E336" s="62"/>
      <c r="G336" s="417" t="str">
        <f t="shared" ca="1" si="8"/>
        <v>2.2</v>
      </c>
      <c r="J336" s="418"/>
    </row>
    <row r="337" spans="3:10">
      <c r="C337" s="84"/>
      <c r="E337" s="62"/>
      <c r="G337" s="417" t="str">
        <f t="shared" ca="1" si="8"/>
        <v>2.2</v>
      </c>
      <c r="J337" s="418"/>
    </row>
    <row r="338" spans="3:10">
      <c r="C338" s="84"/>
      <c r="E338" s="62"/>
      <c r="G338" s="417" t="str">
        <f t="shared" ca="1" si="8"/>
        <v>2.2</v>
      </c>
      <c r="J338" s="418"/>
    </row>
    <row r="339" spans="3:10">
      <c r="C339" s="84"/>
      <c r="E339" s="62"/>
      <c r="G339" s="417" t="str">
        <f t="shared" ca="1" si="8"/>
        <v>2.2</v>
      </c>
      <c r="J339" s="418"/>
    </row>
    <row r="340" spans="3:10">
      <c r="C340" s="84"/>
      <c r="E340" s="62"/>
      <c r="G340" s="417" t="str">
        <f t="shared" ca="1" si="8"/>
        <v>2.2</v>
      </c>
      <c r="J340" s="418"/>
    </row>
    <row r="341" spans="3:10">
      <c r="C341" s="84"/>
      <c r="E341" s="62"/>
      <c r="G341" s="417" t="str">
        <f t="shared" ca="1" si="8"/>
        <v>2.2</v>
      </c>
      <c r="J341" s="418"/>
    </row>
    <row r="342" spans="3:10">
      <c r="C342" s="84"/>
      <c r="E342" s="62"/>
      <c r="G342" s="417" t="str">
        <f t="shared" ca="1" si="8"/>
        <v>2.2</v>
      </c>
      <c r="J342" s="418"/>
    </row>
    <row r="343" spans="3:10">
      <c r="C343" s="84"/>
      <c r="E343" s="62"/>
      <c r="G343" s="417" t="str">
        <f t="shared" ca="1" si="8"/>
        <v>2.2</v>
      </c>
      <c r="J343" s="418"/>
    </row>
    <row r="344" spans="3:10">
      <c r="C344" s="84"/>
      <c r="E344" s="62"/>
      <c r="G344" s="417" t="str">
        <f t="shared" ca="1" si="8"/>
        <v>2.2</v>
      </c>
      <c r="J344" s="418"/>
    </row>
    <row r="345" spans="3:10">
      <c r="C345" s="84"/>
      <c r="E345" s="62"/>
      <c r="G345" s="417" t="str">
        <f t="shared" ca="1" si="8"/>
        <v>2.2</v>
      </c>
      <c r="J345" s="418"/>
    </row>
    <row r="346" spans="3:10">
      <c r="C346" s="84"/>
      <c r="E346" s="62"/>
      <c r="G346" s="417" t="str">
        <f t="shared" ca="1" si="8"/>
        <v>2.2</v>
      </c>
      <c r="J346" s="418"/>
    </row>
    <row r="347" spans="3:10">
      <c r="C347" s="84"/>
      <c r="E347" s="62"/>
      <c r="G347" s="417" t="str">
        <f t="shared" ca="1" si="8"/>
        <v>2.2</v>
      </c>
      <c r="J347" s="418"/>
    </row>
    <row r="348" spans="3:10">
      <c r="C348" s="84"/>
      <c r="E348" s="62"/>
      <c r="G348" s="417" t="str">
        <f t="shared" ca="1" si="8"/>
        <v>2.2</v>
      </c>
      <c r="J348" s="418"/>
    </row>
    <row r="349" spans="3:10">
      <c r="C349" s="84"/>
      <c r="E349" s="62"/>
      <c r="G349" s="417" t="str">
        <f t="shared" ca="1" si="8"/>
        <v>2.2</v>
      </c>
      <c r="J349" s="418"/>
    </row>
    <row r="350" spans="3:10">
      <c r="C350" s="84"/>
      <c r="E350" s="62"/>
      <c r="G350" s="417" t="str">
        <f t="shared" ca="1" si="8"/>
        <v>2.2</v>
      </c>
      <c r="J350" s="418"/>
    </row>
    <row r="351" spans="3:10">
      <c r="C351" s="84"/>
      <c r="E351" s="62"/>
      <c r="G351" s="417" t="str">
        <f t="shared" ca="1" si="8"/>
        <v>2.2</v>
      </c>
      <c r="J351" s="418"/>
    </row>
    <row r="352" spans="3:10">
      <c r="C352" s="84"/>
      <c r="E352" s="62"/>
      <c r="G352" s="417" t="str">
        <f t="shared" ca="1" si="8"/>
        <v>2.2</v>
      </c>
      <c r="J352" s="418"/>
    </row>
    <row r="353" spans="3:10">
      <c r="C353" s="84"/>
      <c r="E353" s="62"/>
      <c r="G353" s="417" t="str">
        <f t="shared" ca="1" si="8"/>
        <v>2.2</v>
      </c>
      <c r="J353" s="418"/>
    </row>
    <row r="354" spans="3:10">
      <c r="C354" s="84"/>
      <c r="E354" s="62"/>
      <c r="G354" s="417" t="str">
        <f t="shared" ca="1" si="8"/>
        <v>2.2</v>
      </c>
      <c r="J354" s="418"/>
    </row>
    <row r="355" spans="3:10">
      <c r="C355" s="84"/>
      <c r="E355" s="62"/>
      <c r="G355" s="417" t="str">
        <f t="shared" ca="1" si="8"/>
        <v>2.2</v>
      </c>
      <c r="J355" s="418"/>
    </row>
    <row r="356" spans="3:10">
      <c r="C356" s="84"/>
      <c r="E356" s="62"/>
      <c r="G356" s="417" t="str">
        <f t="shared" ca="1" si="8"/>
        <v>2.2</v>
      </c>
      <c r="J356" s="418"/>
    </row>
    <row r="357" spans="3:10">
      <c r="C357" s="84"/>
      <c r="E357" s="62"/>
      <c r="G357" s="417" t="str">
        <f t="shared" ca="1" si="8"/>
        <v>2.2</v>
      </c>
      <c r="J357" s="418"/>
    </row>
    <row r="358" spans="3:10">
      <c r="C358" s="84"/>
      <c r="E358" s="62"/>
      <c r="G358" s="417" t="str">
        <f t="shared" ca="1" si="8"/>
        <v>2.2</v>
      </c>
      <c r="J358" s="418"/>
    </row>
    <row r="359" spans="3:10">
      <c r="C359" s="84"/>
      <c r="E359" s="62"/>
      <c r="G359" s="417" t="str">
        <f t="shared" ca="1" si="8"/>
        <v>2.2</v>
      </c>
      <c r="J359" s="418"/>
    </row>
    <row r="360" spans="3:10">
      <c r="C360" s="84"/>
      <c r="E360" s="62"/>
      <c r="G360" s="417" t="str">
        <f t="shared" ca="1" si="8"/>
        <v>2.2</v>
      </c>
      <c r="J360" s="418"/>
    </row>
    <row r="361" spans="3:10">
      <c r="C361" s="84"/>
      <c r="E361" s="62"/>
      <c r="G361" s="417" t="str">
        <f t="shared" ca="1" si="8"/>
        <v>2.2</v>
      </c>
      <c r="J361" s="418"/>
    </row>
    <row r="362" spans="3:10">
      <c r="C362" s="84"/>
      <c r="E362" s="62"/>
      <c r="G362" s="417" t="str">
        <f t="shared" ca="1" si="8"/>
        <v>2.2</v>
      </c>
      <c r="J362" s="418"/>
    </row>
    <row r="363" spans="3:10">
      <c r="C363" s="84"/>
      <c r="E363" s="62"/>
      <c r="G363" s="417" t="str">
        <f t="shared" ca="1" si="8"/>
        <v>2.2</v>
      </c>
      <c r="J363" s="418"/>
    </row>
    <row r="364" spans="3:10">
      <c r="C364" s="84"/>
      <c r="E364" s="62"/>
      <c r="G364" s="417" t="str">
        <f t="shared" ca="1" si="8"/>
        <v>2.2</v>
      </c>
      <c r="J364" s="418"/>
    </row>
    <row r="365" spans="3:10">
      <c r="C365" s="84"/>
      <c r="E365" s="62"/>
      <c r="G365" s="417" t="str">
        <f t="shared" ca="1" si="8"/>
        <v>2.2</v>
      </c>
      <c r="J365" s="418"/>
    </row>
    <row r="366" spans="3:10">
      <c r="C366" s="84"/>
      <c r="E366" s="62"/>
      <c r="G366" s="417" t="str">
        <f t="shared" ca="1" si="8"/>
        <v>2.2</v>
      </c>
      <c r="J366" s="418"/>
    </row>
    <row r="367" spans="3:10">
      <c r="C367" s="84"/>
      <c r="E367" s="62"/>
      <c r="G367" s="417" t="str">
        <f t="shared" ca="1" si="8"/>
        <v>2.2</v>
      </c>
      <c r="J367" s="418"/>
    </row>
    <row r="368" spans="3:10">
      <c r="C368" s="84"/>
      <c r="E368" s="62"/>
      <c r="G368" s="417" t="str">
        <f t="shared" ca="1" si="8"/>
        <v>2.2</v>
      </c>
      <c r="J368" s="418"/>
    </row>
    <row r="369" spans="3:10">
      <c r="C369" s="84"/>
      <c r="E369" s="62"/>
      <c r="G369" s="417" t="str">
        <f t="shared" ca="1" si="8"/>
        <v>2.2</v>
      </c>
      <c r="J369" s="418"/>
    </row>
    <row r="370" spans="3:10">
      <c r="C370" s="84"/>
      <c r="E370" s="62"/>
      <c r="G370" s="417" t="str">
        <f t="shared" ca="1" si="8"/>
        <v>2.2</v>
      </c>
      <c r="J370" s="418"/>
    </row>
    <row r="371" spans="3:10">
      <c r="C371" s="84"/>
      <c r="E371" s="62"/>
      <c r="G371" s="417" t="str">
        <f t="shared" ca="1" si="8"/>
        <v>2.2</v>
      </c>
      <c r="J371" s="418"/>
    </row>
    <row r="372" spans="3:10">
      <c r="C372" s="84"/>
      <c r="E372" s="62"/>
      <c r="G372" s="417" t="str">
        <f t="shared" ca="1" si="8"/>
        <v>2.2</v>
      </c>
      <c r="J372" s="418"/>
    </row>
    <row r="373" spans="3:10">
      <c r="C373" s="84"/>
      <c r="E373" s="62"/>
      <c r="G373" s="417" t="str">
        <f t="shared" ca="1" si="8"/>
        <v>2.2</v>
      </c>
      <c r="J373" s="418"/>
    </row>
    <row r="374" spans="3:10">
      <c r="C374" s="84"/>
      <c r="E374" s="62"/>
      <c r="G374" s="417" t="str">
        <f t="shared" ca="1" si="8"/>
        <v>2.2</v>
      </c>
      <c r="J374" s="418"/>
    </row>
    <row r="375" spans="3:10">
      <c r="C375" s="84"/>
      <c r="E375" s="62"/>
      <c r="G375" s="417" t="str">
        <f t="shared" ca="1" si="8"/>
        <v>2.2</v>
      </c>
      <c r="J375" s="418"/>
    </row>
    <row r="376" spans="3:10">
      <c r="C376" s="84"/>
      <c r="E376" s="62"/>
      <c r="G376" s="417" t="str">
        <f t="shared" ca="1" si="8"/>
        <v>2.2</v>
      </c>
      <c r="J376" s="418"/>
    </row>
    <row r="377" spans="3:10">
      <c r="C377" s="84"/>
      <c r="E377" s="62"/>
      <c r="G377" s="417" t="str">
        <f t="shared" ca="1" si="8"/>
        <v>2.2</v>
      </c>
      <c r="J377" s="418"/>
    </row>
    <row r="378" spans="3:10">
      <c r="C378" s="84"/>
      <c r="E378" s="62"/>
      <c r="G378" s="417" t="str">
        <f t="shared" ca="1" si="8"/>
        <v>2.2</v>
      </c>
      <c r="J378" s="418"/>
    </row>
    <row r="379" spans="3:10">
      <c r="C379" s="84"/>
      <c r="E379" s="62"/>
      <c r="G379" s="417" t="str">
        <f t="shared" ca="1" si="8"/>
        <v>2.2</v>
      </c>
      <c r="J379" s="418"/>
    </row>
    <row r="380" spans="3:10">
      <c r="C380" s="84"/>
      <c r="E380" s="62"/>
      <c r="G380" s="417" t="str">
        <f t="shared" ca="1" si="8"/>
        <v>2.2</v>
      </c>
      <c r="J380" s="418"/>
    </row>
    <row r="381" spans="3:10">
      <c r="C381" s="84"/>
      <c r="E381" s="62"/>
      <c r="G381" s="417" t="str">
        <f t="shared" ca="1" si="8"/>
        <v>2.2</v>
      </c>
      <c r="J381" s="418"/>
    </row>
    <row r="382" spans="3:10">
      <c r="C382" s="84"/>
      <c r="E382" s="62"/>
      <c r="G382" s="417" t="str">
        <f t="shared" ca="1" si="8"/>
        <v>2.2</v>
      </c>
      <c r="J382" s="418"/>
    </row>
    <row r="383" spans="3:10">
      <c r="C383" s="84"/>
      <c r="E383" s="62"/>
      <c r="G383" s="417" t="str">
        <f t="shared" ca="1" si="8"/>
        <v>2.2</v>
      </c>
      <c r="J383" s="418"/>
    </row>
    <row r="384" spans="3:10">
      <c r="C384" s="84"/>
      <c r="E384" s="62"/>
      <c r="G384" s="417" t="str">
        <f t="shared" ca="1" si="8"/>
        <v>2.2</v>
      </c>
      <c r="J384" s="418"/>
    </row>
    <row r="385" spans="3:10">
      <c r="C385" s="84"/>
      <c r="E385" s="62"/>
      <c r="G385" s="417" t="str">
        <f t="shared" ca="1" si="8"/>
        <v>2.2</v>
      </c>
      <c r="J385" s="418"/>
    </row>
    <row r="386" spans="3:10">
      <c r="C386" s="84"/>
      <c r="E386" s="62"/>
      <c r="G386" s="417" t="str">
        <f t="shared" ca="1" si="8"/>
        <v>2.2</v>
      </c>
      <c r="J386" s="418"/>
    </row>
    <row r="387" spans="3:10">
      <c r="C387" s="84"/>
      <c r="E387" s="62"/>
      <c r="G387" s="417" t="str">
        <f t="shared" ca="1" si="8"/>
        <v>2.2</v>
      </c>
      <c r="J387" s="418"/>
    </row>
    <row r="388" spans="3:10">
      <c r="C388" s="84"/>
      <c r="E388" s="62"/>
      <c r="G388" s="417" t="str">
        <f t="shared" ca="1" si="8"/>
        <v>2.2</v>
      </c>
      <c r="J388" s="418"/>
    </row>
    <row r="389" spans="3:10">
      <c r="C389" s="84"/>
      <c r="E389" s="62"/>
      <c r="G389" s="417" t="str">
        <f t="shared" ca="1" si="8"/>
        <v>2.2</v>
      </c>
      <c r="J389" s="418"/>
    </row>
    <row r="390" spans="3:10">
      <c r="C390" s="84"/>
      <c r="E390" s="62"/>
      <c r="G390" s="417" t="str">
        <f t="shared" ca="1" si="8"/>
        <v>2.2</v>
      </c>
      <c r="J390" s="418"/>
    </row>
    <row r="391" spans="3:10">
      <c r="C391" s="84"/>
      <c r="E391" s="62"/>
      <c r="G391" s="417" t="str">
        <f t="shared" ca="1" si="8"/>
        <v>2.2</v>
      </c>
      <c r="J391" s="418"/>
    </row>
    <row r="392" spans="3:10">
      <c r="C392" s="84"/>
      <c r="E392" s="62"/>
      <c r="G392" s="417" t="str">
        <f t="shared" ca="1" si="8"/>
        <v>2.2</v>
      </c>
      <c r="J392" s="418"/>
    </row>
    <row r="393" spans="3:10">
      <c r="C393" s="84"/>
      <c r="E393" s="62"/>
      <c r="G393" s="417" t="str">
        <f t="shared" ca="1" si="8"/>
        <v>2.2</v>
      </c>
      <c r="J393" s="418"/>
    </row>
    <row r="394" spans="3:10">
      <c r="C394" s="84"/>
      <c r="E394" s="62"/>
      <c r="G394" s="417" t="str">
        <f t="shared" ca="1" si="8"/>
        <v>2.2</v>
      </c>
      <c r="J394" s="418"/>
    </row>
    <row r="395" spans="3:10">
      <c r="C395" s="84"/>
      <c r="E395" s="62"/>
      <c r="G395" s="417" t="str">
        <f t="shared" ref="G395:G458" ca="1" si="9">IF(ISBLANK(C395),OFFSET(G395,-1,0),IF(ISERR(FIND("/",C395,1)),C395,OFFSET(G395,-1,0)))</f>
        <v>2.2</v>
      </c>
      <c r="J395" s="418"/>
    </row>
    <row r="396" spans="3:10">
      <c r="C396" s="84"/>
      <c r="E396" s="62"/>
      <c r="G396" s="417" t="str">
        <f t="shared" ca="1" si="9"/>
        <v>2.2</v>
      </c>
      <c r="J396" s="418"/>
    </row>
    <row r="397" spans="3:10">
      <c r="C397" s="84"/>
      <c r="E397" s="62"/>
      <c r="G397" s="417" t="str">
        <f t="shared" ca="1" si="9"/>
        <v>2.2</v>
      </c>
      <c r="J397" s="418"/>
    </row>
    <row r="398" spans="3:10">
      <c r="C398" s="84"/>
      <c r="E398" s="62"/>
      <c r="G398" s="417" t="str">
        <f t="shared" ca="1" si="9"/>
        <v>2.2</v>
      </c>
      <c r="J398" s="418"/>
    </row>
    <row r="399" spans="3:10">
      <c r="C399" s="84"/>
      <c r="E399" s="62"/>
      <c r="G399" s="417" t="str">
        <f t="shared" ca="1" si="9"/>
        <v>2.2</v>
      </c>
      <c r="J399" s="418"/>
    </row>
    <row r="400" spans="3:10">
      <c r="C400" s="84"/>
      <c r="E400" s="62"/>
      <c r="G400" s="417" t="str">
        <f t="shared" ca="1" si="9"/>
        <v>2.2</v>
      </c>
      <c r="J400" s="418"/>
    </row>
    <row r="401" spans="3:10">
      <c r="C401" s="84"/>
      <c r="E401" s="62"/>
      <c r="G401" s="417" t="str">
        <f t="shared" ca="1" si="9"/>
        <v>2.2</v>
      </c>
      <c r="J401" s="418"/>
    </row>
    <row r="402" spans="3:10">
      <c r="C402" s="84"/>
      <c r="E402" s="62"/>
      <c r="G402" s="417" t="str">
        <f t="shared" ca="1" si="9"/>
        <v>2.2</v>
      </c>
      <c r="J402" s="418"/>
    </row>
    <row r="403" spans="3:10">
      <c r="C403" s="84"/>
      <c r="E403" s="62"/>
      <c r="G403" s="417" t="str">
        <f t="shared" ca="1" si="9"/>
        <v>2.2</v>
      </c>
      <c r="J403" s="418"/>
    </row>
    <row r="404" spans="3:10">
      <c r="C404" s="84"/>
      <c r="E404" s="62"/>
      <c r="G404" s="417" t="str">
        <f t="shared" ca="1" si="9"/>
        <v>2.2</v>
      </c>
      <c r="J404" s="418"/>
    </row>
    <row r="405" spans="3:10">
      <c r="C405" s="84"/>
      <c r="E405" s="62"/>
      <c r="G405" s="417" t="str">
        <f t="shared" ca="1" si="9"/>
        <v>2.2</v>
      </c>
      <c r="J405" s="418"/>
    </row>
    <row r="406" spans="3:10">
      <c r="C406" s="84"/>
      <c r="E406" s="62"/>
      <c r="G406" s="417" t="str">
        <f t="shared" ca="1" si="9"/>
        <v>2.2</v>
      </c>
      <c r="J406" s="418"/>
    </row>
    <row r="407" spans="3:10">
      <c r="C407" s="84"/>
      <c r="E407" s="62"/>
      <c r="G407" s="417" t="str">
        <f t="shared" ca="1" si="9"/>
        <v>2.2</v>
      </c>
      <c r="J407" s="418"/>
    </row>
    <row r="408" spans="3:10">
      <c r="C408" s="84"/>
      <c r="E408" s="62"/>
      <c r="G408" s="417" t="str">
        <f t="shared" ca="1" si="9"/>
        <v>2.2</v>
      </c>
      <c r="J408" s="418"/>
    </row>
    <row r="409" spans="3:10">
      <c r="C409" s="84"/>
      <c r="E409" s="62"/>
      <c r="G409" s="417" t="str">
        <f t="shared" ca="1" si="9"/>
        <v>2.2</v>
      </c>
      <c r="J409" s="418"/>
    </row>
    <row r="410" spans="3:10">
      <c r="C410" s="84"/>
      <c r="E410" s="62"/>
      <c r="G410" s="417" t="str">
        <f t="shared" ca="1" si="9"/>
        <v>2.2</v>
      </c>
      <c r="J410" s="418"/>
    </row>
    <row r="411" spans="3:10">
      <c r="C411" s="84"/>
      <c r="E411" s="62"/>
      <c r="G411" s="417" t="str">
        <f t="shared" ca="1" si="9"/>
        <v>2.2</v>
      </c>
      <c r="J411" s="418"/>
    </row>
    <row r="412" spans="3:10">
      <c r="C412" s="84"/>
      <c r="E412" s="62"/>
      <c r="G412" s="417" t="str">
        <f t="shared" ca="1" si="9"/>
        <v>2.2</v>
      </c>
      <c r="J412" s="418"/>
    </row>
    <row r="413" spans="3:10">
      <c r="C413" s="84"/>
      <c r="E413" s="62"/>
      <c r="G413" s="417" t="str">
        <f t="shared" ca="1" si="9"/>
        <v>2.2</v>
      </c>
      <c r="J413" s="418"/>
    </row>
    <row r="414" spans="3:10">
      <c r="C414" s="84"/>
      <c r="E414" s="62"/>
      <c r="G414" s="417" t="str">
        <f t="shared" ca="1" si="9"/>
        <v>2.2</v>
      </c>
      <c r="J414" s="418"/>
    </row>
    <row r="415" spans="3:10">
      <c r="C415" s="84"/>
      <c r="E415" s="62"/>
      <c r="G415" s="417" t="str">
        <f t="shared" ca="1" si="9"/>
        <v>2.2</v>
      </c>
      <c r="J415" s="418"/>
    </row>
    <row r="416" spans="3:10">
      <c r="C416" s="84"/>
      <c r="E416" s="62"/>
      <c r="G416" s="417" t="str">
        <f t="shared" ca="1" si="9"/>
        <v>2.2</v>
      </c>
      <c r="J416" s="418"/>
    </row>
    <row r="417" spans="3:10">
      <c r="C417" s="84"/>
      <c r="E417" s="62"/>
      <c r="G417" s="417" t="str">
        <f t="shared" ca="1" si="9"/>
        <v>2.2</v>
      </c>
      <c r="J417" s="418"/>
    </row>
    <row r="418" spans="3:10">
      <c r="C418" s="84"/>
      <c r="E418" s="62"/>
      <c r="G418" s="417" t="str">
        <f t="shared" ca="1" si="9"/>
        <v>2.2</v>
      </c>
      <c r="J418" s="418"/>
    </row>
    <row r="419" spans="3:10">
      <c r="C419" s="84"/>
      <c r="E419" s="62"/>
      <c r="G419" s="417" t="str">
        <f t="shared" ca="1" si="9"/>
        <v>2.2</v>
      </c>
      <c r="J419" s="418"/>
    </row>
    <row r="420" spans="3:10">
      <c r="C420" s="84"/>
      <c r="E420" s="62"/>
      <c r="G420" s="417" t="str">
        <f t="shared" ca="1" si="9"/>
        <v>2.2</v>
      </c>
      <c r="J420" s="418"/>
    </row>
    <row r="421" spans="3:10">
      <c r="C421" s="84"/>
      <c r="E421" s="62"/>
      <c r="G421" s="417" t="str">
        <f t="shared" ca="1" si="9"/>
        <v>2.2</v>
      </c>
      <c r="J421" s="418"/>
    </row>
    <row r="422" spans="3:10">
      <c r="C422" s="84"/>
      <c r="E422" s="62"/>
      <c r="G422" s="417" t="str">
        <f t="shared" ca="1" si="9"/>
        <v>2.2</v>
      </c>
      <c r="J422" s="418"/>
    </row>
    <row r="423" spans="3:10">
      <c r="C423" s="84"/>
      <c r="E423" s="62"/>
      <c r="G423" s="417" t="str">
        <f t="shared" ca="1" si="9"/>
        <v>2.2</v>
      </c>
      <c r="J423" s="418"/>
    </row>
    <row r="424" spans="3:10">
      <c r="C424" s="84"/>
      <c r="E424" s="62"/>
      <c r="G424" s="417" t="str">
        <f t="shared" ca="1" si="9"/>
        <v>2.2</v>
      </c>
      <c r="J424" s="418"/>
    </row>
    <row r="425" spans="3:10">
      <c r="C425" s="84"/>
      <c r="E425" s="62"/>
      <c r="G425" s="417" t="str">
        <f t="shared" ca="1" si="9"/>
        <v>2.2</v>
      </c>
      <c r="J425" s="418"/>
    </row>
    <row r="426" spans="3:10">
      <c r="C426" s="84"/>
      <c r="E426" s="62"/>
      <c r="G426" s="417" t="str">
        <f t="shared" ca="1" si="9"/>
        <v>2.2</v>
      </c>
      <c r="J426" s="418"/>
    </row>
    <row r="427" spans="3:10">
      <c r="C427" s="84"/>
      <c r="E427" s="62"/>
      <c r="G427" s="417" t="str">
        <f t="shared" ca="1" si="9"/>
        <v>2.2</v>
      </c>
      <c r="J427" s="418"/>
    </row>
    <row r="428" spans="3:10">
      <c r="C428" s="84"/>
      <c r="E428" s="62"/>
      <c r="G428" s="417" t="str">
        <f t="shared" ca="1" si="9"/>
        <v>2.2</v>
      </c>
      <c r="J428" s="418"/>
    </row>
    <row r="429" spans="3:10">
      <c r="C429" s="84"/>
      <c r="E429" s="62"/>
      <c r="G429" s="417" t="str">
        <f t="shared" ca="1" si="9"/>
        <v>2.2</v>
      </c>
      <c r="J429" s="418"/>
    </row>
    <row r="430" spans="3:10">
      <c r="C430" s="84"/>
      <c r="E430" s="62"/>
      <c r="G430" s="417" t="str">
        <f t="shared" ca="1" si="9"/>
        <v>2.2</v>
      </c>
      <c r="J430" s="418"/>
    </row>
    <row r="431" spans="3:10">
      <c r="C431" s="84"/>
      <c r="E431" s="62"/>
      <c r="G431" s="417" t="str">
        <f t="shared" ca="1" si="9"/>
        <v>2.2</v>
      </c>
      <c r="J431" s="418"/>
    </row>
    <row r="432" spans="3:10">
      <c r="C432" s="84"/>
      <c r="E432" s="62"/>
      <c r="G432" s="417" t="str">
        <f t="shared" ca="1" si="9"/>
        <v>2.2</v>
      </c>
      <c r="J432" s="418"/>
    </row>
    <row r="433" spans="3:10">
      <c r="C433" s="84"/>
      <c r="E433" s="62"/>
      <c r="G433" s="417" t="str">
        <f t="shared" ca="1" si="9"/>
        <v>2.2</v>
      </c>
      <c r="J433" s="418"/>
    </row>
    <row r="434" spans="3:10">
      <c r="C434" s="84"/>
      <c r="E434" s="62"/>
      <c r="G434" s="417" t="str">
        <f t="shared" ca="1" si="9"/>
        <v>2.2</v>
      </c>
      <c r="J434" s="418"/>
    </row>
    <row r="435" spans="3:10">
      <c r="C435" s="84"/>
      <c r="E435" s="62"/>
      <c r="G435" s="417" t="str">
        <f t="shared" ca="1" si="9"/>
        <v>2.2</v>
      </c>
      <c r="J435" s="418"/>
    </row>
    <row r="436" spans="3:10">
      <c r="C436" s="84"/>
      <c r="E436" s="62"/>
      <c r="G436" s="417" t="str">
        <f t="shared" ca="1" si="9"/>
        <v>2.2</v>
      </c>
      <c r="J436" s="418"/>
    </row>
    <row r="437" spans="3:10">
      <c r="C437" s="84"/>
      <c r="E437" s="62"/>
      <c r="G437" s="417" t="str">
        <f t="shared" ca="1" si="9"/>
        <v>2.2</v>
      </c>
      <c r="J437" s="418"/>
    </row>
    <row r="438" spans="3:10">
      <c r="C438" s="84"/>
      <c r="E438" s="62"/>
      <c r="G438" s="417" t="str">
        <f t="shared" ca="1" si="9"/>
        <v>2.2</v>
      </c>
      <c r="J438" s="418"/>
    </row>
    <row r="439" spans="3:10">
      <c r="C439" s="84"/>
      <c r="E439" s="62"/>
      <c r="G439" s="417" t="str">
        <f t="shared" ca="1" si="9"/>
        <v>2.2</v>
      </c>
      <c r="J439" s="418"/>
    </row>
    <row r="440" spans="3:10">
      <c r="C440" s="84"/>
      <c r="E440" s="62"/>
      <c r="G440" s="417" t="str">
        <f t="shared" ca="1" si="9"/>
        <v>2.2</v>
      </c>
      <c r="J440" s="418"/>
    </row>
    <row r="441" spans="3:10">
      <c r="C441" s="84"/>
      <c r="E441" s="62"/>
      <c r="G441" s="417" t="str">
        <f t="shared" ca="1" si="9"/>
        <v>2.2</v>
      </c>
      <c r="J441" s="418"/>
    </row>
    <row r="442" spans="3:10">
      <c r="C442" s="84"/>
      <c r="E442" s="62"/>
      <c r="G442" s="417" t="str">
        <f t="shared" ca="1" si="9"/>
        <v>2.2</v>
      </c>
      <c r="J442" s="418"/>
    </row>
    <row r="443" spans="3:10">
      <c r="C443" s="84"/>
      <c r="E443" s="62"/>
      <c r="G443" s="417" t="str">
        <f t="shared" ca="1" si="9"/>
        <v>2.2</v>
      </c>
      <c r="J443" s="418"/>
    </row>
    <row r="444" spans="3:10">
      <c r="C444" s="84"/>
      <c r="E444" s="62"/>
      <c r="G444" s="417" t="str">
        <f t="shared" ca="1" si="9"/>
        <v>2.2</v>
      </c>
      <c r="J444" s="418"/>
    </row>
    <row r="445" spans="3:10">
      <c r="C445" s="84"/>
      <c r="E445" s="62"/>
      <c r="G445" s="417" t="str">
        <f t="shared" ca="1" si="9"/>
        <v>2.2</v>
      </c>
      <c r="J445" s="418"/>
    </row>
    <row r="446" spans="3:10">
      <c r="C446" s="84"/>
      <c r="E446" s="62"/>
      <c r="G446" s="417" t="str">
        <f t="shared" ca="1" si="9"/>
        <v>2.2</v>
      </c>
      <c r="J446" s="418"/>
    </row>
    <row r="447" spans="3:10">
      <c r="C447" s="84"/>
      <c r="E447" s="62"/>
      <c r="G447" s="417" t="str">
        <f t="shared" ca="1" si="9"/>
        <v>2.2</v>
      </c>
      <c r="J447" s="418"/>
    </row>
    <row r="448" spans="3:10">
      <c r="C448" s="84"/>
      <c r="E448" s="62"/>
      <c r="G448" s="417" t="str">
        <f t="shared" ca="1" si="9"/>
        <v>2.2</v>
      </c>
      <c r="J448" s="418"/>
    </row>
    <row r="449" spans="3:10">
      <c r="C449" s="84"/>
      <c r="E449" s="62"/>
      <c r="G449" s="417" t="str">
        <f t="shared" ca="1" si="9"/>
        <v>2.2</v>
      </c>
      <c r="J449" s="418"/>
    </row>
    <row r="450" spans="3:10">
      <c r="C450" s="84"/>
      <c r="E450" s="62"/>
      <c r="G450" s="417" t="str">
        <f t="shared" ca="1" si="9"/>
        <v>2.2</v>
      </c>
      <c r="J450" s="418"/>
    </row>
    <row r="451" spans="3:10">
      <c r="C451" s="84"/>
      <c r="E451" s="62"/>
      <c r="G451" s="417" t="str">
        <f t="shared" ca="1" si="9"/>
        <v>2.2</v>
      </c>
      <c r="J451" s="418"/>
    </row>
    <row r="452" spans="3:10">
      <c r="C452" s="84"/>
      <c r="E452" s="62"/>
      <c r="G452" s="417" t="str">
        <f t="shared" ca="1" si="9"/>
        <v>2.2</v>
      </c>
      <c r="J452" s="418"/>
    </row>
    <row r="453" spans="3:10">
      <c r="C453" s="84"/>
      <c r="E453" s="62"/>
      <c r="G453" s="417" t="str">
        <f t="shared" ca="1" si="9"/>
        <v>2.2</v>
      </c>
      <c r="J453" s="418"/>
    </row>
    <row r="454" spans="3:10">
      <c r="C454" s="84"/>
      <c r="E454" s="62"/>
      <c r="G454" s="417" t="str">
        <f t="shared" ca="1" si="9"/>
        <v>2.2</v>
      </c>
      <c r="J454" s="418"/>
    </row>
    <row r="455" spans="3:10">
      <c r="C455" s="84"/>
      <c r="E455" s="62"/>
      <c r="G455" s="417" t="str">
        <f t="shared" ca="1" si="9"/>
        <v>2.2</v>
      </c>
      <c r="J455" s="418"/>
    </row>
    <row r="456" spans="3:10">
      <c r="C456" s="84"/>
      <c r="E456" s="62"/>
      <c r="G456" s="417" t="str">
        <f t="shared" ca="1" si="9"/>
        <v>2.2</v>
      </c>
      <c r="J456" s="418"/>
    </row>
    <row r="457" spans="3:10">
      <c r="C457" s="84"/>
      <c r="E457" s="62"/>
      <c r="G457" s="417" t="str">
        <f t="shared" ca="1" si="9"/>
        <v>2.2</v>
      </c>
      <c r="J457" s="418"/>
    </row>
    <row r="458" spans="3:10">
      <c r="C458" s="84"/>
      <c r="E458" s="62"/>
      <c r="G458" s="417" t="str">
        <f t="shared" ca="1" si="9"/>
        <v>2.2</v>
      </c>
      <c r="J458" s="418"/>
    </row>
    <row r="459" spans="3:10">
      <c r="C459" s="84"/>
      <c r="E459" s="62"/>
      <c r="G459" s="417" t="str">
        <f t="shared" ref="G459:G522" ca="1" si="10">IF(ISBLANK(C459),OFFSET(G459,-1,0),IF(ISERR(FIND("/",C459,1)),C459,OFFSET(G459,-1,0)))</f>
        <v>2.2</v>
      </c>
      <c r="J459" s="418"/>
    </row>
    <row r="460" spans="3:10">
      <c r="C460" s="84"/>
      <c r="E460" s="62"/>
      <c r="G460" s="417" t="str">
        <f t="shared" ca="1" si="10"/>
        <v>2.2</v>
      </c>
      <c r="J460" s="418"/>
    </row>
    <row r="461" spans="3:10">
      <c r="C461" s="84"/>
      <c r="E461" s="62"/>
      <c r="G461" s="417" t="str">
        <f t="shared" ca="1" si="10"/>
        <v>2.2</v>
      </c>
      <c r="J461" s="418"/>
    </row>
    <row r="462" spans="3:10">
      <c r="C462" s="84"/>
      <c r="E462" s="62"/>
      <c r="G462" s="417" t="str">
        <f t="shared" ca="1" si="10"/>
        <v>2.2</v>
      </c>
      <c r="J462" s="418"/>
    </row>
    <row r="463" spans="3:10">
      <c r="C463" s="84"/>
      <c r="E463" s="62"/>
      <c r="G463" s="417" t="str">
        <f t="shared" ca="1" si="10"/>
        <v>2.2</v>
      </c>
      <c r="J463" s="418"/>
    </row>
    <row r="464" spans="3:10">
      <c r="C464" s="84"/>
      <c r="E464" s="62"/>
      <c r="G464" s="417" t="str">
        <f t="shared" ca="1" si="10"/>
        <v>2.2</v>
      </c>
      <c r="J464" s="418"/>
    </row>
    <row r="465" spans="3:10">
      <c r="C465" s="84"/>
      <c r="E465" s="62"/>
      <c r="G465" s="417" t="str">
        <f t="shared" ca="1" si="10"/>
        <v>2.2</v>
      </c>
      <c r="J465" s="418"/>
    </row>
    <row r="466" spans="3:10">
      <c r="C466" s="84"/>
      <c r="E466" s="62"/>
      <c r="G466" s="417" t="str">
        <f t="shared" ca="1" si="10"/>
        <v>2.2</v>
      </c>
      <c r="J466" s="418"/>
    </row>
    <row r="467" spans="3:10">
      <c r="C467" s="84"/>
      <c r="E467" s="62"/>
      <c r="G467" s="417" t="str">
        <f t="shared" ca="1" si="10"/>
        <v>2.2</v>
      </c>
      <c r="J467" s="418"/>
    </row>
    <row r="468" spans="3:10">
      <c r="C468" s="84"/>
      <c r="E468" s="62"/>
      <c r="G468" s="417" t="str">
        <f t="shared" ca="1" si="10"/>
        <v>2.2</v>
      </c>
      <c r="J468" s="418"/>
    </row>
    <row r="469" spans="3:10">
      <c r="C469" s="84"/>
      <c r="E469" s="62"/>
      <c r="G469" s="417" t="str">
        <f t="shared" ca="1" si="10"/>
        <v>2.2</v>
      </c>
      <c r="J469" s="418"/>
    </row>
    <row r="470" spans="3:10">
      <c r="C470" s="84"/>
      <c r="E470" s="62"/>
      <c r="G470" s="417" t="str">
        <f t="shared" ca="1" si="10"/>
        <v>2.2</v>
      </c>
      <c r="J470" s="418"/>
    </row>
    <row r="471" spans="3:10">
      <c r="C471" s="84"/>
      <c r="E471" s="62"/>
      <c r="G471" s="417" t="str">
        <f t="shared" ca="1" si="10"/>
        <v>2.2</v>
      </c>
      <c r="J471" s="418"/>
    </row>
    <row r="472" spans="3:10">
      <c r="C472" s="84"/>
      <c r="E472" s="62"/>
      <c r="G472" s="417" t="str">
        <f t="shared" ca="1" si="10"/>
        <v>2.2</v>
      </c>
      <c r="J472" s="418"/>
    </row>
    <row r="473" spans="3:10">
      <c r="C473" s="84"/>
      <c r="E473" s="62"/>
      <c r="G473" s="417" t="str">
        <f t="shared" ca="1" si="10"/>
        <v>2.2</v>
      </c>
      <c r="J473" s="418"/>
    </row>
    <row r="474" spans="3:10">
      <c r="C474" s="84"/>
      <c r="E474" s="62"/>
      <c r="G474" s="417" t="str">
        <f t="shared" ca="1" si="10"/>
        <v>2.2</v>
      </c>
      <c r="J474" s="418"/>
    </row>
    <row r="475" spans="3:10">
      <c r="C475" s="84"/>
      <c r="E475" s="62"/>
      <c r="G475" s="417" t="str">
        <f t="shared" ca="1" si="10"/>
        <v>2.2</v>
      </c>
      <c r="J475" s="418"/>
    </row>
    <row r="476" spans="3:10">
      <c r="C476" s="84"/>
      <c r="E476" s="62"/>
      <c r="G476" s="417" t="str">
        <f t="shared" ca="1" si="10"/>
        <v>2.2</v>
      </c>
      <c r="J476" s="418"/>
    </row>
    <row r="477" spans="3:10">
      <c r="C477" s="84"/>
      <c r="E477" s="62"/>
      <c r="G477" s="417" t="str">
        <f t="shared" ca="1" si="10"/>
        <v>2.2</v>
      </c>
      <c r="J477" s="418"/>
    </row>
    <row r="478" spans="3:10">
      <c r="C478" s="84"/>
      <c r="E478" s="62"/>
      <c r="G478" s="417" t="str">
        <f t="shared" ca="1" si="10"/>
        <v>2.2</v>
      </c>
      <c r="J478" s="418"/>
    </row>
    <row r="479" spans="3:10">
      <c r="C479" s="84"/>
      <c r="E479" s="62"/>
      <c r="G479" s="417" t="str">
        <f t="shared" ca="1" si="10"/>
        <v>2.2</v>
      </c>
      <c r="J479" s="418"/>
    </row>
    <row r="480" spans="3:10">
      <c r="C480" s="84"/>
      <c r="E480" s="62"/>
      <c r="G480" s="417" t="str">
        <f t="shared" ca="1" si="10"/>
        <v>2.2</v>
      </c>
      <c r="J480" s="418"/>
    </row>
    <row r="481" spans="3:10">
      <c r="C481" s="84"/>
      <c r="E481" s="62"/>
      <c r="G481" s="417" t="str">
        <f t="shared" ca="1" si="10"/>
        <v>2.2</v>
      </c>
      <c r="J481" s="418"/>
    </row>
    <row r="482" spans="3:10">
      <c r="C482" s="84"/>
      <c r="E482" s="62"/>
      <c r="G482" s="417" t="str">
        <f t="shared" ca="1" si="10"/>
        <v>2.2</v>
      </c>
      <c r="J482" s="418"/>
    </row>
    <row r="483" spans="3:10">
      <c r="C483" s="84"/>
      <c r="E483" s="62"/>
      <c r="G483" s="417" t="str">
        <f t="shared" ca="1" si="10"/>
        <v>2.2</v>
      </c>
      <c r="J483" s="418"/>
    </row>
    <row r="484" spans="3:10">
      <c r="C484" s="84"/>
      <c r="E484" s="62"/>
      <c r="G484" s="417" t="str">
        <f t="shared" ca="1" si="10"/>
        <v>2.2</v>
      </c>
      <c r="J484" s="418"/>
    </row>
    <row r="485" spans="3:10">
      <c r="C485" s="84"/>
      <c r="E485" s="62"/>
      <c r="G485" s="417" t="str">
        <f t="shared" ca="1" si="10"/>
        <v>2.2</v>
      </c>
      <c r="J485" s="418"/>
    </row>
    <row r="486" spans="3:10">
      <c r="C486" s="84"/>
      <c r="E486" s="62"/>
      <c r="G486" s="417" t="str">
        <f t="shared" ca="1" si="10"/>
        <v>2.2</v>
      </c>
      <c r="J486" s="418"/>
    </row>
    <row r="487" spans="3:10">
      <c r="C487" s="84"/>
      <c r="E487" s="62"/>
      <c r="G487" s="417" t="str">
        <f t="shared" ca="1" si="10"/>
        <v>2.2</v>
      </c>
      <c r="J487" s="418"/>
    </row>
    <row r="488" spans="3:10">
      <c r="C488" s="84"/>
      <c r="E488" s="62"/>
      <c r="G488" s="417" t="str">
        <f t="shared" ca="1" si="10"/>
        <v>2.2</v>
      </c>
      <c r="J488" s="418"/>
    </row>
    <row r="489" spans="3:10">
      <c r="C489" s="84"/>
      <c r="E489" s="62"/>
      <c r="G489" s="417" t="str">
        <f t="shared" ca="1" si="10"/>
        <v>2.2</v>
      </c>
      <c r="J489" s="418"/>
    </row>
    <row r="490" spans="3:10">
      <c r="C490" s="84"/>
      <c r="G490" s="417" t="str">
        <f t="shared" ca="1" si="10"/>
        <v>2.2</v>
      </c>
      <c r="J490" s="418"/>
    </row>
    <row r="491" spans="3:10">
      <c r="C491" s="84"/>
      <c r="G491" s="417" t="str">
        <f t="shared" ca="1" si="10"/>
        <v>2.2</v>
      </c>
      <c r="J491" s="418"/>
    </row>
    <row r="492" spans="3:10">
      <c r="C492" s="84"/>
      <c r="G492" s="417" t="str">
        <f t="shared" ca="1" si="10"/>
        <v>2.2</v>
      </c>
      <c r="J492" s="418"/>
    </row>
    <row r="493" spans="3:10">
      <c r="C493" s="84"/>
      <c r="G493" s="417" t="str">
        <f t="shared" ca="1" si="10"/>
        <v>2.2</v>
      </c>
      <c r="J493" s="418"/>
    </row>
    <row r="494" spans="3:10">
      <c r="C494" s="84"/>
      <c r="G494" s="417" t="str">
        <f t="shared" ca="1" si="10"/>
        <v>2.2</v>
      </c>
      <c r="J494" s="418"/>
    </row>
    <row r="495" spans="3:10">
      <c r="C495" s="84"/>
      <c r="G495" s="417" t="str">
        <f t="shared" ca="1" si="10"/>
        <v>2.2</v>
      </c>
      <c r="J495" s="418"/>
    </row>
    <row r="496" spans="3:10">
      <c r="C496" s="84"/>
      <c r="G496" s="417" t="str">
        <f t="shared" ca="1" si="10"/>
        <v>2.2</v>
      </c>
      <c r="J496" s="418"/>
    </row>
    <row r="497" spans="3:10">
      <c r="C497" s="84"/>
      <c r="G497" s="417" t="str">
        <f t="shared" ca="1" si="10"/>
        <v>2.2</v>
      </c>
      <c r="J497" s="418"/>
    </row>
    <row r="498" spans="3:10">
      <c r="C498" s="84"/>
      <c r="G498" s="417" t="str">
        <f t="shared" ca="1" si="10"/>
        <v>2.2</v>
      </c>
      <c r="J498" s="418"/>
    </row>
    <row r="499" spans="3:10">
      <c r="C499" s="84"/>
      <c r="G499" s="417" t="str">
        <f t="shared" ca="1" si="10"/>
        <v>2.2</v>
      </c>
      <c r="J499" s="418"/>
    </row>
    <row r="500" spans="3:10">
      <c r="C500" s="84"/>
      <c r="G500" s="417" t="str">
        <f t="shared" ca="1" si="10"/>
        <v>2.2</v>
      </c>
      <c r="J500" s="418"/>
    </row>
    <row r="501" spans="3:10">
      <c r="C501" s="84"/>
      <c r="G501" s="417" t="str">
        <f t="shared" ca="1" si="10"/>
        <v>2.2</v>
      </c>
      <c r="J501" s="418"/>
    </row>
    <row r="502" spans="3:10">
      <c r="C502" s="84"/>
      <c r="G502" s="417" t="str">
        <f t="shared" ca="1" si="10"/>
        <v>2.2</v>
      </c>
      <c r="J502" s="418"/>
    </row>
    <row r="503" spans="3:10">
      <c r="C503" s="84"/>
      <c r="G503" s="417" t="str">
        <f t="shared" ca="1" si="10"/>
        <v>2.2</v>
      </c>
      <c r="J503" s="418"/>
    </row>
    <row r="504" spans="3:10">
      <c r="C504" s="84"/>
      <c r="G504" s="417" t="str">
        <f t="shared" ca="1" si="10"/>
        <v>2.2</v>
      </c>
      <c r="J504" s="418"/>
    </row>
    <row r="505" spans="3:10">
      <c r="C505" s="84"/>
      <c r="G505" s="417" t="str">
        <f t="shared" ca="1" si="10"/>
        <v>2.2</v>
      </c>
      <c r="J505" s="418"/>
    </row>
    <row r="506" spans="3:10">
      <c r="C506" s="84"/>
      <c r="G506" s="417" t="str">
        <f t="shared" ca="1" si="10"/>
        <v>2.2</v>
      </c>
      <c r="J506" s="418"/>
    </row>
    <row r="507" spans="3:10">
      <c r="C507" s="84"/>
      <c r="G507" s="417" t="str">
        <f t="shared" ca="1" si="10"/>
        <v>2.2</v>
      </c>
      <c r="J507" s="418"/>
    </row>
    <row r="508" spans="3:10">
      <c r="C508" s="84"/>
      <c r="G508" s="417" t="str">
        <f t="shared" ca="1" si="10"/>
        <v>2.2</v>
      </c>
      <c r="J508" s="418"/>
    </row>
    <row r="509" spans="3:10">
      <c r="C509" s="84"/>
      <c r="G509" s="417" t="str">
        <f t="shared" ca="1" si="10"/>
        <v>2.2</v>
      </c>
      <c r="J509" s="418"/>
    </row>
    <row r="510" spans="3:10">
      <c r="C510" s="84"/>
      <c r="G510" s="417" t="str">
        <f t="shared" ca="1" si="10"/>
        <v>2.2</v>
      </c>
      <c r="J510" s="418"/>
    </row>
    <row r="511" spans="3:10">
      <c r="C511" s="84"/>
      <c r="G511" s="417" t="str">
        <f t="shared" ca="1" si="10"/>
        <v>2.2</v>
      </c>
      <c r="J511" s="418"/>
    </row>
    <row r="512" spans="3:10">
      <c r="C512" s="84"/>
      <c r="G512" s="417" t="str">
        <f t="shared" ca="1" si="10"/>
        <v>2.2</v>
      </c>
      <c r="J512" s="418"/>
    </row>
    <row r="513" spans="3:10">
      <c r="C513" s="84"/>
      <c r="G513" s="417" t="str">
        <f t="shared" ca="1" si="10"/>
        <v>2.2</v>
      </c>
      <c r="J513" s="418"/>
    </row>
    <row r="514" spans="3:10">
      <c r="C514" s="84"/>
      <c r="G514" s="417" t="str">
        <f t="shared" ca="1" si="10"/>
        <v>2.2</v>
      </c>
      <c r="J514" s="418"/>
    </row>
    <row r="515" spans="3:10">
      <c r="C515" s="84"/>
      <c r="G515" s="417" t="str">
        <f t="shared" ca="1" si="10"/>
        <v>2.2</v>
      </c>
      <c r="J515" s="418"/>
    </row>
    <row r="516" spans="3:10">
      <c r="C516" s="84"/>
      <c r="G516" s="417" t="str">
        <f t="shared" ca="1" si="10"/>
        <v>2.2</v>
      </c>
      <c r="J516" s="418"/>
    </row>
    <row r="517" spans="3:10">
      <c r="C517" s="84"/>
      <c r="G517" s="417" t="str">
        <f t="shared" ca="1" si="10"/>
        <v>2.2</v>
      </c>
      <c r="J517" s="418"/>
    </row>
    <row r="518" spans="3:10">
      <c r="C518" s="84"/>
      <c r="G518" s="417" t="str">
        <f t="shared" ca="1" si="10"/>
        <v>2.2</v>
      </c>
      <c r="J518" s="418"/>
    </row>
    <row r="519" spans="3:10">
      <c r="C519" s="84"/>
      <c r="G519" s="417" t="str">
        <f t="shared" ca="1" si="10"/>
        <v>2.2</v>
      </c>
      <c r="J519" s="418"/>
    </row>
    <row r="520" spans="3:10">
      <c r="C520" s="84"/>
      <c r="G520" s="417" t="str">
        <f t="shared" ca="1" si="10"/>
        <v>2.2</v>
      </c>
      <c r="J520" s="418"/>
    </row>
    <row r="521" spans="3:10">
      <c r="C521" s="84"/>
      <c r="G521" s="417" t="str">
        <f t="shared" ca="1" si="10"/>
        <v>2.2</v>
      </c>
      <c r="J521" s="418"/>
    </row>
    <row r="522" spans="3:10">
      <c r="C522" s="84"/>
      <c r="G522" s="417" t="str">
        <f t="shared" ca="1" si="10"/>
        <v>2.2</v>
      </c>
      <c r="J522" s="418"/>
    </row>
    <row r="523" spans="3:10">
      <c r="C523" s="84"/>
      <c r="G523" s="417" t="str">
        <f t="shared" ref="G523:G586" ca="1" si="11">IF(ISBLANK(C523),OFFSET(G523,-1,0),IF(ISERR(FIND("/",C523,1)),C523,OFFSET(G523,-1,0)))</f>
        <v>2.2</v>
      </c>
      <c r="J523" s="418"/>
    </row>
    <row r="524" spans="3:10">
      <c r="C524" s="84"/>
      <c r="G524" s="417" t="str">
        <f t="shared" ca="1" si="11"/>
        <v>2.2</v>
      </c>
      <c r="J524" s="418"/>
    </row>
    <row r="525" spans="3:10">
      <c r="C525" s="84"/>
      <c r="G525" s="417" t="str">
        <f t="shared" ca="1" si="11"/>
        <v>2.2</v>
      </c>
      <c r="J525" s="418"/>
    </row>
    <row r="526" spans="3:10">
      <c r="C526" s="84"/>
      <c r="G526" s="417" t="str">
        <f t="shared" ca="1" si="11"/>
        <v>2.2</v>
      </c>
      <c r="J526" s="418"/>
    </row>
    <row r="527" spans="3:10">
      <c r="C527" s="84"/>
      <c r="G527" s="417" t="str">
        <f t="shared" ca="1" si="11"/>
        <v>2.2</v>
      </c>
      <c r="J527" s="418"/>
    </row>
    <row r="528" spans="3:10">
      <c r="C528" s="84"/>
      <c r="G528" s="417" t="str">
        <f t="shared" ca="1" si="11"/>
        <v>2.2</v>
      </c>
      <c r="J528" s="418"/>
    </row>
    <row r="529" spans="3:10">
      <c r="C529" s="84"/>
      <c r="G529" s="417" t="str">
        <f t="shared" ca="1" si="11"/>
        <v>2.2</v>
      </c>
      <c r="J529" s="418"/>
    </row>
    <row r="530" spans="3:10">
      <c r="C530" s="84"/>
      <c r="G530" s="417" t="str">
        <f t="shared" ca="1" si="11"/>
        <v>2.2</v>
      </c>
      <c r="J530" s="418"/>
    </row>
    <row r="531" spans="3:10">
      <c r="C531" s="84"/>
      <c r="G531" s="417" t="str">
        <f t="shared" ca="1" si="11"/>
        <v>2.2</v>
      </c>
      <c r="J531" s="418"/>
    </row>
    <row r="532" spans="3:10">
      <c r="C532" s="84"/>
      <c r="G532" s="417" t="str">
        <f t="shared" ca="1" si="11"/>
        <v>2.2</v>
      </c>
      <c r="J532" s="418"/>
    </row>
    <row r="533" spans="3:10">
      <c r="C533" s="84"/>
      <c r="G533" s="417" t="str">
        <f t="shared" ca="1" si="11"/>
        <v>2.2</v>
      </c>
      <c r="J533" s="418"/>
    </row>
    <row r="534" spans="3:10">
      <c r="C534" s="84"/>
      <c r="G534" s="417" t="str">
        <f t="shared" ca="1" si="11"/>
        <v>2.2</v>
      </c>
      <c r="J534" s="418"/>
    </row>
    <row r="535" spans="3:10">
      <c r="C535" s="84"/>
      <c r="G535" s="417" t="str">
        <f t="shared" ca="1" si="11"/>
        <v>2.2</v>
      </c>
      <c r="J535" s="418"/>
    </row>
    <row r="536" spans="3:10">
      <c r="C536" s="84"/>
      <c r="G536" s="417" t="str">
        <f t="shared" ca="1" si="11"/>
        <v>2.2</v>
      </c>
      <c r="J536" s="418"/>
    </row>
    <row r="537" spans="3:10">
      <c r="C537" s="84"/>
      <c r="G537" s="417" t="str">
        <f t="shared" ca="1" si="11"/>
        <v>2.2</v>
      </c>
      <c r="J537" s="418"/>
    </row>
    <row r="538" spans="3:10">
      <c r="C538" s="84"/>
      <c r="G538" s="417" t="str">
        <f t="shared" ca="1" si="11"/>
        <v>2.2</v>
      </c>
      <c r="J538" s="418"/>
    </row>
    <row r="539" spans="3:10">
      <c r="C539" s="84"/>
      <c r="G539" s="417" t="str">
        <f t="shared" ca="1" si="11"/>
        <v>2.2</v>
      </c>
      <c r="J539" s="418"/>
    </row>
    <row r="540" spans="3:10">
      <c r="C540" s="84"/>
      <c r="G540" s="417" t="str">
        <f t="shared" ca="1" si="11"/>
        <v>2.2</v>
      </c>
      <c r="J540" s="418"/>
    </row>
    <row r="541" spans="3:10">
      <c r="C541" s="84"/>
      <c r="G541" s="417" t="str">
        <f t="shared" ca="1" si="11"/>
        <v>2.2</v>
      </c>
      <c r="J541" s="418"/>
    </row>
    <row r="542" spans="3:10">
      <c r="C542" s="84"/>
      <c r="G542" s="417" t="str">
        <f t="shared" ca="1" si="11"/>
        <v>2.2</v>
      </c>
      <c r="J542" s="418"/>
    </row>
    <row r="543" spans="3:10">
      <c r="C543" s="84"/>
      <c r="G543" s="417" t="str">
        <f t="shared" ca="1" si="11"/>
        <v>2.2</v>
      </c>
      <c r="J543" s="418"/>
    </row>
    <row r="544" spans="3:10">
      <c r="C544" s="84"/>
      <c r="G544" s="417" t="str">
        <f t="shared" ca="1" si="11"/>
        <v>2.2</v>
      </c>
      <c r="J544" s="418"/>
    </row>
    <row r="545" spans="3:10">
      <c r="C545" s="84"/>
      <c r="G545" s="417" t="str">
        <f t="shared" ca="1" si="11"/>
        <v>2.2</v>
      </c>
      <c r="J545" s="418"/>
    </row>
    <row r="546" spans="3:10">
      <c r="C546" s="84"/>
      <c r="G546" s="417" t="str">
        <f t="shared" ca="1" si="11"/>
        <v>2.2</v>
      </c>
      <c r="J546" s="418"/>
    </row>
    <row r="547" spans="3:10">
      <c r="C547" s="84"/>
      <c r="G547" s="417" t="str">
        <f t="shared" ca="1" si="11"/>
        <v>2.2</v>
      </c>
      <c r="J547" s="418"/>
    </row>
    <row r="548" spans="3:10">
      <c r="C548" s="84"/>
      <c r="G548" s="417" t="str">
        <f t="shared" ca="1" si="11"/>
        <v>2.2</v>
      </c>
      <c r="J548" s="418"/>
    </row>
    <row r="549" spans="3:10">
      <c r="C549" s="84"/>
      <c r="G549" s="417" t="str">
        <f t="shared" ca="1" si="11"/>
        <v>2.2</v>
      </c>
      <c r="J549" s="418"/>
    </row>
    <row r="550" spans="3:10">
      <c r="C550" s="84"/>
      <c r="G550" s="417" t="str">
        <f t="shared" ca="1" si="11"/>
        <v>2.2</v>
      </c>
      <c r="J550" s="418"/>
    </row>
    <row r="551" spans="3:10">
      <c r="C551" s="84"/>
      <c r="G551" s="417" t="str">
        <f t="shared" ca="1" si="11"/>
        <v>2.2</v>
      </c>
      <c r="J551" s="418"/>
    </row>
    <row r="552" spans="3:10">
      <c r="C552" s="84"/>
      <c r="G552" s="417" t="str">
        <f t="shared" ca="1" si="11"/>
        <v>2.2</v>
      </c>
      <c r="J552" s="418"/>
    </row>
    <row r="553" spans="3:10">
      <c r="C553" s="84"/>
      <c r="G553" s="417" t="str">
        <f t="shared" ca="1" si="11"/>
        <v>2.2</v>
      </c>
      <c r="J553" s="418"/>
    </row>
    <row r="554" spans="3:10">
      <c r="C554" s="84"/>
      <c r="G554" s="417" t="str">
        <f t="shared" ca="1" si="11"/>
        <v>2.2</v>
      </c>
      <c r="J554" s="418"/>
    </row>
    <row r="555" spans="3:10">
      <c r="C555" s="84"/>
      <c r="G555" s="417" t="str">
        <f t="shared" ca="1" si="11"/>
        <v>2.2</v>
      </c>
      <c r="J555" s="418"/>
    </row>
    <row r="556" spans="3:10">
      <c r="C556" s="84"/>
      <c r="G556" s="417" t="str">
        <f t="shared" ca="1" si="11"/>
        <v>2.2</v>
      </c>
      <c r="J556" s="418"/>
    </row>
    <row r="557" spans="3:10">
      <c r="C557" s="84"/>
      <c r="G557" s="417" t="str">
        <f t="shared" ca="1" si="11"/>
        <v>2.2</v>
      </c>
      <c r="J557" s="418"/>
    </row>
    <row r="558" spans="3:10">
      <c r="C558" s="84"/>
      <c r="G558" s="417" t="str">
        <f t="shared" ca="1" si="11"/>
        <v>2.2</v>
      </c>
      <c r="J558" s="418"/>
    </row>
    <row r="559" spans="3:10">
      <c r="C559" s="84"/>
      <c r="G559" s="417" t="str">
        <f t="shared" ca="1" si="11"/>
        <v>2.2</v>
      </c>
      <c r="J559" s="418"/>
    </row>
    <row r="560" spans="3:10">
      <c r="C560" s="84"/>
      <c r="G560" s="417" t="str">
        <f t="shared" ca="1" si="11"/>
        <v>2.2</v>
      </c>
      <c r="J560" s="418"/>
    </row>
    <row r="561" spans="3:10">
      <c r="C561" s="84"/>
      <c r="G561" s="417" t="str">
        <f t="shared" ca="1" si="11"/>
        <v>2.2</v>
      </c>
      <c r="J561" s="418"/>
    </row>
    <row r="562" spans="3:10">
      <c r="C562" s="84"/>
      <c r="G562" s="417" t="str">
        <f t="shared" ca="1" si="11"/>
        <v>2.2</v>
      </c>
      <c r="J562" s="418"/>
    </row>
    <row r="563" spans="3:10">
      <c r="C563" s="84"/>
      <c r="G563" s="417" t="str">
        <f t="shared" ca="1" si="11"/>
        <v>2.2</v>
      </c>
      <c r="J563" s="418"/>
    </row>
    <row r="564" spans="3:10">
      <c r="C564" s="84"/>
      <c r="G564" s="417" t="str">
        <f t="shared" ca="1" si="11"/>
        <v>2.2</v>
      </c>
      <c r="J564" s="418"/>
    </row>
    <row r="565" spans="3:10">
      <c r="C565" s="84"/>
      <c r="G565" s="417" t="str">
        <f t="shared" ca="1" si="11"/>
        <v>2.2</v>
      </c>
      <c r="J565" s="418"/>
    </row>
    <row r="566" spans="3:10">
      <c r="C566" s="84"/>
      <c r="G566" s="417" t="str">
        <f t="shared" ca="1" si="11"/>
        <v>2.2</v>
      </c>
      <c r="J566" s="418"/>
    </row>
    <row r="567" spans="3:10">
      <c r="C567" s="84"/>
      <c r="G567" s="417" t="str">
        <f t="shared" ca="1" si="11"/>
        <v>2.2</v>
      </c>
      <c r="J567" s="418"/>
    </row>
    <row r="568" spans="3:10">
      <c r="C568" s="84"/>
      <c r="G568" s="417" t="str">
        <f t="shared" ca="1" si="11"/>
        <v>2.2</v>
      </c>
      <c r="J568" s="418"/>
    </row>
    <row r="569" spans="3:10">
      <c r="C569" s="84"/>
      <c r="G569" s="417" t="str">
        <f t="shared" ca="1" si="11"/>
        <v>2.2</v>
      </c>
      <c r="J569" s="418"/>
    </row>
    <row r="570" spans="3:10">
      <c r="C570" s="84"/>
      <c r="G570" s="417" t="str">
        <f t="shared" ca="1" si="11"/>
        <v>2.2</v>
      </c>
      <c r="J570" s="418"/>
    </row>
    <row r="571" spans="3:10">
      <c r="C571" s="84"/>
      <c r="G571" s="417" t="str">
        <f t="shared" ca="1" si="11"/>
        <v>2.2</v>
      </c>
      <c r="J571" s="418"/>
    </row>
    <row r="572" spans="3:10">
      <c r="C572" s="84"/>
      <c r="G572" s="417" t="str">
        <f t="shared" ca="1" si="11"/>
        <v>2.2</v>
      </c>
      <c r="J572" s="418"/>
    </row>
    <row r="573" spans="3:10">
      <c r="C573" s="84"/>
      <c r="G573" s="417" t="str">
        <f t="shared" ca="1" si="11"/>
        <v>2.2</v>
      </c>
      <c r="J573" s="418"/>
    </row>
    <row r="574" spans="3:10">
      <c r="C574" s="84"/>
      <c r="G574" s="417" t="str">
        <f t="shared" ca="1" si="11"/>
        <v>2.2</v>
      </c>
      <c r="J574" s="418"/>
    </row>
    <row r="575" spans="3:10">
      <c r="C575" s="84"/>
      <c r="G575" s="417" t="str">
        <f t="shared" ca="1" si="11"/>
        <v>2.2</v>
      </c>
      <c r="J575" s="418"/>
    </row>
    <row r="576" spans="3:10">
      <c r="C576" s="84"/>
      <c r="G576" s="417" t="str">
        <f t="shared" ca="1" si="11"/>
        <v>2.2</v>
      </c>
      <c r="J576" s="418"/>
    </row>
    <row r="577" spans="3:10">
      <c r="C577" s="84"/>
      <c r="G577" s="417" t="str">
        <f t="shared" ca="1" si="11"/>
        <v>2.2</v>
      </c>
      <c r="J577" s="418"/>
    </row>
    <row r="578" spans="3:10">
      <c r="C578" s="84"/>
      <c r="G578" s="417" t="str">
        <f t="shared" ca="1" si="11"/>
        <v>2.2</v>
      </c>
      <c r="J578" s="418"/>
    </row>
    <row r="579" spans="3:10">
      <c r="C579" s="84"/>
      <c r="G579" s="417" t="str">
        <f t="shared" ca="1" si="11"/>
        <v>2.2</v>
      </c>
      <c r="J579" s="418"/>
    </row>
    <row r="580" spans="3:10">
      <c r="C580" s="84"/>
      <c r="G580" s="417" t="str">
        <f t="shared" ca="1" si="11"/>
        <v>2.2</v>
      </c>
      <c r="J580" s="418"/>
    </row>
    <row r="581" spans="3:10">
      <c r="C581" s="84"/>
      <c r="G581" s="417" t="str">
        <f t="shared" ca="1" si="11"/>
        <v>2.2</v>
      </c>
      <c r="J581" s="418"/>
    </row>
    <row r="582" spans="3:10">
      <c r="C582" s="84"/>
      <c r="G582" s="417" t="str">
        <f t="shared" ca="1" si="11"/>
        <v>2.2</v>
      </c>
      <c r="J582" s="418"/>
    </row>
    <row r="583" spans="3:10">
      <c r="C583" s="84"/>
      <c r="G583" s="417" t="str">
        <f t="shared" ca="1" si="11"/>
        <v>2.2</v>
      </c>
      <c r="J583" s="418"/>
    </row>
    <row r="584" spans="3:10">
      <c r="C584" s="84"/>
      <c r="G584" s="417" t="str">
        <f t="shared" ca="1" si="11"/>
        <v>2.2</v>
      </c>
      <c r="J584" s="418"/>
    </row>
    <row r="585" spans="3:10">
      <c r="C585" s="84"/>
      <c r="G585" s="417" t="str">
        <f t="shared" ca="1" si="11"/>
        <v>2.2</v>
      </c>
      <c r="J585" s="418"/>
    </row>
    <row r="586" spans="3:10">
      <c r="C586" s="84"/>
      <c r="G586" s="417" t="str">
        <f t="shared" ca="1" si="11"/>
        <v>2.2</v>
      </c>
      <c r="J586" s="418"/>
    </row>
    <row r="587" spans="3:10">
      <c r="C587" s="84"/>
      <c r="G587" s="417" t="str">
        <f t="shared" ref="G587:G615" ca="1" si="12">IF(ISBLANK(C587),OFFSET(G587,-1,0),IF(ISERR(FIND("/",C587,1)),C587,OFFSET(G587,-1,0)))</f>
        <v>2.2</v>
      </c>
      <c r="J587" s="418"/>
    </row>
    <row r="588" spans="3:10">
      <c r="C588" s="84"/>
      <c r="G588" s="417" t="str">
        <f t="shared" ca="1" si="12"/>
        <v>2.2</v>
      </c>
      <c r="J588" s="418"/>
    </row>
    <row r="589" spans="3:10">
      <c r="C589" s="84"/>
      <c r="G589" s="417" t="str">
        <f t="shared" ca="1" si="12"/>
        <v>2.2</v>
      </c>
      <c r="J589" s="418"/>
    </row>
    <row r="590" spans="3:10">
      <c r="C590" s="84"/>
      <c r="G590" s="417" t="str">
        <f t="shared" ca="1" si="12"/>
        <v>2.2</v>
      </c>
      <c r="J590" s="418"/>
    </row>
    <row r="591" spans="3:10">
      <c r="C591" s="84"/>
      <c r="G591" s="417" t="str">
        <f t="shared" ca="1" si="12"/>
        <v>2.2</v>
      </c>
      <c r="J591" s="418"/>
    </row>
    <row r="592" spans="3:10">
      <c r="C592" s="84"/>
      <c r="G592" s="417" t="str">
        <f t="shared" ca="1" si="12"/>
        <v>2.2</v>
      </c>
      <c r="J592" s="418"/>
    </row>
    <row r="593" spans="3:10">
      <c r="C593" s="84"/>
      <c r="G593" s="417" t="str">
        <f t="shared" ca="1" si="12"/>
        <v>2.2</v>
      </c>
      <c r="J593" s="418"/>
    </row>
    <row r="594" spans="3:10">
      <c r="C594" s="84"/>
      <c r="G594" s="417" t="str">
        <f t="shared" ca="1" si="12"/>
        <v>2.2</v>
      </c>
      <c r="J594" s="418"/>
    </row>
    <row r="595" spans="3:10">
      <c r="C595" s="84"/>
      <c r="G595" s="417" t="str">
        <f t="shared" ca="1" si="12"/>
        <v>2.2</v>
      </c>
      <c r="J595" s="418"/>
    </row>
    <row r="596" spans="3:10">
      <c r="C596" s="84"/>
      <c r="G596" s="417" t="str">
        <f t="shared" ca="1" si="12"/>
        <v>2.2</v>
      </c>
      <c r="J596" s="418"/>
    </row>
    <row r="597" spans="3:10">
      <c r="C597" s="84"/>
      <c r="G597" s="417" t="str">
        <f t="shared" ca="1" si="12"/>
        <v>2.2</v>
      </c>
      <c r="J597" s="418"/>
    </row>
    <row r="598" spans="3:10">
      <c r="C598" s="84"/>
      <c r="G598" s="417" t="str">
        <f t="shared" ca="1" si="12"/>
        <v>2.2</v>
      </c>
      <c r="J598" s="418"/>
    </row>
    <row r="599" spans="3:10">
      <c r="C599" s="84"/>
      <c r="G599" s="417" t="str">
        <f t="shared" ca="1" si="12"/>
        <v>2.2</v>
      </c>
      <c r="J599" s="418"/>
    </row>
    <row r="600" spans="3:10">
      <c r="C600" s="84"/>
      <c r="G600" s="417" t="str">
        <f t="shared" ca="1" si="12"/>
        <v>2.2</v>
      </c>
      <c r="J600" s="418"/>
    </row>
    <row r="601" spans="3:10">
      <c r="C601" s="84"/>
      <c r="G601" s="417" t="str">
        <f t="shared" ca="1" si="12"/>
        <v>2.2</v>
      </c>
      <c r="J601" s="418"/>
    </row>
    <row r="602" spans="3:10">
      <c r="C602" s="84"/>
      <c r="G602" s="417" t="str">
        <f t="shared" ca="1" si="12"/>
        <v>2.2</v>
      </c>
      <c r="J602" s="418"/>
    </row>
    <row r="603" spans="3:10">
      <c r="C603" s="84"/>
      <c r="G603" s="417" t="str">
        <f t="shared" ca="1" si="12"/>
        <v>2.2</v>
      </c>
      <c r="J603" s="418"/>
    </row>
    <row r="604" spans="3:10">
      <c r="C604" s="84"/>
      <c r="G604" s="417" t="str">
        <f t="shared" ca="1" si="12"/>
        <v>2.2</v>
      </c>
      <c r="J604" s="418"/>
    </row>
    <row r="605" spans="3:10">
      <c r="C605" s="84"/>
      <c r="G605" s="417" t="str">
        <f t="shared" ca="1" si="12"/>
        <v>2.2</v>
      </c>
      <c r="J605" s="418"/>
    </row>
    <row r="606" spans="3:10">
      <c r="C606" s="84"/>
      <c r="G606" s="417" t="str">
        <f t="shared" ca="1" si="12"/>
        <v>2.2</v>
      </c>
      <c r="J606" s="418"/>
    </row>
    <row r="607" spans="3:10">
      <c r="C607" s="84"/>
      <c r="G607" s="417" t="str">
        <f t="shared" ca="1" si="12"/>
        <v>2.2</v>
      </c>
      <c r="J607" s="418"/>
    </row>
    <row r="608" spans="3:10">
      <c r="C608" s="84"/>
      <c r="G608" s="417" t="str">
        <f t="shared" ca="1" si="12"/>
        <v>2.2</v>
      </c>
      <c r="J608" s="418"/>
    </row>
    <row r="609" spans="3:10">
      <c r="C609" s="84"/>
      <c r="G609" s="417" t="str">
        <f t="shared" ca="1" si="12"/>
        <v>2.2</v>
      </c>
      <c r="J609" s="418"/>
    </row>
    <row r="610" spans="3:10">
      <c r="C610" s="84"/>
      <c r="G610" s="417" t="str">
        <f t="shared" ca="1" si="12"/>
        <v>2.2</v>
      </c>
      <c r="J610" s="418"/>
    </row>
    <row r="611" spans="3:10">
      <c r="C611" s="84"/>
      <c r="G611" s="417" t="str">
        <f t="shared" ca="1" si="12"/>
        <v>2.2</v>
      </c>
      <c r="J611" s="418"/>
    </row>
    <row r="612" spans="3:10">
      <c r="C612" s="84"/>
      <c r="G612" s="417" t="str">
        <f t="shared" ca="1" si="12"/>
        <v>2.2</v>
      </c>
      <c r="J612" s="418"/>
    </row>
    <row r="613" spans="3:10">
      <c r="C613" s="84"/>
      <c r="G613" s="417" t="str">
        <f t="shared" ca="1" si="12"/>
        <v>2.2</v>
      </c>
      <c r="J613" s="418"/>
    </row>
    <row r="614" spans="3:10">
      <c r="C614" s="84"/>
      <c r="G614" s="417" t="str">
        <f t="shared" ca="1" si="12"/>
        <v>2.2</v>
      </c>
      <c r="J614" s="418"/>
    </row>
    <row r="615" spans="3:10">
      <c r="C615" s="84"/>
      <c r="G615" s="417" t="str">
        <f t="shared" ca="1" si="12"/>
        <v>2.2</v>
      </c>
      <c r="J615" s="418"/>
    </row>
    <row r="616" spans="3:10">
      <c r="C616" s="84"/>
      <c r="J616" s="418"/>
    </row>
    <row r="617" spans="3:10">
      <c r="J617" s="418"/>
    </row>
  </sheetData>
  <sheetProtection formatCells="0"/>
  <customSheetViews>
    <customSheetView guid="{E5D99FF3-C22B-41B8-A40B-5D821532B165}" showPageBreaks="1" fitToPage="1" printArea="1" hiddenColumns="1" state="hidden" view="pageBreakPreview">
      <selection activeCell="E20" sqref="E20"/>
      <pageMargins left="0.75" right="0.75" top="1" bottom="1" header="0.5" footer="0.5"/>
      <pageSetup scale="77" fitToHeight="0" orientation="portrait" horizontalDpi="1200" verticalDpi="1200" r:id="rId1"/>
      <headerFooter alignWithMargins="0"/>
    </customSheetView>
  </customSheetViews>
  <mergeCells count="17">
    <mergeCell ref="C5:H5"/>
    <mergeCell ref="C7:F7"/>
    <mergeCell ref="D2:H4"/>
    <mergeCell ref="F10:F11"/>
    <mergeCell ref="H10:H11"/>
    <mergeCell ref="E13:E14"/>
    <mergeCell ref="F12:F14"/>
    <mergeCell ref="F15:F17"/>
    <mergeCell ref="H12:H14"/>
    <mergeCell ref="H15:H17"/>
    <mergeCell ref="D33:D34"/>
    <mergeCell ref="E28:E31"/>
    <mergeCell ref="F28:F31"/>
    <mergeCell ref="H28:H31"/>
    <mergeCell ref="D36:D38"/>
    <mergeCell ref="F33:F39"/>
    <mergeCell ref="H33:H39"/>
  </mergeCells>
  <pageMargins left="0.75" right="0.75" top="1" bottom="1" header="0.5" footer="0.5"/>
  <pageSetup scale="76" fitToHeight="0" orientation="portrait" horizontalDpi="1200" verticalDpi="1200" r:id="rId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General</vt:lpstr>
      <vt:lpstr>Summary</vt:lpstr>
      <vt:lpstr>API 2000 Calculation</vt:lpstr>
      <vt:lpstr>Inlet Blanketting Failure</vt:lpstr>
      <vt:lpstr>Steam Coil Rupture</vt:lpstr>
      <vt:lpstr>Drain Pipe Rupture</vt:lpstr>
      <vt:lpstr>Calculation Basis</vt:lpstr>
      <vt:lpstr>References</vt:lpstr>
      <vt:lpstr>Program Revisions</vt:lpstr>
      <vt:lpstr>CurrRev</vt:lpstr>
      <vt:lpstr>'API 2000 Calculation'!Print_Area</vt:lpstr>
      <vt:lpstr>'Calculation Basis'!Print_Area</vt:lpstr>
      <vt:lpstr>'Drain Pipe Rupture'!Print_Area</vt:lpstr>
      <vt:lpstr>General!Print_Area</vt:lpstr>
      <vt:lpstr>'Inlet Blanketting Failure'!Print_Area</vt:lpstr>
      <vt:lpstr>'Program Revisions'!Print_Area</vt:lpstr>
      <vt:lpstr>References!Print_Area</vt:lpstr>
      <vt:lpstr>'Steam Coil Rupture'!Print_Area</vt:lpstr>
      <vt:lpstr>Summary!Print_Area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Tank Vent Sizing Calculation Spreadsheet Ver. 1.0</dc:title>
  <dc:creator>HKrishnamoorthy</dc:creator>
  <cp:lastModifiedBy>Nick Brown</cp:lastModifiedBy>
  <cp:lastPrinted>2014-05-01T20:48:00Z</cp:lastPrinted>
  <dcterms:created xsi:type="dcterms:W3CDTF">2010-01-30T03:44:43Z</dcterms:created>
  <dcterms:modified xsi:type="dcterms:W3CDTF">2016-04-24T15:38:13Z</dcterms:modified>
</cp:coreProperties>
</file>