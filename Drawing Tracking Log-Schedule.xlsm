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workbookProtection workbookPassword="CD43" lockStructure="1"/>
  <bookViews>
    <workbookView xWindow="19185" yWindow="-15" windowWidth="19230" windowHeight="11715" tabRatio="874"/>
  </bookViews>
  <sheets>
    <sheet name="Schedule" sheetId="11" r:id="rId1"/>
    <sheet name="PFDs" sheetId="12" state="veryHidden" r:id="rId2"/>
    <sheet name="P&amp;IDs" sheetId="98" state="veryHidden" r:id="rId3"/>
  </sheets>
  <functionGroups builtInGroupCount="17"/>
  <definedNames>
    <definedName name="_xlnm._FilterDatabase" localSheetId="2" hidden="1">'P&amp;IDs'!$A$2:$AB$2</definedName>
    <definedName name="_xlnm._FilterDatabase" localSheetId="1" hidden="1">PFDs!$A$2:$W$2</definedName>
    <definedName name="COLB">Schedule!$B$3, Schedule!$B$7, Schedule!$B$11, Schedule!$B$15, Schedule!$B$19, Schedule!$B$23, Schedule!$B$27, Schedule!$B$31, Schedule!$B$35, Schedule!$B$39, Schedule!$B$43, Schedule!$B$47, Schedule!$B$51, Schedule!$B$55, Schedule!$B$59, Schedule!$B$63, Schedule!$B$67, Schedule!$B$71, Schedule!$B$75, Schedule!$B$79, Schedule!$B$83, Schedule!$B$87</definedName>
    <definedName name="drawingRows">PFDs!$B$3:$B$141</definedName>
    <definedName name="DWGTYPE">Schedule!$C$88,Schedule!$C$87,Schedule!$C$84,Schedule!$C$83,Schedule!$C$80,Schedule!$C$79,Schedule!$C$76,Schedule!$C$75,Schedule!$C$72,Schedule!$C$71,Schedule!$C$68,Schedule!$C$67,Schedule!$C$64,Schedule!$C$63,Schedule!$C$60,Schedule!$C$59,Schedule!$C$56,Schedule!$C$55,Schedule!$C$52,Schedule!$C$51,Schedule!$C$48,Schedule!$C$47,Schedule!$C$44,Schedule!$C$43,Schedule!$C$40,Schedule!$C$39,Schedule!$C$36,Schedule!$C$35,Schedule!$C$32,Schedule!$C$31,Schedule!$C$28,Schedule!$C$27,Schedule!$C$24,Schedule!$C$23,Schedule!$C$20,Schedule!$C$19,Schedule!$C$16,Schedule!$C$15,Schedule!$C$12,Schedule!$C$11,Schedule!$C$8,Schedule!$C$7,Schedule!$C$4</definedName>
    <definedName name="newDWG">Schedule!$AA$3:$AB$90</definedName>
    <definedName name="oldDWG">Schedule!$AC$3:$AD$90</definedName>
    <definedName name="_xlnm.Print_Area" localSheetId="2">'P&amp;IDs'!$B$1:$AF$235</definedName>
    <definedName name="_xlnm.Print_Area" localSheetId="1">PFDs!$B$1:$AD$143</definedName>
    <definedName name="_xlnm.Print_Area" localSheetId="0">Schedule!$A$1:$N$100</definedName>
    <definedName name="_xlnm.Print_Titles" localSheetId="2">'P&amp;IDs'!$1:$2</definedName>
    <definedName name="_xlnm.Print_Titles" localSheetId="1">PFDs!$1:$2</definedName>
    <definedName name="_xlnm.Print_Titles" localSheetId="0">Schedule!$1:$2</definedName>
    <definedName name="PROJNUM">Schedule!$AF$3:$AF$90</definedName>
    <definedName name="summAnchor" localSheetId="1">PFDs!$BH$349</definedName>
    <definedName name="summAnchor2" localSheetId="2">'P&amp;IDs'!$BF$999:$BK$1000</definedName>
    <definedName name="ttlPFDS" localSheetId="1">PFDs!$D$142</definedName>
    <definedName name="ttlPFDS">#REF!</definedName>
    <definedName name="ttlPIDs" localSheetId="2">'P&amp;IDs'!$D$234</definedName>
    <definedName name="unlck">#REF!</definedName>
    <definedName name="unlck2">#REF!</definedName>
    <definedName name="unlckPFD">PFDs!$B$3</definedName>
    <definedName name="unlckPID">'P&amp;IDs'!$B$3</definedName>
  </definedNames>
  <calcPr calcId="145621" iterate="1" iterateDelta="4.0000000000000001E-3" calcOnSave="0"/>
</workbook>
</file>

<file path=xl/calcChain.xml><?xml version="1.0" encoding="utf-8"?>
<calcChain xmlns="http://schemas.openxmlformats.org/spreadsheetml/2006/main">
  <c r="BJ1003" i="98" l="1"/>
  <c r="BJ1004" i="98"/>
  <c r="BJ1005" i="98"/>
  <c r="BJ1006" i="98"/>
  <c r="BJ1007" i="98"/>
  <c r="BJ1008" i="98"/>
  <c r="BJ1009" i="98"/>
  <c r="BJ1010" i="98"/>
  <c r="BJ1011" i="98"/>
  <c r="BJ1012" i="98"/>
  <c r="BJ1013" i="98"/>
  <c r="BJ1014" i="98"/>
  <c r="BJ1015" i="98"/>
  <c r="BJ1016" i="98"/>
  <c r="BJ1017" i="98"/>
  <c r="BJ1018" i="98"/>
  <c r="BJ1019" i="98"/>
  <c r="BJ1020" i="98"/>
  <c r="BJ1021" i="98"/>
  <c r="BJ1022" i="98"/>
  <c r="BJ1023" i="98"/>
  <c r="BJ1024" i="98"/>
  <c r="BJ1025" i="98"/>
  <c r="BJ1026" i="98"/>
  <c r="BJ1027" i="98"/>
  <c r="BJ1028" i="98"/>
  <c r="BJ1029" i="98"/>
  <c r="BJ1030" i="98"/>
  <c r="BJ1031" i="98"/>
  <c r="BJ1032" i="98"/>
  <c r="BJ1033" i="98"/>
  <c r="BJ1034" i="98"/>
  <c r="BJ1035" i="98"/>
  <c r="BJ1036" i="98"/>
  <c r="BJ1037" i="98"/>
  <c r="BJ1038" i="98"/>
  <c r="BJ1039" i="98"/>
  <c r="BJ1040" i="98"/>
  <c r="BJ1041" i="98"/>
  <c r="BJ1042" i="98"/>
  <c r="BJ1043" i="98"/>
  <c r="BJ1044" i="98"/>
  <c r="BJ1045" i="98"/>
  <c r="BJ1046" i="98"/>
  <c r="BJ1047" i="98"/>
  <c r="BJ1048" i="98"/>
  <c r="BJ1049" i="98"/>
  <c r="BJ1050" i="98"/>
  <c r="BJ1051" i="98"/>
  <c r="BJ1052" i="98"/>
  <c r="BJ1053" i="98"/>
  <c r="BJ1054" i="98"/>
  <c r="BJ1055" i="98"/>
  <c r="BJ1056" i="98"/>
  <c r="BJ1057" i="98"/>
  <c r="BJ1058" i="98"/>
  <c r="BJ1059" i="98"/>
  <c r="BJ1060" i="98"/>
  <c r="BJ1061" i="98"/>
  <c r="BJ1062" i="98"/>
  <c r="BJ1063" i="98"/>
  <c r="BJ1064" i="98"/>
  <c r="BJ1065" i="98"/>
  <c r="BJ1066" i="98"/>
  <c r="BJ1067" i="98"/>
  <c r="BJ1068" i="98"/>
  <c r="BJ1069" i="98"/>
  <c r="BJ1070" i="98"/>
  <c r="BJ1071" i="98"/>
  <c r="BJ1072" i="98"/>
  <c r="BJ1073" i="98"/>
  <c r="BJ1074" i="98"/>
  <c r="BJ1075" i="98"/>
  <c r="BJ1076" i="98"/>
  <c r="BJ1077" i="98"/>
  <c r="BJ1078" i="98"/>
  <c r="BJ1079" i="98"/>
  <c r="BJ1080" i="98"/>
  <c r="BJ1081" i="98"/>
  <c r="BJ1082" i="98"/>
  <c r="BJ1083" i="98"/>
  <c r="BJ1084" i="98"/>
  <c r="BJ1085" i="98"/>
  <c r="BJ1086" i="98"/>
  <c r="BJ1087" i="98"/>
  <c r="BJ1088" i="98"/>
  <c r="BJ1089" i="98"/>
  <c r="BJ1090" i="98"/>
  <c r="BJ1091" i="98"/>
  <c r="BJ1092" i="98"/>
  <c r="BJ1093" i="98"/>
  <c r="BJ1094" i="98"/>
  <c r="BJ1095" i="98"/>
  <c r="BJ1096" i="98"/>
  <c r="BJ1097" i="98"/>
  <c r="BJ1098" i="98"/>
  <c r="BJ1099" i="98"/>
  <c r="BJ1100" i="98"/>
  <c r="BJ1101" i="98"/>
  <c r="BJ1102" i="98"/>
  <c r="BJ1103" i="98"/>
  <c r="BJ1104" i="98"/>
  <c r="BJ1105" i="98"/>
  <c r="BJ1106" i="98"/>
  <c r="BJ1107" i="98"/>
  <c r="BJ1108" i="98"/>
  <c r="BJ1109" i="98"/>
  <c r="BJ1110" i="98"/>
  <c r="BJ1111" i="98"/>
  <c r="BJ1112" i="98"/>
  <c r="BJ1113" i="98"/>
  <c r="BJ1114" i="98"/>
  <c r="BJ1115" i="98"/>
  <c r="BJ1116" i="98"/>
  <c r="BJ1117" i="98"/>
  <c r="BJ1118" i="98"/>
  <c r="BJ1119" i="98"/>
  <c r="BJ1120" i="98"/>
  <c r="BJ1121" i="98"/>
  <c r="BJ1122" i="98"/>
  <c r="BJ1123" i="98"/>
  <c r="BJ1124" i="98"/>
  <c r="BJ1125" i="98"/>
  <c r="BJ1126" i="98"/>
  <c r="BJ1127" i="98"/>
  <c r="BJ1128" i="98"/>
  <c r="BJ1129" i="98"/>
  <c r="BJ1130" i="98"/>
  <c r="BJ1131" i="98"/>
  <c r="BJ1132" i="98"/>
  <c r="BJ1133" i="98"/>
  <c r="BJ1134" i="98"/>
  <c r="BJ1135" i="98"/>
  <c r="BJ1136" i="98"/>
  <c r="BJ1137" i="98"/>
  <c r="BJ1138" i="98"/>
  <c r="BJ1139" i="98"/>
  <c r="BJ1140" i="98"/>
  <c r="BJ1141" i="98"/>
  <c r="BJ1142" i="98"/>
  <c r="BJ1143" i="98"/>
  <c r="BJ1144" i="98"/>
  <c r="BJ1145" i="98"/>
  <c r="BJ1146" i="98"/>
  <c r="BJ1147" i="98"/>
  <c r="BJ1148" i="98"/>
  <c r="BJ1149" i="98"/>
  <c r="BJ1150" i="98"/>
  <c r="BJ1151" i="98"/>
  <c r="BJ1152" i="98"/>
  <c r="BJ1153" i="98"/>
  <c r="BJ1154" i="98"/>
  <c r="BJ1155" i="98"/>
  <c r="BJ1156" i="98"/>
  <c r="BJ1157" i="98"/>
  <c r="BJ1158" i="98"/>
  <c r="BJ1159" i="98"/>
  <c r="BJ1160" i="98"/>
  <c r="BJ1161" i="98"/>
  <c r="BJ1162" i="98"/>
  <c r="BJ1163" i="98"/>
  <c r="BJ1164" i="98"/>
  <c r="BJ1165" i="98"/>
  <c r="BJ1166" i="98"/>
  <c r="BJ1167" i="98"/>
  <c r="BJ1168" i="98"/>
  <c r="BJ1169" i="98"/>
  <c r="BJ1170" i="98"/>
  <c r="BJ1171" i="98"/>
  <c r="BJ1172" i="98"/>
  <c r="BJ1173" i="98"/>
  <c r="BJ1174" i="98"/>
  <c r="BJ1175" i="98"/>
  <c r="BJ1176" i="98"/>
  <c r="BJ1177" i="98"/>
  <c r="BJ1178" i="98"/>
  <c r="BJ1179" i="98"/>
  <c r="BJ1180" i="98"/>
  <c r="BJ1181" i="98"/>
  <c r="BJ1182" i="98"/>
  <c r="BJ1183" i="98"/>
  <c r="BJ1184" i="98"/>
  <c r="BJ1185" i="98"/>
  <c r="BJ1186" i="98"/>
  <c r="BJ1187" i="98"/>
  <c r="BJ1188" i="98"/>
  <c r="BJ1189" i="98"/>
  <c r="BJ1190" i="98"/>
  <c r="BJ1191" i="98"/>
  <c r="BJ1192" i="98"/>
  <c r="BJ1193" i="98"/>
  <c r="BJ1194" i="98"/>
  <c r="BJ1195" i="98"/>
  <c r="BJ1196" i="98"/>
  <c r="BJ1197" i="98"/>
  <c r="BJ1198" i="98"/>
  <c r="BJ1199" i="98"/>
  <c r="BJ1200" i="98"/>
  <c r="BJ1201" i="98"/>
  <c r="BJ1202" i="98"/>
  <c r="BJ1203" i="98"/>
  <c r="BJ1204" i="98"/>
  <c r="BJ1205" i="98"/>
  <c r="BJ1206" i="98"/>
  <c r="BJ1207" i="98"/>
  <c r="BJ1208" i="98"/>
  <c r="BJ1209" i="98"/>
  <c r="BJ1210" i="98"/>
  <c r="BJ1211" i="98"/>
  <c r="BJ1212" i="98"/>
  <c r="BJ1213" i="98"/>
  <c r="BJ1214" i="98"/>
  <c r="BJ1215" i="98"/>
  <c r="BJ1216" i="98"/>
  <c r="BJ1217" i="98"/>
  <c r="BJ1218" i="98"/>
  <c r="BJ1219" i="98"/>
  <c r="BJ1220" i="98"/>
  <c r="BJ1221" i="98"/>
  <c r="BJ1222" i="98"/>
  <c r="BJ1223" i="98"/>
  <c r="BJ1224" i="98"/>
  <c r="BJ1225" i="98"/>
  <c r="BJ1226" i="98"/>
  <c r="BJ1227" i="98"/>
  <c r="BJ1228" i="98"/>
  <c r="BJ1229" i="98"/>
  <c r="BJ1230" i="98"/>
  <c r="BJ1231" i="98"/>
  <c r="BJ1232" i="98"/>
  <c r="BJ1233" i="98"/>
  <c r="BI1003" i="98"/>
  <c r="BI1004" i="98"/>
  <c r="BI1005" i="98"/>
  <c r="BI1006" i="98"/>
  <c r="BI1007" i="98"/>
  <c r="BI1008" i="98"/>
  <c r="BI1009" i="98"/>
  <c r="BI1010" i="98"/>
  <c r="BI1011" i="98"/>
  <c r="BI1012" i="98"/>
  <c r="BI1013" i="98"/>
  <c r="BI1014" i="98"/>
  <c r="BI1015" i="98"/>
  <c r="BI1016" i="98"/>
  <c r="BI1017" i="98"/>
  <c r="BI1018" i="98"/>
  <c r="BI1019" i="98"/>
  <c r="BI1020" i="98"/>
  <c r="BI1021" i="98"/>
  <c r="BI1022" i="98"/>
  <c r="BI1023" i="98"/>
  <c r="BI1024" i="98"/>
  <c r="BI1025" i="98"/>
  <c r="BI1026" i="98"/>
  <c r="BI1027" i="98"/>
  <c r="BI1028" i="98"/>
  <c r="BI1029" i="98"/>
  <c r="BI1030" i="98"/>
  <c r="BI1031" i="98"/>
  <c r="BI1032" i="98"/>
  <c r="BI1033" i="98"/>
  <c r="BI1034" i="98"/>
  <c r="BI1035" i="98"/>
  <c r="BI1036" i="98"/>
  <c r="BI1037" i="98"/>
  <c r="BI1038" i="98"/>
  <c r="BI1039" i="98"/>
  <c r="BI1040" i="98"/>
  <c r="BI1041" i="98"/>
  <c r="BI1042" i="98"/>
  <c r="BI1043" i="98"/>
  <c r="BI1044" i="98"/>
  <c r="BI1045" i="98"/>
  <c r="BI1046" i="98"/>
  <c r="BI1047" i="98"/>
  <c r="BI1048" i="98"/>
  <c r="BI1049" i="98"/>
  <c r="BI1050" i="98"/>
  <c r="BI1051" i="98"/>
  <c r="BI1052" i="98"/>
  <c r="BI1053" i="98"/>
  <c r="BI1054" i="98"/>
  <c r="BI1055" i="98"/>
  <c r="BI1056" i="98"/>
  <c r="BI1057" i="98"/>
  <c r="BI1058" i="98"/>
  <c r="BI1059" i="98"/>
  <c r="BI1060" i="98"/>
  <c r="BI1061" i="98"/>
  <c r="BI1062" i="98"/>
  <c r="BI1063" i="98"/>
  <c r="BI1064" i="98"/>
  <c r="BI1065" i="98"/>
  <c r="BI1066" i="98"/>
  <c r="BI1067" i="98"/>
  <c r="BI1068" i="98"/>
  <c r="BI1069" i="98"/>
  <c r="BI1070" i="98"/>
  <c r="BI1071" i="98"/>
  <c r="BI1072" i="98"/>
  <c r="BI1073" i="98"/>
  <c r="BI1074" i="98"/>
  <c r="BI1075" i="98"/>
  <c r="BI1076" i="98"/>
  <c r="BI1077" i="98"/>
  <c r="BI1078" i="98"/>
  <c r="BI1079" i="98"/>
  <c r="BI1080" i="98"/>
  <c r="BI1081" i="98"/>
  <c r="BI1082" i="98"/>
  <c r="BI1083" i="98"/>
  <c r="BI1084" i="98"/>
  <c r="BI1085" i="98"/>
  <c r="BI1086" i="98"/>
  <c r="BI1087" i="98"/>
  <c r="BI1088" i="98"/>
  <c r="BI1089" i="98"/>
  <c r="BI1090" i="98"/>
  <c r="BI1091" i="98"/>
  <c r="BI1092" i="98"/>
  <c r="BI1093" i="98"/>
  <c r="BI1094" i="98"/>
  <c r="BI1095" i="98"/>
  <c r="BI1096" i="98"/>
  <c r="BI1097" i="98"/>
  <c r="BI1098" i="98"/>
  <c r="BI1099" i="98"/>
  <c r="BI1100" i="98"/>
  <c r="BI1101" i="98"/>
  <c r="BI1102" i="98"/>
  <c r="BI1103" i="98"/>
  <c r="BI1104" i="98"/>
  <c r="BI1105" i="98"/>
  <c r="BI1106" i="98"/>
  <c r="BI1107" i="98"/>
  <c r="BI1108" i="98"/>
  <c r="BI1109" i="98"/>
  <c r="BI1110" i="98"/>
  <c r="BI1111" i="98"/>
  <c r="BI1112" i="98"/>
  <c r="BI1113" i="98"/>
  <c r="BI1114" i="98"/>
  <c r="BI1115" i="98"/>
  <c r="BI1116" i="98"/>
  <c r="BI1117" i="98"/>
  <c r="BI1118" i="98"/>
  <c r="BI1119" i="98"/>
  <c r="BI1120" i="98"/>
  <c r="BI1121" i="98"/>
  <c r="BI1122" i="98"/>
  <c r="BI1123" i="98"/>
  <c r="BI1124" i="98"/>
  <c r="BI1125" i="98"/>
  <c r="BI1126" i="98"/>
  <c r="BI1127" i="98"/>
  <c r="BI1128" i="98"/>
  <c r="BI1129" i="98"/>
  <c r="BI1130" i="98"/>
  <c r="BI1131" i="98"/>
  <c r="BI1132" i="98"/>
  <c r="BI1133" i="98"/>
  <c r="BI1134" i="98"/>
  <c r="BI1135" i="98"/>
  <c r="BI1136" i="98"/>
  <c r="BI1137" i="98"/>
  <c r="BI1138" i="98"/>
  <c r="BI1139" i="98"/>
  <c r="BI1140" i="98"/>
  <c r="BI1141" i="98"/>
  <c r="BI1142" i="98"/>
  <c r="BI1143" i="98"/>
  <c r="BI1144" i="98"/>
  <c r="BI1145" i="98"/>
  <c r="BI1146" i="98"/>
  <c r="BI1147" i="98"/>
  <c r="BI1148" i="98"/>
  <c r="BI1149" i="98"/>
  <c r="BI1150" i="98"/>
  <c r="BI1151" i="98"/>
  <c r="BI1152" i="98"/>
  <c r="BI1153" i="98"/>
  <c r="BI1154" i="98"/>
  <c r="BI1155" i="98"/>
  <c r="BI1156" i="98"/>
  <c r="BI1157" i="98"/>
  <c r="BI1158" i="98"/>
  <c r="BI1159" i="98"/>
  <c r="BI1160" i="98"/>
  <c r="BI1161" i="98"/>
  <c r="BI1162" i="98"/>
  <c r="BI1163" i="98"/>
  <c r="BI1164" i="98"/>
  <c r="BI1165" i="98"/>
  <c r="BI1166" i="98"/>
  <c r="BI1167" i="98"/>
  <c r="BI1168" i="98"/>
  <c r="BI1169" i="98"/>
  <c r="BI1170" i="98"/>
  <c r="BI1171" i="98"/>
  <c r="BI1172" i="98"/>
  <c r="BI1173" i="98"/>
  <c r="BI1174" i="98"/>
  <c r="BI1175" i="98"/>
  <c r="BI1176" i="98"/>
  <c r="BI1177" i="98"/>
  <c r="BI1178" i="98"/>
  <c r="BI1179" i="98"/>
  <c r="BI1180" i="98"/>
  <c r="BI1181" i="98"/>
  <c r="BI1182" i="98"/>
  <c r="BI1183" i="98"/>
  <c r="BI1184" i="98"/>
  <c r="BI1185" i="98"/>
  <c r="BI1186" i="98"/>
  <c r="BI1187" i="98"/>
  <c r="BI1188" i="98"/>
  <c r="BI1189" i="98"/>
  <c r="BI1190" i="98"/>
  <c r="BI1191" i="98"/>
  <c r="BI1192" i="98"/>
  <c r="BI1193" i="98"/>
  <c r="BI1194" i="98"/>
  <c r="BI1195" i="98"/>
  <c r="BI1196" i="98"/>
  <c r="BI1197" i="98"/>
  <c r="BI1198" i="98"/>
  <c r="BI1199" i="98"/>
  <c r="BI1200" i="98"/>
  <c r="BI1201" i="98"/>
  <c r="BI1202" i="98"/>
  <c r="BI1203" i="98"/>
  <c r="BI1204" i="98"/>
  <c r="BI1205" i="98"/>
  <c r="BI1206" i="98"/>
  <c r="BI1207" i="98"/>
  <c r="BI1208" i="98"/>
  <c r="BI1209" i="98"/>
  <c r="BI1210" i="98"/>
  <c r="BI1211" i="98"/>
  <c r="BI1212" i="98"/>
  <c r="BI1213" i="98"/>
  <c r="BI1214" i="98"/>
  <c r="BI1215" i="98"/>
  <c r="BI1216" i="98"/>
  <c r="BI1217" i="98"/>
  <c r="BI1218" i="98"/>
  <c r="BI1219" i="98"/>
  <c r="BI1220" i="98"/>
  <c r="BI1221" i="98"/>
  <c r="BI1222" i="98"/>
  <c r="BI1223" i="98"/>
  <c r="BI1224" i="98"/>
  <c r="BI1225" i="98"/>
  <c r="BI1226" i="98"/>
  <c r="BI1227" i="98"/>
  <c r="BI1228" i="98"/>
  <c r="BI1229" i="98"/>
  <c r="BI1230" i="98"/>
  <c r="BI1231" i="98"/>
  <c r="BI1232" i="98"/>
  <c r="BI1233" i="98"/>
  <c r="BH1003" i="98"/>
  <c r="BH1004" i="98"/>
  <c r="BH1005" i="98"/>
  <c r="BH1006" i="98"/>
  <c r="BH1007" i="98"/>
  <c r="BH1008" i="98"/>
  <c r="BH1009" i="98"/>
  <c r="BH1010" i="98"/>
  <c r="BH1011" i="98"/>
  <c r="BH1012" i="98"/>
  <c r="BH1013" i="98"/>
  <c r="BH1014" i="98"/>
  <c r="BH1015" i="98"/>
  <c r="BH1016" i="98"/>
  <c r="BH1017" i="98"/>
  <c r="BH1018" i="98"/>
  <c r="BH1019" i="98"/>
  <c r="BH1020" i="98"/>
  <c r="BH1021" i="98"/>
  <c r="BH1022" i="98"/>
  <c r="BH1023" i="98"/>
  <c r="BH1024" i="98"/>
  <c r="BH1025" i="98"/>
  <c r="BH1026" i="98"/>
  <c r="BH1027" i="98"/>
  <c r="BH1028" i="98"/>
  <c r="BH1029" i="98"/>
  <c r="BH1030" i="98"/>
  <c r="BH1031" i="98"/>
  <c r="BH1032" i="98"/>
  <c r="BH1033" i="98"/>
  <c r="BH1034" i="98"/>
  <c r="BH1035" i="98"/>
  <c r="BH1036" i="98"/>
  <c r="BH1037" i="98"/>
  <c r="BH1038" i="98"/>
  <c r="BH1039" i="98"/>
  <c r="BH1040" i="98"/>
  <c r="BH1041" i="98"/>
  <c r="BH1042" i="98"/>
  <c r="BH1043" i="98"/>
  <c r="BH1044" i="98"/>
  <c r="BH1045" i="98"/>
  <c r="BH1046" i="98"/>
  <c r="BH1047" i="98"/>
  <c r="BH1048" i="98"/>
  <c r="BH1049" i="98"/>
  <c r="BH1050" i="98"/>
  <c r="BH1051" i="98"/>
  <c r="BH1052" i="98"/>
  <c r="BH1053" i="98"/>
  <c r="BH1054" i="98"/>
  <c r="BH1055" i="98"/>
  <c r="BH1056" i="98"/>
  <c r="BH1057" i="98"/>
  <c r="BH1058" i="98"/>
  <c r="BH1059" i="98"/>
  <c r="BH1060" i="98"/>
  <c r="BH1061" i="98"/>
  <c r="BH1062" i="98"/>
  <c r="BH1063" i="98"/>
  <c r="BH1064" i="98"/>
  <c r="BH1065" i="98"/>
  <c r="BH1066" i="98"/>
  <c r="BH1067" i="98"/>
  <c r="BH1068" i="98"/>
  <c r="BH1069" i="98"/>
  <c r="BH1070" i="98"/>
  <c r="BH1071" i="98"/>
  <c r="BH1072" i="98"/>
  <c r="BH1073" i="98"/>
  <c r="BH1074" i="98"/>
  <c r="BH1075" i="98"/>
  <c r="BH1076" i="98"/>
  <c r="BH1077" i="98"/>
  <c r="BH1078" i="98"/>
  <c r="BH1079" i="98"/>
  <c r="BH1080" i="98"/>
  <c r="BH1081" i="98"/>
  <c r="BH1082" i="98"/>
  <c r="BH1083" i="98"/>
  <c r="BH1084" i="98"/>
  <c r="BH1085" i="98"/>
  <c r="BH1086" i="98"/>
  <c r="BH1087" i="98"/>
  <c r="BH1088" i="98"/>
  <c r="BH1089" i="98"/>
  <c r="BH1090" i="98"/>
  <c r="BH1091" i="98"/>
  <c r="BH1092" i="98"/>
  <c r="BH1093" i="98"/>
  <c r="BH1094" i="98"/>
  <c r="BH1095" i="98"/>
  <c r="BH1096" i="98"/>
  <c r="BH1097" i="98"/>
  <c r="BH1098" i="98"/>
  <c r="BH1099" i="98"/>
  <c r="BH1100" i="98"/>
  <c r="BH1101" i="98"/>
  <c r="BH1102" i="98"/>
  <c r="BH1103" i="98"/>
  <c r="BH1104" i="98"/>
  <c r="BH1105" i="98"/>
  <c r="BH1106" i="98"/>
  <c r="BH1107" i="98"/>
  <c r="BH1108" i="98"/>
  <c r="BH1109" i="98"/>
  <c r="BH1110" i="98"/>
  <c r="BH1111" i="98"/>
  <c r="BH1112" i="98"/>
  <c r="BH1113" i="98"/>
  <c r="BH1114" i="98"/>
  <c r="BH1115" i="98"/>
  <c r="BH1116" i="98"/>
  <c r="BH1117" i="98"/>
  <c r="BH1118" i="98"/>
  <c r="BH1119" i="98"/>
  <c r="BH1120" i="98"/>
  <c r="BH1121" i="98"/>
  <c r="BH1122" i="98"/>
  <c r="BH1123" i="98"/>
  <c r="BH1124" i="98"/>
  <c r="BH1125" i="98"/>
  <c r="BH1126" i="98"/>
  <c r="BH1127" i="98"/>
  <c r="BH1128" i="98"/>
  <c r="BH1129" i="98"/>
  <c r="BH1130" i="98"/>
  <c r="BH1131" i="98"/>
  <c r="BH1132" i="98"/>
  <c r="BH1133" i="98"/>
  <c r="BH1134" i="98"/>
  <c r="BH1135" i="98"/>
  <c r="BH1136" i="98"/>
  <c r="BH1137" i="98"/>
  <c r="BH1138" i="98"/>
  <c r="BH1139" i="98"/>
  <c r="BH1140" i="98"/>
  <c r="BH1141" i="98"/>
  <c r="BH1142" i="98"/>
  <c r="BH1143" i="98"/>
  <c r="BH1144" i="98"/>
  <c r="BH1145" i="98"/>
  <c r="BH1146" i="98"/>
  <c r="BH1147" i="98"/>
  <c r="BH1148" i="98"/>
  <c r="BH1149" i="98"/>
  <c r="BH1150" i="98"/>
  <c r="BH1151" i="98"/>
  <c r="BH1152" i="98"/>
  <c r="BH1153" i="98"/>
  <c r="BH1154" i="98"/>
  <c r="BH1155" i="98"/>
  <c r="BH1156" i="98"/>
  <c r="BH1157" i="98"/>
  <c r="BH1158" i="98"/>
  <c r="BH1159" i="98"/>
  <c r="BH1160" i="98"/>
  <c r="BH1161" i="98"/>
  <c r="BH1162" i="98"/>
  <c r="BH1163" i="98"/>
  <c r="BH1164" i="98"/>
  <c r="BH1165" i="98"/>
  <c r="BH1166" i="98"/>
  <c r="BH1167" i="98"/>
  <c r="BH1168" i="98"/>
  <c r="BH1169" i="98"/>
  <c r="BH1170" i="98"/>
  <c r="BH1171" i="98"/>
  <c r="BH1172" i="98"/>
  <c r="BH1173" i="98"/>
  <c r="BH1174" i="98"/>
  <c r="BH1175" i="98"/>
  <c r="BH1176" i="98"/>
  <c r="BH1177" i="98"/>
  <c r="BH1178" i="98"/>
  <c r="BH1179" i="98"/>
  <c r="BH1180" i="98"/>
  <c r="BH1181" i="98"/>
  <c r="BH1182" i="98"/>
  <c r="BH1183" i="98"/>
  <c r="BH1184" i="98"/>
  <c r="BH1185" i="98"/>
  <c r="BH1186" i="98"/>
  <c r="BH1187" i="98"/>
  <c r="BH1188" i="98"/>
  <c r="BH1189" i="98"/>
  <c r="BH1190" i="98"/>
  <c r="BH1191" i="98"/>
  <c r="BH1192" i="98"/>
  <c r="BH1193" i="98"/>
  <c r="BH1194" i="98"/>
  <c r="BH1195" i="98"/>
  <c r="BH1196" i="98"/>
  <c r="BH1197" i="98"/>
  <c r="BH1198" i="98"/>
  <c r="BH1199" i="98"/>
  <c r="BH1200" i="98"/>
  <c r="BH1201" i="98"/>
  <c r="BH1202" i="98"/>
  <c r="BH1203" i="98"/>
  <c r="BH1204" i="98"/>
  <c r="BH1205" i="98"/>
  <c r="BH1206" i="98"/>
  <c r="BH1207" i="98"/>
  <c r="BH1208" i="98"/>
  <c r="BH1209" i="98"/>
  <c r="BH1210" i="98"/>
  <c r="BH1211" i="98"/>
  <c r="BH1212" i="98"/>
  <c r="BH1213" i="98"/>
  <c r="BH1214" i="98"/>
  <c r="BH1215" i="98"/>
  <c r="BH1216" i="98"/>
  <c r="BH1217" i="98"/>
  <c r="BH1218" i="98"/>
  <c r="BH1219" i="98"/>
  <c r="BH1220" i="98"/>
  <c r="BH1221" i="98"/>
  <c r="BH1222" i="98"/>
  <c r="BH1223" i="98"/>
  <c r="BH1224" i="98"/>
  <c r="BH1225" i="98"/>
  <c r="BH1226" i="98"/>
  <c r="BH1227" i="98"/>
  <c r="BH1228" i="98"/>
  <c r="BH1229" i="98"/>
  <c r="BH1230" i="98"/>
  <c r="BH1231" i="98"/>
  <c r="BH1232" i="98"/>
  <c r="BH1233" i="98"/>
  <c r="BG1003" i="98"/>
  <c r="BG1004" i="98"/>
  <c r="BG1005" i="98"/>
  <c r="BG1006" i="98"/>
  <c r="BG1007" i="98"/>
  <c r="BG1008" i="98"/>
  <c r="BG1009" i="98"/>
  <c r="BG1010" i="98"/>
  <c r="BG1011" i="98"/>
  <c r="BG1012" i="98"/>
  <c r="BG1013" i="98"/>
  <c r="BG1014" i="98"/>
  <c r="BG1015" i="98"/>
  <c r="BG1016" i="98"/>
  <c r="BG1017" i="98"/>
  <c r="BG1018" i="98"/>
  <c r="BG1019" i="98"/>
  <c r="BG1020" i="98"/>
  <c r="BG1021" i="98"/>
  <c r="BG1022" i="98"/>
  <c r="BG1023" i="98"/>
  <c r="BG1024" i="98"/>
  <c r="BG1025" i="98"/>
  <c r="BG1026" i="98"/>
  <c r="BG1027" i="98"/>
  <c r="BG1028" i="98"/>
  <c r="BG1029" i="98"/>
  <c r="BG1030" i="98"/>
  <c r="BG1031" i="98"/>
  <c r="BG1032" i="98"/>
  <c r="BG1033" i="98"/>
  <c r="BG1034" i="98"/>
  <c r="BG1035" i="98"/>
  <c r="BG1036" i="98"/>
  <c r="BG1037" i="98"/>
  <c r="BG1038" i="98"/>
  <c r="BG1039" i="98"/>
  <c r="BG1040" i="98"/>
  <c r="BG1041" i="98"/>
  <c r="BG1042" i="98"/>
  <c r="BG1043" i="98"/>
  <c r="BG1044" i="98"/>
  <c r="BG1045" i="98"/>
  <c r="BG1046" i="98"/>
  <c r="BG1047" i="98"/>
  <c r="BG1048" i="98"/>
  <c r="BG1049" i="98"/>
  <c r="BG1050" i="98"/>
  <c r="BG1051" i="98"/>
  <c r="BG1052" i="98"/>
  <c r="BG1053" i="98"/>
  <c r="BG1054" i="98"/>
  <c r="BG1055" i="98"/>
  <c r="BG1056" i="98"/>
  <c r="BG1057" i="98"/>
  <c r="BG1058" i="98"/>
  <c r="BG1059" i="98"/>
  <c r="BG1060" i="98"/>
  <c r="BG1061" i="98"/>
  <c r="BG1062" i="98"/>
  <c r="BG1063" i="98"/>
  <c r="BG1064" i="98"/>
  <c r="BG1065" i="98"/>
  <c r="BG1066" i="98"/>
  <c r="BG1067" i="98"/>
  <c r="BG1068" i="98"/>
  <c r="BG1069" i="98"/>
  <c r="BG1070" i="98"/>
  <c r="BG1071" i="98"/>
  <c r="BG1072" i="98"/>
  <c r="BG1073" i="98"/>
  <c r="BG1074" i="98"/>
  <c r="BG1075" i="98"/>
  <c r="BG1076" i="98"/>
  <c r="BG1077" i="98"/>
  <c r="BG1078" i="98"/>
  <c r="BG1079" i="98"/>
  <c r="BG1080" i="98"/>
  <c r="BG1081" i="98"/>
  <c r="BG1082" i="98"/>
  <c r="BG1083" i="98"/>
  <c r="BG1084" i="98"/>
  <c r="BG1085" i="98"/>
  <c r="BG1086" i="98"/>
  <c r="BG1087" i="98"/>
  <c r="BG1088" i="98"/>
  <c r="BG1089" i="98"/>
  <c r="BG1090" i="98"/>
  <c r="BG1091" i="98"/>
  <c r="BG1092" i="98"/>
  <c r="BG1093" i="98"/>
  <c r="BG1094" i="98"/>
  <c r="BG1095" i="98"/>
  <c r="BG1096" i="98"/>
  <c r="BG1097" i="98"/>
  <c r="BG1098" i="98"/>
  <c r="BG1099" i="98"/>
  <c r="BG1100" i="98"/>
  <c r="BG1101" i="98"/>
  <c r="BG1102" i="98"/>
  <c r="BG1103" i="98"/>
  <c r="BG1104" i="98"/>
  <c r="BG1105" i="98"/>
  <c r="BG1106" i="98"/>
  <c r="BG1107" i="98"/>
  <c r="BG1108" i="98"/>
  <c r="BG1109" i="98"/>
  <c r="BG1110" i="98"/>
  <c r="BG1111" i="98"/>
  <c r="BG1112" i="98"/>
  <c r="BG1113" i="98"/>
  <c r="BG1114" i="98"/>
  <c r="BG1115" i="98"/>
  <c r="BG1116" i="98"/>
  <c r="BG1117" i="98"/>
  <c r="BG1118" i="98"/>
  <c r="BG1119" i="98"/>
  <c r="BG1120" i="98"/>
  <c r="BG1121" i="98"/>
  <c r="BG1122" i="98"/>
  <c r="BG1123" i="98"/>
  <c r="BG1124" i="98"/>
  <c r="BG1125" i="98"/>
  <c r="BG1126" i="98"/>
  <c r="BG1127" i="98"/>
  <c r="BG1128" i="98"/>
  <c r="BG1129" i="98"/>
  <c r="BG1130" i="98"/>
  <c r="BG1131" i="98"/>
  <c r="BG1132" i="98"/>
  <c r="BG1133" i="98"/>
  <c r="BG1134" i="98"/>
  <c r="BG1135" i="98"/>
  <c r="BG1136" i="98"/>
  <c r="BG1137" i="98"/>
  <c r="BG1138" i="98"/>
  <c r="BG1139" i="98"/>
  <c r="BG1140" i="98"/>
  <c r="BG1141" i="98"/>
  <c r="BG1142" i="98"/>
  <c r="BG1143" i="98"/>
  <c r="BG1144" i="98"/>
  <c r="BG1145" i="98"/>
  <c r="BG1146" i="98"/>
  <c r="BG1147" i="98"/>
  <c r="BG1148" i="98"/>
  <c r="BG1149" i="98"/>
  <c r="BG1150" i="98"/>
  <c r="BG1151" i="98"/>
  <c r="BG1152" i="98"/>
  <c r="BG1153" i="98"/>
  <c r="BG1154" i="98"/>
  <c r="BG1155" i="98"/>
  <c r="BG1156" i="98"/>
  <c r="BG1157" i="98"/>
  <c r="BG1158" i="98"/>
  <c r="BG1159" i="98"/>
  <c r="BG1160" i="98"/>
  <c r="BG1161" i="98"/>
  <c r="BG1162" i="98"/>
  <c r="BG1163" i="98"/>
  <c r="BG1164" i="98"/>
  <c r="BG1165" i="98"/>
  <c r="BG1166" i="98"/>
  <c r="BG1167" i="98"/>
  <c r="BG1168" i="98"/>
  <c r="BG1169" i="98"/>
  <c r="BG1170" i="98"/>
  <c r="BG1171" i="98"/>
  <c r="BG1172" i="98"/>
  <c r="BG1173" i="98"/>
  <c r="BG1174" i="98"/>
  <c r="BG1175" i="98"/>
  <c r="BG1176" i="98"/>
  <c r="BG1177" i="98"/>
  <c r="BG1178" i="98"/>
  <c r="BG1179" i="98"/>
  <c r="BG1180" i="98"/>
  <c r="BG1181" i="98"/>
  <c r="BG1182" i="98"/>
  <c r="BG1183" i="98"/>
  <c r="BG1184" i="98"/>
  <c r="BG1185" i="98"/>
  <c r="BG1186" i="98"/>
  <c r="BG1187" i="98"/>
  <c r="BG1188" i="98"/>
  <c r="BG1189" i="98"/>
  <c r="BG1190" i="98"/>
  <c r="BG1191" i="98"/>
  <c r="BG1192" i="98"/>
  <c r="BG1193" i="98"/>
  <c r="BG1194" i="98"/>
  <c r="BG1195" i="98"/>
  <c r="BG1196" i="98"/>
  <c r="BG1197" i="98"/>
  <c r="BG1198" i="98"/>
  <c r="BG1199" i="98"/>
  <c r="BG1200" i="98"/>
  <c r="BG1201" i="98"/>
  <c r="BG1202" i="98"/>
  <c r="BG1203" i="98"/>
  <c r="BG1204" i="98"/>
  <c r="BG1205" i="98"/>
  <c r="BG1206" i="98"/>
  <c r="BG1207" i="98"/>
  <c r="BG1208" i="98"/>
  <c r="BG1209" i="98"/>
  <c r="BG1210" i="98"/>
  <c r="BG1211" i="98"/>
  <c r="BG1212" i="98"/>
  <c r="BG1213" i="98"/>
  <c r="BG1214" i="98"/>
  <c r="BG1215" i="98"/>
  <c r="BG1216" i="98"/>
  <c r="BG1217" i="98"/>
  <c r="BG1218" i="98"/>
  <c r="BG1219" i="98"/>
  <c r="BG1220" i="98"/>
  <c r="BG1221" i="98"/>
  <c r="BG1222" i="98"/>
  <c r="BG1223" i="98"/>
  <c r="BG1224" i="98"/>
  <c r="BG1225" i="98"/>
  <c r="BG1226" i="98"/>
  <c r="BG1227" i="98"/>
  <c r="BG1228" i="98"/>
  <c r="BG1229" i="98"/>
  <c r="BG1230" i="98"/>
  <c r="BG1231" i="98"/>
  <c r="BG1232" i="98"/>
  <c r="BG1233" i="98"/>
  <c r="BF1003" i="98"/>
  <c r="BF1004" i="98"/>
  <c r="BF1005" i="98"/>
  <c r="BF1006" i="98"/>
  <c r="BF1007" i="98"/>
  <c r="BF1008" i="98"/>
  <c r="BF1009" i="98"/>
  <c r="BF1010" i="98"/>
  <c r="BF1011" i="98"/>
  <c r="BF1012" i="98"/>
  <c r="BF1013" i="98"/>
  <c r="BF1014" i="98"/>
  <c r="BF1015" i="98"/>
  <c r="BF1016" i="98"/>
  <c r="BF1017" i="98"/>
  <c r="BF1018" i="98"/>
  <c r="BF1019" i="98"/>
  <c r="BF1020" i="98"/>
  <c r="BF1021" i="98"/>
  <c r="BF1022" i="98"/>
  <c r="BF1023" i="98"/>
  <c r="BF1024" i="98"/>
  <c r="BF1025" i="98"/>
  <c r="BF1026" i="98"/>
  <c r="BF1027" i="98"/>
  <c r="BF1028" i="98"/>
  <c r="BF1029" i="98"/>
  <c r="BF1030" i="98"/>
  <c r="BF1031" i="98"/>
  <c r="BF1032" i="98"/>
  <c r="BF1033" i="98"/>
  <c r="BF1034" i="98"/>
  <c r="BF1035" i="98"/>
  <c r="BF1036" i="98"/>
  <c r="BF1037" i="98"/>
  <c r="BF1038" i="98"/>
  <c r="BF1039" i="98"/>
  <c r="BF1040" i="98"/>
  <c r="BF1041" i="98"/>
  <c r="BF1042" i="98"/>
  <c r="BF1043" i="98"/>
  <c r="BF1044" i="98"/>
  <c r="BF1045" i="98"/>
  <c r="BF1046" i="98"/>
  <c r="BF1047" i="98"/>
  <c r="BF1048" i="98"/>
  <c r="BF1049" i="98"/>
  <c r="BF1050" i="98"/>
  <c r="BF1051" i="98"/>
  <c r="BF1052" i="98"/>
  <c r="BF1053" i="98"/>
  <c r="BF1054" i="98"/>
  <c r="BF1055" i="98"/>
  <c r="BF1056" i="98"/>
  <c r="BF1057" i="98"/>
  <c r="BF1058" i="98"/>
  <c r="BF1059" i="98"/>
  <c r="BF1060" i="98"/>
  <c r="BF1061" i="98"/>
  <c r="BF1062" i="98"/>
  <c r="BF1063" i="98"/>
  <c r="BF1064" i="98"/>
  <c r="BF1065" i="98"/>
  <c r="BF1066" i="98"/>
  <c r="BF1067" i="98"/>
  <c r="BF1068" i="98"/>
  <c r="BF1069" i="98"/>
  <c r="BF1070" i="98"/>
  <c r="BF1071" i="98"/>
  <c r="BF1072" i="98"/>
  <c r="BF1073" i="98"/>
  <c r="BF1074" i="98"/>
  <c r="BF1075" i="98"/>
  <c r="BF1076" i="98"/>
  <c r="BF1077" i="98"/>
  <c r="BF1078" i="98"/>
  <c r="BF1079" i="98"/>
  <c r="BF1080" i="98"/>
  <c r="BF1081" i="98"/>
  <c r="BF1082" i="98"/>
  <c r="BF1083" i="98"/>
  <c r="BF1084" i="98"/>
  <c r="BF1085" i="98"/>
  <c r="BF1086" i="98"/>
  <c r="BF1087" i="98"/>
  <c r="BF1088" i="98"/>
  <c r="BF1089" i="98"/>
  <c r="BF1090" i="98"/>
  <c r="BF1091" i="98"/>
  <c r="BF1092" i="98"/>
  <c r="BF1093" i="98"/>
  <c r="BF1094" i="98"/>
  <c r="BF1095" i="98"/>
  <c r="BF1096" i="98"/>
  <c r="BF1097" i="98"/>
  <c r="BF1098" i="98"/>
  <c r="BF1099" i="98"/>
  <c r="BF1100" i="98"/>
  <c r="BF1101" i="98"/>
  <c r="BF1102" i="98"/>
  <c r="BF1103" i="98"/>
  <c r="BF1104" i="98"/>
  <c r="BF1105" i="98"/>
  <c r="BF1106" i="98"/>
  <c r="BF1107" i="98"/>
  <c r="BF1108" i="98"/>
  <c r="BF1109" i="98"/>
  <c r="BF1110" i="98"/>
  <c r="BF1111" i="98"/>
  <c r="BF1112" i="98"/>
  <c r="BF1113" i="98"/>
  <c r="BF1114" i="98"/>
  <c r="BF1115" i="98"/>
  <c r="BF1116" i="98"/>
  <c r="BF1117" i="98"/>
  <c r="BF1118" i="98"/>
  <c r="BF1119" i="98"/>
  <c r="BF1120" i="98"/>
  <c r="BF1121" i="98"/>
  <c r="BF1122" i="98"/>
  <c r="BF1123" i="98"/>
  <c r="BF1124" i="98"/>
  <c r="BF1125" i="98"/>
  <c r="BF1126" i="98"/>
  <c r="BF1127" i="98"/>
  <c r="BF1128" i="98"/>
  <c r="BF1129" i="98"/>
  <c r="BF1130" i="98"/>
  <c r="BF1131" i="98"/>
  <c r="BF1132" i="98"/>
  <c r="BF1133" i="98"/>
  <c r="BF1134" i="98"/>
  <c r="BF1135" i="98"/>
  <c r="BF1136" i="98"/>
  <c r="BF1137" i="98"/>
  <c r="BF1138" i="98"/>
  <c r="BF1139" i="98"/>
  <c r="BF1140" i="98"/>
  <c r="BF1141" i="98"/>
  <c r="BF1142" i="98"/>
  <c r="BF1143" i="98"/>
  <c r="BF1144" i="98"/>
  <c r="BF1145" i="98"/>
  <c r="BF1146" i="98"/>
  <c r="BF1147" i="98"/>
  <c r="BF1148" i="98"/>
  <c r="BF1149" i="98"/>
  <c r="BF1150" i="98"/>
  <c r="BF1151" i="98"/>
  <c r="BF1152" i="98"/>
  <c r="BF1153" i="98"/>
  <c r="BF1154" i="98"/>
  <c r="BF1155" i="98"/>
  <c r="BF1156" i="98"/>
  <c r="BF1157" i="98"/>
  <c r="BF1158" i="98"/>
  <c r="BF1159" i="98"/>
  <c r="BF1160" i="98"/>
  <c r="BF1161" i="98"/>
  <c r="BF1162" i="98"/>
  <c r="BF1163" i="98"/>
  <c r="BF1164" i="98"/>
  <c r="BF1165" i="98"/>
  <c r="BF1166" i="98"/>
  <c r="BF1167" i="98"/>
  <c r="BF1168" i="98"/>
  <c r="BF1169" i="98"/>
  <c r="BF1170" i="98"/>
  <c r="BF1171" i="98"/>
  <c r="BF1172" i="98"/>
  <c r="BF1173" i="98"/>
  <c r="BF1174" i="98"/>
  <c r="BF1175" i="98"/>
  <c r="BF1176" i="98"/>
  <c r="BF1177" i="98"/>
  <c r="BF1178" i="98"/>
  <c r="BF1179" i="98"/>
  <c r="BF1180" i="98"/>
  <c r="BF1181" i="98"/>
  <c r="BF1182" i="98"/>
  <c r="BF1183" i="98"/>
  <c r="BF1184" i="98"/>
  <c r="BF1185" i="98"/>
  <c r="BF1186" i="98"/>
  <c r="BF1187" i="98"/>
  <c r="BF1188" i="98"/>
  <c r="BF1189" i="98"/>
  <c r="BF1190" i="98"/>
  <c r="BF1191" i="98"/>
  <c r="BF1192" i="98"/>
  <c r="BF1193" i="98"/>
  <c r="BF1194" i="98"/>
  <c r="BF1195" i="98"/>
  <c r="BF1196" i="98"/>
  <c r="BF1197" i="98"/>
  <c r="BF1198" i="98"/>
  <c r="BF1199" i="98"/>
  <c r="BF1200" i="98"/>
  <c r="BF1201" i="98"/>
  <c r="BF1202" i="98"/>
  <c r="BF1203" i="98"/>
  <c r="BF1204" i="98"/>
  <c r="BF1205" i="98"/>
  <c r="BF1206" i="98"/>
  <c r="BF1207" i="98"/>
  <c r="BF1208" i="98"/>
  <c r="BF1209" i="98"/>
  <c r="BF1210" i="98"/>
  <c r="BF1211" i="98"/>
  <c r="BF1212" i="98"/>
  <c r="BF1213" i="98"/>
  <c r="BF1214" i="98"/>
  <c r="BF1215" i="98"/>
  <c r="BF1216" i="98"/>
  <c r="BF1217" i="98"/>
  <c r="BF1218" i="98"/>
  <c r="BF1219" i="98"/>
  <c r="BF1220" i="98"/>
  <c r="BF1221" i="98"/>
  <c r="BF1222" i="98"/>
  <c r="BF1223" i="98"/>
  <c r="BF1224" i="98"/>
  <c r="BF1225" i="98"/>
  <c r="BF1226" i="98"/>
  <c r="BF1227" i="98"/>
  <c r="BF1228" i="98"/>
  <c r="BF1229" i="98"/>
  <c r="BF1230" i="98"/>
  <c r="BF1231" i="98"/>
  <c r="BF1232" i="98"/>
  <c r="BF1233" i="98"/>
  <c r="BH353" i="12"/>
  <c r="BH354" i="12"/>
  <c r="BH355" i="12"/>
  <c r="BH356" i="12"/>
  <c r="BH357" i="12"/>
  <c r="BH358" i="12"/>
  <c r="BH359" i="12"/>
  <c r="BH360" i="12"/>
  <c r="BH361" i="12"/>
  <c r="BH362" i="12"/>
  <c r="BH363" i="12"/>
  <c r="BH364" i="12"/>
  <c r="BH365" i="12"/>
  <c r="BH366" i="12"/>
  <c r="BH367" i="12"/>
  <c r="BH368" i="12"/>
  <c r="BH369" i="12"/>
  <c r="BH370" i="12"/>
  <c r="BH371" i="12"/>
  <c r="BH372" i="12"/>
  <c r="BH373" i="12"/>
  <c r="BH374" i="12"/>
  <c r="BH375" i="12"/>
  <c r="BH376" i="12"/>
  <c r="BH377" i="12"/>
  <c r="BH378" i="12"/>
  <c r="BH379" i="12"/>
  <c r="BH380" i="12"/>
  <c r="BH381" i="12"/>
  <c r="BH382" i="12"/>
  <c r="BH383" i="12"/>
  <c r="BH384" i="12"/>
  <c r="BH385" i="12"/>
  <c r="BH386" i="12"/>
  <c r="BH387" i="12"/>
  <c r="BH388" i="12"/>
  <c r="BH389" i="12"/>
  <c r="BH390" i="12"/>
  <c r="BH391" i="12"/>
  <c r="BH392" i="12"/>
  <c r="BH393" i="12"/>
  <c r="BH394" i="12"/>
  <c r="BH395" i="12"/>
  <c r="BH396" i="12"/>
  <c r="BH397" i="12"/>
  <c r="BH398" i="12"/>
  <c r="BH399" i="12"/>
  <c r="BH400" i="12"/>
  <c r="BH401" i="12"/>
  <c r="BH402" i="12"/>
  <c r="BH403" i="12"/>
  <c r="BH404" i="12"/>
  <c r="BH405" i="12"/>
  <c r="BH406" i="12"/>
  <c r="BH407" i="12"/>
  <c r="BH408" i="12"/>
  <c r="BH409" i="12"/>
  <c r="BH410" i="12"/>
  <c r="BH411" i="12"/>
  <c r="BH412" i="12"/>
  <c r="BH413" i="12"/>
  <c r="BH414" i="12"/>
  <c r="BH415" i="12"/>
  <c r="BH416" i="12"/>
  <c r="BH417" i="12"/>
  <c r="BH418" i="12"/>
  <c r="BH419" i="12"/>
  <c r="BH420" i="12"/>
  <c r="BH421" i="12"/>
  <c r="BH422" i="12"/>
  <c r="BH423" i="12"/>
  <c r="BH424" i="12"/>
  <c r="BH425" i="12"/>
  <c r="BH426" i="12"/>
  <c r="BH427" i="12"/>
  <c r="BH428" i="12"/>
  <c r="BH429" i="12"/>
  <c r="BH430" i="12"/>
  <c r="BH431" i="12"/>
  <c r="BH432" i="12"/>
  <c r="BH433" i="12"/>
  <c r="BH434" i="12"/>
  <c r="BH435" i="12"/>
  <c r="BH436" i="12"/>
  <c r="BH437" i="12"/>
  <c r="BH438" i="12"/>
  <c r="BH439" i="12"/>
  <c r="BH440" i="12"/>
  <c r="BH441" i="12"/>
  <c r="BH442" i="12"/>
  <c r="BH443" i="12"/>
  <c r="BH444" i="12"/>
  <c r="BH445" i="12"/>
  <c r="BH446" i="12"/>
  <c r="BH447" i="12"/>
  <c r="BH448" i="12"/>
  <c r="BH449" i="12"/>
  <c r="BH450" i="12"/>
  <c r="BH451" i="12"/>
  <c r="BH452" i="12"/>
  <c r="BH453" i="12"/>
  <c r="BH454" i="12"/>
  <c r="BH455" i="12"/>
  <c r="BH456" i="12"/>
  <c r="BH457" i="12"/>
  <c r="BH458" i="12"/>
  <c r="BH459" i="12"/>
  <c r="BH460" i="12"/>
  <c r="BH461" i="12"/>
  <c r="BH462" i="12"/>
  <c r="BH463" i="12"/>
  <c r="BH464" i="12"/>
  <c r="BH465" i="12"/>
  <c r="BH466" i="12"/>
  <c r="BH467" i="12"/>
  <c r="BH468" i="12"/>
  <c r="BH469" i="12"/>
  <c r="BH470" i="12"/>
  <c r="BH471" i="12"/>
  <c r="BH472" i="12"/>
  <c r="BH473" i="12"/>
  <c r="BH474" i="12"/>
  <c r="BH475" i="12"/>
  <c r="BH476" i="12"/>
  <c r="BH477" i="12"/>
  <c r="BH478" i="12"/>
  <c r="BH479" i="12"/>
  <c r="BH480" i="12"/>
  <c r="BH481" i="12"/>
  <c r="BH482" i="12"/>
  <c r="BH483" i="12"/>
  <c r="BH484" i="12"/>
  <c r="BH485" i="12"/>
  <c r="BH486" i="12"/>
  <c r="BH487" i="12"/>
  <c r="BH488" i="12"/>
  <c r="BH489" i="12"/>
  <c r="BH490" i="12"/>
  <c r="BH491" i="12"/>
  <c r="BI353" i="12"/>
  <c r="BI354" i="12"/>
  <c r="BI355" i="12"/>
  <c r="BI356" i="12"/>
  <c r="BI357" i="12"/>
  <c r="BI358" i="12"/>
  <c r="BI359" i="12"/>
  <c r="BI360" i="12"/>
  <c r="BI361" i="12"/>
  <c r="BI362" i="12"/>
  <c r="BI363" i="12"/>
  <c r="BI364" i="12"/>
  <c r="BI365" i="12"/>
  <c r="BI366" i="12"/>
  <c r="BI367" i="12"/>
  <c r="BI368" i="12"/>
  <c r="BI369" i="12"/>
  <c r="BI370" i="12"/>
  <c r="BI371" i="12"/>
  <c r="BI372" i="12"/>
  <c r="BI373" i="12"/>
  <c r="BI374" i="12"/>
  <c r="BI375" i="12"/>
  <c r="BI376" i="12"/>
  <c r="BI377" i="12"/>
  <c r="BI378" i="12"/>
  <c r="BI379" i="12"/>
  <c r="BI380" i="12"/>
  <c r="BI381" i="12"/>
  <c r="BI382" i="12"/>
  <c r="BI383" i="12"/>
  <c r="BI384" i="12"/>
  <c r="BI385" i="12"/>
  <c r="BI386" i="12"/>
  <c r="BI387" i="12"/>
  <c r="BI388" i="12"/>
  <c r="BI389" i="12"/>
  <c r="BI390" i="12"/>
  <c r="BI391" i="12"/>
  <c r="BI392" i="12"/>
  <c r="BI393" i="12"/>
  <c r="BI394" i="12"/>
  <c r="BI395" i="12"/>
  <c r="BI396" i="12"/>
  <c r="BI397" i="12"/>
  <c r="BI398" i="12"/>
  <c r="BI399" i="12"/>
  <c r="BI400" i="12"/>
  <c r="BI401" i="12"/>
  <c r="BI402" i="12"/>
  <c r="BI403" i="12"/>
  <c r="BI404" i="12"/>
  <c r="BI405" i="12"/>
  <c r="BI406" i="12"/>
  <c r="BI407" i="12"/>
  <c r="BI408" i="12"/>
  <c r="BI409" i="12"/>
  <c r="BI410" i="12"/>
  <c r="BI411" i="12"/>
  <c r="BI412" i="12"/>
  <c r="BI413" i="12"/>
  <c r="BI414" i="12"/>
  <c r="BI415" i="12"/>
  <c r="BI416" i="12"/>
  <c r="BI417" i="12"/>
  <c r="BI418" i="12"/>
  <c r="BI419" i="12"/>
  <c r="BI420" i="12"/>
  <c r="BI421" i="12"/>
  <c r="BI422" i="12"/>
  <c r="BI423" i="12"/>
  <c r="BI424" i="12"/>
  <c r="BI425" i="12"/>
  <c r="BI426" i="12"/>
  <c r="BI427" i="12"/>
  <c r="BI428" i="12"/>
  <c r="BI429" i="12"/>
  <c r="BI430" i="12"/>
  <c r="BI431" i="12"/>
  <c r="BI432" i="12"/>
  <c r="BI433" i="12"/>
  <c r="BI434" i="12"/>
  <c r="BI435" i="12"/>
  <c r="BI436" i="12"/>
  <c r="BI437" i="12"/>
  <c r="BI438" i="12"/>
  <c r="BI439" i="12"/>
  <c r="BI440" i="12"/>
  <c r="BI441" i="12"/>
  <c r="BI442" i="12"/>
  <c r="BI443" i="12"/>
  <c r="BI444" i="12"/>
  <c r="BI445" i="12"/>
  <c r="BI446" i="12"/>
  <c r="BI447" i="12"/>
  <c r="BI448" i="12"/>
  <c r="BI449" i="12"/>
  <c r="BI450" i="12"/>
  <c r="BI451" i="12"/>
  <c r="BI452" i="12"/>
  <c r="BI453" i="12"/>
  <c r="BI454" i="12"/>
  <c r="BI455" i="12"/>
  <c r="BI456" i="12"/>
  <c r="BI457" i="12"/>
  <c r="BI458" i="12"/>
  <c r="BI459" i="12"/>
  <c r="BI460" i="12"/>
  <c r="BI461" i="12"/>
  <c r="BI462" i="12"/>
  <c r="BI463" i="12"/>
  <c r="BI464" i="12"/>
  <c r="BI465" i="12"/>
  <c r="BI466" i="12"/>
  <c r="BI467" i="12"/>
  <c r="BI468" i="12"/>
  <c r="BI469" i="12"/>
  <c r="BI470" i="12"/>
  <c r="BI471" i="12"/>
  <c r="BI472" i="12"/>
  <c r="BI473" i="12"/>
  <c r="BI474" i="12"/>
  <c r="BI475" i="12"/>
  <c r="BI476" i="12"/>
  <c r="BI477" i="12"/>
  <c r="BI478" i="12"/>
  <c r="BI479" i="12"/>
  <c r="BI480" i="12"/>
  <c r="BI481" i="12"/>
  <c r="BI482" i="12"/>
  <c r="BI483" i="12"/>
  <c r="BI484" i="12"/>
  <c r="BI485" i="12"/>
  <c r="BI486" i="12"/>
  <c r="BI487" i="12"/>
  <c r="BI488" i="12"/>
  <c r="BI489" i="12"/>
  <c r="BI490" i="12"/>
  <c r="BI491" i="12"/>
  <c r="BJ353" i="12"/>
  <c r="BJ354" i="12"/>
  <c r="BJ355" i="12"/>
  <c r="BJ356" i="12"/>
  <c r="BJ357" i="12"/>
  <c r="BJ358" i="12"/>
  <c r="BJ359" i="12"/>
  <c r="BJ360" i="12"/>
  <c r="BJ361" i="12"/>
  <c r="BJ362" i="12"/>
  <c r="BJ363" i="12"/>
  <c r="BJ364" i="12"/>
  <c r="BJ365" i="12"/>
  <c r="BJ366" i="12"/>
  <c r="BJ367" i="12"/>
  <c r="BJ368" i="12"/>
  <c r="BJ369" i="12"/>
  <c r="BJ370" i="12"/>
  <c r="BJ371" i="12"/>
  <c r="BJ372" i="12"/>
  <c r="BJ373" i="12"/>
  <c r="BJ374" i="12"/>
  <c r="BJ375" i="12"/>
  <c r="BJ376" i="12"/>
  <c r="BJ377" i="12"/>
  <c r="BJ378" i="12"/>
  <c r="BJ379" i="12"/>
  <c r="BJ380" i="12"/>
  <c r="BJ381" i="12"/>
  <c r="BJ382" i="12"/>
  <c r="BJ383" i="12"/>
  <c r="BJ384" i="12"/>
  <c r="BJ385" i="12"/>
  <c r="BJ386" i="12"/>
  <c r="BJ387" i="12"/>
  <c r="BJ388" i="12"/>
  <c r="BJ389" i="12"/>
  <c r="BJ390" i="12"/>
  <c r="BJ391" i="12"/>
  <c r="BJ392" i="12"/>
  <c r="BJ393" i="12"/>
  <c r="BJ394" i="12"/>
  <c r="BJ395" i="12"/>
  <c r="BJ396" i="12"/>
  <c r="BJ397" i="12"/>
  <c r="BJ398" i="12"/>
  <c r="BJ399" i="12"/>
  <c r="BJ400" i="12"/>
  <c r="BJ401" i="12"/>
  <c r="BJ402" i="12"/>
  <c r="BJ403" i="12"/>
  <c r="BJ404" i="12"/>
  <c r="BJ405" i="12"/>
  <c r="BJ406" i="12"/>
  <c r="BJ407" i="12"/>
  <c r="BJ408" i="12"/>
  <c r="BJ409" i="12"/>
  <c r="BJ410" i="12"/>
  <c r="BJ411" i="12"/>
  <c r="BJ412" i="12"/>
  <c r="BJ413" i="12"/>
  <c r="BJ414" i="12"/>
  <c r="BJ415" i="12"/>
  <c r="BJ416" i="12"/>
  <c r="BJ417" i="12"/>
  <c r="BJ418" i="12"/>
  <c r="BJ419" i="12"/>
  <c r="BJ420" i="12"/>
  <c r="BJ421" i="12"/>
  <c r="BJ422" i="12"/>
  <c r="BJ423" i="12"/>
  <c r="BJ424" i="12"/>
  <c r="BJ425" i="12"/>
  <c r="BJ426" i="12"/>
  <c r="BJ427" i="12"/>
  <c r="BJ428" i="12"/>
  <c r="BJ429" i="12"/>
  <c r="BJ430" i="12"/>
  <c r="BJ431" i="12"/>
  <c r="BJ432" i="12"/>
  <c r="BJ433" i="12"/>
  <c r="BJ434" i="12"/>
  <c r="BJ435" i="12"/>
  <c r="BJ436" i="12"/>
  <c r="BJ437" i="12"/>
  <c r="BJ438" i="12"/>
  <c r="BJ439" i="12"/>
  <c r="BJ440" i="12"/>
  <c r="BJ441" i="12"/>
  <c r="BJ442" i="12"/>
  <c r="BJ443" i="12"/>
  <c r="BJ444" i="12"/>
  <c r="BJ445" i="12"/>
  <c r="BJ446" i="12"/>
  <c r="BJ447" i="12"/>
  <c r="BJ448" i="12"/>
  <c r="BJ449" i="12"/>
  <c r="BJ450" i="12"/>
  <c r="BJ451" i="12"/>
  <c r="BJ452" i="12"/>
  <c r="BJ453" i="12"/>
  <c r="BJ454" i="12"/>
  <c r="BJ455" i="12"/>
  <c r="BJ456" i="12"/>
  <c r="BJ457" i="12"/>
  <c r="BJ458" i="12"/>
  <c r="BJ459" i="12"/>
  <c r="BJ460" i="12"/>
  <c r="BJ461" i="12"/>
  <c r="BJ462" i="12"/>
  <c r="BJ463" i="12"/>
  <c r="BJ464" i="12"/>
  <c r="BJ465" i="12"/>
  <c r="BJ466" i="12"/>
  <c r="BJ467" i="12"/>
  <c r="BJ468" i="12"/>
  <c r="BJ469" i="12"/>
  <c r="BJ470" i="12"/>
  <c r="BJ471" i="12"/>
  <c r="BJ472" i="12"/>
  <c r="BJ473" i="12"/>
  <c r="BJ474" i="12"/>
  <c r="BJ475" i="12"/>
  <c r="BJ476" i="12"/>
  <c r="BJ477" i="12"/>
  <c r="BJ478" i="12"/>
  <c r="BJ479" i="12"/>
  <c r="BJ480" i="12"/>
  <c r="BJ481" i="12"/>
  <c r="BJ482" i="12"/>
  <c r="BJ483" i="12"/>
  <c r="BJ484" i="12"/>
  <c r="BJ485" i="12"/>
  <c r="BJ486" i="12"/>
  <c r="BJ487" i="12"/>
  <c r="BJ488" i="12"/>
  <c r="BJ489" i="12"/>
  <c r="BJ490" i="12"/>
  <c r="BJ491" i="12"/>
  <c r="BG1001" i="98" l="1"/>
  <c r="BF1001" i="98"/>
  <c r="BI351" i="12" l="1"/>
  <c r="BH351" i="12"/>
  <c r="FC4" i="98" l="1"/>
  <c r="FC5" i="98"/>
  <c r="FC6" i="98"/>
  <c r="FC7" i="98"/>
  <c r="FC8" i="98"/>
  <c r="FC9" i="98"/>
  <c r="FC10" i="98"/>
  <c r="FC11" i="98"/>
  <c r="FC12" i="98"/>
  <c r="FC13" i="98"/>
  <c r="FC14" i="98"/>
  <c r="FC15" i="98"/>
  <c r="FC16" i="98"/>
  <c r="FC17" i="98"/>
  <c r="FC18" i="98"/>
  <c r="FC19" i="98"/>
  <c r="FC20" i="98"/>
  <c r="FC21" i="98"/>
  <c r="FC22" i="98"/>
  <c r="FC23" i="98"/>
  <c r="FC24" i="98"/>
  <c r="FC25" i="98"/>
  <c r="FC26" i="98"/>
  <c r="FC27" i="98"/>
  <c r="FC28" i="98"/>
  <c r="FC29" i="98"/>
  <c r="FC30" i="98"/>
  <c r="FC31" i="98"/>
  <c r="FC32" i="98"/>
  <c r="FC33" i="98"/>
  <c r="FC34" i="98"/>
  <c r="FC35" i="98"/>
  <c r="FC36" i="98"/>
  <c r="FC37" i="98"/>
  <c r="FC38" i="98"/>
  <c r="FC39" i="98"/>
  <c r="FC40" i="98"/>
  <c r="FC41" i="98"/>
  <c r="FC42" i="98"/>
  <c r="FC43" i="98"/>
  <c r="FC44" i="98"/>
  <c r="FC45" i="98"/>
  <c r="FC46" i="98"/>
  <c r="FC47" i="98"/>
  <c r="FC48" i="98"/>
  <c r="FC49" i="98"/>
  <c r="FC50" i="98"/>
  <c r="FC51" i="98"/>
  <c r="FC52" i="98"/>
  <c r="FC53" i="98"/>
  <c r="FC54" i="98"/>
  <c r="FC55" i="98"/>
  <c r="FC56" i="98"/>
  <c r="FC57" i="98"/>
  <c r="FC58" i="98"/>
  <c r="FC59" i="98"/>
  <c r="FC60" i="98"/>
  <c r="FC61" i="98"/>
  <c r="FC62" i="98"/>
  <c r="FC63" i="98"/>
  <c r="FC64" i="98"/>
  <c r="FC65" i="98"/>
  <c r="FC66" i="98"/>
  <c r="FC67" i="98"/>
  <c r="FC68" i="98"/>
  <c r="FC69" i="98"/>
  <c r="FC70" i="98"/>
  <c r="FC71" i="98"/>
  <c r="FC72" i="98"/>
  <c r="FC73" i="98"/>
  <c r="FC74" i="98"/>
  <c r="FC75" i="98"/>
  <c r="FC76" i="98"/>
  <c r="FC77" i="98"/>
  <c r="FC78" i="98"/>
  <c r="FC79" i="98"/>
  <c r="FC80" i="98"/>
  <c r="FC81" i="98"/>
  <c r="FC82" i="98"/>
  <c r="FC83" i="98"/>
  <c r="FC84" i="98"/>
  <c r="FC85" i="98"/>
  <c r="FC86" i="98"/>
  <c r="FC87" i="98"/>
  <c r="FC88" i="98"/>
  <c r="FC89" i="98"/>
  <c r="FC90" i="98"/>
  <c r="FC91" i="98"/>
  <c r="FC92" i="98"/>
  <c r="FC93" i="98"/>
  <c r="FC94" i="98"/>
  <c r="FC95" i="98"/>
  <c r="FC96" i="98"/>
  <c r="FC97" i="98"/>
  <c r="FC98" i="98"/>
  <c r="FC99" i="98"/>
  <c r="FC100" i="98"/>
  <c r="FC101" i="98"/>
  <c r="FC102" i="98"/>
  <c r="FC103" i="98"/>
  <c r="FC104" i="98"/>
  <c r="FC105" i="98"/>
  <c r="FC106" i="98"/>
  <c r="FC107" i="98"/>
  <c r="FC108" i="98"/>
  <c r="FC109" i="98"/>
  <c r="FC110" i="98"/>
  <c r="FC111" i="98"/>
  <c r="FC112" i="98"/>
  <c r="FC113" i="98"/>
  <c r="FC114" i="98"/>
  <c r="FC115" i="98"/>
  <c r="FC116" i="98"/>
  <c r="FC117" i="98"/>
  <c r="FC118" i="98"/>
  <c r="FC119" i="98"/>
  <c r="FC120" i="98"/>
  <c r="FC121" i="98"/>
  <c r="FC122" i="98"/>
  <c r="FC123" i="98"/>
  <c r="FC124" i="98"/>
  <c r="FC125" i="98"/>
  <c r="FC126" i="98"/>
  <c r="FC127" i="98"/>
  <c r="FC128" i="98"/>
  <c r="FC129" i="98"/>
  <c r="FC130" i="98"/>
  <c r="FC131" i="98"/>
  <c r="FC132" i="98"/>
  <c r="FC133" i="98"/>
  <c r="FC134" i="98"/>
  <c r="FC135" i="98"/>
  <c r="FC136" i="98"/>
  <c r="FC137" i="98"/>
  <c r="FC138" i="98"/>
  <c r="FC139" i="98"/>
  <c r="FC140" i="98"/>
  <c r="FC141" i="98"/>
  <c r="FC142" i="98"/>
  <c r="FC143" i="98"/>
  <c r="FC144" i="98"/>
  <c r="FC145" i="98"/>
  <c r="FC146" i="98"/>
  <c r="FC147" i="98"/>
  <c r="FC148" i="98"/>
  <c r="FC149" i="98"/>
  <c r="FC150" i="98"/>
  <c r="FC151" i="98"/>
  <c r="FC152" i="98"/>
  <c r="FC153" i="98"/>
  <c r="FC154" i="98"/>
  <c r="FC155" i="98"/>
  <c r="FC156" i="98"/>
  <c r="FC157" i="98"/>
  <c r="FC158" i="98"/>
  <c r="FC159" i="98"/>
  <c r="FC160" i="98"/>
  <c r="FC161" i="98"/>
  <c r="FC162" i="98"/>
  <c r="FC163" i="98"/>
  <c r="FC164" i="98"/>
  <c r="FC165" i="98"/>
  <c r="FC166" i="98"/>
  <c r="FC167" i="98"/>
  <c r="FC168" i="98"/>
  <c r="FC169" i="98"/>
  <c r="FC170" i="98"/>
  <c r="FC171" i="98"/>
  <c r="FC172" i="98"/>
  <c r="FC173" i="98"/>
  <c r="FC174" i="98"/>
  <c r="FC175" i="98"/>
  <c r="FC176" i="98"/>
  <c r="FC177" i="98"/>
  <c r="FC178" i="98"/>
  <c r="FC179" i="98"/>
  <c r="FC180" i="98"/>
  <c r="FC181" i="98"/>
  <c r="FC182" i="98"/>
  <c r="FC183" i="98"/>
  <c r="FC184" i="98"/>
  <c r="FC185" i="98"/>
  <c r="FC186" i="98"/>
  <c r="FC187" i="98"/>
  <c r="FC188" i="98"/>
  <c r="FC189" i="98"/>
  <c r="FC190" i="98"/>
  <c r="FC191" i="98"/>
  <c r="FC192" i="98"/>
  <c r="FC193" i="98"/>
  <c r="FC194" i="98"/>
  <c r="FC195" i="98"/>
  <c r="FC196" i="98"/>
  <c r="FC197" i="98"/>
  <c r="FC198" i="98"/>
  <c r="FC199" i="98"/>
  <c r="FC200" i="98"/>
  <c r="FC201" i="98"/>
  <c r="FC202" i="98"/>
  <c r="FC203" i="98"/>
  <c r="FC204" i="98"/>
  <c r="FC205" i="98"/>
  <c r="FC206" i="98"/>
  <c r="FC207" i="98"/>
  <c r="FC208" i="98"/>
  <c r="FC209" i="98"/>
  <c r="FC210" i="98"/>
  <c r="FC211" i="98"/>
  <c r="FC212" i="98"/>
  <c r="FC213" i="98"/>
  <c r="FC214" i="98"/>
  <c r="FC215" i="98"/>
  <c r="FC216" i="98"/>
  <c r="FC217" i="98"/>
  <c r="FC218" i="98"/>
  <c r="FC219" i="98"/>
  <c r="FC220" i="98"/>
  <c r="FC221" i="98"/>
  <c r="FC222" i="98"/>
  <c r="FC223" i="98"/>
  <c r="FC224" i="98"/>
  <c r="FC225" i="98"/>
  <c r="FC226" i="98"/>
  <c r="FC227" i="98"/>
  <c r="FC228" i="98"/>
  <c r="FC229" i="98"/>
  <c r="FC230" i="98"/>
  <c r="FC231" i="98"/>
  <c r="FC232" i="98"/>
  <c r="FC233" i="98"/>
  <c r="FC3" i="98"/>
  <c r="FC4" i="12"/>
  <c r="FC5" i="12"/>
  <c r="FC6" i="12"/>
  <c r="FC7" i="12"/>
  <c r="FC8" i="12"/>
  <c r="FC9" i="12"/>
  <c r="FC10" i="12"/>
  <c r="FC11" i="12"/>
  <c r="FC12" i="12"/>
  <c r="FC13" i="12"/>
  <c r="FC14" i="12"/>
  <c r="FC15" i="12"/>
  <c r="FC16" i="12"/>
  <c r="FC17" i="12"/>
  <c r="FC18" i="12"/>
  <c r="FC19" i="12"/>
  <c r="FC20" i="12"/>
  <c r="FC21" i="12"/>
  <c r="FC22" i="12"/>
  <c r="FC23" i="12"/>
  <c r="FC24" i="12"/>
  <c r="FC25" i="12"/>
  <c r="FC26" i="12"/>
  <c r="FC27" i="12"/>
  <c r="FC28" i="12"/>
  <c r="FC29" i="12"/>
  <c r="FC30" i="12"/>
  <c r="FC31" i="12"/>
  <c r="FC32" i="12"/>
  <c r="FC33" i="12"/>
  <c r="FC34" i="12"/>
  <c r="FC35" i="12"/>
  <c r="FC36" i="12"/>
  <c r="FC37" i="12"/>
  <c r="FC38" i="12"/>
  <c r="FC39" i="12"/>
  <c r="FC40" i="12"/>
  <c r="FC41" i="12"/>
  <c r="FC42" i="12"/>
  <c r="FC43" i="12"/>
  <c r="FC44" i="12"/>
  <c r="FC45" i="12"/>
  <c r="FC46" i="12"/>
  <c r="FC47" i="12"/>
  <c r="FC48" i="12"/>
  <c r="FC49" i="12"/>
  <c r="FC50" i="12"/>
  <c r="FC51" i="12"/>
  <c r="FC52" i="12"/>
  <c r="FC53" i="12"/>
  <c r="FC54" i="12"/>
  <c r="FC55" i="12"/>
  <c r="FC56" i="12"/>
  <c r="FC57" i="12"/>
  <c r="FC58" i="12"/>
  <c r="FC59" i="12"/>
  <c r="FC60" i="12"/>
  <c r="FC61" i="12"/>
  <c r="FC62" i="12"/>
  <c r="FC63" i="12"/>
  <c r="FC64" i="12"/>
  <c r="FC65" i="12"/>
  <c r="FC66" i="12"/>
  <c r="FC67" i="12"/>
  <c r="FC68" i="12"/>
  <c r="FC69" i="12"/>
  <c r="FC70" i="12"/>
  <c r="FC71" i="12"/>
  <c r="FC72" i="12"/>
  <c r="FC73" i="12"/>
  <c r="FC74" i="12"/>
  <c r="FC75" i="12"/>
  <c r="FC76" i="12"/>
  <c r="FC77" i="12"/>
  <c r="FC78" i="12"/>
  <c r="FC79" i="12"/>
  <c r="FC80" i="12"/>
  <c r="FC81" i="12"/>
  <c r="FC82" i="12"/>
  <c r="FC83" i="12"/>
  <c r="FC84" i="12"/>
  <c r="FC85" i="12"/>
  <c r="FC86" i="12"/>
  <c r="FC87" i="12"/>
  <c r="FC88" i="12"/>
  <c r="FC89" i="12"/>
  <c r="FC90" i="12"/>
  <c r="FC91" i="12"/>
  <c r="FC92" i="12"/>
  <c r="FC93" i="12"/>
  <c r="FC94" i="12"/>
  <c r="FC95" i="12"/>
  <c r="FC96" i="12"/>
  <c r="FC97" i="12"/>
  <c r="FC98" i="12"/>
  <c r="FC99" i="12"/>
  <c r="FC100" i="12"/>
  <c r="FC101" i="12"/>
  <c r="FC102" i="12"/>
  <c r="FC103" i="12"/>
  <c r="FC104" i="12"/>
  <c r="FC105" i="12"/>
  <c r="FC106" i="12"/>
  <c r="FC107" i="12"/>
  <c r="FC108" i="12"/>
  <c r="FC109" i="12"/>
  <c r="FC110" i="12"/>
  <c r="FC111" i="12"/>
  <c r="FC112" i="12"/>
  <c r="FC113" i="12"/>
  <c r="FC114" i="12"/>
  <c r="FC115" i="12"/>
  <c r="FC116" i="12"/>
  <c r="FC117" i="12"/>
  <c r="FC118" i="12"/>
  <c r="FC119" i="12"/>
  <c r="FC120" i="12"/>
  <c r="FC121" i="12"/>
  <c r="FC122" i="12"/>
  <c r="FC123" i="12"/>
  <c r="FC124" i="12"/>
  <c r="FC125" i="12"/>
  <c r="FC126" i="12"/>
  <c r="FC127" i="12"/>
  <c r="FC128" i="12"/>
  <c r="FC129" i="12"/>
  <c r="FC130" i="12"/>
  <c r="FC131" i="12"/>
  <c r="FC132" i="12"/>
  <c r="FC133" i="12"/>
  <c r="FC134" i="12"/>
  <c r="FC135" i="12"/>
  <c r="FC136" i="12"/>
  <c r="FC137" i="12"/>
  <c r="FC138" i="12"/>
  <c r="FC139" i="12"/>
  <c r="FC140" i="12"/>
  <c r="FC141" i="12"/>
  <c r="FC3" i="12"/>
  <c r="BJ351" i="12" l="1"/>
  <c r="BJ1001" i="98"/>
  <c r="BK1233" i="98"/>
  <c r="BK1232" i="98"/>
  <c r="BK1231" i="98"/>
  <c r="BK1230" i="98"/>
  <c r="BK1229" i="98"/>
  <c r="BK1228" i="98"/>
  <c r="BK1227" i="98"/>
  <c r="BK1225" i="98"/>
  <c r="BK1224" i="98"/>
  <c r="BK1223" i="98"/>
  <c r="BK1221" i="98"/>
  <c r="BK1220" i="98"/>
  <c r="BK1219" i="98"/>
  <c r="BK1217" i="98"/>
  <c r="BK1216" i="98"/>
  <c r="BK1215" i="98"/>
  <c r="BK1213" i="98"/>
  <c r="BK1212" i="98"/>
  <c r="BK1211" i="98"/>
  <c r="BK1209" i="98"/>
  <c r="BK1208" i="98"/>
  <c r="BK1207" i="98"/>
  <c r="BK1205" i="98"/>
  <c r="BK1204" i="98"/>
  <c r="BK1203" i="98"/>
  <c r="BK1201" i="98"/>
  <c r="BK1200" i="98"/>
  <c r="BK1199" i="98"/>
  <c r="BK1197" i="98"/>
  <c r="BK1196" i="98"/>
  <c r="BK1195" i="98"/>
  <c r="BK1193" i="98"/>
  <c r="BK1192" i="98"/>
  <c r="BK1191" i="98"/>
  <c r="BK1189" i="98"/>
  <c r="BK1188" i="98"/>
  <c r="BK1187" i="98"/>
  <c r="BK1185" i="98"/>
  <c r="BK1184" i="98"/>
  <c r="BK1183" i="98"/>
  <c r="BK1181" i="98"/>
  <c r="BK1180" i="98"/>
  <c r="BK1179" i="98"/>
  <c r="BK1177" i="98"/>
  <c r="BK1176" i="98"/>
  <c r="BK1175" i="98"/>
  <c r="BK1173" i="98"/>
  <c r="BK1172" i="98"/>
  <c r="BK1171" i="98"/>
  <c r="BK1169" i="98"/>
  <c r="BK1168" i="98"/>
  <c r="BK1167" i="98"/>
  <c r="BK1165" i="98"/>
  <c r="BK1164" i="98"/>
  <c r="BK1163" i="98"/>
  <c r="BK1161" i="98"/>
  <c r="BK1160" i="98"/>
  <c r="BK1159" i="98"/>
  <c r="BK1157" i="98"/>
  <c r="BK1156" i="98"/>
  <c r="BK1155" i="98"/>
  <c r="BK1153" i="98"/>
  <c r="BK1152" i="98"/>
  <c r="BK1151" i="98"/>
  <c r="BK1149" i="98"/>
  <c r="BK1148" i="98"/>
  <c r="BK1147" i="98"/>
  <c r="BK1145" i="98"/>
  <c r="BK1144" i="98"/>
  <c r="BK1143" i="98"/>
  <c r="BK1141" i="98"/>
  <c r="BK1140" i="98"/>
  <c r="BK1139" i="98"/>
  <c r="BK1137" i="98"/>
  <c r="BK1136" i="98"/>
  <c r="BK1135" i="98"/>
  <c r="BK1133" i="98"/>
  <c r="BK1132" i="98"/>
  <c r="BK1131" i="98"/>
  <c r="BK1129" i="98"/>
  <c r="BK1128" i="98"/>
  <c r="BK1127" i="98"/>
  <c r="BK1125" i="98"/>
  <c r="BK1124" i="98"/>
  <c r="BK1123" i="98"/>
  <c r="BK1121" i="98"/>
  <c r="BK1120" i="98"/>
  <c r="BK1119" i="98"/>
  <c r="BK1117" i="98"/>
  <c r="BK1116" i="98"/>
  <c r="BK1115" i="98"/>
  <c r="BK1113" i="98"/>
  <c r="BK1112" i="98"/>
  <c r="BK1111" i="98"/>
  <c r="BK1109" i="98"/>
  <c r="BK1108" i="98"/>
  <c r="BK1107" i="98"/>
  <c r="BK1105" i="98"/>
  <c r="BK1104" i="98"/>
  <c r="BK1103" i="98"/>
  <c r="BK1101" i="98"/>
  <c r="BK1100" i="98"/>
  <c r="BK1099" i="98"/>
  <c r="BK1097" i="98"/>
  <c r="BK1096" i="98"/>
  <c r="BK1095" i="98"/>
  <c r="BK1093" i="98"/>
  <c r="BK1092" i="98"/>
  <c r="BK1091" i="98"/>
  <c r="BK1089" i="98"/>
  <c r="BK1088" i="98"/>
  <c r="BK1087" i="98"/>
  <c r="BK1085" i="98"/>
  <c r="BK1084" i="98"/>
  <c r="BK1083" i="98"/>
  <c r="BK1081" i="98"/>
  <c r="BK1080" i="98"/>
  <c r="BK1079" i="98"/>
  <c r="BK1077" i="98"/>
  <c r="BK1076" i="98"/>
  <c r="BK1075" i="98"/>
  <c r="BK1073" i="98"/>
  <c r="BK1072" i="98"/>
  <c r="BK1071" i="98"/>
  <c r="BK1069" i="98"/>
  <c r="BK1068" i="98"/>
  <c r="BK1067" i="98"/>
  <c r="BK1065" i="98"/>
  <c r="BK1064" i="98"/>
  <c r="BK1063" i="98"/>
  <c r="BK1061" i="98"/>
  <c r="BK1060" i="98"/>
  <c r="BK1059" i="98"/>
  <c r="BK1057" i="98"/>
  <c r="BK1056" i="98"/>
  <c r="BK1055" i="98"/>
  <c r="BK1053" i="98"/>
  <c r="BK1052" i="98"/>
  <c r="BK1051" i="98"/>
  <c r="BK1049" i="98"/>
  <c r="BK1048" i="98"/>
  <c r="BK1047" i="98"/>
  <c r="BK1045" i="98"/>
  <c r="BK1044" i="98"/>
  <c r="BK1043" i="98"/>
  <c r="BK1041" i="98"/>
  <c r="BK1040" i="98"/>
  <c r="BK1039" i="98"/>
  <c r="BK1037" i="98"/>
  <c r="BK1036" i="98"/>
  <c r="BK1035" i="98"/>
  <c r="BK1033" i="98"/>
  <c r="BK1032" i="98"/>
  <c r="BK1031" i="98"/>
  <c r="BK1029" i="98"/>
  <c r="BK1028" i="98"/>
  <c r="BK1027" i="98"/>
  <c r="BK1025" i="98"/>
  <c r="BK1024" i="98"/>
  <c r="BK1023" i="98"/>
  <c r="BK1020" i="98"/>
  <c r="BK1019" i="98"/>
  <c r="BK1017" i="98"/>
  <c r="BK1016" i="98"/>
  <c r="BK1015" i="98"/>
  <c r="BK1013" i="98"/>
  <c r="BK1012" i="98"/>
  <c r="BK1011" i="98"/>
  <c r="BK1009" i="98"/>
  <c r="BK1008" i="98"/>
  <c r="BK1007" i="98"/>
  <c r="BK1005" i="98"/>
  <c r="BK1004" i="98"/>
  <c r="D234" i="98"/>
  <c r="BI1001" i="98" l="1"/>
  <c r="BK1003" i="98"/>
  <c r="BH1001" i="98"/>
  <c r="BK1021" i="98"/>
  <c r="BK1006" i="98"/>
  <c r="BK1010" i="98"/>
  <c r="BK1014" i="98"/>
  <c r="BK1018" i="98"/>
  <c r="BK1022" i="98"/>
  <c r="BK1026" i="98"/>
  <c r="BK1030" i="98"/>
  <c r="BK1034" i="98"/>
  <c r="BK1038" i="98"/>
  <c r="BK1042" i="98"/>
  <c r="BK1046" i="98"/>
  <c r="BK1050" i="98"/>
  <c r="BK1054" i="98"/>
  <c r="BK1058" i="98"/>
  <c r="BK1062" i="98"/>
  <c r="BK1066" i="98"/>
  <c r="BK1070" i="98"/>
  <c r="BK1074" i="98"/>
  <c r="BK1078" i="98"/>
  <c r="BK1082" i="98"/>
  <c r="BK1086" i="98"/>
  <c r="BK1090" i="98"/>
  <c r="BK1094" i="98"/>
  <c r="BK1098" i="98"/>
  <c r="BK1102" i="98"/>
  <c r="BK1106" i="98"/>
  <c r="BK1110" i="98"/>
  <c r="BK1114" i="98"/>
  <c r="BK1118" i="98"/>
  <c r="BK1122" i="98"/>
  <c r="BK1126" i="98"/>
  <c r="BK1130" i="98"/>
  <c r="BK1134" i="98"/>
  <c r="BK1138" i="98"/>
  <c r="BK1142" i="98"/>
  <c r="BK1146" i="98"/>
  <c r="BK1150" i="98"/>
  <c r="BK1154" i="98"/>
  <c r="BK1158" i="98"/>
  <c r="BK1162" i="98"/>
  <c r="BK1166" i="98"/>
  <c r="BK1170" i="98"/>
  <c r="BK1174" i="98"/>
  <c r="BK1178" i="98"/>
  <c r="BK1182" i="98"/>
  <c r="BK1186" i="98"/>
  <c r="BK1190" i="98"/>
  <c r="BK1194" i="98"/>
  <c r="BK1198" i="98"/>
  <c r="BK1202" i="98"/>
  <c r="BK1206" i="98"/>
  <c r="BK1210" i="98"/>
  <c r="BK1214" i="98"/>
  <c r="BK1218" i="98"/>
  <c r="BK1222" i="98"/>
  <c r="BK1226" i="98"/>
  <c r="BK357" i="12"/>
  <c r="BK361" i="12"/>
  <c r="BK365" i="12"/>
  <c r="BK369" i="12"/>
  <c r="BK373" i="12"/>
  <c r="BK377" i="12"/>
  <c r="BK409" i="12"/>
  <c r="BK413" i="12"/>
  <c r="BK358" i="12"/>
  <c r="BK362" i="12"/>
  <c r="BK366" i="12"/>
  <c r="BK370" i="12"/>
  <c r="BK374" i="12"/>
  <c r="BK378" i="12"/>
  <c r="BK422" i="12"/>
  <c r="BK426" i="12"/>
  <c r="BK430" i="12"/>
  <c r="BK434" i="12"/>
  <c r="BK438" i="12"/>
  <c r="BK442" i="12"/>
  <c r="BK446" i="12"/>
  <c r="BK450" i="12"/>
  <c r="BK454" i="12"/>
  <c r="BK458" i="12"/>
  <c r="BK462" i="12"/>
  <c r="BK466" i="12"/>
  <c r="BK470" i="12"/>
  <c r="BK474" i="12"/>
  <c r="BK478" i="12"/>
  <c r="BK482" i="12"/>
  <c r="BK486" i="12"/>
  <c r="BK490" i="12"/>
  <c r="BK417" i="12"/>
  <c r="BK491" i="12"/>
  <c r="BK395" i="12"/>
  <c r="BK403" i="12"/>
  <c r="BK418" i="12"/>
  <c r="BK356" i="12"/>
  <c r="BK360" i="12"/>
  <c r="BK364" i="12"/>
  <c r="BK368" i="12"/>
  <c r="BK372" i="12"/>
  <c r="BK376" i="12"/>
  <c r="BK380" i="12"/>
  <c r="BK381" i="12"/>
  <c r="BK385" i="12"/>
  <c r="BK389" i="12"/>
  <c r="BK393" i="12"/>
  <c r="BK397" i="12"/>
  <c r="BK401" i="12"/>
  <c r="BK405" i="12"/>
  <c r="BK383" i="12"/>
  <c r="BK387" i="12"/>
  <c r="BK391" i="12"/>
  <c r="BK399" i="12"/>
  <c r="BK410" i="12"/>
  <c r="BK355" i="12"/>
  <c r="BK359" i="12"/>
  <c r="BK363" i="12"/>
  <c r="BK367" i="12"/>
  <c r="BK371" i="12"/>
  <c r="BK375" i="12"/>
  <c r="BK379" i="12"/>
  <c r="BK384" i="12"/>
  <c r="BK388" i="12"/>
  <c r="BK392" i="12"/>
  <c r="BK396" i="12"/>
  <c r="BK400" i="12"/>
  <c r="BK404" i="12"/>
  <c r="BK414" i="12"/>
  <c r="BK382" i="12"/>
  <c r="BK386" i="12"/>
  <c r="BK390" i="12"/>
  <c r="BK394" i="12"/>
  <c r="BK398" i="12"/>
  <c r="BK402" i="12"/>
  <c r="BK406" i="12"/>
  <c r="BK408" i="12"/>
  <c r="BK412" i="12"/>
  <c r="BK416" i="12"/>
  <c r="BK420" i="12"/>
  <c r="BK424" i="12"/>
  <c r="BK428" i="12"/>
  <c r="BK432" i="12"/>
  <c r="BK436" i="12"/>
  <c r="BK440" i="12"/>
  <c r="BK444" i="12"/>
  <c r="BK448" i="12"/>
  <c r="BK452" i="12"/>
  <c r="BK456" i="12"/>
  <c r="BK460" i="12"/>
  <c r="BK464" i="12"/>
  <c r="BK468" i="12"/>
  <c r="BK472" i="12"/>
  <c r="BK476" i="12"/>
  <c r="BK480" i="12"/>
  <c r="BK484" i="12"/>
  <c r="BK488" i="12"/>
  <c r="BK407" i="12"/>
  <c r="BK411" i="12"/>
  <c r="BK415" i="12"/>
  <c r="BK419" i="12"/>
  <c r="BK423" i="12"/>
  <c r="BK427" i="12"/>
  <c r="BK431" i="12"/>
  <c r="BK435" i="12"/>
  <c r="BK439" i="12"/>
  <c r="BK443" i="12"/>
  <c r="BK447" i="12"/>
  <c r="BK451" i="12"/>
  <c r="BK455" i="12"/>
  <c r="BK459" i="12"/>
  <c r="BK463" i="12"/>
  <c r="BK467" i="12"/>
  <c r="BK471" i="12"/>
  <c r="BK475" i="12"/>
  <c r="BK479" i="12"/>
  <c r="BK483" i="12"/>
  <c r="BK487" i="12"/>
  <c r="BK421" i="12"/>
  <c r="BK425" i="12"/>
  <c r="BK429" i="12"/>
  <c r="BK433" i="12"/>
  <c r="BK437" i="12"/>
  <c r="BK441" i="12"/>
  <c r="BK445" i="12"/>
  <c r="BK449" i="12"/>
  <c r="BK453" i="12"/>
  <c r="BK457" i="12"/>
  <c r="BK461" i="12"/>
  <c r="BK465" i="12"/>
  <c r="BK469" i="12"/>
  <c r="BK473" i="12"/>
  <c r="BK477" i="12"/>
  <c r="BK481" i="12"/>
  <c r="BK485" i="12"/>
  <c r="BK489" i="12"/>
  <c r="Z7" i="12"/>
  <c r="Y7" i="12"/>
  <c r="BK1001" i="98" l="1"/>
  <c r="AE7" i="98"/>
  <c r="AD7" i="98"/>
  <c r="AE9" i="98"/>
  <c r="AD9" i="98"/>
  <c r="Z11" i="12" l="1"/>
  <c r="Y11" i="12"/>
  <c r="Z10" i="12"/>
  <c r="Y10" i="12"/>
  <c r="Z9" i="12"/>
  <c r="Y9" i="12"/>
  <c r="Z8" i="12"/>
  <c r="Y8" i="12"/>
  <c r="Y14" i="12"/>
  <c r="Z14" i="12"/>
  <c r="Y15" i="12"/>
  <c r="Z15" i="12"/>
  <c r="Y16" i="12"/>
  <c r="Z16" i="12"/>
  <c r="Y17" i="12"/>
  <c r="Z17" i="12"/>
  <c r="Z21" i="12" l="1"/>
  <c r="Y21" i="12"/>
  <c r="Z23" i="12" l="1"/>
  <c r="Y23" i="12"/>
  <c r="Z24" i="12"/>
  <c r="Y24" i="12"/>
  <c r="Z18" i="12"/>
  <c r="Y18" i="12"/>
  <c r="Z19" i="12"/>
  <c r="Y19" i="12"/>
  <c r="Z20" i="12"/>
  <c r="Y20" i="12"/>
  <c r="Y22" i="12" l="1"/>
  <c r="Z22" i="12"/>
  <c r="BK354" i="12" l="1"/>
  <c r="BK353" i="12"/>
  <c r="BK351" i="12" s="1"/>
  <c r="E91" i="11"/>
  <c r="E93" i="11"/>
  <c r="E92" i="11"/>
  <c r="AF7" i="11" l="1"/>
  <c r="AF11" i="11"/>
  <c r="AF15" i="11"/>
  <c r="AF19" i="11"/>
  <c r="AF23" i="11"/>
  <c r="AF27" i="11"/>
  <c r="AF31" i="11"/>
  <c r="AF35" i="11"/>
  <c r="AF39" i="11"/>
  <c r="AF43" i="11"/>
  <c r="AF47" i="11"/>
  <c r="AF51" i="11"/>
  <c r="AF55" i="11"/>
  <c r="AF59" i="11"/>
  <c r="AF63" i="11"/>
  <c r="AF67" i="11"/>
  <c r="AF71" i="11"/>
  <c r="AF75" i="11"/>
  <c r="AF79" i="11"/>
  <c r="AF83" i="11"/>
  <c r="AF87" i="11"/>
  <c r="AF3" i="11"/>
  <c r="AA7" i="11" l="1"/>
  <c r="AB7" i="11"/>
  <c r="AA11" i="11"/>
  <c r="AB11" i="11"/>
  <c r="AA15" i="11"/>
  <c r="AB15" i="11"/>
  <c r="AA19" i="11"/>
  <c r="AB19" i="11"/>
  <c r="AA23" i="11"/>
  <c r="AB23" i="11"/>
  <c r="AA27" i="11"/>
  <c r="AB27" i="11"/>
  <c r="AA31" i="11"/>
  <c r="AB31" i="11"/>
  <c r="AA35" i="11"/>
  <c r="AB35" i="11"/>
  <c r="AA39" i="11"/>
  <c r="AB39" i="11"/>
  <c r="AA43" i="11"/>
  <c r="AB43" i="11"/>
  <c r="AA47" i="11"/>
  <c r="AB47" i="11"/>
  <c r="AA51" i="11"/>
  <c r="AB51" i="11"/>
  <c r="AA55" i="11"/>
  <c r="AB55" i="11"/>
  <c r="AA59" i="11"/>
  <c r="AB59" i="11"/>
  <c r="AA63" i="11"/>
  <c r="AB63" i="11"/>
  <c r="AA67" i="11"/>
  <c r="AB67" i="11"/>
  <c r="AA71" i="11"/>
  <c r="AB71" i="11"/>
  <c r="AA75" i="11"/>
  <c r="AB75" i="11"/>
  <c r="AA79" i="11"/>
  <c r="AB79" i="11"/>
  <c r="AA83" i="11"/>
  <c r="AB83" i="11"/>
  <c r="AA87" i="11"/>
  <c r="AB87" i="11"/>
  <c r="AB3" i="11"/>
  <c r="AA3" i="11"/>
  <c r="E94" i="11" l="1"/>
  <c r="AC235" i="98"/>
  <c r="AB235" i="98"/>
  <c r="AA235" i="98"/>
  <c r="Z235" i="98"/>
  <c r="Y235" i="98"/>
  <c r="X235" i="98"/>
  <c r="W235" i="98"/>
  <c r="V235" i="98"/>
  <c r="U235" i="98"/>
  <c r="T235" i="98"/>
  <c r="S235" i="98"/>
  <c r="R235" i="98"/>
  <c r="Q235" i="98"/>
  <c r="P235" i="98"/>
  <c r="O235" i="98"/>
  <c r="N235" i="98"/>
  <c r="M235" i="98"/>
  <c r="L235" i="98"/>
  <c r="K235" i="98"/>
  <c r="J235" i="98"/>
  <c r="I235" i="98"/>
  <c r="H235" i="98"/>
  <c r="G235" i="98"/>
  <c r="F235" i="98"/>
  <c r="AE232" i="98"/>
  <c r="AD232" i="98"/>
  <c r="AE231" i="98"/>
  <c r="AD231" i="98"/>
  <c r="AE230" i="98"/>
  <c r="AD230" i="98"/>
  <c r="AE229" i="98"/>
  <c r="AD229" i="98"/>
  <c r="AE228" i="98"/>
  <c r="AD228" i="98"/>
  <c r="AE227" i="98"/>
  <c r="AD227" i="98"/>
  <c r="AE226" i="98"/>
  <c r="AD226" i="98"/>
  <c r="AE225" i="98"/>
  <c r="AD225" i="98"/>
  <c r="AE224" i="98"/>
  <c r="AD224" i="98"/>
  <c r="AE223" i="98"/>
  <c r="AD223" i="98"/>
  <c r="AE222" i="98"/>
  <c r="AD222" i="98"/>
  <c r="AE221" i="98"/>
  <c r="AD221" i="98"/>
  <c r="AE220" i="98"/>
  <c r="AD220" i="98"/>
  <c r="AE219" i="98"/>
  <c r="AD219" i="98"/>
  <c r="AE218" i="98"/>
  <c r="AD218" i="98"/>
  <c r="AE217" i="98"/>
  <c r="AD217" i="98"/>
  <c r="AE216" i="98"/>
  <c r="AD216" i="98"/>
  <c r="AE215" i="98"/>
  <c r="AD215" i="98"/>
  <c r="AE214" i="98"/>
  <c r="AD214" i="98"/>
  <c r="AE213" i="98"/>
  <c r="AD213" i="98"/>
  <c r="AE212" i="98"/>
  <c r="AD212" i="98"/>
  <c r="AE211" i="98"/>
  <c r="AD211" i="98"/>
  <c r="AE210" i="98"/>
  <c r="AD210" i="98"/>
  <c r="AE209" i="98"/>
  <c r="AD209" i="98"/>
  <c r="AE208" i="98"/>
  <c r="AD208" i="98"/>
  <c r="AE207" i="98"/>
  <c r="AD207" i="98"/>
  <c r="AE206" i="98"/>
  <c r="AD206" i="98"/>
  <c r="AE205" i="98"/>
  <c r="AD205" i="98"/>
  <c r="AE204" i="98"/>
  <c r="AD204" i="98"/>
  <c r="AE203" i="98"/>
  <c r="AD203" i="98"/>
  <c r="AE202" i="98"/>
  <c r="AD202" i="98"/>
  <c r="AE201" i="98"/>
  <c r="AD201" i="98"/>
  <c r="AE200" i="98"/>
  <c r="AD200" i="98"/>
  <c r="AE199" i="98"/>
  <c r="AD199" i="98"/>
  <c r="AE198" i="98"/>
  <c r="AD198" i="98"/>
  <c r="AE197" i="98"/>
  <c r="AD197" i="98"/>
  <c r="AE196" i="98"/>
  <c r="AD196" i="98"/>
  <c r="AE195" i="98"/>
  <c r="AD195" i="98"/>
  <c r="AE194" i="98"/>
  <c r="AD194" i="98"/>
  <c r="AE193" i="98"/>
  <c r="AD193" i="98"/>
  <c r="AE192" i="98"/>
  <c r="AD192" i="98"/>
  <c r="AE191" i="98"/>
  <c r="AD191" i="98"/>
  <c r="AE190" i="98"/>
  <c r="AD190" i="98"/>
  <c r="AE189" i="98"/>
  <c r="AD189" i="98"/>
  <c r="AE188" i="98"/>
  <c r="AD188" i="98"/>
  <c r="AE187" i="98"/>
  <c r="AD187" i="98"/>
  <c r="AE186" i="98"/>
  <c r="AD186" i="98"/>
  <c r="AE185" i="98"/>
  <c r="AD185" i="98"/>
  <c r="AE184" i="98"/>
  <c r="AD184" i="98"/>
  <c r="AE183" i="98"/>
  <c r="AD183" i="98"/>
  <c r="AE182" i="98"/>
  <c r="AD182" i="98"/>
  <c r="AE181" i="98"/>
  <c r="AD181" i="98"/>
  <c r="AE180" i="98"/>
  <c r="AD180" i="98"/>
  <c r="AE179" i="98"/>
  <c r="AD179" i="98"/>
  <c r="AE178" i="98"/>
  <c r="AD178" i="98"/>
  <c r="AE177" i="98"/>
  <c r="AD177" i="98"/>
  <c r="AE176" i="98"/>
  <c r="AD176" i="98"/>
  <c r="AE175" i="98"/>
  <c r="AD175" i="98"/>
  <c r="AE174" i="98"/>
  <c r="AD174" i="98"/>
  <c r="AE173" i="98"/>
  <c r="AD173" i="98"/>
  <c r="AE172" i="98"/>
  <c r="AD172" i="98"/>
  <c r="AE171" i="98"/>
  <c r="AD171" i="98"/>
  <c r="AE170" i="98"/>
  <c r="AD170" i="98"/>
  <c r="AE169" i="98"/>
  <c r="AD169" i="98"/>
  <c r="AE168" i="98"/>
  <c r="AD168" i="98"/>
  <c r="AE167" i="98"/>
  <c r="AD167" i="98"/>
  <c r="AE166" i="98"/>
  <c r="AD166" i="98"/>
  <c r="AE165" i="98"/>
  <c r="AD165" i="98"/>
  <c r="AE164" i="98"/>
  <c r="AD164" i="98"/>
  <c r="AE163" i="98"/>
  <c r="AD163" i="98"/>
  <c r="AE162" i="98"/>
  <c r="AD162" i="98"/>
  <c r="AE161" i="98"/>
  <c r="AD161" i="98"/>
  <c r="AE160" i="98"/>
  <c r="AD160" i="98"/>
  <c r="AE159" i="98"/>
  <c r="AD159" i="98"/>
  <c r="AE158" i="98"/>
  <c r="AD158" i="98"/>
  <c r="AE157" i="98"/>
  <c r="AD157" i="98"/>
  <c r="AE156" i="98"/>
  <c r="AD156" i="98"/>
  <c r="AE155" i="98"/>
  <c r="AD155" i="98"/>
  <c r="AE154" i="98"/>
  <c r="AD154" i="98"/>
  <c r="AE153" i="98"/>
  <c r="AD153" i="98"/>
  <c r="AE152" i="98"/>
  <c r="AD152" i="98"/>
  <c r="AE151" i="98"/>
  <c r="AD151" i="98"/>
  <c r="AE150" i="98"/>
  <c r="AD150" i="98"/>
  <c r="AE149" i="98"/>
  <c r="AD149" i="98"/>
  <c r="AE148" i="98"/>
  <c r="AD148" i="98"/>
  <c r="AE147" i="98"/>
  <c r="AD147" i="98"/>
  <c r="AE146" i="98"/>
  <c r="AD146" i="98"/>
  <c r="AE145" i="98"/>
  <c r="AD145" i="98"/>
  <c r="AE144" i="98"/>
  <c r="AD144" i="98"/>
  <c r="AE143" i="98"/>
  <c r="AD143" i="98"/>
  <c r="AE142" i="98"/>
  <c r="AD142" i="98"/>
  <c r="AE141" i="98"/>
  <c r="AD141" i="98"/>
  <c r="AE140" i="98"/>
  <c r="AD140" i="98"/>
  <c r="AE139" i="98"/>
  <c r="AD139" i="98"/>
  <c r="AE138" i="98"/>
  <c r="AD138" i="98"/>
  <c r="AE137" i="98"/>
  <c r="AD137" i="98"/>
  <c r="AE136" i="98"/>
  <c r="AD136" i="98"/>
  <c r="AE135" i="98"/>
  <c r="AD135" i="98"/>
  <c r="AE134" i="98"/>
  <c r="AD134" i="98"/>
  <c r="AE133" i="98"/>
  <c r="AD133" i="98"/>
  <c r="AE132" i="98"/>
  <c r="AD132" i="98"/>
  <c r="AE131" i="98"/>
  <c r="AD131" i="98"/>
  <c r="AE130" i="98"/>
  <c r="AD130" i="98"/>
  <c r="AE129" i="98"/>
  <c r="AD129" i="98"/>
  <c r="AE128" i="98"/>
  <c r="AD128" i="98"/>
  <c r="AE127" i="98"/>
  <c r="AD127" i="98"/>
  <c r="AE126" i="98"/>
  <c r="AD126" i="98"/>
  <c r="AE125" i="98"/>
  <c r="AD125" i="98"/>
  <c r="AE124" i="98"/>
  <c r="AD124" i="98"/>
  <c r="AE123" i="98"/>
  <c r="AD123" i="98"/>
  <c r="AE122" i="98"/>
  <c r="AD122" i="98"/>
  <c r="AE121" i="98"/>
  <c r="AD121" i="98"/>
  <c r="AE120" i="98"/>
  <c r="AD120" i="98"/>
  <c r="AE119" i="98"/>
  <c r="AD119" i="98"/>
  <c r="AE118" i="98"/>
  <c r="AD118" i="98"/>
  <c r="AE117" i="98"/>
  <c r="AD117" i="98"/>
  <c r="AE116" i="98"/>
  <c r="AD116" i="98"/>
  <c r="AE115" i="98"/>
  <c r="AD115" i="98"/>
  <c r="AE114" i="98"/>
  <c r="AD114" i="98"/>
  <c r="AE113" i="98"/>
  <c r="AD113" i="98"/>
  <c r="AE112" i="98"/>
  <c r="AD112" i="98"/>
  <c r="AE111" i="98"/>
  <c r="AD111" i="98"/>
  <c r="AE110" i="98"/>
  <c r="AD110" i="98"/>
  <c r="AE109" i="98"/>
  <c r="AD109" i="98"/>
  <c r="AE108" i="98"/>
  <c r="AD108" i="98"/>
  <c r="AE107" i="98"/>
  <c r="AD107" i="98"/>
  <c r="AE106" i="98"/>
  <c r="AD106" i="98"/>
  <c r="AE105" i="98"/>
  <c r="AD105" i="98"/>
  <c r="AE104" i="98"/>
  <c r="AD104" i="98"/>
  <c r="AE103" i="98"/>
  <c r="AD103" i="98"/>
  <c r="AE102" i="98"/>
  <c r="AD102" i="98"/>
  <c r="AE101" i="98"/>
  <c r="AD101" i="98"/>
  <c r="AE100" i="98"/>
  <c r="AD100" i="98"/>
  <c r="AE99" i="98"/>
  <c r="AD99" i="98"/>
  <c r="AE98" i="98"/>
  <c r="AD98" i="98"/>
  <c r="AE97" i="98"/>
  <c r="AD97" i="98"/>
  <c r="AE96" i="98"/>
  <c r="AD96" i="98"/>
  <c r="AE95" i="98"/>
  <c r="AD95" i="98"/>
  <c r="AE94" i="98"/>
  <c r="AD94" i="98"/>
  <c r="AE93" i="98"/>
  <c r="AD93" i="98"/>
  <c r="AE92" i="98"/>
  <c r="AD92" i="98"/>
  <c r="AE91" i="98"/>
  <c r="AD91" i="98"/>
  <c r="AE90" i="98"/>
  <c r="AD90" i="98"/>
  <c r="AE89" i="98"/>
  <c r="AD89" i="98"/>
  <c r="AE88" i="98"/>
  <c r="AD88" i="98"/>
  <c r="AE87" i="98"/>
  <c r="AD87" i="98"/>
  <c r="AE86" i="98"/>
  <c r="AD86" i="98"/>
  <c r="AE85" i="98"/>
  <c r="AD85" i="98"/>
  <c r="AE84" i="98"/>
  <c r="AD84" i="98"/>
  <c r="AE83" i="98"/>
  <c r="AD83" i="98"/>
  <c r="AE82" i="98"/>
  <c r="AD82" i="98"/>
  <c r="AE81" i="98"/>
  <c r="AD81" i="98"/>
  <c r="AE80" i="98"/>
  <c r="AD80" i="98"/>
  <c r="AE79" i="98"/>
  <c r="AD79" i="98"/>
  <c r="AE78" i="98"/>
  <c r="AD78" i="98"/>
  <c r="AE77" i="98"/>
  <c r="AD77" i="98"/>
  <c r="AE76" i="98"/>
  <c r="AD76" i="98"/>
  <c r="AE75" i="98"/>
  <c r="AD75" i="98"/>
  <c r="AE74" i="98"/>
  <c r="AD74" i="98"/>
  <c r="AE73" i="98"/>
  <c r="AD73" i="98"/>
  <c r="AE72" i="98"/>
  <c r="AD72" i="98"/>
  <c r="AE71" i="98"/>
  <c r="AD71" i="98"/>
  <c r="AE70" i="98"/>
  <c r="AD70" i="98"/>
  <c r="AE69" i="98"/>
  <c r="AD69" i="98"/>
  <c r="AE68" i="98"/>
  <c r="AD68" i="98"/>
  <c r="AE67" i="98"/>
  <c r="AD67" i="98"/>
  <c r="AE66" i="98"/>
  <c r="AD66" i="98"/>
  <c r="AE65" i="98"/>
  <c r="AD65" i="98"/>
  <c r="AE64" i="98"/>
  <c r="AD64" i="98"/>
  <c r="AE63" i="98"/>
  <c r="AD63" i="98"/>
  <c r="AE62" i="98"/>
  <c r="AD62" i="98"/>
  <c r="AE61" i="98"/>
  <c r="AD61" i="98"/>
  <c r="AE60" i="98"/>
  <c r="AD60" i="98"/>
  <c r="AE59" i="98"/>
  <c r="AD59" i="98"/>
  <c r="AE58" i="98"/>
  <c r="AD58" i="98"/>
  <c r="AE57" i="98"/>
  <c r="AD57" i="98"/>
  <c r="AE56" i="98"/>
  <c r="AD56" i="98"/>
  <c r="AE55" i="98"/>
  <c r="AD55" i="98"/>
  <c r="AE54" i="98"/>
  <c r="AD54" i="98"/>
  <c r="AE53" i="98"/>
  <c r="AD53" i="98"/>
  <c r="AE52" i="98"/>
  <c r="AD52" i="98"/>
  <c r="AE51" i="98"/>
  <c r="AD51" i="98"/>
  <c r="AE50" i="98"/>
  <c r="AD50" i="98"/>
  <c r="AE49" i="98"/>
  <c r="AD49" i="98"/>
  <c r="AE48" i="98"/>
  <c r="AD48" i="98"/>
  <c r="AE47" i="98"/>
  <c r="AD47" i="98"/>
  <c r="AE46" i="98"/>
  <c r="AD46" i="98"/>
  <c r="AE45" i="98"/>
  <c r="AD45" i="98"/>
  <c r="AE44" i="98"/>
  <c r="AD44" i="98"/>
  <c r="AE43" i="98"/>
  <c r="AD43" i="98"/>
  <c r="AE42" i="98"/>
  <c r="AD42" i="98"/>
  <c r="AE41" i="98"/>
  <c r="AD41" i="98"/>
  <c r="AE40" i="98"/>
  <c r="AD40" i="98"/>
  <c r="AE39" i="98"/>
  <c r="AD39" i="98"/>
  <c r="AE38" i="98"/>
  <c r="AD38" i="98"/>
  <c r="AE37" i="98"/>
  <c r="AD37" i="98"/>
  <c r="AE36" i="98"/>
  <c r="AD36" i="98"/>
  <c r="AE35" i="98"/>
  <c r="AD35" i="98"/>
  <c r="AE34" i="98"/>
  <c r="AD34" i="98"/>
  <c r="AE33" i="98"/>
  <c r="AD33" i="98"/>
  <c r="AE32" i="98"/>
  <c r="AD32" i="98"/>
  <c r="AE31" i="98"/>
  <c r="AD31" i="98"/>
  <c r="AE30" i="98"/>
  <c r="AD30" i="98"/>
  <c r="AE29" i="98"/>
  <c r="AD29" i="98"/>
  <c r="AE28" i="98"/>
  <c r="AD28" i="98"/>
  <c r="AE27" i="98"/>
  <c r="AD27" i="98"/>
  <c r="AE26" i="98"/>
  <c r="AD26" i="98"/>
  <c r="AE25" i="98"/>
  <c r="AD25" i="98"/>
  <c r="AE24" i="98"/>
  <c r="AD24" i="98"/>
  <c r="AE23" i="98"/>
  <c r="AD23" i="98"/>
  <c r="AE22" i="98"/>
  <c r="AD22" i="98"/>
  <c r="AE21" i="98"/>
  <c r="AD21" i="98"/>
  <c r="AE20" i="98"/>
  <c r="AD20" i="98"/>
  <c r="AE19" i="98"/>
  <c r="AD19" i="98"/>
  <c r="AE18" i="98"/>
  <c r="AD18" i="98"/>
  <c r="AE17" i="98"/>
  <c r="AD17" i="98"/>
  <c r="AE16" i="98"/>
  <c r="AD16" i="98"/>
  <c r="AE15" i="98"/>
  <c r="AD15" i="98"/>
  <c r="AE14" i="98"/>
  <c r="AD14" i="98"/>
  <c r="AE13" i="98"/>
  <c r="AD13" i="98"/>
  <c r="AE12" i="98"/>
  <c r="AD12" i="98"/>
  <c r="AE11" i="98"/>
  <c r="AD11" i="98"/>
  <c r="AE10" i="98"/>
  <c r="AD10" i="98"/>
  <c r="AE8" i="98"/>
  <c r="AD8" i="98"/>
  <c r="AE6" i="98"/>
  <c r="AD6" i="98"/>
  <c r="AE5" i="98"/>
  <c r="AD5" i="98"/>
  <c r="AE4" i="98"/>
  <c r="AD4" i="98"/>
  <c r="AE3" i="98"/>
  <c r="AD3" i="98"/>
  <c r="Y28" i="12"/>
  <c r="Z28" i="12"/>
  <c r="Y29" i="12"/>
  <c r="Z29" i="12"/>
  <c r="Y30" i="12"/>
  <c r="Z30" i="12"/>
  <c r="Y31" i="12"/>
  <c r="Z31" i="12"/>
  <c r="Z140" i="12"/>
  <c r="Y140" i="12"/>
  <c r="Z139" i="12"/>
  <c r="Y139" i="12"/>
  <c r="Z138" i="12"/>
  <c r="Y138" i="12"/>
  <c r="Z137" i="12"/>
  <c r="Y137" i="12"/>
  <c r="Z136" i="12"/>
  <c r="Y136" i="12"/>
  <c r="Z135" i="12"/>
  <c r="Y135" i="12"/>
  <c r="Z134" i="12"/>
  <c r="Y134" i="12"/>
  <c r="Z133" i="12"/>
  <c r="Y133" i="12"/>
  <c r="Z132" i="12"/>
  <c r="Y132" i="12"/>
  <c r="Z131" i="12"/>
  <c r="Y131" i="12"/>
  <c r="Z130" i="12"/>
  <c r="Y130" i="12"/>
  <c r="Z129" i="12"/>
  <c r="Y129" i="12"/>
  <c r="Z128" i="12"/>
  <c r="Y128" i="12"/>
  <c r="Z127" i="12"/>
  <c r="Y127" i="12"/>
  <c r="Z126" i="12"/>
  <c r="Y126" i="12"/>
  <c r="Z125" i="12"/>
  <c r="Y125" i="12"/>
  <c r="Z124" i="12"/>
  <c r="Y124" i="12"/>
  <c r="Z123" i="12"/>
  <c r="Y123" i="12"/>
  <c r="Z122" i="12"/>
  <c r="Y122" i="12"/>
  <c r="Z121" i="12"/>
  <c r="Y121" i="12"/>
  <c r="Z120" i="12"/>
  <c r="Y120" i="12"/>
  <c r="Z119" i="12"/>
  <c r="Y119" i="12"/>
  <c r="Z118" i="12"/>
  <c r="Y118" i="12"/>
  <c r="Z117" i="12"/>
  <c r="Y117" i="12"/>
  <c r="Z116" i="12"/>
  <c r="Y116" i="12"/>
  <c r="Z115" i="12"/>
  <c r="Y115" i="12"/>
  <c r="Z114" i="12"/>
  <c r="Y114" i="12"/>
  <c r="Z113" i="12"/>
  <c r="Y113" i="12"/>
  <c r="Z112" i="12"/>
  <c r="Y112" i="12"/>
  <c r="Z111" i="12"/>
  <c r="Y111" i="12"/>
  <c r="Z110" i="12"/>
  <c r="Y110" i="12"/>
  <c r="Z109" i="12"/>
  <c r="Y109" i="12"/>
  <c r="Z108" i="12"/>
  <c r="Y108" i="12"/>
  <c r="Z107" i="12"/>
  <c r="Y107" i="12"/>
  <c r="Z106" i="12"/>
  <c r="Y106" i="12"/>
  <c r="Z105" i="12"/>
  <c r="Y105" i="12"/>
  <c r="Z104" i="12"/>
  <c r="Y104" i="12"/>
  <c r="Z103" i="12"/>
  <c r="Y103" i="12"/>
  <c r="Z102" i="12"/>
  <c r="Y102" i="12"/>
  <c r="Z101" i="12"/>
  <c r="Y101" i="12"/>
  <c r="Z100" i="12"/>
  <c r="Y100" i="12"/>
  <c r="Z99" i="12"/>
  <c r="Y99" i="12"/>
  <c r="Z98" i="12"/>
  <c r="Y98" i="12"/>
  <c r="Z97" i="12"/>
  <c r="Y97" i="12"/>
  <c r="Z96" i="12"/>
  <c r="Y96" i="12"/>
  <c r="Z95" i="12"/>
  <c r="Y95" i="12"/>
  <c r="Z94" i="12"/>
  <c r="Y94" i="12"/>
  <c r="Z93" i="12"/>
  <c r="Y93" i="12"/>
  <c r="Z92" i="12"/>
  <c r="Y92" i="12"/>
  <c r="Z91" i="12"/>
  <c r="Y91" i="12"/>
  <c r="Z90" i="12"/>
  <c r="Y90" i="12"/>
  <c r="Z89" i="12"/>
  <c r="Y89" i="12"/>
  <c r="Z88" i="12"/>
  <c r="Y88" i="12"/>
  <c r="Z87" i="12"/>
  <c r="Y87" i="12"/>
  <c r="Z86" i="12"/>
  <c r="Y86" i="12"/>
  <c r="Z85" i="12"/>
  <c r="Y85" i="12"/>
  <c r="Z84" i="12"/>
  <c r="Y84" i="12"/>
  <c r="Z83" i="12"/>
  <c r="Y83" i="12"/>
  <c r="Z82" i="12"/>
  <c r="Y82" i="12"/>
  <c r="Z81" i="12"/>
  <c r="Y81" i="12"/>
  <c r="Z80" i="12"/>
  <c r="Y80" i="12"/>
  <c r="Z79" i="12"/>
  <c r="Y79" i="12"/>
  <c r="Z78" i="12"/>
  <c r="Y78" i="12"/>
  <c r="Z77" i="12"/>
  <c r="Y77" i="12"/>
  <c r="Z76" i="12"/>
  <c r="Y76" i="12"/>
  <c r="Z75" i="12"/>
  <c r="Y75" i="12"/>
  <c r="Z74" i="12"/>
  <c r="Y74" i="12"/>
  <c r="Z73" i="12"/>
  <c r="Y73" i="12"/>
  <c r="Z72" i="12"/>
  <c r="Y72" i="12"/>
  <c r="Z71" i="12"/>
  <c r="Y71" i="12"/>
  <c r="Z70" i="12"/>
  <c r="Y70" i="12"/>
  <c r="Z69" i="12"/>
  <c r="Y69" i="12"/>
  <c r="Z68" i="12"/>
  <c r="Y68" i="12"/>
  <c r="Z67" i="12"/>
  <c r="Y67" i="12"/>
  <c r="Z66" i="12"/>
  <c r="Y66" i="12"/>
  <c r="Z65" i="12"/>
  <c r="Y65" i="12"/>
  <c r="Z64" i="12"/>
  <c r="Y64" i="12"/>
  <c r="Z63" i="12"/>
  <c r="Y63" i="12"/>
  <c r="Z62" i="12"/>
  <c r="Y62" i="12"/>
  <c r="Z61" i="12"/>
  <c r="Y61" i="12"/>
  <c r="Z60" i="12"/>
  <c r="Y60" i="12"/>
  <c r="Z59" i="12"/>
  <c r="Y59" i="12"/>
  <c r="Z58" i="12"/>
  <c r="Y58" i="12"/>
  <c r="Z57" i="12"/>
  <c r="Y57" i="12"/>
  <c r="Z56" i="12"/>
  <c r="Y56" i="12"/>
  <c r="Z55" i="12"/>
  <c r="Y55" i="12"/>
  <c r="Z54" i="12"/>
  <c r="Y54" i="12"/>
  <c r="Z53" i="12"/>
  <c r="Y53" i="12"/>
  <c r="Z52" i="12"/>
  <c r="Y52" i="12"/>
  <c r="Z51" i="12"/>
  <c r="Y51" i="12"/>
  <c r="Z50" i="12"/>
  <c r="Y50" i="12"/>
  <c r="Z49" i="12"/>
  <c r="Y49" i="12"/>
  <c r="Z48" i="12"/>
  <c r="Y48" i="12"/>
  <c r="Z47" i="12"/>
  <c r="Y47" i="12"/>
  <c r="Z46" i="12"/>
  <c r="Y46" i="12"/>
  <c r="Z45" i="12"/>
  <c r="Y45" i="12"/>
  <c r="Z44" i="12"/>
  <c r="Y44" i="12"/>
  <c r="Z43" i="12"/>
  <c r="Y43" i="12"/>
  <c r="Z42" i="12"/>
  <c r="Y42" i="12"/>
  <c r="Z41" i="12"/>
  <c r="Y41" i="12"/>
  <c r="Z40" i="12"/>
  <c r="Y40" i="12"/>
  <c r="Z39" i="12"/>
  <c r="Y39" i="12"/>
  <c r="Z38" i="12"/>
  <c r="Y38" i="12"/>
  <c r="Z37" i="12"/>
  <c r="Y37" i="12"/>
  <c r="Z36" i="12"/>
  <c r="Y36" i="12"/>
  <c r="Z35" i="12"/>
  <c r="Y35" i="12"/>
  <c r="Z34" i="12"/>
  <c r="Y34" i="12"/>
  <c r="Z33" i="12"/>
  <c r="Y33" i="12"/>
  <c r="Z32" i="12"/>
  <c r="Y32" i="12"/>
  <c r="Z27" i="12"/>
  <c r="Y27" i="12"/>
  <c r="Z26" i="12"/>
  <c r="Y26" i="12"/>
  <c r="Z25" i="12"/>
  <c r="Y25" i="12"/>
  <c r="Z13" i="12"/>
  <c r="Y13" i="12"/>
  <c r="Z12" i="12"/>
  <c r="Y12" i="12"/>
  <c r="Z6" i="12"/>
  <c r="Y6" i="12"/>
  <c r="Z5" i="12"/>
  <c r="Y5" i="12"/>
  <c r="Z4" i="12"/>
  <c r="Y4" i="12"/>
  <c r="Z3" i="12"/>
  <c r="Y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F143" i="12"/>
  <c r="E143" i="12"/>
  <c r="D142" i="12"/>
  <c r="AE234" i="98" l="1"/>
  <c r="AD234" i="98"/>
  <c r="Z142" i="12"/>
  <c r="Y142" i="12"/>
</calcChain>
</file>

<file path=xl/sharedStrings.xml><?xml version="1.0" encoding="utf-8"?>
<sst xmlns="http://schemas.openxmlformats.org/spreadsheetml/2006/main" count="267" uniqueCount="55">
  <si>
    <t>P&amp;IDs</t>
  </si>
  <si>
    <t>PFDs</t>
  </si>
  <si>
    <t>Project #</t>
  </si>
  <si>
    <t>Issue Rev</t>
  </si>
  <si>
    <t>Drawing Type</t>
  </si>
  <si>
    <t>Legend</t>
  </si>
  <si>
    <t>Light Marks</t>
  </si>
  <si>
    <t>Medium Marks</t>
  </si>
  <si>
    <t>Heavy Marks</t>
  </si>
  <si>
    <t>Medium to Heavy Marks</t>
  </si>
  <si>
    <t>Total Drawing Count</t>
  </si>
  <si>
    <t>Comments</t>
  </si>
  <si>
    <t>New</t>
  </si>
  <si>
    <t>Existing</t>
  </si>
  <si>
    <t>Houston CADD</t>
  </si>
  <si>
    <t>Date to CADD</t>
  </si>
  <si>
    <t>Issue Date</t>
  </si>
  <si>
    <t>Drawing Number</t>
  </si>
  <si>
    <t>Description</t>
  </si>
  <si>
    <t>1st Pass</t>
  </si>
  <si>
    <t>2nd Pass</t>
  </si>
  <si>
    <t>3rd Pass</t>
  </si>
  <si>
    <t>4th Pass</t>
  </si>
  <si>
    <t>5th Pass</t>
  </si>
  <si>
    <t>Final</t>
  </si>
  <si>
    <t>Eng / Tech Progress</t>
  </si>
  <si>
    <t>CAD Progress</t>
  </si>
  <si>
    <t>Remarks</t>
  </si>
  <si>
    <t>To CAD</t>
  </si>
  <si>
    <t>Back from CAD</t>
  </si>
  <si>
    <t>Backchecked</t>
  </si>
  <si>
    <t>Total Drawings</t>
  </si>
  <si>
    <t>Count</t>
  </si>
  <si>
    <t>Piping</t>
  </si>
  <si>
    <t>Control Systems</t>
  </si>
  <si>
    <t>Progress</t>
  </si>
  <si>
    <t>With Piping</t>
  </si>
  <si>
    <t>With Controls</t>
  </si>
  <si>
    <t>TOTALS</t>
  </si>
  <si>
    <t>CADD Schedule</t>
  </si>
  <si>
    <t>(N)ew, (E)xisting, (D)emo</t>
  </si>
  <si>
    <t>Demo</t>
  </si>
  <si>
    <t xml:space="preserve"> -  PFDs</t>
  </si>
  <si>
    <t xml:space="preserve"> -  P&amp;IDs</t>
  </si>
  <si>
    <t>Unit/Area</t>
  </si>
  <si>
    <t>India (HVEC) CADD</t>
  </si>
  <si>
    <t>In Backcheck</t>
  </si>
  <si>
    <t>With Process</t>
  </si>
  <si>
    <t>PFD SUMMARY INFO</t>
  </si>
  <si>
    <t>P&amp;ID SUMMARY INFO</t>
  </si>
  <si>
    <t>India CADD</t>
  </si>
  <si>
    <t>Reset Marks</t>
  </si>
  <si>
    <t>Order of Drawings</t>
  </si>
  <si>
    <t>Old/Client Drawing Number</t>
  </si>
  <si>
    <t>For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</si>
</sst>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[$-409]d\-mmm\-yy;@"/>
    <numFmt numFmtId="165" formatCode="m/d;@"/>
    <numFmt numFmtId="166" formatCode="000"/>
    <numFmt numFmtId="167" formatCode="00000"/>
    <numFmt numFmtId="168" formatCode="0000"/>
    <numFmt numFmtId="169" formatCode="0.0%"/>
    <numFmt numFmtId="170" formatCode="&quot;Updated: &quot;mm/dd/yy"/>
  </numFmts>
  <fonts count="21" x14ac:knownFonts="1">
    <font>
      <sz val="10"/>
      <color indexed="8"/>
      <name val="Arial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sz val="11"/>
      <color indexed="12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D9D9D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9" fontId="1" fillId="0" borderId="0" applyFont="0" applyFill="0" applyBorder="0" applyAlignment="0" applyProtection="0"/>
  </cellStyleXfs>
  <cellXfs count="294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" fontId="2" fillId="0" borderId="0" xfId="0" applyNumberFormat="1" applyFont="1" applyFill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/>
    <xf numFmtId="1" fontId="0" fillId="0" borderId="0" xfId="0" applyNumberFormat="1" applyFill="1"/>
    <xf numFmtId="14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right" vertical="center"/>
    </xf>
    <xf numFmtId="14" fontId="12" fillId="0" borderId="0" xfId="0" applyNumberFormat="1" applyFont="1" applyFill="1" applyAlignment="1">
      <alignment horizontal="center" vertical="center"/>
    </xf>
    <xf numFmtId="14" fontId="10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43" fontId="7" fillId="0" borderId="0" xfId="1" applyFont="1" applyFill="1" applyBorder="1" applyAlignment="1">
      <alignment horizontal="right" vertical="center"/>
    </xf>
    <xf numFmtId="1" fontId="7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14" fontId="7" fillId="0" borderId="0" xfId="0" applyNumberFormat="1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5" fillId="0" borderId="2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20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26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26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2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27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27" xfId="0" applyNumberFormat="1" applyFont="1" applyFill="1" applyBorder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horizontal="center" vertical="center"/>
      <protection hidden="1"/>
    </xf>
    <xf numFmtId="14" fontId="12" fillId="0" borderId="0" xfId="0" applyNumberFormat="1" applyFont="1" applyFill="1" applyAlignment="1" applyProtection="1">
      <alignment horizontal="center" vertical="center"/>
      <protection hidden="1"/>
    </xf>
    <xf numFmtId="166" fontId="5" fillId="0" borderId="0" xfId="0" applyNumberFormat="1" applyFont="1" applyFill="1" applyBorder="1" applyAlignment="1" applyProtection="1">
      <alignment horizontal="right" vertical="center"/>
      <protection hidden="1"/>
    </xf>
    <xf numFmtId="1" fontId="5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left" vertical="center"/>
      <protection hidden="1"/>
    </xf>
    <xf numFmtId="166" fontId="5" fillId="0" borderId="0" xfId="0" applyNumberFormat="1" applyFont="1" applyBorder="1" applyAlignment="1" applyProtection="1">
      <alignment horizontal="right" vertical="center"/>
      <protection hidden="1"/>
    </xf>
    <xf numFmtId="1" fontId="5" fillId="0" borderId="0" xfId="0" applyNumberFormat="1" applyFont="1" applyBorder="1" applyAlignment="1" applyProtection="1">
      <alignment horizontal="center" vertical="center"/>
      <protection hidden="1"/>
    </xf>
    <xf numFmtId="14" fontId="7" fillId="0" borderId="0" xfId="0" applyNumberFormat="1" applyFont="1" applyAlignment="1" applyProtection="1">
      <alignment horizontal="center" vertical="center"/>
      <protection hidden="1"/>
    </xf>
    <xf numFmtId="165" fontId="7" fillId="0" borderId="0" xfId="0" applyNumberFormat="1" applyFont="1" applyAlignment="1" applyProtection="1">
      <alignment horizontal="center" vertical="center"/>
      <protection hidden="1"/>
    </xf>
    <xf numFmtId="49" fontId="5" fillId="0" borderId="14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14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3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36" xfId="1" applyNumberFormat="1" applyFont="1" applyFill="1" applyBorder="1" applyAlignment="1" applyProtection="1">
      <alignment horizontal="left" vertical="center" wrapText="1"/>
      <protection locked="0"/>
    </xf>
    <xf numFmtId="0" fontId="7" fillId="0" borderId="0" xfId="0" applyFont="1" applyFill="1" applyAlignment="1" applyProtection="1">
      <alignment vertical="center"/>
      <protection hidden="1"/>
    </xf>
    <xf numFmtId="165" fontId="7" fillId="0" borderId="0" xfId="0" applyNumberFormat="1" applyFont="1" applyFill="1" applyAlignment="1" applyProtection="1">
      <alignment vertical="center"/>
      <protection hidden="1"/>
    </xf>
    <xf numFmtId="0" fontId="7" fillId="0" borderId="0" xfId="0" applyFont="1" applyAlignment="1" applyProtection="1">
      <alignment horizontal="left" vertical="center"/>
      <protection hidden="1"/>
    </xf>
    <xf numFmtId="49" fontId="5" fillId="0" borderId="38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38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4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40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41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41" xfId="1" applyNumberFormat="1" applyFont="1" applyFill="1" applyBorder="1" applyAlignment="1" applyProtection="1">
      <alignment horizontal="left" vertical="center" wrapText="1"/>
      <protection locked="0"/>
    </xf>
    <xf numFmtId="49" fontId="5" fillId="0" borderId="27" xfId="1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1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9" xfId="0" applyNumberFormat="1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0" fillId="0" borderId="0" xfId="0" applyNumberFormat="1" applyFill="1"/>
    <xf numFmtId="0" fontId="0" fillId="0" borderId="0" xfId="0" applyFill="1" applyAlignment="1">
      <alignment horizontal="left"/>
    </xf>
    <xf numFmtId="2" fontId="0" fillId="0" borderId="0" xfId="0" applyNumberFormat="1" applyFill="1"/>
    <xf numFmtId="0" fontId="0" fillId="0" borderId="0" xfId="0" applyFill="1" applyBorder="1" applyAlignment="1">
      <alignment vertical="center" wrapText="1"/>
    </xf>
    <xf numFmtId="164" fontId="0" fillId="0" borderId="67" xfId="0" applyNumberFormat="1" applyFill="1" applyBorder="1" applyAlignment="1" applyProtection="1">
      <alignment horizontal="center"/>
      <protection locked="0"/>
    </xf>
    <xf numFmtId="164" fontId="0" fillId="0" borderId="14" xfId="0" applyNumberFormat="1" applyFill="1" applyBorder="1" applyAlignment="1" applyProtection="1">
      <alignment horizontal="center"/>
      <protection locked="0"/>
    </xf>
    <xf numFmtId="164" fontId="0" fillId="0" borderId="68" xfId="0" applyNumberFormat="1" applyFill="1" applyBorder="1" applyAlignment="1" applyProtection="1">
      <alignment horizontal="center"/>
      <protection locked="0"/>
    </xf>
    <xf numFmtId="170" fontId="1" fillId="0" borderId="35" xfId="0" applyNumberFormat="1" applyFont="1" applyFill="1" applyBorder="1" applyAlignment="1" applyProtection="1">
      <alignment horizontal="right" vertical="center"/>
      <protection locked="0"/>
    </xf>
    <xf numFmtId="1" fontId="0" fillId="8" borderId="67" xfId="0" applyNumberFormat="1" applyFill="1" applyBorder="1" applyAlignment="1" applyProtection="1">
      <alignment horizontal="center"/>
      <protection hidden="1"/>
    </xf>
    <xf numFmtId="0" fontId="0" fillId="8" borderId="14" xfId="0" applyFill="1" applyBorder="1" applyAlignment="1" applyProtection="1">
      <alignment horizontal="center"/>
      <protection hidden="1"/>
    </xf>
    <xf numFmtId="0" fontId="0" fillId="8" borderId="68" xfId="0" applyFill="1" applyBorder="1" applyAlignment="1" applyProtection="1">
      <alignment horizontal="center"/>
      <protection hidden="1"/>
    </xf>
    <xf numFmtId="9" fontId="9" fillId="8" borderId="3" xfId="3" applyFont="1" applyFill="1" applyBorder="1" applyAlignment="1" applyProtection="1">
      <alignment horizontal="center" vertical="center" wrapText="1"/>
      <protection hidden="1"/>
    </xf>
    <xf numFmtId="14" fontId="10" fillId="8" borderId="10" xfId="0" applyNumberFormat="1" applyFont="1" applyFill="1" applyBorder="1" applyAlignment="1" applyProtection="1">
      <alignment horizontal="center" vertical="center" wrapText="1"/>
      <protection hidden="1"/>
    </xf>
    <xf numFmtId="169" fontId="11" fillId="8" borderId="4" xfId="0" applyNumberFormat="1" applyFont="1" applyFill="1" applyBorder="1" applyAlignment="1" applyProtection="1">
      <alignment horizontal="center" vertical="center" wrapText="1"/>
      <protection hidden="1"/>
    </xf>
    <xf numFmtId="169" fontId="11" fillId="8" borderId="5" xfId="0" applyNumberFormat="1" applyFont="1" applyFill="1" applyBorder="1" applyAlignment="1" applyProtection="1">
      <alignment horizontal="center" vertical="center" wrapText="1"/>
      <protection hidden="1"/>
    </xf>
    <xf numFmtId="169" fontId="11" fillId="8" borderId="8" xfId="0" applyNumberFormat="1" applyFont="1" applyFill="1" applyBorder="1" applyAlignment="1" applyProtection="1">
      <alignment horizontal="center" vertical="center" wrapText="1"/>
      <protection hidden="1"/>
    </xf>
    <xf numFmtId="9" fontId="11" fillId="8" borderId="8" xfId="0" applyNumberFormat="1" applyFont="1" applyFill="1" applyBorder="1" applyAlignment="1" applyProtection="1">
      <alignment horizontal="center" vertical="center" wrapText="1"/>
      <protection hidden="1"/>
    </xf>
    <xf numFmtId="1" fontId="7" fillId="8" borderId="11" xfId="0" applyNumberFormat="1" applyFont="1" applyFill="1" applyBorder="1" applyAlignment="1" applyProtection="1">
      <alignment horizontal="center" vertical="center"/>
      <protection hidden="1"/>
    </xf>
    <xf numFmtId="1" fontId="7" fillId="8" borderId="12" xfId="0" applyNumberFormat="1" applyFont="1" applyFill="1" applyBorder="1" applyAlignment="1" applyProtection="1">
      <alignment horizontal="center" vertical="center"/>
      <protection hidden="1"/>
    </xf>
    <xf numFmtId="1" fontId="7" fillId="8" borderId="13" xfId="0" applyNumberFormat="1" applyFont="1" applyFill="1" applyBorder="1" applyAlignment="1" applyProtection="1">
      <alignment horizontal="center" vertical="center"/>
      <protection hidden="1"/>
    </xf>
    <xf numFmtId="169" fontId="9" fillId="9" borderId="9" xfId="0" applyNumberFormat="1" applyFont="1" applyFill="1" applyBorder="1" applyAlignment="1" applyProtection="1">
      <alignment horizontal="center" vertical="center" wrapText="1"/>
      <protection hidden="1"/>
    </xf>
    <xf numFmtId="169" fontId="9" fillId="9" borderId="6" xfId="0" applyNumberFormat="1" applyFont="1" applyFill="1" applyBorder="1" applyAlignment="1" applyProtection="1">
      <alignment vertical="center" wrapText="1"/>
      <protection hidden="1"/>
    </xf>
    <xf numFmtId="169" fontId="9" fillId="9" borderId="7" xfId="0" applyNumberFormat="1" applyFont="1" applyFill="1" applyBorder="1" applyAlignment="1" applyProtection="1">
      <alignment vertical="center" wrapText="1"/>
      <protection hidden="1"/>
    </xf>
    <xf numFmtId="1" fontId="5" fillId="8" borderId="35" xfId="0" applyNumberFormat="1" applyFont="1" applyFill="1" applyBorder="1" applyAlignment="1" applyProtection="1">
      <alignment horizontal="center" vertical="center" wrapText="1"/>
      <protection hidden="1"/>
    </xf>
    <xf numFmtId="1" fontId="5" fillId="8" borderId="4" xfId="0" applyNumberFormat="1" applyFont="1" applyFill="1" applyBorder="1" applyAlignment="1" applyProtection="1">
      <alignment horizontal="center" vertical="center" wrapText="1"/>
      <protection hidden="1"/>
    </xf>
    <xf numFmtId="169" fontId="11" fillId="8" borderId="46" xfId="0" applyNumberFormat="1" applyFont="1" applyFill="1" applyBorder="1" applyAlignment="1" applyProtection="1">
      <alignment horizontal="center" vertical="center" wrapText="1"/>
      <protection hidden="1"/>
    </xf>
    <xf numFmtId="1" fontId="19" fillId="0" borderId="60" xfId="0" applyNumberFormat="1" applyFont="1" applyFill="1" applyBorder="1" applyAlignment="1" applyProtection="1">
      <alignment horizontal="center" vertical="center"/>
      <protection hidden="1"/>
    </xf>
    <xf numFmtId="167" fontId="18" fillId="7" borderId="1" xfId="0" applyNumberFormat="1" applyFont="1" applyFill="1" applyBorder="1" applyAlignment="1" applyProtection="1">
      <alignment horizontal="center" vertical="center"/>
      <protection hidden="1"/>
    </xf>
    <xf numFmtId="0" fontId="18" fillId="7" borderId="1" xfId="0" applyFont="1" applyFill="1" applyBorder="1" applyAlignment="1" applyProtection="1">
      <alignment horizontal="center" vertical="center"/>
      <protection hidden="1"/>
    </xf>
    <xf numFmtId="167" fontId="18" fillId="0" borderId="1" xfId="0" applyNumberFormat="1" applyFont="1" applyFill="1" applyBorder="1" applyAlignment="1" applyProtection="1">
      <alignment horizontal="center" vertical="center"/>
      <protection hidden="1"/>
    </xf>
    <xf numFmtId="0" fontId="2" fillId="10" borderId="35" xfId="0" applyFont="1" applyFill="1" applyBorder="1" applyAlignment="1" applyProtection="1">
      <alignment horizontal="center" vertical="center"/>
      <protection locked="0"/>
    </xf>
    <xf numFmtId="0" fontId="2" fillId="10" borderId="35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Protection="1">
      <protection hidden="1"/>
    </xf>
    <xf numFmtId="0" fontId="0" fillId="0" borderId="0" xfId="0" applyNumberFormat="1" applyProtection="1">
      <protection hidden="1"/>
    </xf>
    <xf numFmtId="0" fontId="0" fillId="0" borderId="0" xfId="0" applyProtection="1">
      <protection hidden="1"/>
    </xf>
    <xf numFmtId="0" fontId="0" fillId="0" borderId="0" xfId="0" applyFill="1" applyAlignment="1" applyProtection="1">
      <protection hidden="1"/>
    </xf>
    <xf numFmtId="14" fontId="16" fillId="0" borderId="0" xfId="0" applyNumberFormat="1" applyFont="1" applyProtection="1">
      <protection hidden="1"/>
    </xf>
    <xf numFmtId="14" fontId="0" fillId="0" borderId="0" xfId="0" applyNumberFormat="1" applyProtection="1">
      <protection hidden="1"/>
    </xf>
    <xf numFmtId="1" fontId="0" fillId="0" borderId="0" xfId="0" applyNumberFormat="1" applyFill="1" applyProtection="1">
      <protection hidden="1"/>
    </xf>
    <xf numFmtId="1" fontId="2" fillId="0" borderId="0" xfId="0" applyNumberFormat="1" applyFont="1" applyFill="1" applyAlignment="1" applyProtection="1">
      <alignment horizontal="center" vertical="center" wrapText="1"/>
      <protection hidden="1"/>
    </xf>
    <xf numFmtId="1" fontId="0" fillId="0" borderId="0" xfId="0" applyNumberFormat="1" applyFill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1" fillId="0" borderId="0" xfId="0" applyNumberFormat="1" applyFont="1" applyFill="1" applyAlignment="1" applyProtection="1">
      <alignment horizontal="center"/>
      <protection hidden="1"/>
    </xf>
    <xf numFmtId="14" fontId="7" fillId="0" borderId="0" xfId="0" applyNumberFormat="1" applyFont="1" applyFill="1" applyBorder="1" applyAlignment="1">
      <alignment horizontal="center" vertical="center"/>
    </xf>
    <xf numFmtId="14" fontId="7" fillId="0" borderId="0" xfId="0" applyNumberFormat="1" applyFont="1" applyAlignment="1" applyProtection="1">
      <alignment vertical="center"/>
      <protection hidden="1"/>
    </xf>
    <xf numFmtId="49" fontId="7" fillId="0" borderId="0" xfId="0" applyNumberFormat="1" applyFont="1" applyAlignment="1" applyProtection="1">
      <alignment horizontal="center" vertical="center"/>
      <protection hidden="1"/>
    </xf>
    <xf numFmtId="49" fontId="7" fillId="0" borderId="0" xfId="0" applyNumberFormat="1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49" fontId="7" fillId="0" borderId="0" xfId="0" applyNumberFormat="1" applyFont="1" applyFill="1" applyAlignment="1" applyProtection="1">
      <alignment horizontal="center" vertical="center"/>
      <protection hidden="1"/>
    </xf>
    <xf numFmtId="49" fontId="0" fillId="7" borderId="1" xfId="0" applyNumberFormat="1" applyFont="1" applyFill="1" applyBorder="1" applyAlignment="1" applyProtection="1">
      <alignment horizontal="center" vertical="center"/>
      <protection hidden="1"/>
    </xf>
    <xf numFmtId="49" fontId="0" fillId="7" borderId="42" xfId="0" applyNumberFormat="1" applyFont="1" applyFill="1" applyBorder="1" applyAlignment="1" applyProtection="1">
      <alignment horizontal="center" vertical="center"/>
      <protection hidden="1"/>
    </xf>
    <xf numFmtId="49" fontId="20" fillId="0" borderId="1" xfId="0" applyNumberFormat="1" applyFont="1" applyFill="1" applyBorder="1" applyAlignment="1" applyProtection="1">
      <alignment horizontal="center" vertical="center"/>
      <protection hidden="1"/>
    </xf>
    <xf numFmtId="49" fontId="20" fillId="0" borderId="42" xfId="0" applyNumberFormat="1" applyFont="1" applyFill="1" applyBorder="1" applyAlignment="1" applyProtection="1">
      <alignment horizontal="center" vertical="center"/>
      <protection hidden="1"/>
    </xf>
    <xf numFmtId="49" fontId="20" fillId="0" borderId="2" xfId="0" applyNumberFormat="1" applyFont="1" applyFill="1" applyBorder="1" applyAlignment="1" applyProtection="1">
      <alignment horizontal="center" vertical="center"/>
      <protection hidden="1"/>
    </xf>
    <xf numFmtId="49" fontId="17" fillId="0" borderId="37" xfId="0" applyNumberFormat="1" applyFont="1" applyFill="1" applyBorder="1" applyAlignment="1" applyProtection="1">
      <alignment horizontal="center" vertical="center"/>
      <protection hidden="1"/>
    </xf>
    <xf numFmtId="49" fontId="17" fillId="0" borderId="0" xfId="0" applyNumberFormat="1" applyFont="1" applyFill="1" applyBorder="1" applyAlignment="1" applyProtection="1">
      <alignment horizontal="center" vertical="center"/>
      <protection hidden="1"/>
    </xf>
    <xf numFmtId="49" fontId="17" fillId="0" borderId="42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49" fontId="8" fillId="4" borderId="53" xfId="0" applyNumberFormat="1" applyFont="1" applyFill="1" applyBorder="1" applyAlignment="1" applyProtection="1">
      <alignment horizontal="right" vertical="center"/>
      <protection locked="0"/>
    </xf>
    <xf numFmtId="49" fontId="8" fillId="4" borderId="63" xfId="0" applyNumberFormat="1" applyFont="1" applyFill="1" applyBorder="1" applyAlignment="1" applyProtection="1">
      <alignment horizontal="right" vertical="center"/>
      <protection locked="0"/>
    </xf>
    <xf numFmtId="43" fontId="7" fillId="8" borderId="39" xfId="1" applyFont="1" applyFill="1" applyBorder="1" applyAlignment="1" applyProtection="1">
      <alignment horizontal="right" vertical="center"/>
      <protection hidden="1"/>
    </xf>
    <xf numFmtId="1" fontId="5" fillId="8" borderId="3" xfId="0" applyNumberFormat="1" applyFont="1" applyFill="1" applyBorder="1" applyAlignment="1" applyProtection="1">
      <alignment horizontal="center" vertical="center" wrapText="1"/>
      <protection hidden="1"/>
    </xf>
    <xf numFmtId="49" fontId="5" fillId="4" borderId="70" xfId="0" applyNumberFormat="1" applyFont="1" applyFill="1" applyBorder="1" applyAlignment="1" applyProtection="1">
      <alignment horizontal="right" vertical="center"/>
      <protection locked="0"/>
    </xf>
    <xf numFmtId="49" fontId="8" fillId="4" borderId="74" xfId="0" applyNumberFormat="1" applyFont="1" applyFill="1" applyBorder="1" applyAlignment="1" applyProtection="1">
      <alignment horizontal="right" vertical="center"/>
      <protection locked="0"/>
    </xf>
    <xf numFmtId="49" fontId="8" fillId="4" borderId="34" xfId="0" applyNumberFormat="1" applyFont="1" applyFill="1" applyBorder="1" applyAlignment="1" applyProtection="1">
      <alignment horizontal="right" vertical="center"/>
      <protection locked="0"/>
    </xf>
    <xf numFmtId="49" fontId="5" fillId="4" borderId="75" xfId="0" applyNumberFormat="1" applyFont="1" applyFill="1" applyBorder="1" applyAlignment="1" applyProtection="1">
      <alignment horizontal="right" vertical="center"/>
      <protection locked="0"/>
    </xf>
    <xf numFmtId="167" fontId="18" fillId="0" borderId="0" xfId="0" applyNumberFormat="1" applyFont="1" applyBorder="1" applyAlignment="1">
      <alignment horizontal="center" vertical="center"/>
    </xf>
    <xf numFmtId="49" fontId="8" fillId="4" borderId="26" xfId="0" applyNumberFormat="1" applyFont="1" applyFill="1" applyBorder="1" applyAlignment="1" applyProtection="1">
      <alignment horizontal="right" vertical="center"/>
      <protection locked="0"/>
    </xf>
    <xf numFmtId="49" fontId="8" fillId="4" borderId="41" xfId="0" applyNumberFormat="1" applyFont="1" applyFill="1" applyBorder="1" applyAlignment="1" applyProtection="1">
      <alignment horizontal="right" vertical="center"/>
      <protection locked="0"/>
    </xf>
    <xf numFmtId="49" fontId="5" fillId="4" borderId="28" xfId="0" applyNumberFormat="1" applyFont="1" applyFill="1" applyBorder="1" applyAlignment="1" applyProtection="1">
      <alignment horizontal="right" vertical="center"/>
      <protection locked="0"/>
    </xf>
    <xf numFmtId="49" fontId="8" fillId="4" borderId="58" xfId="0" applyNumberFormat="1" applyFont="1" applyFill="1" applyBorder="1" applyAlignment="1" applyProtection="1">
      <alignment horizontal="right" vertical="center"/>
      <protection locked="0"/>
    </xf>
    <xf numFmtId="49" fontId="8" fillId="4" borderId="59" xfId="0" applyNumberFormat="1" applyFont="1" applyFill="1" applyBorder="1" applyAlignment="1" applyProtection="1">
      <alignment horizontal="right" vertical="center"/>
      <protection locked="0"/>
    </xf>
    <xf numFmtId="49" fontId="5" fillId="4" borderId="69" xfId="0" applyNumberFormat="1" applyFont="1" applyFill="1" applyBorder="1" applyAlignment="1" applyProtection="1">
      <alignment horizontal="right" vertical="center"/>
      <protection locked="0"/>
    </xf>
    <xf numFmtId="49" fontId="8" fillId="4" borderId="38" xfId="0" applyNumberFormat="1" applyFont="1" applyFill="1" applyBorder="1" applyAlignment="1" applyProtection="1">
      <alignment horizontal="right" vertical="center"/>
      <protection locked="0"/>
    </xf>
    <xf numFmtId="49" fontId="8" fillId="4" borderId="14" xfId="0" applyNumberFormat="1" applyFont="1" applyFill="1" applyBorder="1" applyAlignment="1" applyProtection="1">
      <alignment horizontal="right" vertical="center"/>
      <protection locked="0"/>
    </xf>
    <xf numFmtId="49" fontId="8" fillId="4" borderId="36" xfId="0" applyNumberFormat="1" applyFont="1" applyFill="1" applyBorder="1" applyAlignment="1" applyProtection="1">
      <alignment horizontal="right" vertical="center"/>
      <protection locked="0"/>
    </xf>
    <xf numFmtId="49" fontId="5" fillId="4" borderId="68" xfId="0" applyNumberFormat="1" applyFont="1" applyFill="1" applyBorder="1" applyAlignment="1" applyProtection="1">
      <alignment horizontal="right" vertical="center"/>
      <protection locked="0"/>
    </xf>
    <xf numFmtId="14" fontId="7" fillId="0" borderId="0" xfId="0" applyNumberFormat="1" applyFont="1" applyAlignment="1" applyProtection="1">
      <alignment vertical="center"/>
      <protection locked="0" hidden="1"/>
    </xf>
    <xf numFmtId="14" fontId="7" fillId="0" borderId="0" xfId="0" applyNumberFormat="1" applyFont="1" applyBorder="1" applyAlignment="1" applyProtection="1">
      <alignment vertical="center"/>
      <protection locked="0" hidden="1"/>
    </xf>
    <xf numFmtId="0" fontId="7" fillId="0" borderId="0" xfId="0" applyFont="1" applyAlignment="1" applyProtection="1">
      <alignment vertical="center"/>
      <protection locked="0" hidden="1"/>
    </xf>
    <xf numFmtId="0" fontId="5" fillId="8" borderId="29" xfId="0" applyFont="1" applyFill="1" applyBorder="1" applyAlignment="1" applyProtection="1">
      <alignment horizontal="center" vertical="center" wrapText="1"/>
      <protection locked="0" hidden="1"/>
    </xf>
    <xf numFmtId="0" fontId="5" fillId="8" borderId="31" xfId="0" applyFont="1" applyFill="1" applyBorder="1" applyAlignment="1" applyProtection="1">
      <alignment horizontal="center" vertical="center" wrapText="1"/>
      <protection locked="0" hidden="1"/>
    </xf>
    <xf numFmtId="165" fontId="5" fillId="8" borderId="31" xfId="0" applyNumberFormat="1" applyFont="1" applyFill="1" applyBorder="1" applyAlignment="1" applyProtection="1">
      <alignment horizontal="center" vertical="center" textRotation="90" wrapText="1"/>
      <protection locked="0" hidden="1"/>
    </xf>
    <xf numFmtId="165" fontId="5" fillId="8" borderId="30" xfId="0" applyNumberFormat="1" applyFont="1" applyFill="1" applyBorder="1" applyAlignment="1" applyProtection="1">
      <alignment horizontal="center" vertical="center" textRotation="90" wrapText="1"/>
      <protection locked="0" hidden="1"/>
    </xf>
    <xf numFmtId="0" fontId="5" fillId="8" borderId="32" xfId="0" applyFont="1" applyFill="1" applyBorder="1" applyAlignment="1" applyProtection="1">
      <alignment horizontal="center" vertical="center" wrapText="1"/>
      <protection locked="0" hidden="1"/>
    </xf>
    <xf numFmtId="0" fontId="5" fillId="8" borderId="31" xfId="0" applyFont="1" applyFill="1" applyBorder="1" applyAlignment="1" applyProtection="1">
      <alignment horizontal="center" vertical="center" textRotation="90" wrapText="1"/>
      <protection locked="0" hidden="1"/>
    </xf>
    <xf numFmtId="0" fontId="5" fillId="8" borderId="30" xfId="0" applyFont="1" applyFill="1" applyBorder="1" applyAlignment="1" applyProtection="1">
      <alignment horizontal="center" vertical="center" wrapText="1"/>
      <protection locked="0" hidden="1"/>
    </xf>
    <xf numFmtId="165" fontId="5" fillId="8" borderId="29" xfId="0" applyNumberFormat="1" applyFont="1" applyFill="1" applyBorder="1" applyAlignment="1" applyProtection="1">
      <alignment horizontal="center" vertical="center" wrapText="1"/>
      <protection locked="0" hidden="1"/>
    </xf>
    <xf numFmtId="165" fontId="5" fillId="8" borderId="31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0" xfId="0" applyFont="1" applyBorder="1" applyAlignment="1" applyProtection="1">
      <alignment vertical="center"/>
      <protection locked="0" hidden="1"/>
    </xf>
    <xf numFmtId="9" fontId="9" fillId="8" borderId="14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8" borderId="15" xfId="0" applyNumberFormat="1" applyFont="1" applyFill="1" applyBorder="1" applyAlignment="1" applyProtection="1">
      <alignment horizontal="center" vertical="center" wrapText="1"/>
      <protection locked="0" hidden="1"/>
    </xf>
    <xf numFmtId="0" fontId="7" fillId="0" borderId="0" xfId="0" applyFont="1" applyFill="1" applyBorder="1" applyAlignment="1" applyProtection="1">
      <alignment horizontal="center" vertical="center"/>
      <protection locked="0" hidden="1"/>
    </xf>
    <xf numFmtId="0" fontId="5" fillId="0" borderId="0" xfId="0" applyFont="1" applyFill="1" applyBorder="1" applyAlignment="1" applyProtection="1">
      <alignment horizontal="center" vertical="center"/>
      <protection locked="0" hidden="1"/>
    </xf>
    <xf numFmtId="164" fontId="0" fillId="0" borderId="4" xfId="0" applyNumberFormat="1" applyFill="1" applyBorder="1" applyAlignment="1">
      <alignment horizontal="center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68" xfId="0" applyNumberFormat="1" applyFont="1" applyFill="1" applyBorder="1" applyAlignment="1" applyProtection="1">
      <alignment horizontal="center"/>
      <protection locked="0"/>
    </xf>
    <xf numFmtId="49" fontId="1" fillId="0" borderId="67" xfId="0" applyNumberFormat="1" applyFont="1" applyFill="1" applyBorder="1" applyAlignment="1" applyProtection="1">
      <alignment horizontal="center"/>
      <protection locked="0"/>
    </xf>
    <xf numFmtId="49" fontId="1" fillId="0" borderId="9" xfId="0" applyNumberFormat="1" applyFont="1" applyFill="1" applyBorder="1" applyAlignment="1">
      <alignment horizontal="center"/>
    </xf>
    <xf numFmtId="49" fontId="0" fillId="0" borderId="14" xfId="0" applyNumberFormat="1" applyFill="1" applyBorder="1" applyAlignment="1" applyProtection="1">
      <alignment horizontal="center"/>
      <protection locked="0"/>
    </xf>
    <xf numFmtId="49" fontId="0" fillId="0" borderId="68" xfId="0" applyNumberFormat="1" applyFill="1" applyBorder="1" applyAlignment="1" applyProtection="1">
      <alignment horizontal="center"/>
      <protection locked="0"/>
    </xf>
    <xf numFmtId="49" fontId="0" fillId="0" borderId="67" xfId="0" applyNumberFormat="1" applyFill="1" applyBorder="1" applyAlignment="1" applyProtection="1">
      <alignment horizontal="center"/>
      <protection locked="0"/>
    </xf>
    <xf numFmtId="49" fontId="0" fillId="0" borderId="9" xfId="0" applyNumberFormat="1" applyFill="1" applyBorder="1" applyAlignment="1">
      <alignment horizontal="center"/>
    </xf>
    <xf numFmtId="49" fontId="0" fillId="0" borderId="9" xfId="0" applyNumberFormat="1" applyFill="1" applyBorder="1" applyAlignment="1">
      <alignment vertical="center" wrapText="1"/>
    </xf>
    <xf numFmtId="49" fontId="1" fillId="11" borderId="35" xfId="0" applyNumberFormat="1" applyFont="1" applyFill="1" applyBorder="1" applyAlignment="1" applyProtection="1">
      <protection hidden="1"/>
    </xf>
    <xf numFmtId="49" fontId="1" fillId="8" borderId="35" xfId="0" applyNumberFormat="1" applyFont="1" applyFill="1" applyBorder="1" applyAlignment="1" applyProtection="1">
      <protection hidden="1"/>
    </xf>
    <xf numFmtId="0" fontId="5" fillId="8" borderId="60" xfId="0" applyFont="1" applyFill="1" applyBorder="1" applyAlignment="1" applyProtection="1">
      <alignment horizontal="center" vertical="center" textRotation="90" wrapText="1"/>
      <protection locked="0" hidden="1"/>
    </xf>
    <xf numFmtId="0" fontId="5" fillId="8" borderId="2" xfId="0" applyFont="1" applyFill="1" applyBorder="1" applyAlignment="1" applyProtection="1">
      <alignment horizontal="center" vertical="center" textRotation="90" wrapText="1"/>
      <protection locked="0" hidden="1"/>
    </xf>
    <xf numFmtId="1" fontId="5" fillId="8" borderId="72" xfId="0" applyNumberFormat="1" applyFont="1" applyFill="1" applyBorder="1" applyAlignment="1" applyProtection="1">
      <alignment horizontal="center" vertical="center" textRotation="90" wrapText="1"/>
      <protection locked="0" hidden="1"/>
    </xf>
    <xf numFmtId="1" fontId="5" fillId="8" borderId="73" xfId="0" applyNumberFormat="1" applyFont="1" applyFill="1" applyBorder="1" applyAlignment="1" applyProtection="1">
      <alignment horizontal="center" vertical="center" textRotation="90" wrapText="1"/>
      <protection locked="0" hidden="1"/>
    </xf>
    <xf numFmtId="1" fontId="5" fillId="8" borderId="33" xfId="0" applyNumberFormat="1" applyFont="1" applyFill="1" applyBorder="1" applyAlignment="1" applyProtection="1">
      <alignment horizontal="center" vertical="center" wrapText="1"/>
      <protection locked="0" hidden="1"/>
    </xf>
    <xf numFmtId="1" fontId="5" fillId="8" borderId="47" xfId="0" applyNumberFormat="1" applyFont="1" applyFill="1" applyBorder="1" applyAlignment="1" applyProtection="1">
      <alignment horizontal="center" vertical="center" wrapText="1"/>
      <protection locked="0" hidden="1"/>
    </xf>
    <xf numFmtId="1" fontId="5" fillId="8" borderId="60" xfId="0" applyNumberFormat="1" applyFont="1" applyFill="1" applyBorder="1" applyAlignment="1" applyProtection="1">
      <alignment horizontal="center" vertical="center" wrapText="1"/>
      <protection locked="0" hidden="1"/>
    </xf>
    <xf numFmtId="1" fontId="5" fillId="8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5" fillId="8" borderId="60" xfId="0" applyFont="1" applyFill="1" applyBorder="1" applyAlignment="1" applyProtection="1">
      <alignment horizontal="center" vertical="center" wrapText="1"/>
      <protection locked="0" hidden="1"/>
    </xf>
    <xf numFmtId="0" fontId="5" fillId="8" borderId="44" xfId="0" applyFont="1" applyFill="1" applyBorder="1" applyAlignment="1" applyProtection="1">
      <alignment horizontal="center" vertical="center" wrapText="1"/>
      <protection locked="0" hidden="1"/>
    </xf>
    <xf numFmtId="14" fontId="7" fillId="0" borderId="0" xfId="0" applyNumberFormat="1" applyFont="1" applyAlignment="1" applyProtection="1">
      <alignment vertical="center"/>
      <protection locked="0"/>
    </xf>
    <xf numFmtId="14" fontId="7" fillId="0" borderId="0" xfId="0" applyNumberFormat="1" applyFont="1" applyBorder="1" applyAlignment="1" applyProtection="1">
      <alignment vertical="center"/>
      <protection locked="0"/>
    </xf>
    <xf numFmtId="14" fontId="7" fillId="0" borderId="0" xfId="0" applyNumberFormat="1" applyFont="1" applyFill="1" applyAlignment="1" applyProtection="1">
      <alignment horizontal="center" vertical="center"/>
      <protection locked="0"/>
    </xf>
    <xf numFmtId="0" fontId="7" fillId="0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7" fillId="0" borderId="0" xfId="0" applyFont="1" applyBorder="1" applyAlignment="1" applyProtection="1">
      <alignment vertical="center"/>
      <protection locked="0"/>
    </xf>
    <xf numFmtId="14" fontId="7" fillId="0" borderId="0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" fontId="5" fillId="8" borderId="71" xfId="0" applyNumberFormat="1" applyFont="1" applyFill="1" applyBorder="1" applyAlignment="1" applyProtection="1">
      <alignment horizontal="center" vertical="center" wrapText="1"/>
      <protection locked="0" hidden="1"/>
    </xf>
    <xf numFmtId="49" fontId="7" fillId="0" borderId="0" xfId="0" applyNumberFormat="1" applyFont="1" applyAlignment="1" applyProtection="1">
      <alignment horizontal="center" vertical="center"/>
      <protection locked="0" hidden="1"/>
    </xf>
    <xf numFmtId="49" fontId="7" fillId="0" borderId="0" xfId="0" applyNumberFormat="1" applyFont="1" applyAlignment="1" applyProtection="1">
      <alignment vertical="center"/>
      <protection locked="0" hidden="1"/>
    </xf>
    <xf numFmtId="1" fontId="5" fillId="8" borderId="44" xfId="0" applyNumberFormat="1" applyFont="1" applyFill="1" applyBorder="1" applyAlignment="1" applyProtection="1">
      <alignment horizontal="center" vertical="center" wrapText="1"/>
      <protection locked="0" hidden="1"/>
    </xf>
    <xf numFmtId="0" fontId="5" fillId="8" borderId="2" xfId="0" applyFont="1" applyFill="1" applyBorder="1" applyAlignment="1" applyProtection="1">
      <alignment horizontal="center" vertical="center" wrapText="1"/>
      <protection locked="0" hidden="1"/>
    </xf>
    <xf numFmtId="0" fontId="5" fillId="8" borderId="16" xfId="0" applyFont="1" applyFill="1" applyBorder="1" applyAlignment="1" applyProtection="1">
      <alignment horizontal="center" vertical="center" wrapText="1"/>
      <protection locked="0" hidden="1"/>
    </xf>
    <xf numFmtId="0" fontId="5" fillId="8" borderId="17" xfId="0" applyFont="1" applyFill="1" applyBorder="1" applyAlignment="1" applyProtection="1">
      <alignment horizontal="center" vertical="center" wrapText="1"/>
      <protection locked="0" hidden="1"/>
    </xf>
    <xf numFmtId="165" fontId="5" fillId="8" borderId="17" xfId="0" applyNumberFormat="1" applyFont="1" applyFill="1" applyBorder="1" applyAlignment="1" applyProtection="1">
      <alignment horizontal="center" vertical="center" textRotation="90" wrapText="1"/>
      <protection locked="0" hidden="1"/>
    </xf>
    <xf numFmtId="0" fontId="5" fillId="8" borderId="18" xfId="0" applyFont="1" applyFill="1" applyBorder="1" applyAlignment="1" applyProtection="1">
      <alignment horizontal="center" vertical="center" wrapText="1"/>
      <protection locked="0" hidden="1"/>
    </xf>
    <xf numFmtId="0" fontId="5" fillId="8" borderId="17" xfId="0" applyFont="1" applyFill="1" applyBorder="1" applyAlignment="1" applyProtection="1">
      <alignment horizontal="center" vertical="center" textRotation="90" wrapText="1"/>
      <protection locked="0" hidden="1"/>
    </xf>
    <xf numFmtId="0" fontId="5" fillId="8" borderId="19" xfId="0" applyFont="1" applyFill="1" applyBorder="1" applyAlignment="1" applyProtection="1">
      <alignment horizontal="center" vertical="center" wrapText="1"/>
      <protection locked="0" hidden="1"/>
    </xf>
    <xf numFmtId="165" fontId="5" fillId="8" borderId="16" xfId="0" applyNumberFormat="1" applyFont="1" applyFill="1" applyBorder="1" applyAlignment="1" applyProtection="1">
      <alignment horizontal="center" vertical="center" wrapText="1"/>
      <protection locked="0" hidden="1"/>
    </xf>
    <xf numFmtId="165" fontId="5" fillId="8" borderId="17" xfId="0" applyNumberFormat="1" applyFont="1" applyFill="1" applyBorder="1" applyAlignment="1" applyProtection="1">
      <alignment horizontal="center" vertical="center" wrapText="1"/>
      <protection locked="0" hidden="1"/>
    </xf>
    <xf numFmtId="168" fontId="7" fillId="0" borderId="0" xfId="0" applyNumberFormat="1" applyFont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vertical="center" wrapText="1"/>
      <protection locked="0"/>
    </xf>
    <xf numFmtId="49" fontId="7" fillId="10" borderId="23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7" fillId="0" borderId="22" xfId="0" quotePrefix="1" applyNumberFormat="1" applyFont="1" applyFill="1" applyBorder="1" applyAlignment="1" applyProtection="1">
      <alignment horizontal="center" vertical="center" wrapText="1"/>
      <protection locked="0"/>
    </xf>
    <xf numFmtId="49" fontId="7" fillId="0" borderId="24" xfId="0" applyNumberFormat="1" applyFont="1" applyFill="1" applyBorder="1" applyAlignment="1" applyProtection="1">
      <alignment horizontal="center" vertical="center" wrapText="1"/>
      <protection locked="0"/>
    </xf>
    <xf numFmtId="49" fontId="7" fillId="4" borderId="22" xfId="0" applyNumberFormat="1" applyFont="1" applyFill="1" applyBorder="1" applyAlignment="1" applyProtection="1">
      <alignment horizontal="center" vertical="center" wrapText="1"/>
      <protection locked="0"/>
    </xf>
    <xf numFmtId="49" fontId="7" fillId="10" borderId="23" xfId="0" quotePrefix="1" applyNumberFormat="1" applyFont="1" applyFill="1" applyBorder="1" applyAlignment="1" applyProtection="1">
      <alignment horizontal="center" vertical="center" wrapText="1"/>
      <protection locked="0"/>
    </xf>
    <xf numFmtId="49" fontId="7" fillId="0" borderId="21" xfId="0" quotePrefix="1" applyNumberFormat="1" applyFont="1" applyFill="1" applyBorder="1" applyAlignment="1" applyProtection="1">
      <alignment horizontal="center" vertical="center" wrapText="1"/>
      <protection locked="0"/>
    </xf>
    <xf numFmtId="49" fontId="7" fillId="10" borderId="25" xfId="0" applyNumberFormat="1" applyFont="1" applyFill="1" applyBorder="1" applyAlignment="1" applyProtection="1">
      <alignment horizontal="center" vertical="center" wrapText="1"/>
      <protection locked="0"/>
    </xf>
    <xf numFmtId="49" fontId="7" fillId="10" borderId="29" xfId="0" applyNumberFormat="1" applyFont="1" applyFill="1" applyBorder="1" applyAlignment="1" applyProtection="1">
      <alignment horizontal="center" vertical="center" wrapText="1"/>
      <protection locked="0"/>
    </xf>
    <xf numFmtId="14" fontId="7" fillId="0" borderId="0" xfId="0" applyNumberFormat="1" applyFont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1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" xfId="0" applyNumberFormat="1" applyFill="1" applyBorder="1" applyAlignment="1" applyProtection="1">
      <alignment horizontal="center" vertical="center" wrapText="1"/>
      <protection hidden="1"/>
    </xf>
    <xf numFmtId="0" fontId="0" fillId="0" borderId="2" xfId="0" applyNumberFormat="1" applyFill="1" applyBorder="1" applyAlignment="1" applyProtection="1">
      <alignment horizontal="center" vertical="center" wrapText="1"/>
      <protection hidden="1"/>
    </xf>
    <xf numFmtId="49" fontId="0" fillId="0" borderId="3" xfId="0" applyNumberFormat="1" applyFill="1" applyBorder="1" applyAlignment="1" applyProtection="1">
      <alignment horizontal="center" vertical="center" wrapText="1"/>
      <protection locked="0"/>
    </xf>
    <xf numFmtId="49" fontId="0" fillId="0" borderId="1" xfId="0" applyNumberForma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ill="1" applyBorder="1" applyAlignment="1" applyProtection="1">
      <alignment horizontal="center" vertical="center" wrapText="1"/>
      <protection locked="0"/>
    </xf>
    <xf numFmtId="49" fontId="1" fillId="0" borderId="3" xfId="0" applyNumberFormat="1" applyFont="1" applyFill="1" applyBorder="1" applyAlignment="1" applyProtection="1">
      <alignment horizontal="center" vertical="center"/>
      <protection locked="0"/>
    </xf>
    <xf numFmtId="49" fontId="1" fillId="0" borderId="1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Fill="1" applyBorder="1" applyAlignment="1" applyProtection="1">
      <alignment horizontal="center" vertical="center"/>
      <protection locked="0"/>
    </xf>
    <xf numFmtId="49" fontId="2" fillId="0" borderId="35" xfId="0" applyNumberFormat="1" applyFont="1" applyFill="1" applyBorder="1" applyAlignment="1" applyProtection="1">
      <alignment horizontal="left"/>
      <protection locked="0"/>
    </xf>
    <xf numFmtId="49" fontId="2" fillId="8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8" borderId="43" xfId="0" applyNumberFormat="1" applyFont="1" applyFill="1" applyBorder="1" applyAlignment="1" applyProtection="1">
      <alignment horizontal="center" vertical="center" wrapText="1"/>
      <protection hidden="1"/>
    </xf>
    <xf numFmtId="49" fontId="2" fillId="8" borderId="42" xfId="0" applyNumberFormat="1" applyFont="1" applyFill="1" applyBorder="1" applyAlignment="1" applyProtection="1">
      <alignment horizontal="center" vertical="center" wrapText="1"/>
      <protection hidden="1"/>
    </xf>
    <xf numFmtId="49" fontId="2" fillId="8" borderId="37" xfId="0" applyNumberFormat="1" applyFont="1" applyFill="1" applyBorder="1" applyAlignment="1" applyProtection="1">
      <alignment horizontal="center" vertical="center" wrapText="1"/>
      <protection hidden="1"/>
    </xf>
    <xf numFmtId="49" fontId="2" fillId="8" borderId="44" xfId="0" applyNumberFormat="1" applyFont="1" applyFill="1" applyBorder="1" applyAlignment="1" applyProtection="1">
      <alignment horizontal="center" vertical="center" wrapText="1"/>
      <protection hidden="1"/>
    </xf>
    <xf numFmtId="49" fontId="2" fillId="8" borderId="45" xfId="0" applyNumberFormat="1" applyFont="1" applyFill="1" applyBorder="1" applyAlignment="1" applyProtection="1">
      <alignment horizontal="center" vertical="center" wrapText="1"/>
      <protection hidden="1"/>
    </xf>
    <xf numFmtId="49" fontId="2" fillId="0" borderId="4" xfId="0" applyNumberFormat="1" applyFont="1" applyFill="1" applyBorder="1" applyAlignment="1" applyProtection="1">
      <alignment horizontal="center" vertical="center"/>
      <protection locked="0"/>
    </xf>
    <xf numFmtId="49" fontId="2" fillId="0" borderId="42" xfId="0" applyNumberFormat="1" applyFont="1" applyFill="1" applyBorder="1" applyAlignment="1" applyProtection="1">
      <alignment horizontal="center" vertical="center"/>
      <protection locked="0"/>
    </xf>
    <xf numFmtId="49" fontId="2" fillId="0" borderId="4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/>
      <protection hidden="1"/>
    </xf>
    <xf numFmtId="49" fontId="1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10" borderId="46" xfId="0" applyFont="1" applyFill="1" applyBorder="1" applyAlignment="1" applyProtection="1">
      <alignment horizontal="center" vertical="center" wrapText="1"/>
      <protection locked="0"/>
    </xf>
    <xf numFmtId="0" fontId="2" fillId="10" borderId="7" xfId="0" applyFont="1" applyFill="1" applyBorder="1" applyAlignment="1" applyProtection="1">
      <alignment horizontal="center" vertical="center" wrapText="1"/>
      <protection locked="0"/>
    </xf>
    <xf numFmtId="0" fontId="4" fillId="0" borderId="35" xfId="0" applyFont="1" applyBorder="1" applyAlignment="1" applyProtection="1">
      <alignment vertical="center"/>
      <protection locked="0"/>
    </xf>
    <xf numFmtId="0" fontId="0" fillId="5" borderId="0" xfId="0" applyFill="1"/>
    <xf numFmtId="0" fontId="0" fillId="2" borderId="0" xfId="0" applyFill="1"/>
    <xf numFmtId="0" fontId="0" fillId="6" borderId="0" xfId="0" applyFill="1"/>
    <xf numFmtId="0" fontId="0" fillId="3" borderId="0" xfId="0" applyFill="1"/>
    <xf numFmtId="0" fontId="1" fillId="8" borderId="0" xfId="0" applyFont="1" applyFill="1"/>
    <xf numFmtId="0" fontId="0" fillId="8" borderId="0" xfId="0" applyFill="1"/>
    <xf numFmtId="14" fontId="6" fillId="8" borderId="61" xfId="0" applyNumberFormat="1" applyFont="1" applyFill="1" applyBorder="1" applyAlignment="1" applyProtection="1">
      <alignment horizontal="center" vertical="center" wrapText="1"/>
      <protection locked="0" hidden="1"/>
    </xf>
    <xf numFmtId="14" fontId="6" fillId="8" borderId="62" xfId="0" applyNumberFormat="1" applyFont="1" applyFill="1" applyBorder="1" applyAlignment="1" applyProtection="1">
      <alignment horizontal="center" vertical="center" wrapText="1"/>
      <protection locked="0" hidden="1"/>
    </xf>
    <xf numFmtId="0" fontId="5" fillId="8" borderId="64" xfId="0" applyFont="1" applyFill="1" applyBorder="1" applyAlignment="1" applyProtection="1">
      <alignment horizontal="center" vertical="center"/>
      <protection locked="0" hidden="1"/>
    </xf>
    <xf numFmtId="0" fontId="5" fillId="8" borderId="65" xfId="0" applyFont="1" applyFill="1" applyBorder="1" applyAlignment="1" applyProtection="1">
      <alignment horizontal="center" vertical="center"/>
      <protection locked="0" hidden="1"/>
    </xf>
    <xf numFmtId="0" fontId="5" fillId="8" borderId="66" xfId="0" applyFont="1" applyFill="1" applyBorder="1" applyAlignment="1" applyProtection="1">
      <alignment horizontal="center" vertical="center"/>
      <protection locked="0" hidden="1"/>
    </xf>
    <xf numFmtId="14" fontId="13" fillId="8" borderId="48" xfId="0" applyNumberFormat="1" applyFont="1" applyFill="1" applyBorder="1" applyAlignment="1" applyProtection="1">
      <alignment horizontal="center" vertical="center"/>
      <protection hidden="1"/>
    </xf>
    <xf numFmtId="14" fontId="13" fillId="8" borderId="33" xfId="0" applyNumberFormat="1" applyFont="1" applyFill="1" applyBorder="1" applyAlignment="1" applyProtection="1">
      <alignment horizontal="center" vertical="center"/>
      <protection hidden="1"/>
    </xf>
    <xf numFmtId="14" fontId="13" fillId="8" borderId="49" xfId="0" applyNumberFormat="1" applyFont="1" applyFill="1" applyBorder="1" applyAlignment="1" applyProtection="1">
      <alignment horizontal="center" vertical="center"/>
      <protection hidden="1"/>
    </xf>
    <xf numFmtId="14" fontId="13" fillId="8" borderId="50" xfId="0" applyNumberFormat="1" applyFont="1" applyFill="1" applyBorder="1" applyAlignment="1" applyProtection="1">
      <alignment horizontal="center" vertical="center"/>
      <protection hidden="1"/>
    </xf>
    <xf numFmtId="14" fontId="13" fillId="8" borderId="52" xfId="0" applyNumberFormat="1" applyFont="1" applyFill="1" applyBorder="1" applyAlignment="1" applyProtection="1">
      <alignment horizontal="center" vertical="center"/>
      <protection hidden="1"/>
    </xf>
    <xf numFmtId="14" fontId="13" fillId="8" borderId="51" xfId="0" applyNumberFormat="1" applyFont="1" applyFill="1" applyBorder="1" applyAlignment="1" applyProtection="1">
      <alignment horizontal="center" vertical="center"/>
      <protection hidden="1"/>
    </xf>
    <xf numFmtId="0" fontId="5" fillId="8" borderId="54" xfId="0" applyNumberFormat="1" applyFont="1" applyFill="1" applyBorder="1" applyAlignment="1" applyProtection="1">
      <alignment horizontal="center" vertical="center"/>
      <protection hidden="1"/>
    </xf>
    <xf numFmtId="0" fontId="5" fillId="8" borderId="6" xfId="0" applyNumberFormat="1" applyFont="1" applyFill="1" applyBorder="1" applyAlignment="1" applyProtection="1">
      <alignment horizontal="center" vertical="center"/>
      <protection hidden="1"/>
    </xf>
    <xf numFmtId="43" fontId="5" fillId="8" borderId="55" xfId="1" applyFont="1" applyFill="1" applyBorder="1" applyAlignment="1" applyProtection="1">
      <alignment horizontal="right" vertical="center"/>
      <protection hidden="1"/>
    </xf>
    <xf numFmtId="43" fontId="5" fillId="8" borderId="39" xfId="1" applyFont="1" applyFill="1" applyBorder="1" applyAlignment="1" applyProtection="1">
      <alignment horizontal="right" vertical="center"/>
      <protection hidden="1"/>
    </xf>
    <xf numFmtId="0" fontId="5" fillId="8" borderId="60" xfId="0" applyFont="1" applyFill="1" applyBorder="1" applyAlignment="1" applyProtection="1">
      <alignment horizontal="center" vertical="center" textRotation="90" wrapText="1"/>
      <protection locked="0" hidden="1"/>
    </xf>
    <xf numFmtId="0" fontId="5" fillId="8" borderId="2" xfId="0" applyFont="1" applyFill="1" applyBorder="1" applyAlignment="1" applyProtection="1">
      <alignment horizontal="center" vertical="center" textRotation="90" wrapText="1"/>
      <protection locked="0" hidden="1"/>
    </xf>
    <xf numFmtId="0" fontId="5" fillId="8" borderId="60" xfId="0" applyFont="1" applyFill="1" applyBorder="1" applyAlignment="1" applyProtection="1">
      <alignment horizontal="center" vertical="center"/>
      <protection locked="0" hidden="1"/>
    </xf>
    <xf numFmtId="0" fontId="5" fillId="8" borderId="2" xfId="0" applyFont="1" applyFill="1" applyBorder="1" applyAlignment="1" applyProtection="1">
      <alignment horizontal="center" vertical="center"/>
      <protection locked="0" hidden="1"/>
    </xf>
    <xf numFmtId="14" fontId="12" fillId="9" borderId="57" xfId="0" applyNumberFormat="1" applyFont="1" applyFill="1" applyBorder="1" applyAlignment="1" applyProtection="1">
      <alignment horizontal="center" vertical="center"/>
      <protection hidden="1"/>
    </xf>
    <xf numFmtId="14" fontId="12" fillId="9" borderId="39" xfId="0" applyNumberFormat="1" applyFont="1" applyFill="1" applyBorder="1" applyAlignment="1" applyProtection="1">
      <alignment horizontal="center" vertical="center"/>
      <protection hidden="1"/>
    </xf>
    <xf numFmtId="14" fontId="12" fillId="9" borderId="76" xfId="0" applyNumberFormat="1" applyFont="1" applyFill="1" applyBorder="1" applyAlignment="1" applyProtection="1">
      <alignment horizontal="center" vertical="center"/>
      <protection hidden="1"/>
    </xf>
    <xf numFmtId="14" fontId="14" fillId="8" borderId="48" xfId="0" applyNumberFormat="1" applyFont="1" applyFill="1" applyBorder="1" applyAlignment="1">
      <alignment horizontal="center" vertical="center"/>
    </xf>
    <xf numFmtId="14" fontId="14" fillId="8" borderId="33" xfId="0" applyNumberFormat="1" applyFont="1" applyFill="1" applyBorder="1" applyAlignment="1">
      <alignment horizontal="center" vertical="center"/>
    </xf>
    <xf numFmtId="14" fontId="14" fillId="8" borderId="49" xfId="0" applyNumberFormat="1" applyFont="1" applyFill="1" applyBorder="1" applyAlignment="1">
      <alignment horizontal="center" vertical="center"/>
    </xf>
    <xf numFmtId="14" fontId="14" fillId="8" borderId="50" xfId="0" applyNumberFormat="1" applyFont="1" applyFill="1" applyBorder="1" applyAlignment="1">
      <alignment horizontal="center" vertical="center"/>
    </xf>
    <xf numFmtId="14" fontId="14" fillId="8" borderId="52" xfId="0" applyNumberFormat="1" applyFont="1" applyFill="1" applyBorder="1" applyAlignment="1">
      <alignment horizontal="center" vertical="center"/>
    </xf>
    <xf numFmtId="14" fontId="14" fillId="8" borderId="51" xfId="0" applyNumberFormat="1" applyFont="1" applyFill="1" applyBorder="1" applyAlignment="1">
      <alignment horizontal="center" vertical="center"/>
    </xf>
    <xf numFmtId="43" fontId="5" fillId="8" borderId="56" xfId="1" applyFont="1" applyFill="1" applyBorder="1" applyAlignment="1" applyProtection="1">
      <alignment horizontal="right" vertical="center"/>
      <protection hidden="1"/>
    </xf>
    <xf numFmtId="0" fontId="5" fillId="8" borderId="7" xfId="0" applyNumberFormat="1" applyFont="1" applyFill="1" applyBorder="1" applyAlignment="1" applyProtection="1">
      <alignment horizontal="center" vertical="center"/>
      <protection hidden="1"/>
    </xf>
    <xf numFmtId="14" fontId="12" fillId="9" borderId="57" xfId="0" applyNumberFormat="1" applyFont="1" applyFill="1" applyBorder="1" applyAlignment="1">
      <alignment horizontal="center" vertical="center"/>
    </xf>
    <xf numFmtId="14" fontId="12" fillId="9" borderId="39" xfId="0" applyNumberFormat="1" applyFont="1" applyFill="1" applyBorder="1" applyAlignment="1">
      <alignment horizontal="center" vertical="center"/>
    </xf>
    <xf numFmtId="14" fontId="12" fillId="9" borderId="76" xfId="0" applyNumberFormat="1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7" formatCode="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1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hair">
          <color auto="1"/>
        </horizontal>
      </border>
    </dxf>
    <dxf>
      <fill>
        <patternFill>
          <bgColor rgb="FFFFFF99"/>
        </patternFill>
      </fill>
    </dxf>
    <dxf>
      <fill>
        <patternFill>
          <bgColor theme="0"/>
        </patternFill>
      </fill>
    </dxf>
    <dxf>
      <fill>
        <patternFill>
          <bgColor rgb="FFFFFF6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</dxfs>
  <tableStyles count="1" defaultTableStyle="TableStyleMedium2" defaultPivotStyle="PivotStyleLight16">
    <tableStyle name="Table Style 1" pivot="0" count="5">
      <tableStyleElement type="headerRow" dxfId="21"/>
      <tableStyleElement type="firstRowStripe" dxfId="20"/>
      <tableStyleElement type="secondRowStripe" dxfId="19"/>
      <tableStyleElement type="firstColumnStripe" dxfId="18"/>
      <tableStyleElement type="secondColumnStripe" dxfId="17"/>
    </tableStyle>
  </tableStyles>
  <colors>
    <mruColors>
      <color rgb="FFDCE6F1"/>
      <color rgb="FFAFE1FF"/>
      <color rgb="FFCCE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0</xdr:row>
          <xdr:rowOff>57150</xdr:rowOff>
        </xdr:from>
        <xdr:to>
          <xdr:col>13</xdr:col>
          <xdr:colOff>1257300</xdr:colOff>
          <xdr:row>0</xdr:row>
          <xdr:rowOff>361950</xdr:rowOff>
        </xdr:to>
        <xdr:sp macro="" textlink="">
          <xdr:nvSpPr>
            <xdr:cNvPr id="158722" name="print2CADD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91</xdr:row>
          <xdr:rowOff>9525</xdr:rowOff>
        </xdr:from>
        <xdr:to>
          <xdr:col>8</xdr:col>
          <xdr:colOff>0</xdr:colOff>
          <xdr:row>94</xdr:row>
          <xdr:rowOff>0</xdr:rowOff>
        </xdr:to>
        <xdr:sp macro="" textlink="">
          <xdr:nvSpPr>
            <xdr:cNvPr id="158723" name="instructions" hidden="1">
              <a:extLst>
                <a:ext uri="{63B3BB69-23CF-44E3-9099-C40C66FF867C}">
                  <a14:compatExt spid="_x0000_s15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96</xdr:row>
          <xdr:rowOff>9525</xdr:rowOff>
        </xdr:from>
        <xdr:to>
          <xdr:col>3</xdr:col>
          <xdr:colOff>0</xdr:colOff>
          <xdr:row>97</xdr:row>
          <xdr:rowOff>0</xdr:rowOff>
        </xdr:to>
        <xdr:sp macro="" textlink="">
          <xdr:nvSpPr>
            <xdr:cNvPr id="158726" name="liteMarks" hidden="1">
              <a:extLst>
                <a:ext uri="{63B3BB69-23CF-44E3-9099-C40C66FF867C}">
                  <a14:compatExt spid="_x0000_s158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97</xdr:row>
          <xdr:rowOff>0</xdr:rowOff>
        </xdr:from>
        <xdr:to>
          <xdr:col>3</xdr:col>
          <xdr:colOff>0</xdr:colOff>
          <xdr:row>98</xdr:row>
          <xdr:rowOff>0</xdr:rowOff>
        </xdr:to>
        <xdr:sp macro="" textlink="">
          <xdr:nvSpPr>
            <xdr:cNvPr id="158727" name="medMarks" hidden="1">
              <a:extLst>
                <a:ext uri="{63B3BB69-23CF-44E3-9099-C40C66FF867C}">
                  <a14:compatExt spid="_x0000_s15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98</xdr:row>
          <xdr:rowOff>0</xdr:rowOff>
        </xdr:from>
        <xdr:to>
          <xdr:col>3</xdr:col>
          <xdr:colOff>0</xdr:colOff>
          <xdr:row>99</xdr:row>
          <xdr:rowOff>0</xdr:rowOff>
        </xdr:to>
        <xdr:sp macro="" textlink="">
          <xdr:nvSpPr>
            <xdr:cNvPr id="158728" name="medHvyMarks" hidden="1">
              <a:extLst>
                <a:ext uri="{63B3BB69-23CF-44E3-9099-C40C66FF867C}">
                  <a14:compatExt spid="_x0000_s15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</xdr:row>
          <xdr:rowOff>0</xdr:rowOff>
        </xdr:from>
        <xdr:to>
          <xdr:col>3</xdr:col>
          <xdr:colOff>0</xdr:colOff>
          <xdr:row>100</xdr:row>
          <xdr:rowOff>0</xdr:rowOff>
        </xdr:to>
        <xdr:sp macro="" textlink="">
          <xdr:nvSpPr>
            <xdr:cNvPr id="158729" name="hvyMarks" hidden="1">
              <a:extLst>
                <a:ext uri="{63B3BB69-23CF-44E3-9099-C40C66FF867C}">
                  <a14:compatExt spid="_x0000_s15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</xdr:row>
          <xdr:rowOff>0</xdr:rowOff>
        </xdr:from>
        <xdr:to>
          <xdr:col>3</xdr:col>
          <xdr:colOff>0</xdr:colOff>
          <xdr:row>102</xdr:row>
          <xdr:rowOff>0</xdr:rowOff>
        </xdr:to>
        <xdr:sp macro="" textlink="">
          <xdr:nvSpPr>
            <xdr:cNvPr id="158730" name="resetMarks" hidden="1">
              <a:extLst>
                <a:ext uri="{63B3BB69-23CF-44E3-9099-C40C66FF867C}">
                  <a14:compatExt spid="_x0000_s15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1133475</xdr:colOff>
          <xdr:row>348</xdr:row>
          <xdr:rowOff>114300</xdr:rowOff>
        </xdr:from>
        <xdr:to>
          <xdr:col>60</xdr:col>
          <xdr:colOff>704850</xdr:colOff>
          <xdr:row>348</xdr:row>
          <xdr:rowOff>581025</xdr:rowOff>
        </xdr:to>
        <xdr:sp macro="" textlink="">
          <xdr:nvSpPr>
            <xdr:cNvPr id="2050" name="lo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0</xdr:row>
          <xdr:rowOff>104775</xdr:rowOff>
        </xdr:from>
        <xdr:to>
          <xdr:col>3</xdr:col>
          <xdr:colOff>2590800</xdr:colOff>
          <xdr:row>1</xdr:row>
          <xdr:rowOff>190500</xdr:rowOff>
        </xdr:to>
        <xdr:sp macro="" textlink="">
          <xdr:nvSpPr>
            <xdr:cNvPr id="2051" name="summar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1447800</xdr:colOff>
          <xdr:row>348</xdr:row>
          <xdr:rowOff>114300</xdr:rowOff>
        </xdr:from>
        <xdr:to>
          <xdr:col>62</xdr:col>
          <xdr:colOff>1114425</xdr:colOff>
          <xdr:row>348</xdr:row>
          <xdr:rowOff>581025</xdr:rowOff>
        </xdr:to>
        <xdr:sp macro="" textlink="">
          <xdr:nvSpPr>
            <xdr:cNvPr id="2052" name="printSumm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866775</xdr:colOff>
          <xdr:row>348</xdr:row>
          <xdr:rowOff>114300</xdr:rowOff>
        </xdr:from>
        <xdr:to>
          <xdr:col>61</xdr:col>
          <xdr:colOff>1314450</xdr:colOff>
          <xdr:row>348</xdr:row>
          <xdr:rowOff>581025</xdr:rowOff>
        </xdr:to>
        <xdr:sp macro="" textlink="">
          <xdr:nvSpPr>
            <xdr:cNvPr id="2053" name="pwiInf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0</xdr:row>
          <xdr:rowOff>180975</xdr:rowOff>
        </xdr:from>
        <xdr:to>
          <xdr:col>3</xdr:col>
          <xdr:colOff>2371725</xdr:colOff>
          <xdr:row>1</xdr:row>
          <xdr:rowOff>238125</xdr:rowOff>
        </xdr:to>
        <xdr:sp macro="" textlink="">
          <xdr:nvSpPr>
            <xdr:cNvPr id="157697" name="summary2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1352550</xdr:colOff>
          <xdr:row>998</xdr:row>
          <xdr:rowOff>57150</xdr:rowOff>
        </xdr:from>
        <xdr:to>
          <xdr:col>59</xdr:col>
          <xdr:colOff>742950</xdr:colOff>
          <xdr:row>998</xdr:row>
          <xdr:rowOff>447675</xdr:rowOff>
        </xdr:to>
        <xdr:sp macro="" textlink="">
          <xdr:nvSpPr>
            <xdr:cNvPr id="157698" name="log2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1352550</xdr:colOff>
          <xdr:row>998</xdr:row>
          <xdr:rowOff>57150</xdr:rowOff>
        </xdr:from>
        <xdr:to>
          <xdr:col>61</xdr:col>
          <xdr:colOff>1000125</xdr:colOff>
          <xdr:row>998</xdr:row>
          <xdr:rowOff>447675</xdr:rowOff>
        </xdr:to>
        <xdr:sp macro="" textlink="">
          <xdr:nvSpPr>
            <xdr:cNvPr id="157703" name="printSumm2" hidden="1">
              <a:extLst>
                <a:ext uri="{63B3BB69-23CF-44E3-9099-C40C66FF867C}">
                  <a14:compatExt spid="_x0000_s157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809625</xdr:colOff>
          <xdr:row>998</xdr:row>
          <xdr:rowOff>57150</xdr:rowOff>
        </xdr:from>
        <xdr:to>
          <xdr:col>60</xdr:col>
          <xdr:colOff>1266825</xdr:colOff>
          <xdr:row>998</xdr:row>
          <xdr:rowOff>447675</xdr:rowOff>
        </xdr:to>
        <xdr:sp macro="" textlink="">
          <xdr:nvSpPr>
            <xdr:cNvPr id="157706" name="pwiInfo2" hidden="1">
              <a:extLst>
                <a:ext uri="{63B3BB69-23CF-44E3-9099-C40C66FF867C}">
                  <a14:compatExt spid="_x0000_s157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Table7" displayName="Table7" ref="BH352:BK491" totalsRowShown="0" headerRowDxfId="16" dataDxfId="14" headerRowBorderDxfId="15" tableBorderDxfId="13">
  <autoFilter ref="BH352:BK491"/>
  <tableColumns count="4">
    <tableColumn id="1" name="India CADD" dataDxfId="12">
      <calculatedColumnFormula>IF(AND($B3="",$C3=""),"",IF($FB3="I",IF(AND(ISBLANK($E3)=FALSE,ISBLANK($F3)),IF($B3="",$C3,$B3),IF(AND(ISBLANK($I3)=FALSE,ISBLANK($J3)),IF($B3="",$C3,$B3),IF(AND(ISBLANK($M3)=FALSE,ISBLANK($N3)),IF($B3="",$C3,$B3),IF(AND(ISBLANK($Q3)=FALSE,ISBLANK($R3)),IF($B3="",$C3,$B3),IF(AND(ISBLANK($U3)=FALSE,ISBLANK($V3)),IF($B3="",$C3,$B3),""))))), ""))</calculatedColumnFormula>
    </tableColumn>
    <tableColumn id="4" name="Houston CADD" dataDxfId="11">
      <calculatedColumnFormula>IF(AND($B3="",$C3=""),"",IF($FB3="H",IF(AND(ISBLANK($E3)=FALSE,ISBLANK($F3)),IF($B3="",$C3,$B3),IF(AND(ISBLANK($I3)=FALSE,ISBLANK($J3)),IF($B3="",$C3,$B3),IF(AND(ISBLANK($M3)=FALSE,ISBLANK($N3)),IF($B3="",$C3,$B3),IF(AND(ISBLANK($Q3)=FALSE,ISBLANK($R3)),IF($B3="",$C3,$B3),IF(AND(ISBLANK($U3)=FALSE,ISBLANK($V3)),IF($B3="",$C3,$B3),""))))), ""))</calculatedColumnFormula>
    </tableColumn>
    <tableColumn id="2" name="In Backcheck" dataDxfId="10">
      <calculatedColumnFormula>IF(AND(ISBLANK($F3)=FALSE,ISBLANK($G3),ISBLANK($H3)),IF($B3="",$C3,$B3),IF(AND(ISBLANK($J3)=FALSE,ISBLANK($K3),ISBLANK($L3)),IF($B3="",$C3,$B3),IF(AND(ISBLANK($N3)=FALSE,ISBLANK($O3),ISBLANK($P3)),IF($B3="",$C3,$B3),IF(AND(ISBLANK($R3)=FALSE,ISBLANK($S3),ISBLANK($T3)),IF($B3="",$C3,$B3),IF(AND(ISBLANK($V3)=FALSE,ISBLANK($W3)),IF($B3="",$C3,$B3),"")))))</calculatedColumnFormula>
    </tableColumn>
    <tableColumn id="3" name="With Process" dataDxfId="9">
      <calculatedColumnFormula>IF(AND($BH353="", $BI353="", $BJ353=""), IF(AND($C3="",$B3=""),"", IF($B3="",$C3,$B3)),"")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BF1002:BK1233" totalsRowShown="0" headerRowDxfId="8" dataDxfId="7" tableBorderDxfId="6">
  <autoFilter ref="BF1002:BK1233"/>
  <tableColumns count="6">
    <tableColumn id="1" name="India CADD" dataDxfId="5">
      <calculatedColumnFormula>IF(AND($B3="",$C3=""),"",IF($FB3="I",IF(AND(ISBLANK($F3)=FALSE,ISBLANK($G3)),IF($B3="",$C3,$B3),IF(AND(ISBLANK($L3)=FALSE,ISBLANK($M3)),IF($B3="",$C3,$B3),IF(AND(ISBLANK($R3)=FALSE,ISBLANK($S3)),IF($B3="",$C3,$B3),IF(AND(ISBLANK($V3)=FALSE,ISBLANK($W3)),IF($B3="",$C3,$B3),IF(AND(ISBLANK($Z3)=FALSE,ISBLANK($AA3)),IF($B3="",$C3,$B3),""))))),""))</calculatedColumnFormula>
    </tableColumn>
    <tableColumn id="6" name="Houston CADD" dataDxfId="4">
      <calculatedColumnFormula>IF(AND($B3="",$C3=""),"",IF($FB3="H",IF(AND(ISBLANK($F3)=FALSE,ISBLANK($G3)),IF($B3="",$C3,$B3),IF(AND(ISBLANK($L3)=FALSE,ISBLANK($M3)),IF($B3="",$C3,$B3),IF(AND(ISBLANK($R3)=FALSE,ISBLANK($S3)),IF($B3="",$C3,$B3),IF(AND(ISBLANK($V3)=FALSE,ISBLANK($W3)),IF($B3="",$C3,$B3),IF(AND(ISBLANK($Z3)=FALSE,ISBLANK($AA3)),IF($B3="",$C3,$B3),""))))),""))</calculatedColumnFormula>
    </tableColumn>
    <tableColumn id="2" name="In Backcheck" dataDxfId="3">
      <calculatedColumnFormula>IF(AND(ISBLANK($G3)=FALSE,ISBLANK($H3),ISBLANK($I3),ISBLANK($J3),ISBLANK($K3)),IF(ISBLANK($B3),$C3,$B3),IF(AND(ISBLANK($M3)=FALSE,ISBLANK($N3),ISBLANK($O3),ISBLANK($P3),ISBLANK($Q3)),IF(ISBLANK($B3),$C3,$B3),IF(AND(ISBLANK($S3)=FALSE,ISBLANK($T3),ISBLANK($U3)),IF(ISBLANK($B3),$C3,$B3),IF(AND(ISBLANK($W3)=FALSE,ISBLANK($X3),ISBLANK($Y3)),IF(ISBLANK($B3),$C3,$B3),IF(AND(ISBLANK($AA3)=FALSE,ISBLANK($AB3)),IF(ISBLANK($B3),$C3,$B3),"")))))</calculatedColumnFormula>
    </tableColumn>
    <tableColumn id="3" name="With Piping" dataDxfId="2">
      <calculatedColumnFormula>IF(AND(ISBLANK($I3)=FALSE,OR(ISBLANK($J3),ISBLANK($K3),ISBLANK($L3))),IF($J3&gt;=$I3,"",IF(ISBLANK($B3),$C3,$B3)),IF(AND(ISBLANK($O3)=FALSE,OR(ISBLANK($P3),ISBLANK($Q3),ISBLANK($R3))),IF($P3&gt;=$O3,"",IF(ISBLANK($B3),$C3,$B3)),""))</calculatedColumnFormula>
    </tableColumn>
    <tableColumn id="4" name="With Controls" dataDxfId="1">
      <calculatedColumnFormula>IF(AND(ISBLANK($J3)=FALSE,OR(ISBLANK($K3),ISBLANK($L3))),IF(AND($I3&lt;=$J3,$K3&lt;$J3),IF(ISBLANK($B3),$C3,$B3),""),IF(AND(ISBLANK($P3)=FALSE,OR(ISBLANK($Q3),ISBLANK($R3),)),IF(AND($O3&lt;=$P3,$Q3&lt;$P3),IF(ISBLANK($B3),$C3,$B3),""),""))</calculatedColumnFormula>
    </tableColumn>
    <tableColumn id="5" name="With Process" dataDxfId="0">
      <calculatedColumnFormula>IF(AND($BF1003="", $BG1003="", $BH1003=""), IF(AND($BI1003="", $BJ1003=""), IF(AND($B3="",$C3=""), "", IF(ISBLANK($B3),$C3,$B3)),""),"")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W152"/>
  <sheetViews>
    <sheetView tabSelected="1" zoomScale="70" zoomScaleNormal="70" workbookViewId="0">
      <selection activeCell="AC3" sqref="AC3:AD90"/>
    </sheetView>
  </sheetViews>
  <sheetFormatPr defaultRowHeight="12.75" x14ac:dyDescent="0.2"/>
  <cols>
    <col min="1" max="1" width="18.7109375" customWidth="1"/>
    <col min="2" max="2" width="16.7109375" customWidth="1"/>
    <col min="3" max="3" width="6.85546875" style="2" bestFit="1" customWidth="1"/>
    <col min="4" max="4" width="7.7109375" bestFit="1" customWidth="1"/>
    <col min="5" max="5" width="9.5703125" customWidth="1"/>
    <col min="6" max="6" width="10.85546875" customWidth="1"/>
    <col min="7" max="7" width="11.5703125" bestFit="1" customWidth="1"/>
    <col min="8" max="13" width="14.140625" customWidth="1"/>
    <col min="14" max="14" width="48.7109375" customWidth="1"/>
    <col min="15" max="15" width="5" style="4" customWidth="1"/>
    <col min="16" max="25" width="9.42578125" style="4" customWidth="1"/>
    <col min="26" max="26" width="9.42578125" style="104" customWidth="1"/>
    <col min="27" max="27" width="9.140625" style="105" hidden="1" customWidth="1"/>
    <col min="28" max="28" width="9.85546875" style="105" hidden="1" customWidth="1"/>
    <col min="29" max="32" width="9.140625" style="106" hidden="1" customWidth="1"/>
    <col min="33" max="33" width="9.140625" style="106"/>
  </cols>
  <sheetData>
    <row r="1" spans="1:257" ht="31.5" customHeight="1" x14ac:dyDescent="0.2">
      <c r="A1" s="254" t="s">
        <v>39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79">
        <v>42184</v>
      </c>
    </row>
    <row r="2" spans="1:257" ht="38.25" x14ac:dyDescent="0.2">
      <c r="A2" s="102" t="s">
        <v>44</v>
      </c>
      <c r="B2" s="102" t="s">
        <v>2</v>
      </c>
      <c r="C2" s="252" t="s">
        <v>4</v>
      </c>
      <c r="D2" s="253"/>
      <c r="E2" s="103" t="s">
        <v>10</v>
      </c>
      <c r="F2" s="103" t="s">
        <v>14</v>
      </c>
      <c r="G2" s="103" t="s">
        <v>45</v>
      </c>
      <c r="H2" s="103" t="s">
        <v>3</v>
      </c>
      <c r="I2" s="103" t="s">
        <v>15</v>
      </c>
      <c r="J2" s="103" t="s">
        <v>16</v>
      </c>
      <c r="K2" s="103" t="s">
        <v>3</v>
      </c>
      <c r="L2" s="103" t="s">
        <v>15</v>
      </c>
      <c r="M2" s="103" t="s">
        <v>16</v>
      </c>
      <c r="N2" s="103" t="s">
        <v>11</v>
      </c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107"/>
      <c r="AA2" s="250"/>
      <c r="AB2" s="250"/>
      <c r="AC2" s="108"/>
      <c r="AD2" s="109"/>
      <c r="AE2" s="109"/>
      <c r="AF2" s="109"/>
      <c r="AG2" s="109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s="64" customFormat="1" ht="15.75" customHeight="1" x14ac:dyDescent="0.2">
      <c r="A3" s="251"/>
      <c r="B3" s="251"/>
      <c r="C3" s="240" t="s">
        <v>1</v>
      </c>
      <c r="D3" s="240"/>
      <c r="E3" s="80"/>
      <c r="F3" s="77"/>
      <c r="G3" s="77"/>
      <c r="H3" s="173"/>
      <c r="I3" s="77"/>
      <c r="J3" s="77"/>
      <c r="K3" s="177"/>
      <c r="L3" s="77"/>
      <c r="M3" s="77"/>
      <c r="N3" s="234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110"/>
      <c r="AA3" s="231" t="str">
        <f>B3&amp;" - "&amp;A3&amp;" "&amp;C3</f>
        <v xml:space="preserve"> -  PFDs</v>
      </c>
      <c r="AB3" s="231" t="str">
        <f>B3&amp;" - "&amp;A3&amp;" "&amp;C4</f>
        <v xml:space="preserve"> -  P&amp;IDs</v>
      </c>
      <c r="AC3" s="231" t="s">
        <v>42</v>
      </c>
      <c r="AD3" s="231" t="s">
        <v>43</v>
      </c>
      <c r="AE3" s="251"/>
      <c r="AF3" s="231" t="str">
        <f>IF(ISBLANK(B3),"",B3)</f>
        <v/>
      </c>
      <c r="AG3" s="111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</row>
    <row r="4" spans="1:257" s="4" customFormat="1" ht="15.75" customHeight="1" x14ac:dyDescent="0.2">
      <c r="A4" s="235"/>
      <c r="B4" s="235"/>
      <c r="C4" s="247" t="s">
        <v>0</v>
      </c>
      <c r="D4" s="182" t="s">
        <v>12</v>
      </c>
      <c r="E4" s="81"/>
      <c r="F4" s="77"/>
      <c r="G4" s="77"/>
      <c r="H4" s="173"/>
      <c r="I4" s="77"/>
      <c r="J4" s="77"/>
      <c r="K4" s="177"/>
      <c r="L4" s="77"/>
      <c r="M4" s="77"/>
      <c r="N4" s="235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110"/>
      <c r="AA4" s="232"/>
      <c r="AB4" s="232"/>
      <c r="AC4" s="232"/>
      <c r="AD4" s="232"/>
      <c r="AE4" s="235"/>
      <c r="AF4" s="232"/>
      <c r="AG4" s="111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</row>
    <row r="5" spans="1:257" s="4" customFormat="1" ht="15.75" customHeight="1" x14ac:dyDescent="0.2">
      <c r="A5" s="235"/>
      <c r="B5" s="235"/>
      <c r="C5" s="248"/>
      <c r="D5" s="182" t="s">
        <v>13</v>
      </c>
      <c r="E5" s="81"/>
      <c r="F5" s="77"/>
      <c r="G5" s="77"/>
      <c r="H5" s="173"/>
      <c r="I5" s="77"/>
      <c r="J5" s="77"/>
      <c r="K5" s="177"/>
      <c r="L5" s="77"/>
      <c r="M5" s="77"/>
      <c r="N5" s="23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110"/>
      <c r="AA5" s="232"/>
      <c r="AB5" s="232"/>
      <c r="AC5" s="232"/>
      <c r="AD5" s="232"/>
      <c r="AE5" s="235"/>
      <c r="AF5" s="232"/>
      <c r="AG5" s="111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</row>
    <row r="6" spans="1:257" s="4" customFormat="1" ht="15.75" customHeight="1" x14ac:dyDescent="0.2">
      <c r="A6" s="236"/>
      <c r="B6" s="236"/>
      <c r="C6" s="249"/>
      <c r="D6" s="183" t="s">
        <v>41</v>
      </c>
      <c r="E6" s="82"/>
      <c r="F6" s="78"/>
      <c r="G6" s="78"/>
      <c r="H6" s="174"/>
      <c r="I6" s="78"/>
      <c r="J6" s="78"/>
      <c r="K6" s="178"/>
      <c r="L6" s="78"/>
      <c r="M6" s="78"/>
      <c r="N6" s="23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110"/>
      <c r="AA6" s="233"/>
      <c r="AB6" s="233"/>
      <c r="AC6" s="233"/>
      <c r="AD6" s="233"/>
      <c r="AE6" s="236"/>
      <c r="AF6" s="233"/>
      <c r="AG6" s="111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</row>
    <row r="7" spans="1:257" s="4" customFormat="1" ht="13.5" customHeight="1" x14ac:dyDescent="0.2">
      <c r="A7" s="251"/>
      <c r="B7" s="251"/>
      <c r="C7" s="240" t="s">
        <v>1</v>
      </c>
      <c r="D7" s="240"/>
      <c r="E7" s="80"/>
      <c r="F7" s="76"/>
      <c r="G7" s="76"/>
      <c r="H7" s="175"/>
      <c r="I7" s="76"/>
      <c r="J7" s="76"/>
      <c r="K7" s="179"/>
      <c r="L7" s="76"/>
      <c r="M7" s="76"/>
      <c r="N7" s="234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110"/>
      <c r="AA7" s="231" t="str">
        <f t="shared" ref="AA7" si="0">B7&amp;" - "&amp;A7&amp;" "&amp;C7</f>
        <v xml:space="preserve"> -  PFDs</v>
      </c>
      <c r="AB7" s="231" t="str">
        <f t="shared" ref="AB7" si="1">B7&amp;" - "&amp;A7&amp;" "&amp;C8</f>
        <v xml:space="preserve"> -  P&amp;IDs</v>
      </c>
      <c r="AC7" s="231" t="s">
        <v>42</v>
      </c>
      <c r="AD7" s="231" t="s">
        <v>43</v>
      </c>
      <c r="AE7" s="251"/>
      <c r="AF7" s="231" t="str">
        <f t="shared" ref="AF7" si="2">IF(ISBLANK(B7),"",B7)</f>
        <v/>
      </c>
      <c r="AG7" s="111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</row>
    <row r="8" spans="1:257" s="4" customFormat="1" ht="13.5" customHeight="1" x14ac:dyDescent="0.2">
      <c r="A8" s="235"/>
      <c r="B8" s="235"/>
      <c r="C8" s="247" t="s">
        <v>0</v>
      </c>
      <c r="D8" s="183" t="s">
        <v>12</v>
      </c>
      <c r="E8" s="81"/>
      <c r="F8" s="77"/>
      <c r="G8" s="77"/>
      <c r="H8" s="173"/>
      <c r="I8" s="77"/>
      <c r="J8" s="77"/>
      <c r="K8" s="177"/>
      <c r="L8" s="77"/>
      <c r="M8" s="77"/>
      <c r="N8" s="23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110"/>
      <c r="AA8" s="232"/>
      <c r="AB8" s="232"/>
      <c r="AC8" s="232"/>
      <c r="AD8" s="232"/>
      <c r="AE8" s="235"/>
      <c r="AF8" s="232"/>
      <c r="AG8" s="111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</row>
    <row r="9" spans="1:257" s="4" customFormat="1" ht="13.5" customHeight="1" x14ac:dyDescent="0.2">
      <c r="A9" s="235"/>
      <c r="B9" s="235"/>
      <c r="C9" s="248"/>
      <c r="D9" s="182" t="s">
        <v>13</v>
      </c>
      <c r="E9" s="81"/>
      <c r="F9" s="77"/>
      <c r="G9" s="77"/>
      <c r="H9" s="173"/>
      <c r="I9" s="77"/>
      <c r="J9" s="77"/>
      <c r="K9" s="177"/>
      <c r="L9" s="77"/>
      <c r="M9" s="77"/>
      <c r="N9" s="23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110"/>
      <c r="AA9" s="232"/>
      <c r="AB9" s="232"/>
      <c r="AC9" s="232"/>
      <c r="AD9" s="232"/>
      <c r="AE9" s="235"/>
      <c r="AF9" s="232"/>
      <c r="AG9" s="111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</row>
    <row r="10" spans="1:257" s="4" customFormat="1" ht="13.5" customHeight="1" x14ac:dyDescent="0.2">
      <c r="A10" s="236"/>
      <c r="B10" s="236"/>
      <c r="C10" s="249"/>
      <c r="D10" s="183" t="s">
        <v>41</v>
      </c>
      <c r="E10" s="82"/>
      <c r="F10" s="78"/>
      <c r="G10" s="78"/>
      <c r="H10" s="174"/>
      <c r="I10" s="78"/>
      <c r="J10" s="78"/>
      <c r="K10" s="178"/>
      <c r="L10" s="78"/>
      <c r="M10" s="78"/>
      <c r="N10" s="23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110"/>
      <c r="AA10" s="233"/>
      <c r="AB10" s="233"/>
      <c r="AC10" s="233"/>
      <c r="AD10" s="233"/>
      <c r="AE10" s="236"/>
      <c r="AF10" s="233"/>
      <c r="AG10" s="111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</row>
    <row r="11" spans="1:257" s="4" customFormat="1" ht="12.75" customHeight="1" x14ac:dyDescent="0.2">
      <c r="A11" s="251"/>
      <c r="B11" s="251"/>
      <c r="C11" s="240" t="s">
        <v>1</v>
      </c>
      <c r="D11" s="240"/>
      <c r="E11" s="80"/>
      <c r="F11" s="76"/>
      <c r="G11" s="76"/>
      <c r="H11" s="175"/>
      <c r="I11" s="76"/>
      <c r="J11" s="76"/>
      <c r="K11" s="179"/>
      <c r="L11" s="76"/>
      <c r="M11" s="76"/>
      <c r="N11" s="234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110"/>
      <c r="AA11" s="231" t="str">
        <f t="shared" ref="AA11" si="3">B11&amp;" - "&amp;A11&amp;" "&amp;C11</f>
        <v xml:space="preserve"> -  PFDs</v>
      </c>
      <c r="AB11" s="231" t="str">
        <f t="shared" ref="AB11" si="4">B11&amp;" - "&amp;A11&amp;" "&amp;C12</f>
        <v xml:space="preserve"> -  P&amp;IDs</v>
      </c>
      <c r="AC11" s="231" t="s">
        <v>42</v>
      </c>
      <c r="AD11" s="231" t="s">
        <v>43</v>
      </c>
      <c r="AE11" s="251"/>
      <c r="AF11" s="231" t="str">
        <f t="shared" ref="AF11" si="5">IF(ISBLANK(B11),"",B11)</f>
        <v/>
      </c>
      <c r="AG11" s="111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</row>
    <row r="12" spans="1:257" s="4" customFormat="1" x14ac:dyDescent="0.2">
      <c r="A12" s="235"/>
      <c r="B12" s="235"/>
      <c r="C12" s="247" t="s">
        <v>0</v>
      </c>
      <c r="D12" s="183" t="s">
        <v>12</v>
      </c>
      <c r="E12" s="81"/>
      <c r="F12" s="77"/>
      <c r="G12" s="77"/>
      <c r="H12" s="173"/>
      <c r="I12" s="77"/>
      <c r="J12" s="77"/>
      <c r="K12" s="177"/>
      <c r="L12" s="77"/>
      <c r="M12" s="77"/>
      <c r="N12" s="23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110"/>
      <c r="AA12" s="232"/>
      <c r="AB12" s="232"/>
      <c r="AC12" s="232"/>
      <c r="AD12" s="232"/>
      <c r="AE12" s="235"/>
      <c r="AF12" s="232"/>
      <c r="AG12" s="111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</row>
    <row r="13" spans="1:257" s="4" customFormat="1" x14ac:dyDescent="0.2">
      <c r="A13" s="235"/>
      <c r="B13" s="235"/>
      <c r="C13" s="248"/>
      <c r="D13" s="182" t="s">
        <v>13</v>
      </c>
      <c r="E13" s="81"/>
      <c r="F13" s="77"/>
      <c r="G13" s="77"/>
      <c r="H13" s="173"/>
      <c r="I13" s="77"/>
      <c r="J13" s="77"/>
      <c r="K13" s="177"/>
      <c r="L13" s="77"/>
      <c r="M13" s="77"/>
      <c r="N13" s="23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110"/>
      <c r="AA13" s="232"/>
      <c r="AB13" s="232"/>
      <c r="AC13" s="232"/>
      <c r="AD13" s="232"/>
      <c r="AE13" s="235"/>
      <c r="AF13" s="232"/>
      <c r="AG13" s="111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</row>
    <row r="14" spans="1:257" s="4" customFormat="1" x14ac:dyDescent="0.2">
      <c r="A14" s="236"/>
      <c r="B14" s="236"/>
      <c r="C14" s="249"/>
      <c r="D14" s="183" t="s">
        <v>41</v>
      </c>
      <c r="E14" s="82"/>
      <c r="F14" s="78"/>
      <c r="G14" s="78"/>
      <c r="H14" s="174"/>
      <c r="I14" s="78"/>
      <c r="J14" s="78"/>
      <c r="K14" s="178"/>
      <c r="L14" s="78"/>
      <c r="M14" s="78"/>
      <c r="N14" s="23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110"/>
      <c r="AA14" s="233"/>
      <c r="AB14" s="233"/>
      <c r="AC14" s="233"/>
      <c r="AD14" s="233"/>
      <c r="AE14" s="236"/>
      <c r="AF14" s="233"/>
      <c r="AG14" s="111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</row>
    <row r="15" spans="1:257" s="4" customFormat="1" x14ac:dyDescent="0.2">
      <c r="A15" s="251"/>
      <c r="B15" s="237"/>
      <c r="C15" s="240" t="s">
        <v>1</v>
      </c>
      <c r="D15" s="240"/>
      <c r="E15" s="80"/>
      <c r="F15" s="76"/>
      <c r="G15" s="76"/>
      <c r="H15" s="175"/>
      <c r="I15" s="76"/>
      <c r="J15" s="76"/>
      <c r="K15" s="179"/>
      <c r="L15" s="76"/>
      <c r="M15" s="76"/>
      <c r="N15" s="234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110"/>
      <c r="AA15" s="231" t="str">
        <f t="shared" ref="AA15" si="6">B15&amp;" - "&amp;A15&amp;" "&amp;C15</f>
        <v xml:space="preserve"> -  PFDs</v>
      </c>
      <c r="AB15" s="231" t="str">
        <f t="shared" ref="AB15" si="7">B15&amp;" - "&amp;A15&amp;" "&amp;C16</f>
        <v xml:space="preserve"> -  P&amp;IDs</v>
      </c>
      <c r="AC15" s="231" t="s">
        <v>42</v>
      </c>
      <c r="AD15" s="231" t="s">
        <v>43</v>
      </c>
      <c r="AE15" s="251"/>
      <c r="AF15" s="231" t="str">
        <f t="shared" ref="AF15" si="8">IF(ISBLANK(B15),"",B15)</f>
        <v/>
      </c>
      <c r="AG15" s="111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</row>
    <row r="16" spans="1:257" s="4" customFormat="1" x14ac:dyDescent="0.2">
      <c r="A16" s="235"/>
      <c r="B16" s="238"/>
      <c r="C16" s="247" t="s">
        <v>0</v>
      </c>
      <c r="D16" s="182" t="s">
        <v>12</v>
      </c>
      <c r="E16" s="81"/>
      <c r="F16" s="77"/>
      <c r="G16" s="77"/>
      <c r="H16" s="173"/>
      <c r="I16" s="77"/>
      <c r="J16" s="77"/>
      <c r="K16" s="177"/>
      <c r="L16" s="77"/>
      <c r="M16" s="77"/>
      <c r="N16" s="235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110"/>
      <c r="AA16" s="232"/>
      <c r="AB16" s="232"/>
      <c r="AC16" s="232"/>
      <c r="AD16" s="232"/>
      <c r="AE16" s="235"/>
      <c r="AF16" s="232"/>
      <c r="AG16" s="111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</row>
    <row r="17" spans="1:257" s="4" customFormat="1" x14ac:dyDescent="0.2">
      <c r="A17" s="235"/>
      <c r="B17" s="238"/>
      <c r="C17" s="248"/>
      <c r="D17" s="183" t="s">
        <v>13</v>
      </c>
      <c r="E17" s="81"/>
      <c r="F17" s="77"/>
      <c r="G17" s="77"/>
      <c r="H17" s="173"/>
      <c r="I17" s="77"/>
      <c r="J17" s="77"/>
      <c r="K17" s="177"/>
      <c r="L17" s="77"/>
      <c r="M17" s="77"/>
      <c r="N17" s="235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110"/>
      <c r="AA17" s="232"/>
      <c r="AB17" s="232"/>
      <c r="AC17" s="232"/>
      <c r="AD17" s="232"/>
      <c r="AE17" s="235"/>
      <c r="AF17" s="232"/>
      <c r="AG17" s="111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</row>
    <row r="18" spans="1:257" s="4" customFormat="1" x14ac:dyDescent="0.2">
      <c r="A18" s="236"/>
      <c r="B18" s="239"/>
      <c r="C18" s="249"/>
      <c r="D18" s="183" t="s">
        <v>41</v>
      </c>
      <c r="E18" s="82"/>
      <c r="F18" s="78"/>
      <c r="G18" s="78"/>
      <c r="H18" s="174"/>
      <c r="I18" s="78"/>
      <c r="J18" s="78"/>
      <c r="K18" s="178"/>
      <c r="L18" s="78"/>
      <c r="M18" s="78"/>
      <c r="N18" s="23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110"/>
      <c r="AA18" s="233"/>
      <c r="AB18" s="233"/>
      <c r="AC18" s="233"/>
      <c r="AD18" s="233"/>
      <c r="AE18" s="236"/>
      <c r="AF18" s="233"/>
      <c r="AG18" s="111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</row>
    <row r="19" spans="1:257" s="4" customFormat="1" ht="12.75" customHeight="1" x14ac:dyDescent="0.2">
      <c r="A19" s="251"/>
      <c r="B19" s="237"/>
      <c r="C19" s="240" t="s">
        <v>1</v>
      </c>
      <c r="D19" s="240"/>
      <c r="E19" s="80"/>
      <c r="F19" s="76"/>
      <c r="G19" s="76"/>
      <c r="H19" s="175"/>
      <c r="I19" s="76"/>
      <c r="J19" s="76"/>
      <c r="K19" s="179"/>
      <c r="L19" s="76"/>
      <c r="M19" s="76"/>
      <c r="N19" s="234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110"/>
      <c r="AA19" s="231" t="str">
        <f t="shared" ref="AA19" si="9">B19&amp;" - "&amp;A19&amp;" "&amp;C19</f>
        <v xml:space="preserve"> -  PFDs</v>
      </c>
      <c r="AB19" s="231" t="str">
        <f t="shared" ref="AB19" si="10">B19&amp;" - "&amp;A19&amp;" "&amp;C20</f>
        <v xml:space="preserve"> -  P&amp;IDs</v>
      </c>
      <c r="AC19" s="231" t="s">
        <v>42</v>
      </c>
      <c r="AD19" s="231" t="s">
        <v>43</v>
      </c>
      <c r="AE19" s="251"/>
      <c r="AF19" s="231" t="str">
        <f t="shared" ref="AF19" si="11">IF(ISBLANK(B19),"",B19)</f>
        <v/>
      </c>
      <c r="AG19" s="111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</row>
    <row r="20" spans="1:257" s="4" customFormat="1" x14ac:dyDescent="0.2">
      <c r="A20" s="235"/>
      <c r="B20" s="238"/>
      <c r="C20" s="247" t="s">
        <v>0</v>
      </c>
      <c r="D20" s="183" t="s">
        <v>12</v>
      </c>
      <c r="E20" s="81"/>
      <c r="F20" s="77"/>
      <c r="G20" s="77"/>
      <c r="H20" s="173"/>
      <c r="I20" s="77"/>
      <c r="J20" s="77"/>
      <c r="K20" s="177"/>
      <c r="L20" s="77"/>
      <c r="M20" s="77"/>
      <c r="N20" s="235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110"/>
      <c r="AA20" s="232"/>
      <c r="AB20" s="232"/>
      <c r="AC20" s="232"/>
      <c r="AD20" s="232"/>
      <c r="AE20" s="235"/>
      <c r="AF20" s="232"/>
      <c r="AG20" s="111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</row>
    <row r="21" spans="1:257" s="4" customFormat="1" x14ac:dyDescent="0.2">
      <c r="A21" s="235"/>
      <c r="B21" s="238"/>
      <c r="C21" s="248"/>
      <c r="D21" s="183" t="s">
        <v>13</v>
      </c>
      <c r="E21" s="81"/>
      <c r="F21" s="77"/>
      <c r="G21" s="77"/>
      <c r="H21" s="173"/>
      <c r="I21" s="77"/>
      <c r="J21" s="77"/>
      <c r="K21" s="177"/>
      <c r="L21" s="77"/>
      <c r="M21" s="77"/>
      <c r="N21" s="235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10"/>
      <c r="AA21" s="232"/>
      <c r="AB21" s="232"/>
      <c r="AC21" s="232"/>
      <c r="AD21" s="232"/>
      <c r="AE21" s="235"/>
      <c r="AF21" s="232"/>
      <c r="AG21" s="111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</row>
    <row r="22" spans="1:257" s="4" customFormat="1" x14ac:dyDescent="0.2">
      <c r="A22" s="236"/>
      <c r="B22" s="239"/>
      <c r="C22" s="249"/>
      <c r="D22" s="183" t="s">
        <v>41</v>
      </c>
      <c r="E22" s="82"/>
      <c r="F22" s="78"/>
      <c r="G22" s="78"/>
      <c r="H22" s="174"/>
      <c r="I22" s="78"/>
      <c r="J22" s="78"/>
      <c r="K22" s="178"/>
      <c r="L22" s="78"/>
      <c r="M22" s="78"/>
      <c r="N22" s="23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110"/>
      <c r="AA22" s="233"/>
      <c r="AB22" s="233"/>
      <c r="AC22" s="233"/>
      <c r="AD22" s="233"/>
      <c r="AE22" s="236"/>
      <c r="AF22" s="233"/>
      <c r="AG22" s="111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</row>
    <row r="23" spans="1:257" s="4" customFormat="1" x14ac:dyDescent="0.2">
      <c r="A23" s="234"/>
      <c r="B23" s="237"/>
      <c r="C23" s="240" t="s">
        <v>1</v>
      </c>
      <c r="D23" s="240"/>
      <c r="E23" s="80"/>
      <c r="F23" s="76"/>
      <c r="G23" s="76"/>
      <c r="H23" s="175"/>
      <c r="I23" s="76"/>
      <c r="J23" s="76"/>
      <c r="K23" s="179"/>
      <c r="L23" s="76"/>
      <c r="M23" s="76"/>
      <c r="N23" s="23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110"/>
      <c r="AA23" s="231" t="str">
        <f t="shared" ref="AA23" si="12">B23&amp;" - "&amp;A23&amp;" "&amp;C23</f>
        <v xml:space="preserve"> -  PFDs</v>
      </c>
      <c r="AB23" s="231" t="str">
        <f t="shared" ref="AB23" si="13">B23&amp;" - "&amp;A23&amp;" "&amp;C24</f>
        <v xml:space="preserve"> -  P&amp;IDs</v>
      </c>
      <c r="AC23" s="231" t="s">
        <v>42</v>
      </c>
      <c r="AD23" s="231" t="s">
        <v>43</v>
      </c>
      <c r="AE23" s="234"/>
      <c r="AF23" s="231" t="str">
        <f t="shared" ref="AF23" si="14">IF(ISBLANK(B23),"",B23)</f>
        <v/>
      </c>
      <c r="AG23" s="111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</row>
    <row r="24" spans="1:257" s="4" customFormat="1" x14ac:dyDescent="0.2">
      <c r="A24" s="235"/>
      <c r="B24" s="238"/>
      <c r="C24" s="247" t="s">
        <v>0</v>
      </c>
      <c r="D24" s="183" t="s">
        <v>12</v>
      </c>
      <c r="E24" s="81"/>
      <c r="F24" s="77"/>
      <c r="G24" s="77"/>
      <c r="H24" s="173"/>
      <c r="I24" s="77"/>
      <c r="J24" s="77"/>
      <c r="K24" s="177"/>
      <c r="L24" s="77"/>
      <c r="M24" s="77"/>
      <c r="N24" s="235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110"/>
      <c r="AA24" s="232"/>
      <c r="AB24" s="232"/>
      <c r="AC24" s="232"/>
      <c r="AD24" s="232"/>
      <c r="AE24" s="235"/>
      <c r="AF24" s="232"/>
      <c r="AG24" s="111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</row>
    <row r="25" spans="1:257" s="4" customFormat="1" x14ac:dyDescent="0.2">
      <c r="A25" s="235"/>
      <c r="B25" s="238"/>
      <c r="C25" s="248"/>
      <c r="D25" s="183" t="s">
        <v>13</v>
      </c>
      <c r="E25" s="81"/>
      <c r="F25" s="77"/>
      <c r="G25" s="77"/>
      <c r="H25" s="173"/>
      <c r="I25" s="77"/>
      <c r="J25" s="77"/>
      <c r="K25" s="177"/>
      <c r="L25" s="77"/>
      <c r="M25" s="77"/>
      <c r="N25" s="235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110"/>
      <c r="AA25" s="232"/>
      <c r="AB25" s="232"/>
      <c r="AC25" s="232"/>
      <c r="AD25" s="232"/>
      <c r="AE25" s="235"/>
      <c r="AF25" s="232"/>
      <c r="AG25" s="111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</row>
    <row r="26" spans="1:257" s="4" customFormat="1" x14ac:dyDescent="0.2">
      <c r="A26" s="236"/>
      <c r="B26" s="239"/>
      <c r="C26" s="249"/>
      <c r="D26" s="183" t="s">
        <v>41</v>
      </c>
      <c r="E26" s="82"/>
      <c r="F26" s="78"/>
      <c r="G26" s="78"/>
      <c r="H26" s="174"/>
      <c r="I26" s="78"/>
      <c r="J26" s="78"/>
      <c r="K26" s="178"/>
      <c r="L26" s="78"/>
      <c r="M26" s="78"/>
      <c r="N26" s="23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110"/>
      <c r="AA26" s="233"/>
      <c r="AB26" s="233"/>
      <c r="AC26" s="233"/>
      <c r="AD26" s="233"/>
      <c r="AE26" s="236"/>
      <c r="AF26" s="233"/>
      <c r="AG26" s="111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</row>
    <row r="27" spans="1:257" s="4" customFormat="1" x14ac:dyDescent="0.2">
      <c r="A27" s="234"/>
      <c r="B27" s="237"/>
      <c r="C27" s="240" t="s">
        <v>1</v>
      </c>
      <c r="D27" s="240"/>
      <c r="E27" s="80"/>
      <c r="F27" s="76"/>
      <c r="G27" s="76"/>
      <c r="H27" s="175"/>
      <c r="I27" s="76"/>
      <c r="J27" s="76"/>
      <c r="K27" s="179"/>
      <c r="L27" s="76"/>
      <c r="M27" s="76"/>
      <c r="N27" s="234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110"/>
      <c r="AA27" s="231" t="str">
        <f t="shared" ref="AA27" si="15">B27&amp;" - "&amp;A27&amp;" "&amp;C27</f>
        <v xml:space="preserve"> -  PFDs</v>
      </c>
      <c r="AB27" s="231" t="str">
        <f t="shared" ref="AB27" si="16">B27&amp;" - "&amp;A27&amp;" "&amp;C28</f>
        <v xml:space="preserve"> -  P&amp;IDs</v>
      </c>
      <c r="AC27" s="231" t="s">
        <v>42</v>
      </c>
      <c r="AD27" s="231" t="s">
        <v>43</v>
      </c>
      <c r="AE27" s="234"/>
      <c r="AF27" s="231" t="str">
        <f t="shared" ref="AF27" si="17">IF(ISBLANK(B27),"",B27)</f>
        <v/>
      </c>
      <c r="AG27" s="111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</row>
    <row r="28" spans="1:257" s="4" customFormat="1" x14ac:dyDescent="0.2">
      <c r="A28" s="235"/>
      <c r="B28" s="238"/>
      <c r="C28" s="247" t="s">
        <v>0</v>
      </c>
      <c r="D28" s="183" t="s">
        <v>12</v>
      </c>
      <c r="E28" s="81"/>
      <c r="F28" s="77"/>
      <c r="G28" s="77"/>
      <c r="H28" s="173"/>
      <c r="I28" s="77"/>
      <c r="J28" s="77"/>
      <c r="K28" s="177"/>
      <c r="L28" s="77"/>
      <c r="M28" s="77"/>
      <c r="N28" s="235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110"/>
      <c r="AA28" s="232"/>
      <c r="AB28" s="232"/>
      <c r="AC28" s="232"/>
      <c r="AD28" s="232"/>
      <c r="AE28" s="235"/>
      <c r="AF28" s="232"/>
      <c r="AG28" s="111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</row>
    <row r="29" spans="1:257" s="4" customFormat="1" x14ac:dyDescent="0.2">
      <c r="A29" s="235"/>
      <c r="B29" s="238"/>
      <c r="C29" s="248"/>
      <c r="D29" s="183" t="s">
        <v>13</v>
      </c>
      <c r="E29" s="81"/>
      <c r="F29" s="77"/>
      <c r="G29" s="77"/>
      <c r="H29" s="173"/>
      <c r="I29" s="77"/>
      <c r="J29" s="77"/>
      <c r="K29" s="177"/>
      <c r="L29" s="77"/>
      <c r="M29" s="77"/>
      <c r="N29" s="235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110"/>
      <c r="AA29" s="232"/>
      <c r="AB29" s="232"/>
      <c r="AC29" s="232"/>
      <c r="AD29" s="232"/>
      <c r="AE29" s="235"/>
      <c r="AF29" s="232"/>
      <c r="AG29" s="111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</row>
    <row r="30" spans="1:257" s="4" customFormat="1" x14ac:dyDescent="0.2">
      <c r="A30" s="236"/>
      <c r="B30" s="239"/>
      <c r="C30" s="249"/>
      <c r="D30" s="183" t="s">
        <v>41</v>
      </c>
      <c r="E30" s="82"/>
      <c r="F30" s="78"/>
      <c r="G30" s="78"/>
      <c r="H30" s="174"/>
      <c r="I30" s="78"/>
      <c r="J30" s="78"/>
      <c r="K30" s="178"/>
      <c r="L30" s="78"/>
      <c r="M30" s="78"/>
      <c r="N30" s="23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110"/>
      <c r="AA30" s="233"/>
      <c r="AB30" s="233"/>
      <c r="AC30" s="233"/>
      <c r="AD30" s="233"/>
      <c r="AE30" s="236"/>
      <c r="AF30" s="233"/>
      <c r="AG30" s="111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</row>
    <row r="31" spans="1:257" s="4" customFormat="1" x14ac:dyDescent="0.2">
      <c r="A31" s="234"/>
      <c r="B31" s="237"/>
      <c r="C31" s="240" t="s">
        <v>1</v>
      </c>
      <c r="D31" s="240"/>
      <c r="E31" s="80"/>
      <c r="F31" s="76"/>
      <c r="G31" s="76"/>
      <c r="H31" s="175"/>
      <c r="I31" s="76"/>
      <c r="J31" s="76"/>
      <c r="K31" s="179"/>
      <c r="L31" s="76"/>
      <c r="M31" s="76"/>
      <c r="N31" s="234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110"/>
      <c r="AA31" s="231" t="str">
        <f t="shared" ref="AA31" si="18">B31&amp;" - "&amp;A31&amp;" "&amp;C31</f>
        <v xml:space="preserve"> -  PFDs</v>
      </c>
      <c r="AB31" s="231" t="str">
        <f t="shared" ref="AB31" si="19">B31&amp;" - "&amp;A31&amp;" "&amp;C32</f>
        <v xml:space="preserve"> -  P&amp;IDs</v>
      </c>
      <c r="AC31" s="231" t="s">
        <v>42</v>
      </c>
      <c r="AD31" s="231" t="s">
        <v>43</v>
      </c>
      <c r="AE31" s="234"/>
      <c r="AF31" s="231" t="str">
        <f t="shared" ref="AF31" si="20">IF(ISBLANK(B31),"",B31)</f>
        <v/>
      </c>
      <c r="AG31" s="111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</row>
    <row r="32" spans="1:257" s="4" customFormat="1" x14ac:dyDescent="0.2">
      <c r="A32" s="235"/>
      <c r="B32" s="238"/>
      <c r="C32" s="247" t="s">
        <v>0</v>
      </c>
      <c r="D32" s="183" t="s">
        <v>12</v>
      </c>
      <c r="E32" s="81"/>
      <c r="F32" s="77"/>
      <c r="G32" s="77"/>
      <c r="H32" s="173"/>
      <c r="I32" s="77"/>
      <c r="J32" s="77"/>
      <c r="K32" s="177"/>
      <c r="L32" s="77"/>
      <c r="M32" s="77"/>
      <c r="N32" s="235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110"/>
      <c r="AA32" s="232"/>
      <c r="AB32" s="232"/>
      <c r="AC32" s="232"/>
      <c r="AD32" s="232"/>
      <c r="AE32" s="235"/>
      <c r="AF32" s="232"/>
      <c r="AG32" s="111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</row>
    <row r="33" spans="1:257" s="4" customFormat="1" x14ac:dyDescent="0.2">
      <c r="A33" s="235"/>
      <c r="B33" s="238"/>
      <c r="C33" s="248"/>
      <c r="D33" s="183" t="s">
        <v>13</v>
      </c>
      <c r="E33" s="81"/>
      <c r="F33" s="77"/>
      <c r="G33" s="77"/>
      <c r="H33" s="173"/>
      <c r="I33" s="77"/>
      <c r="J33" s="77"/>
      <c r="K33" s="177"/>
      <c r="L33" s="77"/>
      <c r="M33" s="77"/>
      <c r="N33" s="235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110"/>
      <c r="AA33" s="232"/>
      <c r="AB33" s="232"/>
      <c r="AC33" s="232"/>
      <c r="AD33" s="232"/>
      <c r="AE33" s="235"/>
      <c r="AF33" s="232"/>
      <c r="AG33" s="111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</row>
    <row r="34" spans="1:257" s="4" customFormat="1" x14ac:dyDescent="0.2">
      <c r="A34" s="236"/>
      <c r="B34" s="239"/>
      <c r="C34" s="249"/>
      <c r="D34" s="183" t="s">
        <v>41</v>
      </c>
      <c r="E34" s="82"/>
      <c r="F34" s="78"/>
      <c r="G34" s="78"/>
      <c r="H34" s="174"/>
      <c r="I34" s="78"/>
      <c r="J34" s="78"/>
      <c r="K34" s="178"/>
      <c r="L34" s="78"/>
      <c r="M34" s="78"/>
      <c r="N34" s="23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110"/>
      <c r="AA34" s="233"/>
      <c r="AB34" s="233"/>
      <c r="AC34" s="233"/>
      <c r="AD34" s="233"/>
      <c r="AE34" s="236"/>
      <c r="AF34" s="233"/>
      <c r="AG34" s="111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</row>
    <row r="35" spans="1:257" s="4" customFormat="1" ht="12.75" customHeight="1" x14ac:dyDescent="0.2">
      <c r="A35" s="234"/>
      <c r="B35" s="237"/>
      <c r="C35" s="240" t="s">
        <v>1</v>
      </c>
      <c r="D35" s="240"/>
      <c r="E35" s="80"/>
      <c r="F35" s="76"/>
      <c r="G35" s="76"/>
      <c r="H35" s="175"/>
      <c r="I35" s="76"/>
      <c r="J35" s="76"/>
      <c r="K35" s="179"/>
      <c r="L35" s="76"/>
      <c r="M35" s="76"/>
      <c r="N35" s="234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110"/>
      <c r="AA35" s="231" t="str">
        <f t="shared" ref="AA35" si="21">B35&amp;" - "&amp;A35&amp;" "&amp;C35</f>
        <v xml:space="preserve"> -  PFDs</v>
      </c>
      <c r="AB35" s="231" t="str">
        <f t="shared" ref="AB35" si="22">B35&amp;" - "&amp;A35&amp;" "&amp;C36</f>
        <v xml:space="preserve"> -  P&amp;IDs</v>
      </c>
      <c r="AC35" s="231" t="s">
        <v>42</v>
      </c>
      <c r="AD35" s="231" t="s">
        <v>43</v>
      </c>
      <c r="AE35" s="234"/>
      <c r="AF35" s="231" t="str">
        <f t="shared" ref="AF35" si="23">IF(ISBLANK(B35),"",B35)</f>
        <v/>
      </c>
      <c r="AG35" s="111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</row>
    <row r="36" spans="1:257" s="4" customFormat="1" ht="12.75" customHeight="1" x14ac:dyDescent="0.2">
      <c r="A36" s="235"/>
      <c r="B36" s="238"/>
      <c r="C36" s="247" t="s">
        <v>0</v>
      </c>
      <c r="D36" s="183" t="s">
        <v>12</v>
      </c>
      <c r="E36" s="81"/>
      <c r="F36" s="77"/>
      <c r="G36" s="77"/>
      <c r="H36" s="173"/>
      <c r="I36" s="77"/>
      <c r="J36" s="77"/>
      <c r="K36" s="177"/>
      <c r="L36" s="77"/>
      <c r="M36" s="77"/>
      <c r="N36" s="235"/>
      <c r="Z36" s="104"/>
      <c r="AA36" s="232"/>
      <c r="AB36" s="232"/>
      <c r="AC36" s="232"/>
      <c r="AD36" s="232"/>
      <c r="AE36" s="235"/>
      <c r="AF36" s="232"/>
      <c r="AG36" s="112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  <c r="CZ36" s="65"/>
      <c r="DA36" s="65"/>
      <c r="DB36" s="65"/>
      <c r="DC36" s="65"/>
      <c r="DD36" s="65"/>
      <c r="DE36" s="65"/>
      <c r="DF36" s="65"/>
      <c r="DG36" s="65"/>
      <c r="DH36" s="65"/>
      <c r="DI36" s="65"/>
      <c r="DJ36" s="65"/>
      <c r="DK36" s="65"/>
      <c r="DL36" s="65"/>
      <c r="DM36" s="65"/>
      <c r="DN36" s="65"/>
      <c r="DO36" s="65"/>
      <c r="DP36" s="65"/>
      <c r="DQ36" s="65"/>
      <c r="DR36" s="65"/>
      <c r="DS36" s="65"/>
      <c r="DT36" s="65"/>
      <c r="DU36" s="65"/>
      <c r="DV36" s="65"/>
      <c r="DW36" s="65"/>
      <c r="DX36" s="65"/>
      <c r="DY36" s="65"/>
      <c r="DZ36" s="65"/>
      <c r="EA36" s="65"/>
      <c r="EB36" s="65"/>
      <c r="EC36" s="65"/>
      <c r="ED36" s="65"/>
      <c r="EE36" s="65"/>
      <c r="EF36" s="65"/>
      <c r="EG36" s="65"/>
      <c r="EH36" s="65"/>
      <c r="EI36" s="65"/>
      <c r="EJ36" s="65"/>
      <c r="EK36" s="65"/>
      <c r="EL36" s="65"/>
      <c r="EM36" s="65"/>
      <c r="EN36" s="65"/>
      <c r="EO36" s="65"/>
      <c r="EP36" s="65"/>
      <c r="EQ36" s="65"/>
      <c r="ER36" s="65"/>
      <c r="ES36" s="65"/>
      <c r="ET36" s="65"/>
      <c r="EU36" s="65"/>
      <c r="EV36" s="65"/>
      <c r="EW36" s="65"/>
      <c r="EX36" s="65"/>
      <c r="EY36" s="65"/>
      <c r="EZ36" s="65"/>
      <c r="FA36" s="65"/>
      <c r="FB36" s="65"/>
      <c r="FC36" s="65"/>
      <c r="FD36" s="65"/>
      <c r="FE36" s="65"/>
      <c r="FF36" s="65"/>
      <c r="FG36" s="65"/>
      <c r="FH36" s="65"/>
      <c r="FI36" s="65"/>
      <c r="FJ36" s="65"/>
      <c r="FK36" s="65"/>
      <c r="FL36" s="65"/>
      <c r="FM36" s="65"/>
      <c r="FN36" s="65"/>
      <c r="FO36" s="65"/>
      <c r="FP36" s="65"/>
      <c r="FQ36" s="65"/>
      <c r="FR36" s="65"/>
      <c r="FS36" s="65"/>
      <c r="FT36" s="65"/>
      <c r="FU36" s="65"/>
      <c r="FV36" s="65"/>
      <c r="FW36" s="65"/>
      <c r="FX36" s="65"/>
      <c r="FY36" s="65"/>
      <c r="FZ36" s="65"/>
      <c r="GA36" s="65"/>
      <c r="GB36" s="65"/>
      <c r="GC36" s="65"/>
      <c r="GD36" s="65"/>
      <c r="GE36" s="65"/>
      <c r="GF36" s="65"/>
      <c r="GG36" s="65"/>
      <c r="GH36" s="65"/>
      <c r="GI36" s="65"/>
      <c r="GJ36" s="65"/>
      <c r="GK36" s="65"/>
      <c r="GL36" s="65"/>
      <c r="GM36" s="65"/>
      <c r="GN36" s="65"/>
      <c r="GO36" s="65"/>
      <c r="GP36" s="65"/>
      <c r="GQ36" s="65"/>
      <c r="GR36" s="65"/>
      <c r="GS36" s="65"/>
      <c r="GT36" s="65"/>
      <c r="GU36" s="65"/>
      <c r="GV36" s="65"/>
      <c r="GW36" s="65"/>
      <c r="GX36" s="65"/>
      <c r="GY36" s="65"/>
      <c r="GZ36" s="65"/>
      <c r="HA36" s="65"/>
      <c r="HB36" s="65"/>
      <c r="HC36" s="65"/>
      <c r="HD36" s="65"/>
      <c r="HE36" s="65"/>
      <c r="HF36" s="65"/>
      <c r="HG36" s="65"/>
      <c r="HH36" s="65"/>
      <c r="HI36" s="65"/>
      <c r="HJ36" s="65"/>
      <c r="HK36" s="65"/>
      <c r="HL36" s="65"/>
      <c r="HM36" s="65"/>
      <c r="HN36" s="65"/>
      <c r="HO36" s="65"/>
      <c r="HP36" s="65"/>
      <c r="HQ36" s="65"/>
      <c r="HR36" s="65"/>
      <c r="HS36" s="65"/>
      <c r="HT36" s="65"/>
      <c r="HU36" s="65"/>
      <c r="HV36" s="65"/>
      <c r="HW36" s="65"/>
      <c r="HX36" s="65"/>
      <c r="HY36" s="65"/>
      <c r="HZ36" s="65"/>
      <c r="IA36" s="65"/>
      <c r="IB36" s="65"/>
      <c r="IC36" s="65"/>
      <c r="ID36" s="65"/>
      <c r="IE36" s="65"/>
      <c r="IF36" s="65"/>
      <c r="IG36" s="65"/>
      <c r="IH36" s="65"/>
      <c r="II36" s="65"/>
      <c r="IJ36" s="65"/>
      <c r="IK36" s="65"/>
      <c r="IL36" s="65"/>
      <c r="IM36" s="65"/>
      <c r="IN36" s="65"/>
      <c r="IO36" s="65"/>
      <c r="IP36" s="65"/>
      <c r="IQ36" s="65"/>
      <c r="IR36" s="65"/>
      <c r="IS36" s="65"/>
      <c r="IT36" s="65"/>
      <c r="IU36" s="65"/>
      <c r="IV36" s="65"/>
      <c r="IW36" s="65"/>
    </row>
    <row r="37" spans="1:257" s="4" customFormat="1" ht="12.75" customHeight="1" x14ac:dyDescent="0.2">
      <c r="A37" s="235"/>
      <c r="B37" s="238"/>
      <c r="C37" s="248"/>
      <c r="D37" s="183" t="s">
        <v>13</v>
      </c>
      <c r="E37" s="81"/>
      <c r="F37" s="77"/>
      <c r="G37" s="77"/>
      <c r="H37" s="173"/>
      <c r="I37" s="77"/>
      <c r="J37" s="77"/>
      <c r="K37" s="177"/>
      <c r="L37" s="77"/>
      <c r="M37" s="77"/>
      <c r="N37" s="235"/>
      <c r="Z37" s="104"/>
      <c r="AA37" s="232"/>
      <c r="AB37" s="232"/>
      <c r="AC37" s="232"/>
      <c r="AD37" s="232"/>
      <c r="AE37" s="235"/>
      <c r="AF37" s="232"/>
      <c r="AG37" s="104"/>
    </row>
    <row r="38" spans="1:257" s="4" customFormat="1" ht="12.75" customHeight="1" x14ac:dyDescent="0.2">
      <c r="A38" s="236"/>
      <c r="B38" s="239"/>
      <c r="C38" s="249"/>
      <c r="D38" s="183" t="s">
        <v>41</v>
      </c>
      <c r="E38" s="82"/>
      <c r="F38" s="78"/>
      <c r="G38" s="78"/>
      <c r="H38" s="174"/>
      <c r="I38" s="78"/>
      <c r="J38" s="78"/>
      <c r="K38" s="178"/>
      <c r="L38" s="78"/>
      <c r="M38" s="78"/>
      <c r="N38" s="236"/>
      <c r="Z38" s="104"/>
      <c r="AA38" s="233"/>
      <c r="AB38" s="233"/>
      <c r="AC38" s="233"/>
      <c r="AD38" s="233"/>
      <c r="AE38" s="236"/>
      <c r="AF38" s="233"/>
      <c r="AG38" s="104"/>
    </row>
    <row r="39" spans="1:257" s="4" customFormat="1" ht="12.75" hidden="1" customHeight="1" x14ac:dyDescent="0.2">
      <c r="A39" s="234"/>
      <c r="B39" s="237"/>
      <c r="C39" s="240" t="s">
        <v>1</v>
      </c>
      <c r="D39" s="240"/>
      <c r="E39" s="80"/>
      <c r="F39" s="76"/>
      <c r="G39" s="76"/>
      <c r="H39" s="175"/>
      <c r="I39" s="76"/>
      <c r="J39" s="76"/>
      <c r="K39" s="179"/>
      <c r="L39" s="76"/>
      <c r="M39" s="76"/>
      <c r="N39" s="234"/>
      <c r="Z39" s="104"/>
      <c r="AA39" s="231" t="str">
        <f t="shared" ref="AA39" si="24">B39&amp;" - "&amp;A39&amp;" "&amp;C39</f>
        <v xml:space="preserve"> -  PFDs</v>
      </c>
      <c r="AB39" s="231" t="str">
        <f t="shared" ref="AB39" si="25">B39&amp;" - "&amp;A39&amp;" "&amp;C40</f>
        <v xml:space="preserve"> -  P&amp;IDs</v>
      </c>
      <c r="AC39" s="231" t="s">
        <v>42</v>
      </c>
      <c r="AD39" s="231" t="s">
        <v>43</v>
      </c>
      <c r="AE39" s="234"/>
      <c r="AF39" s="231" t="str">
        <f t="shared" ref="AF39" si="26">IF(ISBLANK(B39),"",B39)</f>
        <v/>
      </c>
      <c r="AG39" s="104"/>
    </row>
    <row r="40" spans="1:257" s="4" customFormat="1" ht="12.75" hidden="1" customHeight="1" x14ac:dyDescent="0.2">
      <c r="A40" s="235"/>
      <c r="B40" s="238"/>
      <c r="C40" s="247" t="s">
        <v>0</v>
      </c>
      <c r="D40" s="183" t="s">
        <v>12</v>
      </c>
      <c r="E40" s="81"/>
      <c r="F40" s="77"/>
      <c r="G40" s="77"/>
      <c r="H40" s="173"/>
      <c r="I40" s="77"/>
      <c r="J40" s="77"/>
      <c r="K40" s="177"/>
      <c r="L40" s="77"/>
      <c r="M40" s="77"/>
      <c r="N40" s="235"/>
      <c r="Z40" s="104"/>
      <c r="AA40" s="232"/>
      <c r="AB40" s="232"/>
      <c r="AC40" s="232"/>
      <c r="AD40" s="232"/>
      <c r="AE40" s="235"/>
      <c r="AF40" s="232"/>
      <c r="AG40" s="104"/>
    </row>
    <row r="41" spans="1:257" s="4" customFormat="1" ht="12.75" hidden="1" customHeight="1" x14ac:dyDescent="0.2">
      <c r="A41" s="235"/>
      <c r="B41" s="238"/>
      <c r="C41" s="248"/>
      <c r="D41" s="183" t="s">
        <v>13</v>
      </c>
      <c r="E41" s="81"/>
      <c r="F41" s="77"/>
      <c r="G41" s="77"/>
      <c r="H41" s="173"/>
      <c r="I41" s="77"/>
      <c r="J41" s="77"/>
      <c r="K41" s="177"/>
      <c r="L41" s="77"/>
      <c r="M41" s="77"/>
      <c r="N41" s="235"/>
      <c r="Z41" s="104"/>
      <c r="AA41" s="232"/>
      <c r="AB41" s="232"/>
      <c r="AC41" s="232"/>
      <c r="AD41" s="232"/>
      <c r="AE41" s="235"/>
      <c r="AF41" s="232"/>
      <c r="AG41" s="104"/>
    </row>
    <row r="42" spans="1:257" s="4" customFormat="1" ht="12.75" hidden="1" customHeight="1" x14ac:dyDescent="0.2">
      <c r="A42" s="236"/>
      <c r="B42" s="239"/>
      <c r="C42" s="249"/>
      <c r="D42" s="183" t="s">
        <v>41</v>
      </c>
      <c r="E42" s="82"/>
      <c r="F42" s="78"/>
      <c r="G42" s="78"/>
      <c r="H42" s="174"/>
      <c r="I42" s="78"/>
      <c r="J42" s="78"/>
      <c r="K42" s="178"/>
      <c r="L42" s="78"/>
      <c r="M42" s="78"/>
      <c r="N42" s="236"/>
      <c r="Z42" s="104"/>
      <c r="AA42" s="233"/>
      <c r="AB42" s="233"/>
      <c r="AC42" s="233"/>
      <c r="AD42" s="233"/>
      <c r="AE42" s="236"/>
      <c r="AF42" s="233"/>
      <c r="AG42" s="104"/>
    </row>
    <row r="43" spans="1:257" s="4" customFormat="1" ht="12.75" hidden="1" customHeight="1" x14ac:dyDescent="0.2">
      <c r="A43" s="234"/>
      <c r="B43" s="237"/>
      <c r="C43" s="240" t="s">
        <v>1</v>
      </c>
      <c r="D43" s="240"/>
      <c r="E43" s="80"/>
      <c r="F43" s="76"/>
      <c r="G43" s="76"/>
      <c r="H43" s="175"/>
      <c r="I43" s="76"/>
      <c r="J43" s="76"/>
      <c r="K43" s="179"/>
      <c r="L43" s="76"/>
      <c r="M43" s="76"/>
      <c r="N43" s="234"/>
      <c r="Z43" s="104"/>
      <c r="AA43" s="231" t="str">
        <f t="shared" ref="AA43" si="27">B43&amp;" - "&amp;A43&amp;" "&amp;C43</f>
        <v xml:space="preserve"> -  PFDs</v>
      </c>
      <c r="AB43" s="231" t="str">
        <f t="shared" ref="AB43" si="28">B43&amp;" - "&amp;A43&amp;" "&amp;C44</f>
        <v xml:space="preserve"> -  P&amp;IDs</v>
      </c>
      <c r="AC43" s="231" t="s">
        <v>42</v>
      </c>
      <c r="AD43" s="231" t="s">
        <v>43</v>
      </c>
      <c r="AE43" s="234"/>
      <c r="AF43" s="231" t="str">
        <f t="shared" ref="AF43" si="29">IF(ISBLANK(B43),"",B43)</f>
        <v/>
      </c>
      <c r="AG43" s="11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</row>
    <row r="44" spans="1:257" s="4" customFormat="1" ht="12.75" hidden="1" customHeight="1" x14ac:dyDescent="0.2">
      <c r="A44" s="235"/>
      <c r="B44" s="238"/>
      <c r="C44" s="247" t="s">
        <v>0</v>
      </c>
      <c r="D44" s="183" t="s">
        <v>12</v>
      </c>
      <c r="E44" s="81"/>
      <c r="F44" s="77"/>
      <c r="G44" s="77"/>
      <c r="H44" s="173"/>
      <c r="I44" s="77"/>
      <c r="J44" s="77"/>
      <c r="K44" s="177"/>
      <c r="L44" s="77"/>
      <c r="M44" s="77"/>
      <c r="N44" s="235"/>
      <c r="Z44" s="104"/>
      <c r="AA44" s="232"/>
      <c r="AB44" s="232"/>
      <c r="AC44" s="232"/>
      <c r="AD44" s="232"/>
      <c r="AE44" s="235"/>
      <c r="AF44" s="232"/>
      <c r="AG44" s="114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  <c r="DC44" s="67"/>
      <c r="DD44" s="67"/>
      <c r="DE44" s="67"/>
      <c r="DF44" s="67"/>
      <c r="DG44" s="67"/>
      <c r="DH44" s="67"/>
      <c r="DI44" s="67"/>
      <c r="DJ44" s="67"/>
      <c r="DK44" s="67"/>
      <c r="DL44" s="67"/>
      <c r="DM44" s="67"/>
      <c r="DN44" s="67"/>
      <c r="DO44" s="67"/>
      <c r="DP44" s="67"/>
      <c r="DQ44" s="67"/>
      <c r="DR44" s="67"/>
      <c r="DS44" s="67"/>
      <c r="DT44" s="67"/>
      <c r="DU44" s="67"/>
      <c r="DV44" s="67"/>
      <c r="DW44" s="67"/>
      <c r="DX44" s="67"/>
      <c r="DY44" s="67"/>
      <c r="DZ44" s="67"/>
      <c r="EA44" s="67"/>
      <c r="EB44" s="67"/>
      <c r="EC44" s="67"/>
      <c r="ED44" s="67"/>
      <c r="EE44" s="67"/>
      <c r="EF44" s="67"/>
      <c r="EG44" s="67"/>
      <c r="EH44" s="67"/>
      <c r="EI44" s="67"/>
      <c r="EJ44" s="67"/>
      <c r="EK44" s="67"/>
      <c r="EL44" s="67"/>
      <c r="EM44" s="67"/>
      <c r="EN44" s="67"/>
      <c r="EO44" s="67"/>
      <c r="EP44" s="67"/>
      <c r="EQ44" s="67"/>
      <c r="ER44" s="67"/>
      <c r="ES44" s="67"/>
      <c r="ET44" s="67"/>
      <c r="EU44" s="67"/>
      <c r="EV44" s="67"/>
      <c r="EW44" s="67"/>
      <c r="EX44" s="67"/>
      <c r="EY44" s="67"/>
      <c r="EZ44" s="67"/>
      <c r="FA44" s="67"/>
      <c r="FB44" s="67"/>
      <c r="FC44" s="67"/>
      <c r="FD44" s="67"/>
      <c r="FE44" s="67"/>
      <c r="FF44" s="67"/>
      <c r="FG44" s="67"/>
      <c r="FH44" s="67"/>
      <c r="FI44" s="67"/>
      <c r="FJ44" s="67"/>
      <c r="FK44" s="67"/>
      <c r="FL44" s="67"/>
      <c r="FM44" s="67"/>
      <c r="FN44" s="67"/>
      <c r="FO44" s="67"/>
      <c r="FP44" s="67"/>
      <c r="FQ44" s="67"/>
      <c r="FR44" s="67"/>
      <c r="FS44" s="67"/>
      <c r="FT44" s="67"/>
      <c r="FU44" s="67"/>
      <c r="FV44" s="67"/>
      <c r="FW44" s="67"/>
      <c r="FX44" s="67"/>
      <c r="FY44" s="67"/>
      <c r="FZ44" s="67"/>
      <c r="GA44" s="67"/>
      <c r="GB44" s="67"/>
      <c r="GC44" s="67"/>
      <c r="GD44" s="67"/>
      <c r="GE44" s="67"/>
      <c r="GF44" s="67"/>
      <c r="GG44" s="67"/>
      <c r="GH44" s="67"/>
      <c r="GI44" s="67"/>
      <c r="GJ44" s="67"/>
      <c r="GK44" s="67"/>
      <c r="GL44" s="67"/>
      <c r="GM44" s="67"/>
      <c r="GN44" s="67"/>
      <c r="GO44" s="67"/>
      <c r="GP44" s="67"/>
      <c r="GQ44" s="67"/>
      <c r="GR44" s="67"/>
      <c r="GS44" s="67"/>
      <c r="GT44" s="67"/>
      <c r="GU44" s="67"/>
      <c r="GV44" s="67"/>
      <c r="GW44" s="67"/>
      <c r="GX44" s="67"/>
      <c r="GY44" s="67"/>
      <c r="GZ44" s="67"/>
      <c r="HA44" s="67"/>
      <c r="HB44" s="67"/>
      <c r="HC44" s="67"/>
      <c r="HD44" s="67"/>
      <c r="HE44" s="67"/>
      <c r="HF44" s="67"/>
      <c r="HG44" s="67"/>
      <c r="HH44" s="67"/>
      <c r="HI44" s="67"/>
      <c r="HJ44" s="67"/>
      <c r="HK44" s="67"/>
      <c r="HL44" s="67"/>
      <c r="HM44" s="67"/>
      <c r="HN44" s="67"/>
      <c r="HO44" s="67"/>
      <c r="HP44" s="67"/>
      <c r="HQ44" s="67"/>
      <c r="HR44" s="67"/>
      <c r="HS44" s="67"/>
      <c r="HT44" s="67"/>
      <c r="HU44" s="67"/>
      <c r="HV44" s="67"/>
      <c r="HW44" s="67"/>
      <c r="HX44" s="67"/>
      <c r="HY44" s="67"/>
      <c r="HZ44" s="67"/>
      <c r="IA44" s="67"/>
      <c r="IB44" s="67"/>
      <c r="IC44" s="67"/>
      <c r="ID44" s="67"/>
      <c r="IE44" s="67"/>
      <c r="IF44" s="67"/>
      <c r="IG44" s="67"/>
      <c r="IH44" s="67"/>
      <c r="II44" s="67"/>
      <c r="IJ44" s="67"/>
      <c r="IK44" s="67"/>
      <c r="IL44" s="67"/>
      <c r="IM44" s="67"/>
      <c r="IN44" s="67"/>
      <c r="IO44" s="67"/>
      <c r="IP44" s="67"/>
      <c r="IQ44" s="67"/>
      <c r="IR44" s="67"/>
      <c r="IS44" s="67"/>
      <c r="IT44" s="67"/>
      <c r="IU44" s="67"/>
      <c r="IV44" s="67"/>
      <c r="IW44" s="67"/>
    </row>
    <row r="45" spans="1:257" s="4" customFormat="1" ht="12.75" hidden="1" customHeight="1" x14ac:dyDescent="0.2">
      <c r="A45" s="235"/>
      <c r="B45" s="238"/>
      <c r="C45" s="248"/>
      <c r="D45" s="183" t="s">
        <v>13</v>
      </c>
      <c r="E45" s="81"/>
      <c r="F45" s="77"/>
      <c r="G45" s="77"/>
      <c r="H45" s="173"/>
      <c r="I45" s="77"/>
      <c r="J45" s="77"/>
      <c r="K45" s="177"/>
      <c r="L45" s="77"/>
      <c r="M45" s="77"/>
      <c r="N45" s="235"/>
      <c r="Z45" s="104"/>
      <c r="AA45" s="232"/>
      <c r="AB45" s="232"/>
      <c r="AC45" s="232"/>
      <c r="AD45" s="232"/>
      <c r="AE45" s="235"/>
      <c r="AF45" s="232"/>
      <c r="AG45" s="114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  <c r="BI45" s="67"/>
      <c r="BJ45" s="67"/>
      <c r="BK45" s="67"/>
      <c r="BL45" s="67"/>
      <c r="BM45" s="67"/>
      <c r="BN45" s="67"/>
      <c r="BO45" s="67"/>
      <c r="BP45" s="67"/>
      <c r="BQ45" s="67"/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  <c r="DC45" s="67"/>
      <c r="DD45" s="67"/>
      <c r="DE45" s="67"/>
      <c r="DF45" s="67"/>
      <c r="DG45" s="67"/>
      <c r="DH45" s="67"/>
      <c r="DI45" s="67"/>
      <c r="DJ45" s="67"/>
      <c r="DK45" s="67"/>
      <c r="DL45" s="67"/>
      <c r="DM45" s="67"/>
      <c r="DN45" s="67"/>
      <c r="DO45" s="67"/>
      <c r="DP45" s="67"/>
      <c r="DQ45" s="67"/>
      <c r="DR45" s="67"/>
      <c r="DS45" s="67"/>
      <c r="DT45" s="67"/>
      <c r="DU45" s="67"/>
      <c r="DV45" s="67"/>
      <c r="DW45" s="67"/>
      <c r="DX45" s="67"/>
      <c r="DY45" s="67"/>
      <c r="DZ45" s="67"/>
      <c r="EA45" s="67"/>
      <c r="EB45" s="67"/>
      <c r="EC45" s="67"/>
      <c r="ED45" s="67"/>
      <c r="EE45" s="67"/>
      <c r="EF45" s="67"/>
      <c r="EG45" s="67"/>
      <c r="EH45" s="67"/>
      <c r="EI45" s="67"/>
      <c r="EJ45" s="67"/>
      <c r="EK45" s="67"/>
      <c r="EL45" s="67"/>
      <c r="EM45" s="67"/>
      <c r="EN45" s="67"/>
      <c r="EO45" s="67"/>
      <c r="EP45" s="67"/>
      <c r="EQ45" s="67"/>
      <c r="ER45" s="67"/>
      <c r="ES45" s="67"/>
      <c r="ET45" s="67"/>
      <c r="EU45" s="67"/>
      <c r="EV45" s="67"/>
      <c r="EW45" s="67"/>
      <c r="EX45" s="67"/>
      <c r="EY45" s="67"/>
      <c r="EZ45" s="67"/>
      <c r="FA45" s="67"/>
      <c r="FB45" s="67"/>
      <c r="FC45" s="67"/>
      <c r="FD45" s="67"/>
      <c r="FE45" s="67"/>
      <c r="FF45" s="67"/>
      <c r="FG45" s="67"/>
      <c r="FH45" s="67"/>
      <c r="FI45" s="67"/>
      <c r="FJ45" s="67"/>
      <c r="FK45" s="67"/>
      <c r="FL45" s="67"/>
      <c r="FM45" s="67"/>
      <c r="FN45" s="67"/>
      <c r="FO45" s="67"/>
      <c r="FP45" s="67"/>
      <c r="FQ45" s="67"/>
      <c r="FR45" s="67"/>
      <c r="FS45" s="67"/>
      <c r="FT45" s="67"/>
      <c r="FU45" s="67"/>
      <c r="FV45" s="67"/>
      <c r="FW45" s="67"/>
      <c r="FX45" s="67"/>
      <c r="FY45" s="67"/>
      <c r="FZ45" s="67"/>
      <c r="GA45" s="67"/>
      <c r="GB45" s="67"/>
      <c r="GC45" s="67"/>
      <c r="GD45" s="67"/>
      <c r="GE45" s="67"/>
      <c r="GF45" s="67"/>
      <c r="GG45" s="67"/>
      <c r="GH45" s="67"/>
      <c r="GI45" s="67"/>
      <c r="GJ45" s="67"/>
      <c r="GK45" s="67"/>
      <c r="GL45" s="67"/>
      <c r="GM45" s="67"/>
      <c r="GN45" s="67"/>
      <c r="GO45" s="67"/>
      <c r="GP45" s="67"/>
      <c r="GQ45" s="67"/>
      <c r="GR45" s="67"/>
      <c r="GS45" s="67"/>
      <c r="GT45" s="67"/>
      <c r="GU45" s="67"/>
      <c r="GV45" s="67"/>
      <c r="GW45" s="67"/>
      <c r="GX45" s="67"/>
      <c r="GY45" s="67"/>
      <c r="GZ45" s="67"/>
      <c r="HA45" s="67"/>
      <c r="HB45" s="67"/>
      <c r="HC45" s="67"/>
      <c r="HD45" s="67"/>
      <c r="HE45" s="67"/>
      <c r="HF45" s="67"/>
      <c r="HG45" s="67"/>
      <c r="HH45" s="67"/>
      <c r="HI45" s="67"/>
      <c r="HJ45" s="67"/>
      <c r="HK45" s="67"/>
      <c r="HL45" s="67"/>
      <c r="HM45" s="67"/>
      <c r="HN45" s="67"/>
      <c r="HO45" s="67"/>
      <c r="HP45" s="67"/>
      <c r="HQ45" s="67"/>
      <c r="HR45" s="67"/>
      <c r="HS45" s="67"/>
      <c r="HT45" s="67"/>
      <c r="HU45" s="67"/>
      <c r="HV45" s="67"/>
      <c r="HW45" s="67"/>
      <c r="HX45" s="67"/>
      <c r="HY45" s="67"/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</row>
    <row r="46" spans="1:257" s="4" customFormat="1" ht="12.75" hidden="1" customHeight="1" x14ac:dyDescent="0.2">
      <c r="A46" s="236"/>
      <c r="B46" s="239"/>
      <c r="C46" s="249"/>
      <c r="D46" s="183" t="s">
        <v>41</v>
      </c>
      <c r="E46" s="82"/>
      <c r="F46" s="78"/>
      <c r="G46" s="78"/>
      <c r="H46" s="174"/>
      <c r="I46" s="78"/>
      <c r="J46" s="78"/>
      <c r="K46" s="178"/>
      <c r="L46" s="78"/>
      <c r="M46" s="78"/>
      <c r="N46" s="236"/>
      <c r="Z46" s="104"/>
      <c r="AA46" s="233"/>
      <c r="AB46" s="233"/>
      <c r="AC46" s="233"/>
      <c r="AD46" s="233"/>
      <c r="AE46" s="236"/>
      <c r="AF46" s="233"/>
      <c r="AG46" s="114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67"/>
      <c r="BO46" s="67"/>
      <c r="BP46" s="6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  <c r="DC46" s="67"/>
      <c r="DD46" s="67"/>
      <c r="DE46" s="67"/>
      <c r="DF46" s="67"/>
      <c r="DG46" s="67"/>
      <c r="DH46" s="67"/>
      <c r="DI46" s="67"/>
      <c r="DJ46" s="67"/>
      <c r="DK46" s="67"/>
      <c r="DL46" s="67"/>
      <c r="DM46" s="67"/>
      <c r="DN46" s="67"/>
      <c r="DO46" s="67"/>
      <c r="DP46" s="67"/>
      <c r="DQ46" s="67"/>
      <c r="DR46" s="67"/>
      <c r="DS46" s="67"/>
      <c r="DT46" s="67"/>
      <c r="DU46" s="67"/>
      <c r="DV46" s="67"/>
      <c r="DW46" s="67"/>
      <c r="DX46" s="67"/>
      <c r="DY46" s="67"/>
      <c r="DZ46" s="67"/>
      <c r="EA46" s="67"/>
      <c r="EB46" s="67"/>
      <c r="EC46" s="67"/>
      <c r="ED46" s="67"/>
      <c r="EE46" s="67"/>
      <c r="EF46" s="67"/>
      <c r="EG46" s="67"/>
      <c r="EH46" s="67"/>
      <c r="EI46" s="67"/>
      <c r="EJ46" s="67"/>
      <c r="EK46" s="67"/>
      <c r="EL46" s="67"/>
      <c r="EM46" s="67"/>
      <c r="EN46" s="67"/>
      <c r="EO46" s="67"/>
      <c r="EP46" s="67"/>
      <c r="EQ46" s="67"/>
      <c r="ER46" s="67"/>
      <c r="ES46" s="67"/>
      <c r="ET46" s="67"/>
      <c r="EU46" s="67"/>
      <c r="EV46" s="67"/>
      <c r="EW46" s="67"/>
      <c r="EX46" s="67"/>
      <c r="EY46" s="67"/>
      <c r="EZ46" s="67"/>
      <c r="FA46" s="67"/>
      <c r="FB46" s="67"/>
      <c r="FC46" s="67"/>
      <c r="FD46" s="67"/>
      <c r="FE46" s="67"/>
      <c r="FF46" s="67"/>
      <c r="FG46" s="67"/>
      <c r="FH46" s="67"/>
      <c r="FI46" s="67"/>
      <c r="FJ46" s="67"/>
      <c r="FK46" s="67"/>
      <c r="FL46" s="67"/>
      <c r="FM46" s="67"/>
      <c r="FN46" s="67"/>
      <c r="FO46" s="67"/>
      <c r="FP46" s="67"/>
      <c r="FQ46" s="67"/>
      <c r="FR46" s="67"/>
      <c r="FS46" s="67"/>
      <c r="FT46" s="67"/>
      <c r="FU46" s="67"/>
      <c r="FV46" s="67"/>
      <c r="FW46" s="67"/>
      <c r="FX46" s="67"/>
      <c r="FY46" s="67"/>
      <c r="FZ46" s="67"/>
      <c r="GA46" s="67"/>
      <c r="GB46" s="67"/>
      <c r="GC46" s="67"/>
      <c r="GD46" s="67"/>
      <c r="GE46" s="67"/>
      <c r="GF46" s="67"/>
      <c r="GG46" s="67"/>
      <c r="GH46" s="67"/>
      <c r="GI46" s="67"/>
      <c r="GJ46" s="67"/>
      <c r="GK46" s="67"/>
      <c r="GL46" s="67"/>
      <c r="GM46" s="67"/>
      <c r="GN46" s="67"/>
      <c r="GO46" s="67"/>
      <c r="GP46" s="67"/>
      <c r="GQ46" s="67"/>
      <c r="GR46" s="67"/>
      <c r="GS46" s="67"/>
      <c r="GT46" s="67"/>
      <c r="GU46" s="67"/>
      <c r="GV46" s="67"/>
      <c r="GW46" s="67"/>
      <c r="GX46" s="67"/>
      <c r="GY46" s="67"/>
      <c r="GZ46" s="67"/>
      <c r="HA46" s="67"/>
      <c r="HB46" s="67"/>
      <c r="HC46" s="67"/>
      <c r="HD46" s="67"/>
      <c r="HE46" s="67"/>
      <c r="HF46" s="67"/>
      <c r="HG46" s="67"/>
      <c r="HH46" s="67"/>
      <c r="HI46" s="67"/>
      <c r="HJ46" s="67"/>
      <c r="HK46" s="67"/>
      <c r="HL46" s="67"/>
      <c r="HM46" s="67"/>
      <c r="HN46" s="67"/>
      <c r="HO46" s="67"/>
      <c r="HP46" s="67"/>
      <c r="HQ46" s="67"/>
      <c r="HR46" s="67"/>
      <c r="HS46" s="67"/>
      <c r="HT46" s="67"/>
      <c r="HU46" s="67"/>
      <c r="HV46" s="67"/>
      <c r="HW46" s="67"/>
      <c r="HX46" s="67"/>
      <c r="HY46" s="67"/>
      <c r="HZ46" s="67"/>
      <c r="IA46" s="67"/>
      <c r="IB46" s="67"/>
      <c r="IC46" s="67"/>
      <c r="ID46" s="67"/>
      <c r="IE46" s="67"/>
      <c r="IF46" s="67"/>
      <c r="IG46" s="67"/>
      <c r="IH46" s="67"/>
      <c r="II46" s="67"/>
      <c r="IJ46" s="67"/>
      <c r="IK46" s="67"/>
      <c r="IL46" s="67"/>
      <c r="IM46" s="67"/>
      <c r="IN46" s="67"/>
      <c r="IO46" s="67"/>
      <c r="IP46" s="67"/>
      <c r="IQ46" s="67"/>
      <c r="IR46" s="67"/>
      <c r="IS46" s="67"/>
      <c r="IT46" s="67"/>
      <c r="IU46" s="67"/>
      <c r="IV46" s="67"/>
      <c r="IW46" s="67"/>
    </row>
    <row r="47" spans="1:257" s="4" customFormat="1" ht="12.75" hidden="1" customHeight="1" x14ac:dyDescent="0.2">
      <c r="A47" s="234"/>
      <c r="B47" s="237"/>
      <c r="C47" s="240" t="s">
        <v>1</v>
      </c>
      <c r="D47" s="240"/>
      <c r="E47" s="80"/>
      <c r="F47" s="76"/>
      <c r="G47" s="76"/>
      <c r="H47" s="175"/>
      <c r="I47" s="76"/>
      <c r="J47" s="76"/>
      <c r="K47" s="179"/>
      <c r="L47" s="76"/>
      <c r="M47" s="76"/>
      <c r="N47" s="234"/>
      <c r="Z47" s="104"/>
      <c r="AA47" s="231" t="str">
        <f t="shared" ref="AA47" si="30">B47&amp;" - "&amp;A47&amp;" "&amp;C47</f>
        <v xml:space="preserve"> -  PFDs</v>
      </c>
      <c r="AB47" s="231" t="str">
        <f t="shared" ref="AB47" si="31">B47&amp;" - "&amp;A47&amp;" "&amp;C48</f>
        <v xml:space="preserve"> -  P&amp;IDs</v>
      </c>
      <c r="AC47" s="231" t="s">
        <v>42</v>
      </c>
      <c r="AD47" s="231" t="s">
        <v>43</v>
      </c>
      <c r="AE47" s="234"/>
      <c r="AF47" s="231" t="str">
        <f t="shared" ref="AF47" si="32">IF(ISBLANK(B47),"",B47)</f>
        <v/>
      </c>
      <c r="AG47" s="114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7"/>
      <c r="DW47" s="67"/>
      <c r="DX47" s="67"/>
      <c r="DY47" s="67"/>
      <c r="DZ47" s="67"/>
      <c r="EA47" s="67"/>
      <c r="EB47" s="67"/>
      <c r="EC47" s="67"/>
      <c r="ED47" s="67"/>
      <c r="EE47" s="67"/>
      <c r="EF47" s="67"/>
      <c r="EG47" s="67"/>
      <c r="EH47" s="67"/>
      <c r="EI47" s="67"/>
      <c r="EJ47" s="67"/>
      <c r="EK47" s="67"/>
      <c r="EL47" s="67"/>
      <c r="EM47" s="67"/>
      <c r="EN47" s="67"/>
      <c r="EO47" s="67"/>
      <c r="EP47" s="67"/>
      <c r="EQ47" s="67"/>
      <c r="ER47" s="67"/>
      <c r="ES47" s="67"/>
      <c r="ET47" s="67"/>
      <c r="EU47" s="67"/>
      <c r="EV47" s="67"/>
      <c r="EW47" s="67"/>
      <c r="EX47" s="67"/>
      <c r="EY47" s="67"/>
      <c r="EZ47" s="67"/>
      <c r="FA47" s="67"/>
      <c r="FB47" s="67"/>
      <c r="FC47" s="67"/>
      <c r="FD47" s="67"/>
      <c r="FE47" s="67"/>
      <c r="FF47" s="67"/>
      <c r="FG47" s="67"/>
      <c r="FH47" s="67"/>
      <c r="FI47" s="67"/>
      <c r="FJ47" s="67"/>
      <c r="FK47" s="67"/>
      <c r="FL47" s="67"/>
      <c r="FM47" s="67"/>
      <c r="FN47" s="67"/>
      <c r="FO47" s="67"/>
      <c r="FP47" s="67"/>
      <c r="FQ47" s="67"/>
      <c r="FR47" s="67"/>
      <c r="FS47" s="67"/>
      <c r="FT47" s="67"/>
      <c r="FU47" s="67"/>
      <c r="FV47" s="67"/>
      <c r="FW47" s="67"/>
      <c r="FX47" s="67"/>
      <c r="FY47" s="67"/>
      <c r="FZ47" s="67"/>
      <c r="GA47" s="67"/>
      <c r="GB47" s="67"/>
      <c r="GC47" s="67"/>
      <c r="GD47" s="67"/>
      <c r="GE47" s="67"/>
      <c r="GF47" s="67"/>
      <c r="GG47" s="67"/>
      <c r="GH47" s="67"/>
      <c r="GI47" s="67"/>
      <c r="GJ47" s="67"/>
      <c r="GK47" s="67"/>
      <c r="GL47" s="67"/>
      <c r="GM47" s="67"/>
      <c r="GN47" s="67"/>
      <c r="GO47" s="67"/>
      <c r="GP47" s="67"/>
      <c r="GQ47" s="67"/>
      <c r="GR47" s="67"/>
      <c r="GS47" s="67"/>
      <c r="GT47" s="67"/>
      <c r="GU47" s="67"/>
      <c r="GV47" s="67"/>
      <c r="GW47" s="67"/>
      <c r="GX47" s="67"/>
      <c r="GY47" s="67"/>
      <c r="GZ47" s="67"/>
      <c r="HA47" s="67"/>
      <c r="HB47" s="67"/>
      <c r="HC47" s="67"/>
      <c r="HD47" s="67"/>
      <c r="HE47" s="67"/>
      <c r="HF47" s="67"/>
      <c r="HG47" s="67"/>
      <c r="HH47" s="67"/>
      <c r="HI47" s="67"/>
      <c r="HJ47" s="67"/>
      <c r="HK47" s="67"/>
      <c r="HL47" s="67"/>
      <c r="HM47" s="67"/>
      <c r="HN47" s="67"/>
      <c r="HO47" s="67"/>
      <c r="HP47" s="67"/>
      <c r="HQ47" s="67"/>
      <c r="HR47" s="67"/>
      <c r="HS47" s="67"/>
      <c r="HT47" s="67"/>
      <c r="HU47" s="67"/>
      <c r="HV47" s="67"/>
      <c r="HW47" s="67"/>
      <c r="HX47" s="67"/>
      <c r="HY47" s="67"/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</row>
    <row r="48" spans="1:257" s="4" customFormat="1" ht="12.75" hidden="1" customHeight="1" x14ac:dyDescent="0.2">
      <c r="A48" s="235"/>
      <c r="B48" s="238"/>
      <c r="C48" s="247" t="s">
        <v>0</v>
      </c>
      <c r="D48" s="183" t="s">
        <v>12</v>
      </c>
      <c r="E48" s="81"/>
      <c r="F48" s="77"/>
      <c r="G48" s="77"/>
      <c r="H48" s="173"/>
      <c r="I48" s="77"/>
      <c r="J48" s="77"/>
      <c r="K48" s="177"/>
      <c r="L48" s="77"/>
      <c r="M48" s="77"/>
      <c r="N48" s="235"/>
      <c r="Z48" s="104"/>
      <c r="AA48" s="232"/>
      <c r="AB48" s="232"/>
      <c r="AC48" s="232"/>
      <c r="AD48" s="232"/>
      <c r="AE48" s="235"/>
      <c r="AF48" s="232"/>
      <c r="AG48" s="114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/>
      <c r="DS48" s="67"/>
      <c r="DT48" s="67"/>
      <c r="DU48" s="67"/>
      <c r="DV48" s="67"/>
      <c r="DW48" s="67"/>
      <c r="DX48" s="67"/>
      <c r="DY48" s="67"/>
      <c r="DZ48" s="67"/>
      <c r="EA48" s="67"/>
      <c r="EB48" s="67"/>
      <c r="EC48" s="67"/>
      <c r="ED48" s="67"/>
      <c r="EE48" s="67"/>
      <c r="EF48" s="67"/>
      <c r="EG48" s="67"/>
      <c r="EH48" s="67"/>
      <c r="EI48" s="67"/>
      <c r="EJ48" s="67"/>
      <c r="EK48" s="67"/>
      <c r="EL48" s="67"/>
      <c r="EM48" s="67"/>
      <c r="EN48" s="67"/>
      <c r="EO48" s="67"/>
      <c r="EP48" s="67"/>
      <c r="EQ48" s="67"/>
      <c r="ER48" s="67"/>
      <c r="ES48" s="67"/>
      <c r="ET48" s="67"/>
      <c r="EU48" s="67"/>
      <c r="EV48" s="67"/>
      <c r="EW48" s="67"/>
      <c r="EX48" s="67"/>
      <c r="EY48" s="67"/>
      <c r="EZ48" s="67"/>
      <c r="FA48" s="67"/>
      <c r="FB48" s="67"/>
      <c r="FC48" s="67"/>
      <c r="FD48" s="67"/>
      <c r="FE48" s="67"/>
      <c r="FF48" s="67"/>
      <c r="FG48" s="67"/>
      <c r="FH48" s="67"/>
      <c r="FI48" s="67"/>
      <c r="FJ48" s="67"/>
      <c r="FK48" s="67"/>
      <c r="FL48" s="67"/>
      <c r="FM48" s="67"/>
      <c r="FN48" s="67"/>
      <c r="FO48" s="67"/>
      <c r="FP48" s="67"/>
      <c r="FQ48" s="67"/>
      <c r="FR48" s="67"/>
      <c r="FS48" s="67"/>
      <c r="FT48" s="67"/>
      <c r="FU48" s="67"/>
      <c r="FV48" s="67"/>
      <c r="FW48" s="67"/>
      <c r="FX48" s="67"/>
      <c r="FY48" s="67"/>
      <c r="FZ48" s="67"/>
      <c r="GA48" s="67"/>
      <c r="GB48" s="67"/>
      <c r="GC48" s="67"/>
      <c r="GD48" s="67"/>
      <c r="GE48" s="67"/>
      <c r="GF48" s="67"/>
      <c r="GG48" s="67"/>
      <c r="GH48" s="67"/>
      <c r="GI48" s="67"/>
      <c r="GJ48" s="67"/>
      <c r="GK48" s="67"/>
      <c r="GL48" s="67"/>
      <c r="GM48" s="67"/>
      <c r="GN48" s="67"/>
      <c r="GO48" s="67"/>
      <c r="GP48" s="67"/>
      <c r="GQ48" s="67"/>
      <c r="GR48" s="67"/>
      <c r="GS48" s="67"/>
      <c r="GT48" s="67"/>
      <c r="GU48" s="67"/>
      <c r="GV48" s="67"/>
      <c r="GW48" s="67"/>
      <c r="GX48" s="67"/>
      <c r="GY48" s="67"/>
      <c r="GZ48" s="67"/>
      <c r="HA48" s="67"/>
      <c r="HB48" s="67"/>
      <c r="HC48" s="67"/>
      <c r="HD48" s="67"/>
      <c r="HE48" s="67"/>
      <c r="HF48" s="67"/>
      <c r="HG48" s="67"/>
      <c r="HH48" s="67"/>
      <c r="HI48" s="67"/>
      <c r="HJ48" s="67"/>
      <c r="HK48" s="67"/>
      <c r="HL48" s="67"/>
      <c r="HM48" s="67"/>
      <c r="HN48" s="67"/>
      <c r="HO48" s="67"/>
      <c r="HP48" s="67"/>
      <c r="HQ48" s="67"/>
      <c r="HR48" s="67"/>
      <c r="HS48" s="67"/>
      <c r="HT48" s="67"/>
      <c r="HU48" s="67"/>
      <c r="HV48" s="67"/>
      <c r="HW48" s="67"/>
      <c r="HX48" s="67"/>
      <c r="HY48" s="67"/>
      <c r="HZ48" s="67"/>
      <c r="IA48" s="67"/>
      <c r="IB48" s="67"/>
      <c r="IC48" s="67"/>
      <c r="ID48" s="67"/>
      <c r="IE48" s="67"/>
      <c r="IF48" s="67"/>
      <c r="IG48" s="67"/>
      <c r="IH48" s="67"/>
      <c r="II48" s="67"/>
      <c r="IJ48" s="67"/>
      <c r="IK48" s="67"/>
      <c r="IL48" s="67"/>
      <c r="IM48" s="67"/>
      <c r="IN48" s="67"/>
      <c r="IO48" s="67"/>
      <c r="IP48" s="67"/>
      <c r="IQ48" s="67"/>
      <c r="IR48" s="67"/>
      <c r="IS48" s="67"/>
      <c r="IT48" s="67"/>
      <c r="IU48" s="67"/>
      <c r="IV48" s="67"/>
      <c r="IW48" s="67"/>
    </row>
    <row r="49" spans="1:257" s="4" customFormat="1" ht="12.75" hidden="1" customHeight="1" x14ac:dyDescent="0.2">
      <c r="A49" s="235"/>
      <c r="B49" s="238"/>
      <c r="C49" s="248"/>
      <c r="D49" s="183" t="s">
        <v>13</v>
      </c>
      <c r="E49" s="81"/>
      <c r="F49" s="77"/>
      <c r="G49" s="77"/>
      <c r="H49" s="173"/>
      <c r="I49" s="77"/>
      <c r="J49" s="77"/>
      <c r="K49" s="177"/>
      <c r="L49" s="77"/>
      <c r="M49" s="77"/>
      <c r="N49" s="235"/>
      <c r="Z49" s="104"/>
      <c r="AA49" s="232"/>
      <c r="AB49" s="232"/>
      <c r="AC49" s="232"/>
      <c r="AD49" s="232"/>
      <c r="AE49" s="235"/>
      <c r="AF49" s="232"/>
      <c r="AG49" s="114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  <c r="DC49" s="67"/>
      <c r="DD49" s="67"/>
      <c r="DE49" s="67"/>
      <c r="DF49" s="67"/>
      <c r="DG49" s="67"/>
      <c r="DH49" s="67"/>
      <c r="DI49" s="67"/>
      <c r="DJ49" s="67"/>
      <c r="DK49" s="67"/>
      <c r="DL49" s="67"/>
      <c r="DM49" s="67"/>
      <c r="DN49" s="67"/>
      <c r="DO49" s="67"/>
      <c r="DP49" s="67"/>
      <c r="DQ49" s="67"/>
      <c r="DR49" s="67"/>
      <c r="DS49" s="67"/>
      <c r="DT49" s="67"/>
      <c r="DU49" s="67"/>
      <c r="DV49" s="67"/>
      <c r="DW49" s="67"/>
      <c r="DX49" s="67"/>
      <c r="DY49" s="67"/>
      <c r="DZ49" s="67"/>
      <c r="EA49" s="67"/>
      <c r="EB49" s="67"/>
      <c r="EC49" s="67"/>
      <c r="ED49" s="67"/>
      <c r="EE49" s="67"/>
      <c r="EF49" s="67"/>
      <c r="EG49" s="67"/>
      <c r="EH49" s="67"/>
      <c r="EI49" s="67"/>
      <c r="EJ49" s="67"/>
      <c r="EK49" s="67"/>
      <c r="EL49" s="67"/>
      <c r="EM49" s="67"/>
      <c r="EN49" s="67"/>
      <c r="EO49" s="67"/>
      <c r="EP49" s="67"/>
      <c r="EQ49" s="67"/>
      <c r="ER49" s="67"/>
      <c r="ES49" s="67"/>
      <c r="ET49" s="67"/>
      <c r="EU49" s="67"/>
      <c r="EV49" s="67"/>
      <c r="EW49" s="67"/>
      <c r="EX49" s="67"/>
      <c r="EY49" s="67"/>
      <c r="EZ49" s="67"/>
      <c r="FA49" s="67"/>
      <c r="FB49" s="67"/>
      <c r="FC49" s="67"/>
      <c r="FD49" s="67"/>
      <c r="FE49" s="67"/>
      <c r="FF49" s="67"/>
      <c r="FG49" s="67"/>
      <c r="FH49" s="67"/>
      <c r="FI49" s="67"/>
      <c r="FJ49" s="67"/>
      <c r="FK49" s="67"/>
      <c r="FL49" s="67"/>
      <c r="FM49" s="67"/>
      <c r="FN49" s="67"/>
      <c r="FO49" s="67"/>
      <c r="FP49" s="67"/>
      <c r="FQ49" s="67"/>
      <c r="FR49" s="67"/>
      <c r="FS49" s="67"/>
      <c r="FT49" s="67"/>
      <c r="FU49" s="67"/>
      <c r="FV49" s="67"/>
      <c r="FW49" s="67"/>
      <c r="FX49" s="67"/>
      <c r="FY49" s="67"/>
      <c r="FZ49" s="67"/>
      <c r="GA49" s="67"/>
      <c r="GB49" s="67"/>
      <c r="GC49" s="67"/>
      <c r="GD49" s="67"/>
      <c r="GE49" s="67"/>
      <c r="GF49" s="67"/>
      <c r="GG49" s="67"/>
      <c r="GH49" s="67"/>
      <c r="GI49" s="67"/>
      <c r="GJ49" s="67"/>
      <c r="GK49" s="67"/>
      <c r="GL49" s="67"/>
      <c r="GM49" s="67"/>
      <c r="GN49" s="67"/>
      <c r="GO49" s="67"/>
      <c r="GP49" s="67"/>
      <c r="GQ49" s="67"/>
      <c r="GR49" s="67"/>
      <c r="GS49" s="67"/>
      <c r="GT49" s="67"/>
      <c r="GU49" s="67"/>
      <c r="GV49" s="67"/>
      <c r="GW49" s="67"/>
      <c r="GX49" s="67"/>
      <c r="GY49" s="67"/>
      <c r="GZ49" s="67"/>
      <c r="HA49" s="67"/>
      <c r="HB49" s="67"/>
      <c r="HC49" s="67"/>
      <c r="HD49" s="67"/>
      <c r="HE49" s="67"/>
      <c r="HF49" s="67"/>
      <c r="HG49" s="67"/>
      <c r="HH49" s="67"/>
      <c r="HI49" s="67"/>
      <c r="HJ49" s="67"/>
      <c r="HK49" s="67"/>
      <c r="HL49" s="67"/>
      <c r="HM49" s="67"/>
      <c r="HN49" s="67"/>
      <c r="HO49" s="67"/>
      <c r="HP49" s="67"/>
      <c r="HQ49" s="67"/>
      <c r="HR49" s="67"/>
      <c r="HS49" s="67"/>
      <c r="HT49" s="67"/>
      <c r="HU49" s="67"/>
      <c r="HV49" s="67"/>
      <c r="HW49" s="67"/>
      <c r="HX49" s="67"/>
      <c r="HY49" s="67"/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</row>
    <row r="50" spans="1:257" s="4" customFormat="1" ht="12.75" hidden="1" customHeight="1" x14ac:dyDescent="0.2">
      <c r="A50" s="236"/>
      <c r="B50" s="239"/>
      <c r="C50" s="249"/>
      <c r="D50" s="183" t="s">
        <v>41</v>
      </c>
      <c r="E50" s="82"/>
      <c r="F50" s="78"/>
      <c r="G50" s="78"/>
      <c r="H50" s="174"/>
      <c r="I50" s="78"/>
      <c r="J50" s="78"/>
      <c r="K50" s="178"/>
      <c r="L50" s="78"/>
      <c r="M50" s="78"/>
      <c r="N50" s="236"/>
      <c r="Z50" s="104"/>
      <c r="AA50" s="233"/>
      <c r="AB50" s="233"/>
      <c r="AC50" s="233"/>
      <c r="AD50" s="233"/>
      <c r="AE50" s="236"/>
      <c r="AF50" s="233"/>
      <c r="AG50" s="114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  <c r="DC50" s="67"/>
      <c r="DD50" s="67"/>
      <c r="DE50" s="67"/>
      <c r="DF50" s="67"/>
      <c r="DG50" s="67"/>
      <c r="DH50" s="67"/>
      <c r="DI50" s="67"/>
      <c r="DJ50" s="67"/>
      <c r="DK50" s="67"/>
      <c r="DL50" s="67"/>
      <c r="DM50" s="67"/>
      <c r="DN50" s="67"/>
      <c r="DO50" s="67"/>
      <c r="DP50" s="67"/>
      <c r="DQ50" s="67"/>
      <c r="DR50" s="67"/>
      <c r="DS50" s="67"/>
      <c r="DT50" s="67"/>
      <c r="DU50" s="67"/>
      <c r="DV50" s="67"/>
      <c r="DW50" s="67"/>
      <c r="DX50" s="67"/>
      <c r="DY50" s="67"/>
      <c r="DZ50" s="67"/>
      <c r="EA50" s="67"/>
      <c r="EB50" s="67"/>
      <c r="EC50" s="67"/>
      <c r="ED50" s="67"/>
      <c r="EE50" s="67"/>
      <c r="EF50" s="67"/>
      <c r="EG50" s="67"/>
      <c r="EH50" s="67"/>
      <c r="EI50" s="67"/>
      <c r="EJ50" s="67"/>
      <c r="EK50" s="67"/>
      <c r="EL50" s="67"/>
      <c r="EM50" s="67"/>
      <c r="EN50" s="67"/>
      <c r="EO50" s="67"/>
      <c r="EP50" s="67"/>
      <c r="EQ50" s="67"/>
      <c r="ER50" s="67"/>
      <c r="ES50" s="67"/>
      <c r="ET50" s="67"/>
      <c r="EU50" s="67"/>
      <c r="EV50" s="67"/>
      <c r="EW50" s="67"/>
      <c r="EX50" s="67"/>
      <c r="EY50" s="67"/>
      <c r="EZ50" s="67"/>
      <c r="FA50" s="67"/>
      <c r="FB50" s="67"/>
      <c r="FC50" s="67"/>
      <c r="FD50" s="67"/>
      <c r="FE50" s="67"/>
      <c r="FF50" s="67"/>
      <c r="FG50" s="67"/>
      <c r="FH50" s="67"/>
      <c r="FI50" s="67"/>
      <c r="FJ50" s="67"/>
      <c r="FK50" s="67"/>
      <c r="FL50" s="67"/>
      <c r="FM50" s="67"/>
      <c r="FN50" s="67"/>
      <c r="FO50" s="67"/>
      <c r="FP50" s="67"/>
      <c r="FQ50" s="67"/>
      <c r="FR50" s="67"/>
      <c r="FS50" s="67"/>
      <c r="FT50" s="67"/>
      <c r="FU50" s="67"/>
      <c r="FV50" s="67"/>
      <c r="FW50" s="67"/>
      <c r="FX50" s="67"/>
      <c r="FY50" s="67"/>
      <c r="FZ50" s="67"/>
      <c r="GA50" s="67"/>
      <c r="GB50" s="67"/>
      <c r="GC50" s="67"/>
      <c r="GD50" s="67"/>
      <c r="GE50" s="67"/>
      <c r="GF50" s="67"/>
      <c r="GG50" s="67"/>
      <c r="GH50" s="67"/>
      <c r="GI50" s="67"/>
      <c r="GJ50" s="67"/>
      <c r="GK50" s="67"/>
      <c r="GL50" s="67"/>
      <c r="GM50" s="67"/>
      <c r="GN50" s="67"/>
      <c r="GO50" s="67"/>
      <c r="GP50" s="67"/>
      <c r="GQ50" s="67"/>
      <c r="GR50" s="67"/>
      <c r="GS50" s="67"/>
      <c r="GT50" s="67"/>
      <c r="GU50" s="67"/>
      <c r="GV50" s="67"/>
      <c r="GW50" s="67"/>
      <c r="GX50" s="67"/>
      <c r="GY50" s="67"/>
      <c r="GZ50" s="67"/>
      <c r="HA50" s="67"/>
      <c r="HB50" s="67"/>
      <c r="HC50" s="67"/>
      <c r="HD50" s="67"/>
      <c r="HE50" s="67"/>
      <c r="HF50" s="67"/>
      <c r="HG50" s="67"/>
      <c r="HH50" s="67"/>
      <c r="HI50" s="67"/>
      <c r="HJ50" s="67"/>
      <c r="HK50" s="67"/>
      <c r="HL50" s="67"/>
      <c r="HM50" s="67"/>
      <c r="HN50" s="67"/>
      <c r="HO50" s="67"/>
      <c r="HP50" s="67"/>
      <c r="HQ50" s="67"/>
      <c r="HR50" s="67"/>
      <c r="HS50" s="67"/>
      <c r="HT50" s="67"/>
      <c r="HU50" s="67"/>
      <c r="HV50" s="67"/>
      <c r="HW50" s="67"/>
      <c r="HX50" s="67"/>
      <c r="HY50" s="67"/>
      <c r="HZ50" s="67"/>
      <c r="IA50" s="67"/>
      <c r="IB50" s="67"/>
      <c r="IC50" s="67"/>
      <c r="ID50" s="67"/>
      <c r="IE50" s="67"/>
      <c r="IF50" s="67"/>
      <c r="IG50" s="67"/>
      <c r="IH50" s="67"/>
      <c r="II50" s="67"/>
      <c r="IJ50" s="67"/>
      <c r="IK50" s="67"/>
      <c r="IL50" s="67"/>
      <c r="IM50" s="67"/>
      <c r="IN50" s="67"/>
      <c r="IO50" s="67"/>
      <c r="IP50" s="67"/>
      <c r="IQ50" s="67"/>
      <c r="IR50" s="67"/>
      <c r="IS50" s="67"/>
      <c r="IT50" s="67"/>
      <c r="IU50" s="67"/>
      <c r="IV50" s="67"/>
      <c r="IW50" s="67"/>
    </row>
    <row r="51" spans="1:257" s="4" customFormat="1" ht="12.75" hidden="1" customHeight="1" x14ac:dyDescent="0.2">
      <c r="A51" s="234"/>
      <c r="B51" s="237"/>
      <c r="C51" s="240" t="s">
        <v>1</v>
      </c>
      <c r="D51" s="240"/>
      <c r="E51" s="80"/>
      <c r="F51" s="76"/>
      <c r="G51" s="76"/>
      <c r="H51" s="175"/>
      <c r="I51" s="76"/>
      <c r="J51" s="76"/>
      <c r="K51" s="179"/>
      <c r="L51" s="76"/>
      <c r="M51" s="76"/>
      <c r="N51" s="234"/>
      <c r="Z51" s="104"/>
      <c r="AA51" s="231" t="str">
        <f t="shared" ref="AA51" si="33">B51&amp;" - "&amp;A51&amp;" "&amp;C51</f>
        <v xml:space="preserve"> -  PFDs</v>
      </c>
      <c r="AB51" s="231" t="str">
        <f t="shared" ref="AB51" si="34">B51&amp;" - "&amp;A51&amp;" "&amp;C52</f>
        <v xml:space="preserve"> -  P&amp;IDs</v>
      </c>
      <c r="AC51" s="231" t="s">
        <v>42</v>
      </c>
      <c r="AD51" s="231" t="s">
        <v>43</v>
      </c>
      <c r="AE51" s="234"/>
      <c r="AF51" s="231" t="str">
        <f t="shared" ref="AF51" si="35">IF(ISBLANK(B51),"",B51)</f>
        <v/>
      </c>
      <c r="AG51" s="114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</row>
    <row r="52" spans="1:257" s="4" customFormat="1" ht="12.75" hidden="1" customHeight="1" x14ac:dyDescent="0.2">
      <c r="A52" s="235"/>
      <c r="B52" s="238"/>
      <c r="C52" s="247" t="s">
        <v>0</v>
      </c>
      <c r="D52" s="183" t="s">
        <v>12</v>
      </c>
      <c r="E52" s="81"/>
      <c r="F52" s="77"/>
      <c r="G52" s="77"/>
      <c r="H52" s="173"/>
      <c r="I52" s="77"/>
      <c r="J52" s="77"/>
      <c r="K52" s="177"/>
      <c r="L52" s="77"/>
      <c r="M52" s="77"/>
      <c r="N52" s="235"/>
      <c r="Z52" s="104"/>
      <c r="AA52" s="232"/>
      <c r="AB52" s="232"/>
      <c r="AC52" s="232"/>
      <c r="AD52" s="232"/>
      <c r="AE52" s="235"/>
      <c r="AF52" s="232"/>
      <c r="AG52" s="114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  <c r="DC52" s="67"/>
      <c r="DD52" s="67"/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/>
      <c r="DS52" s="67"/>
      <c r="DT52" s="67"/>
      <c r="DU52" s="67"/>
      <c r="DV52" s="67"/>
      <c r="DW52" s="67"/>
      <c r="DX52" s="67"/>
      <c r="DY52" s="67"/>
      <c r="DZ52" s="67"/>
      <c r="EA52" s="67"/>
      <c r="EB52" s="67"/>
      <c r="EC52" s="67"/>
      <c r="ED52" s="67"/>
      <c r="EE52" s="67"/>
      <c r="EF52" s="67"/>
      <c r="EG52" s="67"/>
      <c r="EH52" s="67"/>
      <c r="EI52" s="67"/>
      <c r="EJ52" s="67"/>
      <c r="EK52" s="67"/>
      <c r="EL52" s="67"/>
      <c r="EM52" s="67"/>
      <c r="EN52" s="67"/>
      <c r="EO52" s="67"/>
      <c r="EP52" s="67"/>
      <c r="EQ52" s="67"/>
      <c r="ER52" s="67"/>
      <c r="ES52" s="67"/>
      <c r="ET52" s="67"/>
      <c r="EU52" s="67"/>
      <c r="EV52" s="67"/>
      <c r="EW52" s="67"/>
      <c r="EX52" s="67"/>
      <c r="EY52" s="67"/>
      <c r="EZ52" s="67"/>
      <c r="FA52" s="67"/>
      <c r="FB52" s="67"/>
      <c r="FC52" s="67"/>
      <c r="FD52" s="67"/>
      <c r="FE52" s="67"/>
      <c r="FF52" s="67"/>
      <c r="FG52" s="67"/>
      <c r="FH52" s="67"/>
      <c r="FI52" s="67"/>
      <c r="FJ52" s="67"/>
      <c r="FK52" s="67"/>
      <c r="FL52" s="67"/>
      <c r="FM52" s="67"/>
      <c r="FN52" s="67"/>
      <c r="FO52" s="67"/>
      <c r="FP52" s="67"/>
      <c r="FQ52" s="67"/>
      <c r="FR52" s="67"/>
      <c r="FS52" s="67"/>
      <c r="FT52" s="67"/>
      <c r="FU52" s="67"/>
      <c r="FV52" s="67"/>
      <c r="FW52" s="67"/>
      <c r="FX52" s="67"/>
      <c r="FY52" s="67"/>
      <c r="FZ52" s="67"/>
      <c r="GA52" s="67"/>
      <c r="GB52" s="67"/>
      <c r="GC52" s="67"/>
      <c r="GD52" s="67"/>
      <c r="GE52" s="67"/>
      <c r="GF52" s="67"/>
      <c r="GG52" s="67"/>
      <c r="GH52" s="67"/>
      <c r="GI52" s="67"/>
      <c r="GJ52" s="67"/>
      <c r="GK52" s="67"/>
      <c r="GL52" s="67"/>
      <c r="GM52" s="67"/>
      <c r="GN52" s="67"/>
      <c r="GO52" s="67"/>
      <c r="GP52" s="67"/>
      <c r="GQ52" s="67"/>
      <c r="GR52" s="67"/>
      <c r="GS52" s="67"/>
      <c r="GT52" s="67"/>
      <c r="GU52" s="67"/>
      <c r="GV52" s="67"/>
      <c r="GW52" s="67"/>
      <c r="GX52" s="67"/>
      <c r="GY52" s="67"/>
      <c r="GZ52" s="67"/>
      <c r="HA52" s="67"/>
      <c r="HB52" s="67"/>
      <c r="HC52" s="67"/>
      <c r="HD52" s="67"/>
      <c r="HE52" s="67"/>
      <c r="HF52" s="67"/>
      <c r="HG52" s="67"/>
      <c r="HH52" s="67"/>
      <c r="HI52" s="67"/>
      <c r="HJ52" s="67"/>
      <c r="HK52" s="67"/>
      <c r="HL52" s="67"/>
      <c r="HM52" s="67"/>
      <c r="HN52" s="67"/>
      <c r="HO52" s="67"/>
      <c r="HP52" s="67"/>
      <c r="HQ52" s="67"/>
      <c r="HR52" s="67"/>
      <c r="HS52" s="67"/>
      <c r="HT52" s="67"/>
      <c r="HU52" s="67"/>
      <c r="HV52" s="67"/>
      <c r="HW52" s="67"/>
      <c r="HX52" s="67"/>
      <c r="HY52" s="67"/>
      <c r="HZ52" s="67"/>
      <c r="IA52" s="67"/>
      <c r="IB52" s="67"/>
      <c r="IC52" s="67"/>
      <c r="ID52" s="67"/>
      <c r="IE52" s="67"/>
      <c r="IF52" s="67"/>
      <c r="IG52" s="67"/>
      <c r="IH52" s="67"/>
      <c r="II52" s="67"/>
      <c r="IJ52" s="67"/>
      <c r="IK52" s="67"/>
      <c r="IL52" s="67"/>
      <c r="IM52" s="67"/>
      <c r="IN52" s="67"/>
      <c r="IO52" s="67"/>
      <c r="IP52" s="67"/>
      <c r="IQ52" s="67"/>
      <c r="IR52" s="67"/>
      <c r="IS52" s="67"/>
      <c r="IT52" s="67"/>
      <c r="IU52" s="67"/>
      <c r="IV52" s="67"/>
      <c r="IW52" s="67"/>
    </row>
    <row r="53" spans="1:257" s="4" customFormat="1" ht="12.75" hidden="1" customHeight="1" x14ac:dyDescent="0.2">
      <c r="A53" s="235"/>
      <c r="B53" s="238"/>
      <c r="C53" s="248"/>
      <c r="D53" s="183" t="s">
        <v>13</v>
      </c>
      <c r="E53" s="81"/>
      <c r="F53" s="77"/>
      <c r="G53" s="77"/>
      <c r="H53" s="173"/>
      <c r="I53" s="77"/>
      <c r="J53" s="77"/>
      <c r="K53" s="177"/>
      <c r="L53" s="77"/>
      <c r="M53" s="77"/>
      <c r="N53" s="235"/>
      <c r="Z53" s="104"/>
      <c r="AA53" s="232"/>
      <c r="AB53" s="232"/>
      <c r="AC53" s="232"/>
      <c r="AD53" s="232"/>
      <c r="AE53" s="235"/>
      <c r="AF53" s="232"/>
      <c r="AG53" s="114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</row>
    <row r="54" spans="1:257" s="4" customFormat="1" ht="12.75" hidden="1" customHeight="1" x14ac:dyDescent="0.2">
      <c r="A54" s="236"/>
      <c r="B54" s="239"/>
      <c r="C54" s="249"/>
      <c r="D54" s="183" t="s">
        <v>41</v>
      </c>
      <c r="E54" s="82"/>
      <c r="F54" s="78"/>
      <c r="G54" s="78"/>
      <c r="H54" s="174"/>
      <c r="I54" s="78"/>
      <c r="J54" s="78"/>
      <c r="K54" s="178"/>
      <c r="L54" s="78"/>
      <c r="M54" s="78"/>
      <c r="N54" s="236"/>
      <c r="Z54" s="104"/>
      <c r="AA54" s="233"/>
      <c r="AB54" s="233"/>
      <c r="AC54" s="233"/>
      <c r="AD54" s="233"/>
      <c r="AE54" s="236"/>
      <c r="AF54" s="233"/>
      <c r="AG54" s="114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/>
      <c r="BJ54" s="67"/>
      <c r="BK54" s="67"/>
      <c r="BL54" s="67"/>
      <c r="BM54" s="67"/>
      <c r="BN54" s="67"/>
      <c r="BO54" s="67"/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  <c r="DC54" s="67"/>
      <c r="DD54" s="67"/>
      <c r="DE54" s="67"/>
      <c r="DF54" s="67"/>
      <c r="DG54" s="67"/>
      <c r="DH54" s="67"/>
      <c r="DI54" s="67"/>
      <c r="DJ54" s="67"/>
      <c r="DK54" s="67"/>
      <c r="DL54" s="67"/>
      <c r="DM54" s="67"/>
      <c r="DN54" s="67"/>
      <c r="DO54" s="67"/>
      <c r="DP54" s="67"/>
      <c r="DQ54" s="67"/>
      <c r="DR54" s="67"/>
      <c r="DS54" s="67"/>
      <c r="DT54" s="67"/>
      <c r="DU54" s="67"/>
      <c r="DV54" s="67"/>
      <c r="DW54" s="67"/>
      <c r="DX54" s="67"/>
      <c r="DY54" s="67"/>
      <c r="DZ54" s="67"/>
      <c r="EA54" s="67"/>
      <c r="EB54" s="67"/>
      <c r="EC54" s="67"/>
      <c r="ED54" s="67"/>
      <c r="EE54" s="67"/>
      <c r="EF54" s="67"/>
      <c r="EG54" s="67"/>
      <c r="EH54" s="67"/>
      <c r="EI54" s="67"/>
      <c r="EJ54" s="67"/>
      <c r="EK54" s="67"/>
      <c r="EL54" s="67"/>
      <c r="EM54" s="67"/>
      <c r="EN54" s="67"/>
      <c r="EO54" s="67"/>
      <c r="EP54" s="67"/>
      <c r="EQ54" s="67"/>
      <c r="ER54" s="67"/>
      <c r="ES54" s="67"/>
      <c r="ET54" s="67"/>
      <c r="EU54" s="67"/>
      <c r="EV54" s="67"/>
      <c r="EW54" s="67"/>
      <c r="EX54" s="67"/>
      <c r="EY54" s="67"/>
      <c r="EZ54" s="67"/>
      <c r="FA54" s="67"/>
      <c r="FB54" s="67"/>
      <c r="FC54" s="67"/>
      <c r="FD54" s="67"/>
      <c r="FE54" s="67"/>
      <c r="FF54" s="67"/>
      <c r="FG54" s="67"/>
      <c r="FH54" s="67"/>
      <c r="FI54" s="67"/>
      <c r="FJ54" s="67"/>
      <c r="FK54" s="67"/>
      <c r="FL54" s="67"/>
      <c r="FM54" s="67"/>
      <c r="FN54" s="67"/>
      <c r="FO54" s="67"/>
      <c r="FP54" s="67"/>
      <c r="FQ54" s="67"/>
      <c r="FR54" s="67"/>
      <c r="FS54" s="67"/>
      <c r="FT54" s="67"/>
      <c r="FU54" s="67"/>
      <c r="FV54" s="67"/>
      <c r="FW54" s="67"/>
      <c r="FX54" s="67"/>
      <c r="FY54" s="67"/>
      <c r="FZ54" s="67"/>
      <c r="GA54" s="67"/>
      <c r="GB54" s="67"/>
      <c r="GC54" s="67"/>
      <c r="GD54" s="67"/>
      <c r="GE54" s="67"/>
      <c r="GF54" s="67"/>
      <c r="GG54" s="67"/>
      <c r="GH54" s="67"/>
      <c r="GI54" s="67"/>
      <c r="GJ54" s="67"/>
      <c r="GK54" s="67"/>
      <c r="GL54" s="67"/>
      <c r="GM54" s="67"/>
      <c r="GN54" s="67"/>
      <c r="GO54" s="67"/>
      <c r="GP54" s="67"/>
      <c r="GQ54" s="67"/>
      <c r="GR54" s="67"/>
      <c r="GS54" s="67"/>
      <c r="GT54" s="67"/>
      <c r="GU54" s="67"/>
      <c r="GV54" s="67"/>
      <c r="GW54" s="67"/>
      <c r="GX54" s="67"/>
      <c r="GY54" s="67"/>
      <c r="GZ54" s="67"/>
      <c r="HA54" s="67"/>
      <c r="HB54" s="67"/>
      <c r="HC54" s="67"/>
      <c r="HD54" s="67"/>
      <c r="HE54" s="67"/>
      <c r="HF54" s="67"/>
      <c r="HG54" s="67"/>
      <c r="HH54" s="67"/>
      <c r="HI54" s="67"/>
      <c r="HJ54" s="67"/>
      <c r="HK54" s="67"/>
      <c r="HL54" s="67"/>
      <c r="HM54" s="67"/>
      <c r="HN54" s="67"/>
      <c r="HO54" s="67"/>
      <c r="HP54" s="67"/>
      <c r="HQ54" s="67"/>
      <c r="HR54" s="67"/>
      <c r="HS54" s="67"/>
      <c r="HT54" s="67"/>
      <c r="HU54" s="67"/>
      <c r="HV54" s="67"/>
      <c r="HW54" s="67"/>
      <c r="HX54" s="67"/>
      <c r="HY54" s="67"/>
      <c r="HZ54" s="67"/>
      <c r="IA54" s="67"/>
      <c r="IB54" s="67"/>
      <c r="IC54" s="67"/>
      <c r="ID54" s="67"/>
      <c r="IE54" s="67"/>
      <c r="IF54" s="67"/>
      <c r="IG54" s="67"/>
      <c r="IH54" s="67"/>
      <c r="II54" s="67"/>
      <c r="IJ54" s="67"/>
      <c r="IK54" s="67"/>
      <c r="IL54" s="67"/>
      <c r="IM54" s="67"/>
      <c r="IN54" s="67"/>
      <c r="IO54" s="67"/>
      <c r="IP54" s="67"/>
      <c r="IQ54" s="67"/>
      <c r="IR54" s="67"/>
      <c r="IS54" s="67"/>
      <c r="IT54" s="67"/>
      <c r="IU54" s="67"/>
      <c r="IV54" s="67"/>
      <c r="IW54" s="67"/>
    </row>
    <row r="55" spans="1:257" s="4" customFormat="1" ht="12.75" hidden="1" customHeight="1" x14ac:dyDescent="0.2">
      <c r="A55" s="234"/>
      <c r="B55" s="237"/>
      <c r="C55" s="240" t="s">
        <v>1</v>
      </c>
      <c r="D55" s="240"/>
      <c r="E55" s="80"/>
      <c r="F55" s="76"/>
      <c r="G55" s="76"/>
      <c r="H55" s="175"/>
      <c r="I55" s="76"/>
      <c r="J55" s="76"/>
      <c r="K55" s="179"/>
      <c r="L55" s="76"/>
      <c r="M55" s="76"/>
      <c r="N55" s="234"/>
      <c r="Z55" s="104"/>
      <c r="AA55" s="231" t="str">
        <f t="shared" ref="AA55" si="36">B55&amp;" - "&amp;A55&amp;" "&amp;C55</f>
        <v xml:space="preserve"> -  PFDs</v>
      </c>
      <c r="AB55" s="231" t="str">
        <f t="shared" ref="AB55" si="37">B55&amp;" - "&amp;A55&amp;" "&amp;C56</f>
        <v xml:space="preserve"> -  P&amp;IDs</v>
      </c>
      <c r="AC55" s="231" t="s">
        <v>42</v>
      </c>
      <c r="AD55" s="231" t="s">
        <v>43</v>
      </c>
      <c r="AE55" s="234"/>
      <c r="AF55" s="231" t="str">
        <f t="shared" ref="AF55" si="38">IF(ISBLANK(B55),"",B55)</f>
        <v/>
      </c>
      <c r="AG55" s="104"/>
    </row>
    <row r="56" spans="1:257" s="4" customFormat="1" ht="12.75" hidden="1" customHeight="1" x14ac:dyDescent="0.2">
      <c r="A56" s="235"/>
      <c r="B56" s="238"/>
      <c r="C56" s="247" t="s">
        <v>0</v>
      </c>
      <c r="D56" s="183" t="s">
        <v>12</v>
      </c>
      <c r="E56" s="81"/>
      <c r="F56" s="77"/>
      <c r="G56" s="77"/>
      <c r="H56" s="173"/>
      <c r="I56" s="77"/>
      <c r="J56" s="77"/>
      <c r="K56" s="177"/>
      <c r="L56" s="77"/>
      <c r="M56" s="77"/>
      <c r="N56" s="235"/>
      <c r="Z56" s="104"/>
      <c r="AA56" s="232"/>
      <c r="AB56" s="232"/>
      <c r="AC56" s="232"/>
      <c r="AD56" s="232"/>
      <c r="AE56" s="235"/>
      <c r="AF56" s="232"/>
      <c r="AG56" s="104"/>
    </row>
    <row r="57" spans="1:257" s="4" customFormat="1" ht="12.75" hidden="1" customHeight="1" x14ac:dyDescent="0.2">
      <c r="A57" s="235"/>
      <c r="B57" s="238"/>
      <c r="C57" s="248"/>
      <c r="D57" s="183" t="s">
        <v>13</v>
      </c>
      <c r="E57" s="81"/>
      <c r="F57" s="77"/>
      <c r="G57" s="77"/>
      <c r="H57" s="173"/>
      <c r="I57" s="77"/>
      <c r="J57" s="77"/>
      <c r="K57" s="177"/>
      <c r="L57" s="77"/>
      <c r="M57" s="77"/>
      <c r="N57" s="235"/>
      <c r="Z57" s="104"/>
      <c r="AA57" s="232"/>
      <c r="AB57" s="232"/>
      <c r="AC57" s="232"/>
      <c r="AD57" s="232"/>
      <c r="AE57" s="235"/>
      <c r="AF57" s="232"/>
      <c r="AG57" s="104"/>
    </row>
    <row r="58" spans="1:257" s="4" customFormat="1" ht="12.75" hidden="1" customHeight="1" x14ac:dyDescent="0.2">
      <c r="A58" s="236"/>
      <c r="B58" s="239"/>
      <c r="C58" s="249"/>
      <c r="D58" s="183" t="s">
        <v>41</v>
      </c>
      <c r="E58" s="82"/>
      <c r="F58" s="78"/>
      <c r="G58" s="78"/>
      <c r="H58" s="174"/>
      <c r="I58" s="78"/>
      <c r="J58" s="78"/>
      <c r="K58" s="178"/>
      <c r="L58" s="78"/>
      <c r="M58" s="78"/>
      <c r="N58" s="236"/>
      <c r="Z58" s="104"/>
      <c r="AA58" s="233"/>
      <c r="AB58" s="233"/>
      <c r="AC58" s="233"/>
      <c r="AD58" s="233"/>
      <c r="AE58" s="236"/>
      <c r="AF58" s="233"/>
      <c r="AG58" s="104"/>
    </row>
    <row r="59" spans="1:257" s="4" customFormat="1" ht="12.75" hidden="1" customHeight="1" x14ac:dyDescent="0.2">
      <c r="A59" s="234"/>
      <c r="B59" s="237"/>
      <c r="C59" s="240" t="s">
        <v>1</v>
      </c>
      <c r="D59" s="240"/>
      <c r="E59" s="80"/>
      <c r="F59" s="76"/>
      <c r="G59" s="76"/>
      <c r="H59" s="175"/>
      <c r="I59" s="76"/>
      <c r="J59" s="76"/>
      <c r="K59" s="179"/>
      <c r="L59" s="76"/>
      <c r="M59" s="76"/>
      <c r="N59" s="234"/>
      <c r="Z59" s="104"/>
      <c r="AA59" s="231" t="str">
        <f t="shared" ref="AA59" si="39">B59&amp;" - "&amp;A59&amp;" "&amp;C59</f>
        <v xml:space="preserve"> -  PFDs</v>
      </c>
      <c r="AB59" s="231" t="str">
        <f t="shared" ref="AB59" si="40">B59&amp;" - "&amp;A59&amp;" "&amp;C60</f>
        <v xml:space="preserve"> -  P&amp;IDs</v>
      </c>
      <c r="AC59" s="231" t="s">
        <v>42</v>
      </c>
      <c r="AD59" s="231" t="s">
        <v>43</v>
      </c>
      <c r="AE59" s="234"/>
      <c r="AF59" s="231" t="str">
        <f t="shared" ref="AF59" si="41">IF(ISBLANK(B59),"",B59)</f>
        <v/>
      </c>
      <c r="AG59" s="113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</row>
    <row r="60" spans="1:257" s="4" customFormat="1" ht="12.75" hidden="1" customHeight="1" x14ac:dyDescent="0.2">
      <c r="A60" s="235"/>
      <c r="B60" s="238"/>
      <c r="C60" s="247" t="s">
        <v>0</v>
      </c>
      <c r="D60" s="183" t="s">
        <v>12</v>
      </c>
      <c r="E60" s="81"/>
      <c r="F60" s="77"/>
      <c r="G60" s="77"/>
      <c r="H60" s="173"/>
      <c r="I60" s="77"/>
      <c r="J60" s="77"/>
      <c r="K60" s="177"/>
      <c r="L60" s="77"/>
      <c r="M60" s="77"/>
      <c r="N60" s="235"/>
      <c r="Z60" s="104"/>
      <c r="AA60" s="232"/>
      <c r="AB60" s="232"/>
      <c r="AC60" s="232"/>
      <c r="AD60" s="232"/>
      <c r="AE60" s="235"/>
      <c r="AF60" s="232"/>
      <c r="AG60" s="114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  <c r="FL60" s="67"/>
      <c r="FM60" s="67"/>
      <c r="FN60" s="67"/>
      <c r="FO60" s="67"/>
      <c r="FP60" s="67"/>
      <c r="FQ60" s="67"/>
      <c r="FR60" s="67"/>
      <c r="FS60" s="67"/>
      <c r="FT60" s="67"/>
      <c r="FU60" s="67"/>
      <c r="FV60" s="67"/>
      <c r="FW60" s="67"/>
      <c r="FX60" s="67"/>
      <c r="FY60" s="67"/>
      <c r="FZ60" s="67"/>
      <c r="GA60" s="67"/>
      <c r="GB60" s="67"/>
      <c r="GC60" s="67"/>
      <c r="GD60" s="67"/>
      <c r="GE60" s="67"/>
      <c r="GF60" s="67"/>
      <c r="GG60" s="67"/>
      <c r="GH60" s="67"/>
      <c r="GI60" s="67"/>
      <c r="GJ60" s="67"/>
      <c r="GK60" s="67"/>
      <c r="GL60" s="67"/>
      <c r="GM60" s="67"/>
      <c r="GN60" s="67"/>
      <c r="GO60" s="67"/>
      <c r="GP60" s="67"/>
      <c r="GQ60" s="67"/>
      <c r="GR60" s="67"/>
      <c r="GS60" s="67"/>
      <c r="GT60" s="67"/>
      <c r="GU60" s="67"/>
      <c r="GV60" s="67"/>
      <c r="GW60" s="67"/>
      <c r="GX60" s="67"/>
      <c r="GY60" s="67"/>
      <c r="GZ60" s="67"/>
      <c r="HA60" s="67"/>
      <c r="HB60" s="67"/>
      <c r="HC60" s="67"/>
      <c r="HD60" s="67"/>
      <c r="HE60" s="67"/>
      <c r="HF60" s="67"/>
      <c r="HG60" s="67"/>
      <c r="HH60" s="67"/>
      <c r="HI60" s="67"/>
      <c r="HJ60" s="67"/>
      <c r="HK60" s="67"/>
      <c r="HL60" s="67"/>
      <c r="HM60" s="67"/>
      <c r="HN60" s="67"/>
      <c r="HO60" s="67"/>
      <c r="HP60" s="67"/>
      <c r="HQ60" s="67"/>
      <c r="HR60" s="67"/>
      <c r="HS60" s="67"/>
      <c r="HT60" s="67"/>
      <c r="HU60" s="67"/>
      <c r="HV60" s="67"/>
      <c r="HW60" s="67"/>
      <c r="HX60" s="67"/>
      <c r="HY60" s="67"/>
      <c r="HZ60" s="67"/>
      <c r="IA60" s="67"/>
      <c r="IB60" s="67"/>
      <c r="IC60" s="67"/>
      <c r="ID60" s="67"/>
      <c r="IE60" s="67"/>
      <c r="IF60" s="67"/>
      <c r="IG60" s="67"/>
      <c r="IH60" s="67"/>
      <c r="II60" s="67"/>
      <c r="IJ60" s="67"/>
      <c r="IK60" s="67"/>
      <c r="IL60" s="67"/>
      <c r="IM60" s="67"/>
      <c r="IN60" s="67"/>
      <c r="IO60" s="67"/>
      <c r="IP60" s="67"/>
      <c r="IQ60" s="67"/>
      <c r="IR60" s="67"/>
      <c r="IS60" s="67"/>
      <c r="IT60" s="67"/>
      <c r="IU60" s="67"/>
      <c r="IV60" s="67"/>
      <c r="IW60" s="67"/>
    </row>
    <row r="61" spans="1:257" s="4" customFormat="1" ht="12.75" hidden="1" customHeight="1" x14ac:dyDescent="0.2">
      <c r="A61" s="235"/>
      <c r="B61" s="238"/>
      <c r="C61" s="248"/>
      <c r="D61" s="183" t="s">
        <v>13</v>
      </c>
      <c r="E61" s="81"/>
      <c r="F61" s="77"/>
      <c r="G61" s="77"/>
      <c r="H61" s="173"/>
      <c r="I61" s="77"/>
      <c r="J61" s="77"/>
      <c r="K61" s="177"/>
      <c r="L61" s="77"/>
      <c r="M61" s="77"/>
      <c r="N61" s="235"/>
      <c r="Z61" s="104"/>
      <c r="AA61" s="232"/>
      <c r="AB61" s="232"/>
      <c r="AC61" s="232"/>
      <c r="AD61" s="232"/>
      <c r="AE61" s="235"/>
      <c r="AF61" s="232"/>
      <c r="AG61" s="114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</row>
    <row r="62" spans="1:257" s="4" customFormat="1" ht="12.75" hidden="1" customHeight="1" x14ac:dyDescent="0.2">
      <c r="A62" s="236"/>
      <c r="B62" s="239"/>
      <c r="C62" s="249"/>
      <c r="D62" s="183" t="s">
        <v>41</v>
      </c>
      <c r="E62" s="82"/>
      <c r="F62" s="78"/>
      <c r="G62" s="78"/>
      <c r="H62" s="174"/>
      <c r="I62" s="78"/>
      <c r="J62" s="78"/>
      <c r="K62" s="178"/>
      <c r="L62" s="78"/>
      <c r="M62" s="78"/>
      <c r="N62" s="236"/>
      <c r="Z62" s="104"/>
      <c r="AA62" s="233"/>
      <c r="AB62" s="233"/>
      <c r="AC62" s="233"/>
      <c r="AD62" s="233"/>
      <c r="AE62" s="236"/>
      <c r="AF62" s="233"/>
      <c r="AG62" s="114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7"/>
      <c r="DW62" s="67"/>
      <c r="DX62" s="67"/>
      <c r="DY62" s="67"/>
      <c r="DZ62" s="67"/>
      <c r="EA62" s="67"/>
      <c r="EB62" s="67"/>
      <c r="EC62" s="67"/>
      <c r="ED62" s="67"/>
      <c r="EE62" s="67"/>
      <c r="EF62" s="67"/>
      <c r="EG62" s="67"/>
      <c r="EH62" s="67"/>
      <c r="EI62" s="67"/>
      <c r="EJ62" s="67"/>
      <c r="EK62" s="67"/>
      <c r="EL62" s="67"/>
      <c r="EM62" s="67"/>
      <c r="EN62" s="67"/>
      <c r="EO62" s="67"/>
      <c r="EP62" s="67"/>
      <c r="EQ62" s="67"/>
      <c r="ER62" s="67"/>
      <c r="ES62" s="67"/>
      <c r="ET62" s="67"/>
      <c r="EU62" s="67"/>
      <c r="EV62" s="67"/>
      <c r="EW62" s="67"/>
      <c r="EX62" s="67"/>
      <c r="EY62" s="67"/>
      <c r="EZ62" s="67"/>
      <c r="FA62" s="67"/>
      <c r="FB62" s="67"/>
      <c r="FC62" s="67"/>
      <c r="FD62" s="67"/>
      <c r="FE62" s="67"/>
      <c r="FF62" s="67"/>
      <c r="FG62" s="67"/>
      <c r="FH62" s="67"/>
      <c r="FI62" s="67"/>
      <c r="FJ62" s="67"/>
      <c r="FK62" s="67"/>
      <c r="FL62" s="67"/>
      <c r="FM62" s="67"/>
      <c r="FN62" s="67"/>
      <c r="FO62" s="67"/>
      <c r="FP62" s="67"/>
      <c r="FQ62" s="67"/>
      <c r="FR62" s="67"/>
      <c r="FS62" s="67"/>
      <c r="FT62" s="67"/>
      <c r="FU62" s="67"/>
      <c r="FV62" s="67"/>
      <c r="FW62" s="67"/>
      <c r="FX62" s="67"/>
      <c r="FY62" s="67"/>
      <c r="FZ62" s="67"/>
      <c r="GA62" s="67"/>
      <c r="GB62" s="67"/>
      <c r="GC62" s="67"/>
      <c r="GD62" s="67"/>
      <c r="GE62" s="67"/>
      <c r="GF62" s="67"/>
      <c r="GG62" s="67"/>
      <c r="GH62" s="67"/>
      <c r="GI62" s="67"/>
      <c r="GJ62" s="67"/>
      <c r="GK62" s="67"/>
      <c r="GL62" s="67"/>
      <c r="GM62" s="67"/>
      <c r="GN62" s="67"/>
      <c r="GO62" s="67"/>
      <c r="GP62" s="67"/>
      <c r="GQ62" s="67"/>
      <c r="GR62" s="67"/>
      <c r="GS62" s="67"/>
      <c r="GT62" s="67"/>
      <c r="GU62" s="67"/>
      <c r="GV62" s="67"/>
      <c r="GW62" s="67"/>
      <c r="GX62" s="67"/>
      <c r="GY62" s="67"/>
      <c r="GZ62" s="67"/>
      <c r="HA62" s="67"/>
      <c r="HB62" s="67"/>
      <c r="HC62" s="67"/>
      <c r="HD62" s="67"/>
      <c r="HE62" s="67"/>
      <c r="HF62" s="67"/>
      <c r="HG62" s="67"/>
      <c r="HH62" s="67"/>
      <c r="HI62" s="67"/>
      <c r="HJ62" s="67"/>
      <c r="HK62" s="67"/>
      <c r="HL62" s="67"/>
      <c r="HM62" s="67"/>
      <c r="HN62" s="67"/>
      <c r="HO62" s="67"/>
      <c r="HP62" s="67"/>
      <c r="HQ62" s="67"/>
      <c r="HR62" s="67"/>
      <c r="HS62" s="67"/>
      <c r="HT62" s="67"/>
      <c r="HU62" s="67"/>
      <c r="HV62" s="67"/>
      <c r="HW62" s="67"/>
      <c r="HX62" s="67"/>
      <c r="HY62" s="67"/>
      <c r="HZ62" s="67"/>
      <c r="IA62" s="67"/>
      <c r="IB62" s="67"/>
      <c r="IC62" s="67"/>
      <c r="ID62" s="67"/>
      <c r="IE62" s="67"/>
      <c r="IF62" s="67"/>
      <c r="IG62" s="67"/>
      <c r="IH62" s="67"/>
      <c r="II62" s="67"/>
      <c r="IJ62" s="67"/>
      <c r="IK62" s="67"/>
      <c r="IL62" s="67"/>
      <c r="IM62" s="67"/>
      <c r="IN62" s="67"/>
      <c r="IO62" s="67"/>
      <c r="IP62" s="67"/>
      <c r="IQ62" s="67"/>
      <c r="IR62" s="67"/>
      <c r="IS62" s="67"/>
      <c r="IT62" s="67"/>
      <c r="IU62" s="67"/>
      <c r="IV62" s="67"/>
      <c r="IW62" s="67"/>
    </row>
    <row r="63" spans="1:257" s="4" customFormat="1" ht="12.75" hidden="1" customHeight="1" x14ac:dyDescent="0.2">
      <c r="A63" s="234"/>
      <c r="B63" s="237"/>
      <c r="C63" s="240" t="s">
        <v>1</v>
      </c>
      <c r="D63" s="240"/>
      <c r="E63" s="80"/>
      <c r="F63" s="76"/>
      <c r="G63" s="76"/>
      <c r="H63" s="175"/>
      <c r="I63" s="76"/>
      <c r="J63" s="76"/>
      <c r="K63" s="179"/>
      <c r="L63" s="76"/>
      <c r="M63" s="76"/>
      <c r="N63" s="234"/>
      <c r="Z63" s="104"/>
      <c r="AA63" s="231" t="str">
        <f t="shared" ref="AA63" si="42">B63&amp;" - "&amp;A63&amp;" "&amp;C63</f>
        <v xml:space="preserve"> -  PFDs</v>
      </c>
      <c r="AB63" s="231" t="str">
        <f t="shared" ref="AB63" si="43">B63&amp;" - "&amp;A63&amp;" "&amp;C64</f>
        <v xml:space="preserve"> -  P&amp;IDs</v>
      </c>
      <c r="AC63" s="231" t="s">
        <v>42</v>
      </c>
      <c r="AD63" s="231" t="s">
        <v>43</v>
      </c>
      <c r="AE63" s="234"/>
      <c r="AF63" s="231" t="str">
        <f t="shared" ref="AF63" si="44">IF(ISBLANK(B63),"",B63)</f>
        <v/>
      </c>
      <c r="AG63" s="114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</row>
    <row r="64" spans="1:257" s="4" customFormat="1" ht="12.75" hidden="1" customHeight="1" x14ac:dyDescent="0.2">
      <c r="A64" s="235"/>
      <c r="B64" s="238"/>
      <c r="C64" s="247" t="s">
        <v>0</v>
      </c>
      <c r="D64" s="183" t="s">
        <v>12</v>
      </c>
      <c r="E64" s="81"/>
      <c r="F64" s="77"/>
      <c r="G64" s="77"/>
      <c r="H64" s="173"/>
      <c r="I64" s="77"/>
      <c r="J64" s="77"/>
      <c r="K64" s="177"/>
      <c r="L64" s="77"/>
      <c r="M64" s="77"/>
      <c r="N64" s="235"/>
      <c r="Z64" s="104"/>
      <c r="AA64" s="232"/>
      <c r="AB64" s="232"/>
      <c r="AC64" s="232"/>
      <c r="AD64" s="232"/>
      <c r="AE64" s="235"/>
      <c r="AF64" s="232"/>
      <c r="AG64" s="114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G64" s="67"/>
      <c r="CH64" s="67"/>
      <c r="CI64" s="67"/>
      <c r="CJ64" s="67"/>
      <c r="CK64" s="67"/>
      <c r="CL64" s="67"/>
      <c r="CM64" s="67"/>
      <c r="CN64" s="67"/>
      <c r="CO64" s="67"/>
      <c r="CP64" s="67"/>
      <c r="CQ64" s="67"/>
      <c r="CR64" s="67"/>
      <c r="CS64" s="67"/>
      <c r="CT64" s="67"/>
      <c r="CU64" s="67"/>
      <c r="CV64" s="67"/>
      <c r="CW64" s="67"/>
      <c r="CX64" s="67"/>
      <c r="CY64" s="67"/>
      <c r="CZ64" s="67"/>
      <c r="DA64" s="67"/>
      <c r="DB64" s="67"/>
      <c r="DC64" s="67"/>
      <c r="DD64" s="67"/>
      <c r="DE64" s="67"/>
      <c r="DF64" s="67"/>
      <c r="DG64" s="67"/>
      <c r="DH64" s="67"/>
      <c r="DI64" s="67"/>
      <c r="DJ64" s="67"/>
      <c r="DK64" s="67"/>
      <c r="DL64" s="67"/>
      <c r="DM64" s="67"/>
      <c r="DN64" s="67"/>
      <c r="DO64" s="67"/>
      <c r="DP64" s="67"/>
      <c r="DQ64" s="67"/>
      <c r="DR64" s="67"/>
      <c r="DS64" s="67"/>
      <c r="DT64" s="67"/>
      <c r="DU64" s="67"/>
      <c r="DV64" s="67"/>
      <c r="DW64" s="67"/>
      <c r="DX64" s="67"/>
      <c r="DY64" s="67"/>
      <c r="DZ64" s="67"/>
      <c r="EA64" s="67"/>
      <c r="EB64" s="67"/>
      <c r="EC64" s="67"/>
      <c r="ED64" s="67"/>
      <c r="EE64" s="67"/>
      <c r="EF64" s="67"/>
      <c r="EG64" s="67"/>
      <c r="EH64" s="67"/>
      <c r="EI64" s="67"/>
      <c r="EJ64" s="67"/>
      <c r="EK64" s="67"/>
      <c r="EL64" s="67"/>
      <c r="EM64" s="67"/>
      <c r="EN64" s="67"/>
      <c r="EO64" s="67"/>
      <c r="EP64" s="67"/>
      <c r="EQ64" s="67"/>
      <c r="ER64" s="67"/>
      <c r="ES64" s="67"/>
      <c r="ET64" s="67"/>
      <c r="EU64" s="67"/>
      <c r="EV64" s="67"/>
      <c r="EW64" s="67"/>
      <c r="EX64" s="67"/>
      <c r="EY64" s="67"/>
      <c r="EZ64" s="67"/>
      <c r="FA64" s="67"/>
      <c r="FB64" s="67"/>
      <c r="FC64" s="67"/>
      <c r="FD64" s="67"/>
      <c r="FE64" s="67"/>
      <c r="FF64" s="67"/>
      <c r="FG64" s="67"/>
      <c r="FH64" s="67"/>
      <c r="FI64" s="67"/>
      <c r="FJ64" s="67"/>
      <c r="FK64" s="67"/>
      <c r="FL64" s="67"/>
      <c r="FM64" s="67"/>
      <c r="FN64" s="67"/>
      <c r="FO64" s="67"/>
      <c r="FP64" s="67"/>
      <c r="FQ64" s="67"/>
      <c r="FR64" s="67"/>
      <c r="FS64" s="67"/>
      <c r="FT64" s="67"/>
      <c r="FU64" s="67"/>
      <c r="FV64" s="67"/>
      <c r="FW64" s="67"/>
      <c r="FX64" s="67"/>
      <c r="FY64" s="67"/>
      <c r="FZ64" s="67"/>
      <c r="GA64" s="67"/>
      <c r="GB64" s="67"/>
      <c r="GC64" s="67"/>
      <c r="GD64" s="67"/>
      <c r="GE64" s="67"/>
      <c r="GF64" s="67"/>
      <c r="GG64" s="67"/>
      <c r="GH64" s="67"/>
      <c r="GI64" s="67"/>
      <c r="GJ64" s="67"/>
      <c r="GK64" s="67"/>
      <c r="GL64" s="67"/>
      <c r="GM64" s="67"/>
      <c r="GN64" s="67"/>
      <c r="GO64" s="67"/>
      <c r="GP64" s="67"/>
      <c r="GQ64" s="67"/>
      <c r="GR64" s="67"/>
      <c r="GS64" s="67"/>
      <c r="GT64" s="67"/>
      <c r="GU64" s="67"/>
      <c r="GV64" s="67"/>
      <c r="GW64" s="67"/>
      <c r="GX64" s="67"/>
      <c r="GY64" s="67"/>
      <c r="GZ64" s="67"/>
      <c r="HA64" s="67"/>
      <c r="HB64" s="67"/>
      <c r="HC64" s="67"/>
      <c r="HD64" s="67"/>
      <c r="HE64" s="67"/>
      <c r="HF64" s="67"/>
      <c r="HG64" s="67"/>
      <c r="HH64" s="67"/>
      <c r="HI64" s="67"/>
      <c r="HJ64" s="67"/>
      <c r="HK64" s="67"/>
      <c r="HL64" s="67"/>
      <c r="HM64" s="67"/>
      <c r="HN64" s="67"/>
      <c r="HO64" s="67"/>
      <c r="HP64" s="67"/>
      <c r="HQ64" s="67"/>
      <c r="HR64" s="67"/>
      <c r="HS64" s="67"/>
      <c r="HT64" s="67"/>
      <c r="HU64" s="67"/>
      <c r="HV64" s="67"/>
      <c r="HW64" s="67"/>
      <c r="HX64" s="67"/>
      <c r="HY64" s="67"/>
      <c r="HZ64" s="67"/>
      <c r="IA64" s="67"/>
      <c r="IB64" s="67"/>
      <c r="IC64" s="67"/>
      <c r="ID64" s="67"/>
      <c r="IE64" s="67"/>
      <c r="IF64" s="67"/>
      <c r="IG64" s="67"/>
      <c r="IH64" s="67"/>
      <c r="II64" s="67"/>
      <c r="IJ64" s="67"/>
      <c r="IK64" s="67"/>
      <c r="IL64" s="67"/>
      <c r="IM64" s="67"/>
      <c r="IN64" s="67"/>
      <c r="IO64" s="67"/>
      <c r="IP64" s="67"/>
      <c r="IQ64" s="67"/>
      <c r="IR64" s="67"/>
      <c r="IS64" s="67"/>
      <c r="IT64" s="67"/>
      <c r="IU64" s="67"/>
      <c r="IV64" s="67"/>
      <c r="IW64" s="67"/>
    </row>
    <row r="65" spans="1:257" s="4" customFormat="1" ht="12.75" hidden="1" customHeight="1" x14ac:dyDescent="0.2">
      <c r="A65" s="235"/>
      <c r="B65" s="238"/>
      <c r="C65" s="248"/>
      <c r="D65" s="183" t="s">
        <v>13</v>
      </c>
      <c r="E65" s="81"/>
      <c r="F65" s="77"/>
      <c r="G65" s="77"/>
      <c r="H65" s="173"/>
      <c r="I65" s="77"/>
      <c r="J65" s="77"/>
      <c r="K65" s="177"/>
      <c r="L65" s="77"/>
      <c r="M65" s="77"/>
      <c r="N65" s="235"/>
      <c r="Z65" s="104"/>
      <c r="AA65" s="232"/>
      <c r="AB65" s="232"/>
      <c r="AC65" s="232"/>
      <c r="AD65" s="232"/>
      <c r="AE65" s="235"/>
      <c r="AF65" s="232"/>
      <c r="AG65" s="114"/>
      <c r="AH65" s="67"/>
      <c r="AI65" s="67"/>
      <c r="AJ65" s="67"/>
      <c r="AK65" s="67"/>
      <c r="AL65" s="67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67"/>
      <c r="BQ65" s="67"/>
      <c r="BR65" s="67"/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/>
      <c r="DS65" s="67"/>
      <c r="DT65" s="67"/>
      <c r="DU65" s="67"/>
      <c r="DV65" s="67"/>
      <c r="DW65" s="67"/>
      <c r="DX65" s="67"/>
      <c r="DY65" s="67"/>
      <c r="DZ65" s="67"/>
      <c r="EA65" s="67"/>
      <c r="EB65" s="67"/>
      <c r="EC65" s="67"/>
      <c r="ED65" s="67"/>
      <c r="EE65" s="67"/>
      <c r="EF65" s="67"/>
      <c r="EG65" s="67"/>
      <c r="EH65" s="67"/>
      <c r="EI65" s="67"/>
      <c r="EJ65" s="67"/>
      <c r="EK65" s="67"/>
      <c r="EL65" s="67"/>
      <c r="EM65" s="67"/>
      <c r="EN65" s="67"/>
      <c r="EO65" s="67"/>
      <c r="EP65" s="67"/>
      <c r="EQ65" s="67"/>
      <c r="ER65" s="67"/>
      <c r="ES65" s="67"/>
      <c r="ET65" s="67"/>
      <c r="EU65" s="67"/>
      <c r="EV65" s="67"/>
      <c r="EW65" s="67"/>
      <c r="EX65" s="67"/>
      <c r="EY65" s="67"/>
      <c r="EZ65" s="67"/>
      <c r="FA65" s="67"/>
      <c r="FB65" s="67"/>
      <c r="FC65" s="67"/>
      <c r="FD65" s="67"/>
      <c r="FE65" s="67"/>
      <c r="FF65" s="67"/>
      <c r="FG65" s="67"/>
      <c r="FH65" s="67"/>
      <c r="FI65" s="67"/>
      <c r="FJ65" s="67"/>
      <c r="FK65" s="67"/>
      <c r="FL65" s="67"/>
      <c r="FM65" s="67"/>
      <c r="FN65" s="67"/>
      <c r="FO65" s="67"/>
      <c r="FP65" s="67"/>
      <c r="FQ65" s="67"/>
      <c r="FR65" s="67"/>
      <c r="FS65" s="67"/>
      <c r="FT65" s="67"/>
      <c r="FU65" s="67"/>
      <c r="FV65" s="67"/>
      <c r="FW65" s="67"/>
      <c r="FX65" s="67"/>
      <c r="FY65" s="67"/>
      <c r="FZ65" s="67"/>
      <c r="GA65" s="67"/>
      <c r="GB65" s="67"/>
      <c r="GC65" s="67"/>
      <c r="GD65" s="67"/>
      <c r="GE65" s="67"/>
      <c r="GF65" s="67"/>
      <c r="GG65" s="67"/>
      <c r="GH65" s="67"/>
      <c r="GI65" s="67"/>
      <c r="GJ65" s="67"/>
      <c r="GK65" s="67"/>
      <c r="GL65" s="67"/>
      <c r="GM65" s="67"/>
      <c r="GN65" s="67"/>
      <c r="GO65" s="67"/>
      <c r="GP65" s="67"/>
      <c r="GQ65" s="67"/>
      <c r="GR65" s="67"/>
      <c r="GS65" s="67"/>
      <c r="GT65" s="67"/>
      <c r="GU65" s="67"/>
      <c r="GV65" s="67"/>
      <c r="GW65" s="67"/>
      <c r="GX65" s="67"/>
      <c r="GY65" s="67"/>
      <c r="GZ65" s="67"/>
      <c r="HA65" s="67"/>
      <c r="HB65" s="67"/>
      <c r="HC65" s="67"/>
      <c r="HD65" s="67"/>
      <c r="HE65" s="67"/>
      <c r="HF65" s="67"/>
      <c r="HG65" s="67"/>
      <c r="HH65" s="67"/>
      <c r="HI65" s="67"/>
      <c r="HJ65" s="67"/>
      <c r="HK65" s="67"/>
      <c r="HL65" s="67"/>
      <c r="HM65" s="67"/>
      <c r="HN65" s="67"/>
      <c r="HO65" s="67"/>
      <c r="HP65" s="67"/>
      <c r="HQ65" s="67"/>
      <c r="HR65" s="67"/>
      <c r="HS65" s="67"/>
      <c r="HT65" s="67"/>
      <c r="HU65" s="67"/>
      <c r="HV65" s="67"/>
      <c r="HW65" s="67"/>
      <c r="HX65" s="67"/>
      <c r="HY65" s="67"/>
      <c r="HZ65" s="67"/>
      <c r="IA65" s="67"/>
      <c r="IB65" s="67"/>
      <c r="IC65" s="67"/>
      <c r="ID65" s="67"/>
      <c r="IE65" s="67"/>
      <c r="IF65" s="67"/>
      <c r="IG65" s="67"/>
      <c r="IH65" s="67"/>
      <c r="II65" s="67"/>
      <c r="IJ65" s="67"/>
      <c r="IK65" s="67"/>
      <c r="IL65" s="67"/>
      <c r="IM65" s="67"/>
      <c r="IN65" s="67"/>
      <c r="IO65" s="67"/>
      <c r="IP65" s="67"/>
      <c r="IQ65" s="67"/>
      <c r="IR65" s="67"/>
      <c r="IS65" s="67"/>
      <c r="IT65" s="67"/>
      <c r="IU65" s="67"/>
      <c r="IV65" s="67"/>
      <c r="IW65" s="67"/>
    </row>
    <row r="66" spans="1:257" s="4" customFormat="1" ht="12.75" hidden="1" customHeight="1" x14ac:dyDescent="0.2">
      <c r="A66" s="236"/>
      <c r="B66" s="239"/>
      <c r="C66" s="249"/>
      <c r="D66" s="183" t="s">
        <v>41</v>
      </c>
      <c r="E66" s="82"/>
      <c r="F66" s="78"/>
      <c r="G66" s="78"/>
      <c r="H66" s="174"/>
      <c r="I66" s="78"/>
      <c r="J66" s="78"/>
      <c r="K66" s="178"/>
      <c r="L66" s="78"/>
      <c r="M66" s="78"/>
      <c r="N66" s="236"/>
      <c r="Z66" s="104"/>
      <c r="AA66" s="233"/>
      <c r="AB66" s="233"/>
      <c r="AC66" s="233"/>
      <c r="AD66" s="233"/>
      <c r="AE66" s="236"/>
      <c r="AF66" s="233"/>
      <c r="AG66" s="114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/>
      <c r="DI66" s="67"/>
      <c r="DJ66" s="67"/>
      <c r="DK66" s="67"/>
      <c r="DL66" s="67"/>
      <c r="DM66" s="67"/>
      <c r="DN66" s="67"/>
      <c r="DO66" s="67"/>
      <c r="DP66" s="67"/>
      <c r="DQ66" s="67"/>
      <c r="DR66" s="67"/>
      <c r="DS66" s="67"/>
      <c r="DT66" s="67"/>
      <c r="DU66" s="67"/>
      <c r="DV66" s="67"/>
      <c r="DW66" s="67"/>
      <c r="DX66" s="67"/>
      <c r="DY66" s="67"/>
      <c r="DZ66" s="67"/>
      <c r="EA66" s="67"/>
      <c r="EB66" s="67"/>
      <c r="EC66" s="67"/>
      <c r="ED66" s="67"/>
      <c r="EE66" s="67"/>
      <c r="EF66" s="67"/>
      <c r="EG66" s="67"/>
      <c r="EH66" s="67"/>
      <c r="EI66" s="67"/>
      <c r="EJ66" s="67"/>
      <c r="EK66" s="67"/>
      <c r="EL66" s="67"/>
      <c r="EM66" s="67"/>
      <c r="EN66" s="67"/>
      <c r="EO66" s="67"/>
      <c r="EP66" s="67"/>
      <c r="EQ66" s="67"/>
      <c r="ER66" s="67"/>
      <c r="ES66" s="67"/>
      <c r="ET66" s="67"/>
      <c r="EU66" s="67"/>
      <c r="EV66" s="67"/>
      <c r="EW66" s="67"/>
      <c r="EX66" s="67"/>
      <c r="EY66" s="67"/>
      <c r="EZ66" s="67"/>
      <c r="FA66" s="67"/>
      <c r="FB66" s="67"/>
      <c r="FC66" s="67"/>
      <c r="FD66" s="67"/>
      <c r="FE66" s="67"/>
      <c r="FF66" s="67"/>
      <c r="FG66" s="67"/>
      <c r="FH66" s="67"/>
      <c r="FI66" s="67"/>
      <c r="FJ66" s="67"/>
      <c r="FK66" s="67"/>
      <c r="FL66" s="67"/>
      <c r="FM66" s="67"/>
      <c r="FN66" s="67"/>
      <c r="FO66" s="67"/>
      <c r="FP66" s="67"/>
      <c r="FQ66" s="67"/>
      <c r="FR66" s="67"/>
      <c r="FS66" s="67"/>
      <c r="FT66" s="67"/>
      <c r="FU66" s="67"/>
      <c r="FV66" s="67"/>
      <c r="FW66" s="67"/>
      <c r="FX66" s="67"/>
      <c r="FY66" s="67"/>
      <c r="FZ66" s="67"/>
      <c r="GA66" s="67"/>
      <c r="GB66" s="67"/>
      <c r="GC66" s="67"/>
      <c r="GD66" s="67"/>
      <c r="GE66" s="67"/>
      <c r="GF66" s="67"/>
      <c r="GG66" s="67"/>
      <c r="GH66" s="67"/>
      <c r="GI66" s="67"/>
      <c r="GJ66" s="67"/>
      <c r="GK66" s="67"/>
      <c r="GL66" s="67"/>
      <c r="GM66" s="67"/>
      <c r="GN66" s="67"/>
      <c r="GO66" s="67"/>
      <c r="GP66" s="67"/>
      <c r="GQ66" s="67"/>
      <c r="GR66" s="67"/>
      <c r="GS66" s="67"/>
      <c r="GT66" s="67"/>
      <c r="GU66" s="67"/>
      <c r="GV66" s="67"/>
      <c r="GW66" s="67"/>
      <c r="GX66" s="67"/>
      <c r="GY66" s="67"/>
      <c r="GZ66" s="67"/>
      <c r="HA66" s="67"/>
      <c r="HB66" s="67"/>
      <c r="HC66" s="67"/>
      <c r="HD66" s="67"/>
      <c r="HE66" s="67"/>
      <c r="HF66" s="67"/>
      <c r="HG66" s="67"/>
      <c r="HH66" s="67"/>
      <c r="HI66" s="67"/>
      <c r="HJ66" s="67"/>
      <c r="HK66" s="67"/>
      <c r="HL66" s="67"/>
      <c r="HM66" s="67"/>
      <c r="HN66" s="67"/>
      <c r="HO66" s="67"/>
      <c r="HP66" s="67"/>
      <c r="HQ66" s="67"/>
      <c r="HR66" s="67"/>
      <c r="HS66" s="67"/>
      <c r="HT66" s="67"/>
      <c r="HU66" s="67"/>
      <c r="HV66" s="67"/>
      <c r="HW66" s="67"/>
      <c r="HX66" s="67"/>
      <c r="HY66" s="67"/>
      <c r="HZ66" s="67"/>
      <c r="IA66" s="67"/>
      <c r="IB66" s="67"/>
      <c r="IC66" s="67"/>
      <c r="ID66" s="67"/>
      <c r="IE66" s="67"/>
      <c r="IF66" s="67"/>
      <c r="IG66" s="67"/>
      <c r="IH66" s="67"/>
      <c r="II66" s="67"/>
      <c r="IJ66" s="67"/>
      <c r="IK66" s="67"/>
      <c r="IL66" s="67"/>
      <c r="IM66" s="67"/>
      <c r="IN66" s="67"/>
      <c r="IO66" s="67"/>
      <c r="IP66" s="67"/>
      <c r="IQ66" s="67"/>
      <c r="IR66" s="67"/>
      <c r="IS66" s="67"/>
      <c r="IT66" s="67"/>
      <c r="IU66" s="67"/>
      <c r="IV66" s="67"/>
      <c r="IW66" s="67"/>
    </row>
    <row r="67" spans="1:257" s="4" customFormat="1" ht="12.75" hidden="1" customHeight="1" x14ac:dyDescent="0.2">
      <c r="A67" s="234"/>
      <c r="B67" s="237"/>
      <c r="C67" s="240" t="s">
        <v>1</v>
      </c>
      <c r="D67" s="240"/>
      <c r="E67" s="80"/>
      <c r="F67" s="76"/>
      <c r="G67" s="76"/>
      <c r="H67" s="175"/>
      <c r="I67" s="76"/>
      <c r="J67" s="76"/>
      <c r="K67" s="179"/>
      <c r="L67" s="76"/>
      <c r="M67" s="76"/>
      <c r="N67" s="234"/>
      <c r="Z67" s="104"/>
      <c r="AA67" s="231" t="str">
        <f t="shared" ref="AA67" si="45">B67&amp;" - "&amp;A67&amp;" "&amp;C67</f>
        <v xml:space="preserve"> -  PFDs</v>
      </c>
      <c r="AB67" s="231" t="str">
        <f t="shared" ref="AB67" si="46">B67&amp;" - "&amp;A67&amp;" "&amp;C68</f>
        <v xml:space="preserve"> -  P&amp;IDs</v>
      </c>
      <c r="AC67" s="231" t="s">
        <v>42</v>
      </c>
      <c r="AD67" s="231" t="s">
        <v>43</v>
      </c>
      <c r="AE67" s="234"/>
      <c r="AF67" s="231" t="str">
        <f t="shared" ref="AF67" si="47">IF(ISBLANK(B67),"",B67)</f>
        <v/>
      </c>
      <c r="AG67" s="114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  <c r="DC67" s="67"/>
      <c r="DD67" s="67"/>
      <c r="DE67" s="67"/>
      <c r="DF67" s="67"/>
      <c r="DG67" s="67"/>
      <c r="DH67" s="67"/>
      <c r="DI67" s="67"/>
      <c r="DJ67" s="67"/>
      <c r="DK67" s="67"/>
      <c r="DL67" s="67"/>
      <c r="DM67" s="67"/>
      <c r="DN67" s="67"/>
      <c r="DO67" s="67"/>
      <c r="DP67" s="67"/>
      <c r="DQ67" s="67"/>
      <c r="DR67" s="67"/>
      <c r="DS67" s="67"/>
      <c r="DT67" s="67"/>
      <c r="DU67" s="67"/>
      <c r="DV67" s="67"/>
      <c r="DW67" s="67"/>
      <c r="DX67" s="67"/>
      <c r="DY67" s="67"/>
      <c r="DZ67" s="67"/>
      <c r="EA67" s="67"/>
      <c r="EB67" s="67"/>
      <c r="EC67" s="67"/>
      <c r="ED67" s="67"/>
      <c r="EE67" s="67"/>
      <c r="EF67" s="67"/>
      <c r="EG67" s="67"/>
      <c r="EH67" s="67"/>
      <c r="EI67" s="67"/>
      <c r="EJ67" s="67"/>
      <c r="EK67" s="67"/>
      <c r="EL67" s="67"/>
      <c r="EM67" s="67"/>
      <c r="EN67" s="67"/>
      <c r="EO67" s="67"/>
      <c r="EP67" s="67"/>
      <c r="EQ67" s="67"/>
      <c r="ER67" s="67"/>
      <c r="ES67" s="67"/>
      <c r="ET67" s="67"/>
      <c r="EU67" s="67"/>
      <c r="EV67" s="67"/>
      <c r="EW67" s="67"/>
      <c r="EX67" s="67"/>
      <c r="EY67" s="67"/>
      <c r="EZ67" s="67"/>
      <c r="FA67" s="67"/>
      <c r="FB67" s="67"/>
      <c r="FC67" s="67"/>
      <c r="FD67" s="67"/>
      <c r="FE67" s="67"/>
      <c r="FF67" s="67"/>
      <c r="FG67" s="67"/>
      <c r="FH67" s="67"/>
      <c r="FI67" s="67"/>
      <c r="FJ67" s="67"/>
      <c r="FK67" s="67"/>
      <c r="FL67" s="67"/>
      <c r="FM67" s="67"/>
      <c r="FN67" s="67"/>
      <c r="FO67" s="67"/>
      <c r="FP67" s="67"/>
      <c r="FQ67" s="67"/>
      <c r="FR67" s="67"/>
      <c r="FS67" s="67"/>
      <c r="FT67" s="67"/>
      <c r="FU67" s="67"/>
      <c r="FV67" s="67"/>
      <c r="FW67" s="67"/>
      <c r="FX67" s="67"/>
      <c r="FY67" s="67"/>
      <c r="FZ67" s="67"/>
      <c r="GA67" s="67"/>
      <c r="GB67" s="67"/>
      <c r="GC67" s="67"/>
      <c r="GD67" s="67"/>
      <c r="GE67" s="67"/>
      <c r="GF67" s="67"/>
      <c r="GG67" s="67"/>
      <c r="GH67" s="67"/>
      <c r="GI67" s="67"/>
      <c r="GJ67" s="67"/>
      <c r="GK67" s="67"/>
      <c r="GL67" s="67"/>
      <c r="GM67" s="67"/>
      <c r="GN67" s="67"/>
      <c r="GO67" s="67"/>
      <c r="GP67" s="67"/>
      <c r="GQ67" s="67"/>
      <c r="GR67" s="67"/>
      <c r="GS67" s="67"/>
      <c r="GT67" s="67"/>
      <c r="GU67" s="67"/>
      <c r="GV67" s="67"/>
      <c r="GW67" s="67"/>
      <c r="GX67" s="67"/>
      <c r="GY67" s="67"/>
      <c r="GZ67" s="67"/>
      <c r="HA67" s="67"/>
      <c r="HB67" s="67"/>
      <c r="HC67" s="67"/>
      <c r="HD67" s="67"/>
      <c r="HE67" s="67"/>
      <c r="HF67" s="67"/>
      <c r="HG67" s="67"/>
      <c r="HH67" s="67"/>
      <c r="HI67" s="67"/>
      <c r="HJ67" s="67"/>
      <c r="HK67" s="67"/>
      <c r="HL67" s="67"/>
      <c r="HM67" s="67"/>
      <c r="HN67" s="67"/>
      <c r="HO67" s="67"/>
      <c r="HP67" s="67"/>
      <c r="HQ67" s="67"/>
      <c r="HR67" s="67"/>
      <c r="HS67" s="67"/>
      <c r="HT67" s="67"/>
      <c r="HU67" s="67"/>
      <c r="HV67" s="67"/>
      <c r="HW67" s="67"/>
      <c r="HX67" s="67"/>
      <c r="HY67" s="67"/>
      <c r="HZ67" s="67"/>
      <c r="IA67" s="67"/>
      <c r="IB67" s="67"/>
      <c r="IC67" s="67"/>
      <c r="ID67" s="67"/>
      <c r="IE67" s="67"/>
      <c r="IF67" s="67"/>
      <c r="IG67" s="67"/>
      <c r="IH67" s="67"/>
      <c r="II67" s="67"/>
      <c r="IJ67" s="67"/>
      <c r="IK67" s="67"/>
      <c r="IL67" s="67"/>
      <c r="IM67" s="67"/>
      <c r="IN67" s="67"/>
      <c r="IO67" s="67"/>
      <c r="IP67" s="67"/>
      <c r="IQ67" s="67"/>
      <c r="IR67" s="67"/>
      <c r="IS67" s="67"/>
      <c r="IT67" s="67"/>
      <c r="IU67" s="67"/>
      <c r="IV67" s="67"/>
      <c r="IW67" s="67"/>
    </row>
    <row r="68" spans="1:257" s="4" customFormat="1" ht="12.75" hidden="1" customHeight="1" x14ac:dyDescent="0.2">
      <c r="A68" s="235"/>
      <c r="B68" s="238"/>
      <c r="C68" s="247" t="s">
        <v>0</v>
      </c>
      <c r="D68" s="183" t="s">
        <v>12</v>
      </c>
      <c r="E68" s="81"/>
      <c r="F68" s="77"/>
      <c r="G68" s="77"/>
      <c r="H68" s="173"/>
      <c r="I68" s="77"/>
      <c r="J68" s="77"/>
      <c r="K68" s="177"/>
      <c r="L68" s="77"/>
      <c r="M68" s="77"/>
      <c r="N68" s="235"/>
      <c r="Z68" s="104"/>
      <c r="AA68" s="232"/>
      <c r="AB68" s="232"/>
      <c r="AC68" s="232"/>
      <c r="AD68" s="232"/>
      <c r="AE68" s="235"/>
      <c r="AF68" s="232"/>
      <c r="AG68" s="114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  <c r="DB68" s="67"/>
      <c r="DC68" s="67"/>
      <c r="DD68" s="67"/>
      <c r="DE68" s="67"/>
      <c r="DF68" s="67"/>
      <c r="DG68" s="67"/>
      <c r="DH68" s="67"/>
      <c r="DI68" s="67"/>
      <c r="DJ68" s="67"/>
      <c r="DK68" s="67"/>
      <c r="DL68" s="67"/>
      <c r="DM68" s="67"/>
      <c r="DN68" s="67"/>
      <c r="DO68" s="67"/>
      <c r="DP68" s="67"/>
      <c r="DQ68" s="67"/>
      <c r="DR68" s="67"/>
      <c r="DS68" s="67"/>
      <c r="DT68" s="67"/>
      <c r="DU68" s="67"/>
      <c r="DV68" s="67"/>
      <c r="DW68" s="67"/>
      <c r="DX68" s="67"/>
      <c r="DY68" s="67"/>
      <c r="DZ68" s="67"/>
      <c r="EA68" s="67"/>
      <c r="EB68" s="67"/>
      <c r="EC68" s="67"/>
      <c r="ED68" s="67"/>
      <c r="EE68" s="67"/>
      <c r="EF68" s="67"/>
      <c r="EG68" s="67"/>
      <c r="EH68" s="67"/>
      <c r="EI68" s="67"/>
      <c r="EJ68" s="67"/>
      <c r="EK68" s="67"/>
      <c r="EL68" s="67"/>
      <c r="EM68" s="67"/>
      <c r="EN68" s="67"/>
      <c r="EO68" s="67"/>
      <c r="EP68" s="67"/>
      <c r="EQ68" s="67"/>
      <c r="ER68" s="67"/>
      <c r="ES68" s="67"/>
      <c r="ET68" s="67"/>
      <c r="EU68" s="67"/>
      <c r="EV68" s="67"/>
      <c r="EW68" s="67"/>
      <c r="EX68" s="67"/>
      <c r="EY68" s="67"/>
      <c r="EZ68" s="67"/>
      <c r="FA68" s="67"/>
      <c r="FB68" s="67"/>
      <c r="FC68" s="67"/>
      <c r="FD68" s="67"/>
      <c r="FE68" s="67"/>
      <c r="FF68" s="67"/>
      <c r="FG68" s="67"/>
      <c r="FH68" s="67"/>
      <c r="FI68" s="67"/>
      <c r="FJ68" s="67"/>
      <c r="FK68" s="67"/>
      <c r="FL68" s="67"/>
      <c r="FM68" s="67"/>
      <c r="FN68" s="67"/>
      <c r="FO68" s="67"/>
      <c r="FP68" s="67"/>
      <c r="FQ68" s="67"/>
      <c r="FR68" s="67"/>
      <c r="FS68" s="67"/>
      <c r="FT68" s="67"/>
      <c r="FU68" s="67"/>
      <c r="FV68" s="67"/>
      <c r="FW68" s="67"/>
      <c r="FX68" s="67"/>
      <c r="FY68" s="67"/>
      <c r="FZ68" s="67"/>
      <c r="GA68" s="67"/>
      <c r="GB68" s="67"/>
      <c r="GC68" s="67"/>
      <c r="GD68" s="67"/>
      <c r="GE68" s="67"/>
      <c r="GF68" s="67"/>
      <c r="GG68" s="67"/>
      <c r="GH68" s="67"/>
      <c r="GI68" s="67"/>
      <c r="GJ68" s="67"/>
      <c r="GK68" s="67"/>
      <c r="GL68" s="67"/>
      <c r="GM68" s="67"/>
      <c r="GN68" s="67"/>
      <c r="GO68" s="67"/>
      <c r="GP68" s="67"/>
      <c r="GQ68" s="67"/>
      <c r="GR68" s="67"/>
      <c r="GS68" s="67"/>
      <c r="GT68" s="67"/>
      <c r="GU68" s="67"/>
      <c r="GV68" s="67"/>
      <c r="GW68" s="67"/>
      <c r="GX68" s="67"/>
      <c r="GY68" s="67"/>
      <c r="GZ68" s="67"/>
      <c r="HA68" s="67"/>
      <c r="HB68" s="67"/>
      <c r="HC68" s="67"/>
      <c r="HD68" s="67"/>
      <c r="HE68" s="67"/>
      <c r="HF68" s="67"/>
      <c r="HG68" s="67"/>
      <c r="HH68" s="67"/>
      <c r="HI68" s="67"/>
      <c r="HJ68" s="67"/>
      <c r="HK68" s="67"/>
      <c r="HL68" s="67"/>
      <c r="HM68" s="67"/>
      <c r="HN68" s="67"/>
      <c r="HO68" s="67"/>
      <c r="HP68" s="67"/>
      <c r="HQ68" s="67"/>
      <c r="HR68" s="67"/>
      <c r="HS68" s="67"/>
      <c r="HT68" s="67"/>
      <c r="HU68" s="67"/>
      <c r="HV68" s="67"/>
      <c r="HW68" s="67"/>
      <c r="HX68" s="67"/>
      <c r="HY68" s="67"/>
      <c r="HZ68" s="67"/>
      <c r="IA68" s="67"/>
      <c r="IB68" s="67"/>
      <c r="IC68" s="67"/>
      <c r="ID68" s="67"/>
      <c r="IE68" s="67"/>
      <c r="IF68" s="67"/>
      <c r="IG68" s="67"/>
      <c r="IH68" s="67"/>
      <c r="II68" s="67"/>
      <c r="IJ68" s="67"/>
      <c r="IK68" s="67"/>
      <c r="IL68" s="67"/>
      <c r="IM68" s="67"/>
      <c r="IN68" s="67"/>
      <c r="IO68" s="67"/>
      <c r="IP68" s="67"/>
      <c r="IQ68" s="67"/>
      <c r="IR68" s="67"/>
      <c r="IS68" s="67"/>
      <c r="IT68" s="67"/>
      <c r="IU68" s="67"/>
      <c r="IV68" s="67"/>
      <c r="IW68" s="67"/>
    </row>
    <row r="69" spans="1:257" s="4" customFormat="1" ht="12.75" hidden="1" customHeight="1" x14ac:dyDescent="0.2">
      <c r="A69" s="235"/>
      <c r="B69" s="238"/>
      <c r="C69" s="248"/>
      <c r="D69" s="183" t="s">
        <v>13</v>
      </c>
      <c r="E69" s="81"/>
      <c r="F69" s="77"/>
      <c r="G69" s="77"/>
      <c r="H69" s="173"/>
      <c r="I69" s="77"/>
      <c r="J69" s="77"/>
      <c r="K69" s="177"/>
      <c r="L69" s="77"/>
      <c r="M69" s="77"/>
      <c r="N69" s="235"/>
      <c r="Z69" s="104"/>
      <c r="AA69" s="232"/>
      <c r="AB69" s="232"/>
      <c r="AC69" s="232"/>
      <c r="AD69" s="232"/>
      <c r="AE69" s="235"/>
      <c r="AF69" s="232"/>
      <c r="AG69" s="114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A69" s="67"/>
      <c r="DB69" s="67"/>
      <c r="DC69" s="67"/>
      <c r="DD69" s="67"/>
      <c r="DE69" s="67"/>
      <c r="DF69" s="67"/>
      <c r="DG69" s="67"/>
      <c r="DH69" s="67"/>
      <c r="DI69" s="67"/>
      <c r="DJ69" s="67"/>
      <c r="DK69" s="67"/>
      <c r="DL69" s="67"/>
      <c r="DM69" s="67"/>
      <c r="DN69" s="67"/>
      <c r="DO69" s="67"/>
      <c r="DP69" s="67"/>
      <c r="DQ69" s="67"/>
      <c r="DR69" s="67"/>
      <c r="DS69" s="67"/>
      <c r="DT69" s="67"/>
      <c r="DU69" s="67"/>
      <c r="DV69" s="67"/>
      <c r="DW69" s="67"/>
      <c r="DX69" s="67"/>
      <c r="DY69" s="67"/>
      <c r="DZ69" s="67"/>
      <c r="EA69" s="67"/>
      <c r="EB69" s="67"/>
      <c r="EC69" s="67"/>
      <c r="ED69" s="67"/>
      <c r="EE69" s="67"/>
      <c r="EF69" s="67"/>
      <c r="EG69" s="67"/>
      <c r="EH69" s="67"/>
      <c r="EI69" s="67"/>
      <c r="EJ69" s="67"/>
      <c r="EK69" s="67"/>
      <c r="EL69" s="67"/>
      <c r="EM69" s="67"/>
      <c r="EN69" s="67"/>
      <c r="EO69" s="67"/>
      <c r="EP69" s="67"/>
      <c r="EQ69" s="67"/>
      <c r="ER69" s="67"/>
      <c r="ES69" s="67"/>
      <c r="ET69" s="67"/>
      <c r="EU69" s="67"/>
      <c r="EV69" s="67"/>
      <c r="EW69" s="67"/>
      <c r="EX69" s="67"/>
      <c r="EY69" s="67"/>
      <c r="EZ69" s="67"/>
      <c r="FA69" s="67"/>
      <c r="FB69" s="67"/>
      <c r="FC69" s="67"/>
      <c r="FD69" s="67"/>
      <c r="FE69" s="67"/>
      <c r="FF69" s="67"/>
      <c r="FG69" s="67"/>
      <c r="FH69" s="67"/>
      <c r="FI69" s="67"/>
      <c r="FJ69" s="67"/>
      <c r="FK69" s="67"/>
      <c r="FL69" s="67"/>
      <c r="FM69" s="67"/>
      <c r="FN69" s="67"/>
      <c r="FO69" s="67"/>
      <c r="FP69" s="67"/>
      <c r="FQ69" s="67"/>
      <c r="FR69" s="67"/>
      <c r="FS69" s="67"/>
      <c r="FT69" s="67"/>
      <c r="FU69" s="67"/>
      <c r="FV69" s="67"/>
      <c r="FW69" s="67"/>
      <c r="FX69" s="67"/>
      <c r="FY69" s="67"/>
      <c r="FZ69" s="67"/>
      <c r="GA69" s="67"/>
      <c r="GB69" s="67"/>
      <c r="GC69" s="67"/>
      <c r="GD69" s="67"/>
      <c r="GE69" s="67"/>
      <c r="GF69" s="67"/>
      <c r="GG69" s="67"/>
      <c r="GH69" s="67"/>
      <c r="GI69" s="67"/>
      <c r="GJ69" s="67"/>
      <c r="GK69" s="67"/>
      <c r="GL69" s="67"/>
      <c r="GM69" s="67"/>
      <c r="GN69" s="67"/>
      <c r="GO69" s="67"/>
      <c r="GP69" s="67"/>
      <c r="GQ69" s="67"/>
      <c r="GR69" s="67"/>
      <c r="GS69" s="67"/>
      <c r="GT69" s="67"/>
      <c r="GU69" s="67"/>
      <c r="GV69" s="67"/>
      <c r="GW69" s="67"/>
      <c r="GX69" s="67"/>
      <c r="GY69" s="67"/>
      <c r="GZ69" s="67"/>
      <c r="HA69" s="67"/>
      <c r="HB69" s="67"/>
      <c r="HC69" s="67"/>
      <c r="HD69" s="67"/>
      <c r="HE69" s="67"/>
      <c r="HF69" s="67"/>
      <c r="HG69" s="67"/>
      <c r="HH69" s="67"/>
      <c r="HI69" s="67"/>
      <c r="HJ69" s="67"/>
      <c r="HK69" s="67"/>
      <c r="HL69" s="67"/>
      <c r="HM69" s="67"/>
      <c r="HN69" s="67"/>
      <c r="HO69" s="67"/>
      <c r="HP69" s="67"/>
      <c r="HQ69" s="67"/>
      <c r="HR69" s="67"/>
      <c r="HS69" s="67"/>
      <c r="HT69" s="67"/>
      <c r="HU69" s="67"/>
      <c r="HV69" s="67"/>
      <c r="HW69" s="67"/>
      <c r="HX69" s="67"/>
      <c r="HY69" s="67"/>
      <c r="HZ69" s="67"/>
      <c r="IA69" s="67"/>
      <c r="IB69" s="67"/>
      <c r="IC69" s="67"/>
      <c r="ID69" s="67"/>
      <c r="IE69" s="67"/>
      <c r="IF69" s="67"/>
      <c r="IG69" s="67"/>
      <c r="IH69" s="67"/>
      <c r="II69" s="67"/>
      <c r="IJ69" s="67"/>
      <c r="IK69" s="67"/>
      <c r="IL69" s="67"/>
      <c r="IM69" s="67"/>
      <c r="IN69" s="67"/>
      <c r="IO69" s="67"/>
      <c r="IP69" s="67"/>
      <c r="IQ69" s="67"/>
      <c r="IR69" s="67"/>
      <c r="IS69" s="67"/>
      <c r="IT69" s="67"/>
      <c r="IU69" s="67"/>
      <c r="IV69" s="67"/>
      <c r="IW69" s="67"/>
    </row>
    <row r="70" spans="1:257" s="4" customFormat="1" ht="12.75" hidden="1" customHeight="1" x14ac:dyDescent="0.2">
      <c r="A70" s="236"/>
      <c r="B70" s="239"/>
      <c r="C70" s="249"/>
      <c r="D70" s="183" t="s">
        <v>41</v>
      </c>
      <c r="E70" s="82"/>
      <c r="F70" s="78"/>
      <c r="G70" s="78"/>
      <c r="H70" s="174"/>
      <c r="I70" s="78"/>
      <c r="J70" s="78"/>
      <c r="K70" s="178"/>
      <c r="L70" s="78"/>
      <c r="M70" s="78"/>
      <c r="N70" s="236"/>
      <c r="Z70" s="104"/>
      <c r="AA70" s="233"/>
      <c r="AB70" s="233"/>
      <c r="AC70" s="233"/>
      <c r="AD70" s="233"/>
      <c r="AE70" s="236"/>
      <c r="AF70" s="233"/>
      <c r="AG70" s="114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A70" s="67"/>
      <c r="DB70" s="67"/>
      <c r="DC70" s="67"/>
      <c r="DD70" s="67"/>
      <c r="DE70" s="67"/>
      <c r="DF70" s="67"/>
      <c r="DG70" s="67"/>
      <c r="DH70" s="67"/>
      <c r="DI70" s="67"/>
      <c r="DJ70" s="67"/>
      <c r="DK70" s="67"/>
      <c r="DL70" s="67"/>
      <c r="DM70" s="67"/>
      <c r="DN70" s="67"/>
      <c r="DO70" s="67"/>
      <c r="DP70" s="67"/>
      <c r="DQ70" s="67"/>
      <c r="DR70" s="67"/>
      <c r="DS70" s="67"/>
      <c r="DT70" s="67"/>
      <c r="DU70" s="67"/>
      <c r="DV70" s="67"/>
      <c r="DW70" s="67"/>
      <c r="DX70" s="67"/>
      <c r="DY70" s="67"/>
      <c r="DZ70" s="67"/>
      <c r="EA70" s="67"/>
      <c r="EB70" s="67"/>
      <c r="EC70" s="67"/>
      <c r="ED70" s="67"/>
      <c r="EE70" s="67"/>
      <c r="EF70" s="67"/>
      <c r="EG70" s="67"/>
      <c r="EH70" s="67"/>
      <c r="EI70" s="67"/>
      <c r="EJ70" s="67"/>
      <c r="EK70" s="67"/>
      <c r="EL70" s="67"/>
      <c r="EM70" s="67"/>
      <c r="EN70" s="67"/>
      <c r="EO70" s="67"/>
      <c r="EP70" s="67"/>
      <c r="EQ70" s="67"/>
      <c r="ER70" s="67"/>
      <c r="ES70" s="67"/>
      <c r="ET70" s="67"/>
      <c r="EU70" s="67"/>
      <c r="EV70" s="67"/>
      <c r="EW70" s="67"/>
      <c r="EX70" s="67"/>
      <c r="EY70" s="67"/>
      <c r="EZ70" s="67"/>
      <c r="FA70" s="67"/>
      <c r="FB70" s="67"/>
      <c r="FC70" s="67"/>
      <c r="FD70" s="67"/>
      <c r="FE70" s="67"/>
      <c r="FF70" s="67"/>
      <c r="FG70" s="67"/>
      <c r="FH70" s="67"/>
      <c r="FI70" s="67"/>
      <c r="FJ70" s="67"/>
      <c r="FK70" s="67"/>
      <c r="FL70" s="67"/>
      <c r="FM70" s="67"/>
      <c r="FN70" s="67"/>
      <c r="FO70" s="67"/>
      <c r="FP70" s="67"/>
      <c r="FQ70" s="67"/>
      <c r="FR70" s="67"/>
      <c r="FS70" s="67"/>
      <c r="FT70" s="67"/>
      <c r="FU70" s="67"/>
      <c r="FV70" s="67"/>
      <c r="FW70" s="67"/>
      <c r="FX70" s="67"/>
      <c r="FY70" s="67"/>
      <c r="FZ70" s="67"/>
      <c r="GA70" s="67"/>
      <c r="GB70" s="67"/>
      <c r="GC70" s="67"/>
      <c r="GD70" s="67"/>
      <c r="GE70" s="67"/>
      <c r="GF70" s="67"/>
      <c r="GG70" s="67"/>
      <c r="GH70" s="67"/>
      <c r="GI70" s="67"/>
      <c r="GJ70" s="67"/>
      <c r="GK70" s="67"/>
      <c r="GL70" s="67"/>
      <c r="GM70" s="67"/>
      <c r="GN70" s="67"/>
      <c r="GO70" s="67"/>
      <c r="GP70" s="67"/>
      <c r="GQ70" s="67"/>
      <c r="GR70" s="67"/>
      <c r="GS70" s="67"/>
      <c r="GT70" s="67"/>
      <c r="GU70" s="67"/>
      <c r="GV70" s="67"/>
      <c r="GW70" s="67"/>
      <c r="GX70" s="67"/>
      <c r="GY70" s="67"/>
      <c r="GZ70" s="67"/>
      <c r="HA70" s="67"/>
      <c r="HB70" s="67"/>
      <c r="HC70" s="67"/>
      <c r="HD70" s="67"/>
      <c r="HE70" s="67"/>
      <c r="HF70" s="67"/>
      <c r="HG70" s="67"/>
      <c r="HH70" s="67"/>
      <c r="HI70" s="67"/>
      <c r="HJ70" s="67"/>
      <c r="HK70" s="67"/>
      <c r="HL70" s="67"/>
      <c r="HM70" s="67"/>
      <c r="HN70" s="67"/>
      <c r="HO70" s="67"/>
      <c r="HP70" s="67"/>
      <c r="HQ70" s="67"/>
      <c r="HR70" s="67"/>
      <c r="HS70" s="67"/>
      <c r="HT70" s="67"/>
      <c r="HU70" s="67"/>
      <c r="HV70" s="67"/>
      <c r="HW70" s="67"/>
      <c r="HX70" s="67"/>
      <c r="HY70" s="67"/>
      <c r="HZ70" s="67"/>
      <c r="IA70" s="67"/>
      <c r="IB70" s="67"/>
      <c r="IC70" s="67"/>
      <c r="ID70" s="67"/>
      <c r="IE70" s="67"/>
      <c r="IF70" s="67"/>
      <c r="IG70" s="67"/>
      <c r="IH70" s="67"/>
      <c r="II70" s="67"/>
      <c r="IJ70" s="67"/>
      <c r="IK70" s="67"/>
      <c r="IL70" s="67"/>
      <c r="IM70" s="67"/>
      <c r="IN70" s="67"/>
      <c r="IO70" s="67"/>
      <c r="IP70" s="67"/>
      <c r="IQ70" s="67"/>
      <c r="IR70" s="67"/>
      <c r="IS70" s="67"/>
      <c r="IT70" s="67"/>
      <c r="IU70" s="67"/>
      <c r="IV70" s="67"/>
      <c r="IW70" s="67"/>
    </row>
    <row r="71" spans="1:257" s="4" customFormat="1" ht="12.75" hidden="1" customHeight="1" x14ac:dyDescent="0.2">
      <c r="A71" s="234"/>
      <c r="B71" s="237"/>
      <c r="C71" s="240" t="s">
        <v>1</v>
      </c>
      <c r="D71" s="240"/>
      <c r="E71" s="80"/>
      <c r="F71" s="76"/>
      <c r="G71" s="76"/>
      <c r="H71" s="175"/>
      <c r="I71" s="76"/>
      <c r="J71" s="76"/>
      <c r="K71" s="179"/>
      <c r="L71" s="76"/>
      <c r="M71" s="76"/>
      <c r="N71" s="234"/>
      <c r="Z71" s="104"/>
      <c r="AA71" s="231" t="str">
        <f t="shared" ref="AA71" si="48">B71&amp;" - "&amp;A71&amp;" "&amp;C71</f>
        <v xml:space="preserve"> -  PFDs</v>
      </c>
      <c r="AB71" s="231" t="str">
        <f t="shared" ref="AB71" si="49">B71&amp;" - "&amp;A71&amp;" "&amp;C72</f>
        <v xml:space="preserve"> -  P&amp;IDs</v>
      </c>
      <c r="AC71" s="231" t="s">
        <v>42</v>
      </c>
      <c r="AD71" s="231" t="s">
        <v>43</v>
      </c>
      <c r="AE71" s="234"/>
      <c r="AF71" s="231" t="str">
        <f t="shared" ref="AF71" si="50">IF(ISBLANK(B71),"",B71)</f>
        <v/>
      </c>
      <c r="AG71" s="104"/>
    </row>
    <row r="72" spans="1:257" s="4" customFormat="1" ht="12.75" hidden="1" customHeight="1" x14ac:dyDescent="0.2">
      <c r="A72" s="235"/>
      <c r="B72" s="238"/>
      <c r="C72" s="247" t="s">
        <v>0</v>
      </c>
      <c r="D72" s="183" t="s">
        <v>12</v>
      </c>
      <c r="E72" s="81"/>
      <c r="F72" s="77"/>
      <c r="G72" s="77"/>
      <c r="H72" s="173"/>
      <c r="I72" s="77"/>
      <c r="J72" s="77"/>
      <c r="K72" s="177"/>
      <c r="L72" s="77"/>
      <c r="M72" s="77"/>
      <c r="N72" s="235"/>
      <c r="Z72" s="104"/>
      <c r="AA72" s="232"/>
      <c r="AB72" s="232"/>
      <c r="AC72" s="232"/>
      <c r="AD72" s="232"/>
      <c r="AE72" s="235"/>
      <c r="AF72" s="232"/>
      <c r="AG72" s="104"/>
    </row>
    <row r="73" spans="1:257" s="4" customFormat="1" ht="12.75" hidden="1" customHeight="1" x14ac:dyDescent="0.2">
      <c r="A73" s="235"/>
      <c r="B73" s="238"/>
      <c r="C73" s="248"/>
      <c r="D73" s="183" t="s">
        <v>13</v>
      </c>
      <c r="E73" s="81"/>
      <c r="F73" s="77"/>
      <c r="G73" s="77"/>
      <c r="H73" s="173"/>
      <c r="I73" s="77"/>
      <c r="J73" s="77"/>
      <c r="K73" s="177"/>
      <c r="L73" s="77"/>
      <c r="M73" s="77"/>
      <c r="N73" s="235"/>
      <c r="Z73" s="104"/>
      <c r="AA73" s="232"/>
      <c r="AB73" s="232"/>
      <c r="AC73" s="232"/>
      <c r="AD73" s="232"/>
      <c r="AE73" s="235"/>
      <c r="AF73" s="232"/>
      <c r="AG73" s="104"/>
    </row>
    <row r="74" spans="1:257" s="4" customFormat="1" ht="12.75" hidden="1" customHeight="1" x14ac:dyDescent="0.2">
      <c r="A74" s="236"/>
      <c r="B74" s="239"/>
      <c r="C74" s="249"/>
      <c r="D74" s="183" t="s">
        <v>41</v>
      </c>
      <c r="E74" s="82"/>
      <c r="F74" s="78"/>
      <c r="G74" s="78"/>
      <c r="H74" s="174"/>
      <c r="I74" s="78"/>
      <c r="J74" s="78"/>
      <c r="K74" s="178"/>
      <c r="L74" s="78"/>
      <c r="M74" s="78"/>
      <c r="N74" s="236"/>
      <c r="Z74" s="104"/>
      <c r="AA74" s="233"/>
      <c r="AB74" s="233"/>
      <c r="AC74" s="233"/>
      <c r="AD74" s="233"/>
      <c r="AE74" s="236"/>
      <c r="AF74" s="233"/>
      <c r="AG74" s="104"/>
    </row>
    <row r="75" spans="1:257" s="4" customFormat="1" ht="12.75" hidden="1" customHeight="1" x14ac:dyDescent="0.2">
      <c r="A75" s="234"/>
      <c r="B75" s="237"/>
      <c r="C75" s="240" t="s">
        <v>1</v>
      </c>
      <c r="D75" s="240"/>
      <c r="E75" s="80"/>
      <c r="F75" s="76"/>
      <c r="G75" s="76"/>
      <c r="H75" s="175"/>
      <c r="I75" s="76"/>
      <c r="J75" s="76"/>
      <c r="K75" s="179"/>
      <c r="L75" s="76"/>
      <c r="M75" s="76"/>
      <c r="N75" s="234"/>
      <c r="Z75" s="104"/>
      <c r="AA75" s="231" t="str">
        <f t="shared" ref="AA75" si="51">B75&amp;" - "&amp;A75&amp;" "&amp;C75</f>
        <v xml:space="preserve"> -  PFDs</v>
      </c>
      <c r="AB75" s="231" t="str">
        <f t="shared" ref="AB75" si="52">B75&amp;" - "&amp;A75&amp;" "&amp;C76</f>
        <v xml:space="preserve"> -  P&amp;IDs</v>
      </c>
      <c r="AC75" s="231" t="s">
        <v>42</v>
      </c>
      <c r="AD75" s="231" t="s">
        <v>43</v>
      </c>
      <c r="AE75" s="234"/>
      <c r="AF75" s="231" t="str">
        <f t="shared" ref="AF75" si="53">IF(ISBLANK(B75),"",B75)</f>
        <v/>
      </c>
      <c r="AG75" s="113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/>
      <c r="CI75" s="66"/>
      <c r="CJ75" s="66"/>
      <c r="CK75" s="66"/>
      <c r="CL75" s="66"/>
      <c r="CM75" s="66"/>
      <c r="CN75" s="66"/>
      <c r="CO75" s="66"/>
      <c r="CP75" s="66"/>
      <c r="CQ75" s="66"/>
      <c r="CR75" s="66"/>
      <c r="CS75" s="66"/>
      <c r="CT75" s="66"/>
      <c r="CU75" s="66"/>
      <c r="CV75" s="66"/>
      <c r="CW75" s="66"/>
      <c r="CX75" s="66"/>
      <c r="CY75" s="66"/>
      <c r="CZ75" s="66"/>
      <c r="DA75" s="66"/>
      <c r="DB75" s="66"/>
      <c r="DC75" s="66"/>
      <c r="DD75" s="66"/>
      <c r="DE75" s="66"/>
      <c r="DF75" s="66"/>
      <c r="DG75" s="66"/>
      <c r="DH75" s="66"/>
      <c r="DI75" s="66"/>
      <c r="DJ75" s="66"/>
      <c r="DK75" s="66"/>
      <c r="DL75" s="66"/>
      <c r="DM75" s="66"/>
      <c r="DN75" s="66"/>
      <c r="DO75" s="66"/>
      <c r="DP75" s="66"/>
      <c r="DQ75" s="66"/>
      <c r="DR75" s="66"/>
      <c r="DS75" s="66"/>
      <c r="DT75" s="66"/>
      <c r="DU75" s="66"/>
      <c r="DV75" s="66"/>
      <c r="DW75" s="66"/>
      <c r="DX75" s="66"/>
      <c r="DY75" s="66"/>
      <c r="DZ75" s="66"/>
      <c r="EA75" s="66"/>
      <c r="EB75" s="66"/>
      <c r="EC75" s="66"/>
      <c r="ED75" s="66"/>
      <c r="EE75" s="66"/>
      <c r="EF75" s="66"/>
      <c r="EG75" s="66"/>
      <c r="EH75" s="66"/>
      <c r="EI75" s="66"/>
      <c r="EJ75" s="6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66"/>
      <c r="EV75" s="66"/>
      <c r="EW75" s="66"/>
      <c r="EX75" s="66"/>
      <c r="EY75" s="66"/>
      <c r="EZ75" s="66"/>
      <c r="FA75" s="66"/>
      <c r="FB75" s="66"/>
      <c r="FC75" s="66"/>
      <c r="FD75" s="66"/>
      <c r="FE75" s="66"/>
      <c r="FF75" s="66"/>
      <c r="FG75" s="66"/>
      <c r="FH75" s="66"/>
      <c r="FI75" s="66"/>
      <c r="FJ75" s="66"/>
      <c r="FK75" s="66"/>
      <c r="FL75" s="66"/>
      <c r="FM75" s="66"/>
      <c r="FN75" s="66"/>
      <c r="FO75" s="66"/>
      <c r="FP75" s="66"/>
      <c r="FQ75" s="66"/>
      <c r="FR75" s="66"/>
      <c r="FS75" s="66"/>
      <c r="FT75" s="66"/>
      <c r="FU75" s="66"/>
      <c r="FV75" s="66"/>
      <c r="FW75" s="66"/>
      <c r="FX75" s="66"/>
      <c r="FY75" s="66"/>
      <c r="FZ75" s="66"/>
      <c r="GA75" s="66"/>
      <c r="GB75" s="66"/>
      <c r="GC75" s="66"/>
      <c r="GD75" s="66"/>
      <c r="GE75" s="66"/>
      <c r="GF75" s="66"/>
      <c r="GG75" s="66"/>
      <c r="GH75" s="66"/>
      <c r="GI75" s="66"/>
      <c r="GJ75" s="66"/>
      <c r="GK75" s="66"/>
      <c r="GL75" s="66"/>
      <c r="GM75" s="66"/>
      <c r="GN75" s="66"/>
      <c r="GO75" s="66"/>
      <c r="GP75" s="66"/>
      <c r="GQ75" s="66"/>
      <c r="GR75" s="66"/>
      <c r="GS75" s="66"/>
      <c r="GT75" s="66"/>
      <c r="GU75" s="6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66"/>
      <c r="HG75" s="66"/>
      <c r="HH75" s="66"/>
      <c r="HI75" s="66"/>
      <c r="HJ75" s="66"/>
      <c r="HK75" s="66"/>
      <c r="HL75" s="66"/>
      <c r="HM75" s="66"/>
      <c r="HN75" s="66"/>
      <c r="HO75" s="66"/>
      <c r="HP75" s="66"/>
      <c r="HQ75" s="66"/>
      <c r="HR75" s="66"/>
      <c r="HS75" s="66"/>
      <c r="HT75" s="66"/>
      <c r="HU75" s="66"/>
      <c r="HV75" s="66"/>
      <c r="HW75" s="66"/>
      <c r="HX75" s="66"/>
      <c r="HY75" s="66"/>
      <c r="HZ75" s="66"/>
      <c r="IA75" s="66"/>
      <c r="IB75" s="66"/>
      <c r="IC75" s="66"/>
      <c r="ID75" s="66"/>
      <c r="IE75" s="66"/>
      <c r="IF75" s="66"/>
      <c r="IG75" s="66"/>
      <c r="IH75" s="66"/>
      <c r="II75" s="66"/>
      <c r="IJ75" s="66"/>
      <c r="IK75" s="66"/>
      <c r="IL75" s="66"/>
      <c r="IM75" s="66"/>
      <c r="IN75" s="66"/>
      <c r="IO75" s="66"/>
      <c r="IP75" s="66"/>
      <c r="IQ75" s="66"/>
      <c r="IR75" s="66"/>
      <c r="IS75" s="66"/>
      <c r="IT75" s="66"/>
      <c r="IU75" s="66"/>
      <c r="IV75" s="66"/>
      <c r="IW75" s="66"/>
    </row>
    <row r="76" spans="1:257" s="4" customFormat="1" ht="12.75" hidden="1" customHeight="1" x14ac:dyDescent="0.2">
      <c r="A76" s="235"/>
      <c r="B76" s="238"/>
      <c r="C76" s="247" t="s">
        <v>0</v>
      </c>
      <c r="D76" s="183" t="s">
        <v>12</v>
      </c>
      <c r="E76" s="81"/>
      <c r="F76" s="77"/>
      <c r="G76" s="77"/>
      <c r="H76" s="173"/>
      <c r="I76" s="77"/>
      <c r="J76" s="77"/>
      <c r="K76" s="177"/>
      <c r="L76" s="77"/>
      <c r="M76" s="77"/>
      <c r="N76" s="235"/>
      <c r="Z76" s="104"/>
      <c r="AA76" s="232"/>
      <c r="AB76" s="232"/>
      <c r="AC76" s="232"/>
      <c r="AD76" s="232"/>
      <c r="AE76" s="235"/>
      <c r="AF76" s="232"/>
      <c r="AG76" s="114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/>
      <c r="DS76" s="67"/>
      <c r="DT76" s="67"/>
      <c r="DU76" s="67"/>
      <c r="DV76" s="67"/>
      <c r="DW76" s="67"/>
      <c r="DX76" s="67"/>
      <c r="DY76" s="67"/>
      <c r="DZ76" s="67"/>
      <c r="EA76" s="67"/>
      <c r="EB76" s="67"/>
      <c r="EC76" s="67"/>
      <c r="ED76" s="67"/>
      <c r="EE76" s="67"/>
      <c r="EF76" s="67"/>
      <c r="EG76" s="67"/>
      <c r="EH76" s="67"/>
      <c r="EI76" s="67"/>
      <c r="EJ76" s="67"/>
      <c r="EK76" s="67"/>
      <c r="EL76" s="67"/>
      <c r="EM76" s="67"/>
      <c r="EN76" s="67"/>
      <c r="EO76" s="67"/>
      <c r="EP76" s="67"/>
      <c r="EQ76" s="67"/>
      <c r="ER76" s="67"/>
      <c r="ES76" s="67"/>
      <c r="ET76" s="67"/>
      <c r="EU76" s="67"/>
      <c r="EV76" s="67"/>
      <c r="EW76" s="67"/>
      <c r="EX76" s="67"/>
      <c r="EY76" s="67"/>
      <c r="EZ76" s="67"/>
      <c r="FA76" s="67"/>
      <c r="FB76" s="67"/>
      <c r="FC76" s="67"/>
      <c r="FD76" s="67"/>
      <c r="FE76" s="67"/>
      <c r="FF76" s="67"/>
      <c r="FG76" s="67"/>
      <c r="FH76" s="67"/>
      <c r="FI76" s="67"/>
      <c r="FJ76" s="67"/>
      <c r="FK76" s="67"/>
      <c r="FL76" s="67"/>
      <c r="FM76" s="67"/>
      <c r="FN76" s="67"/>
      <c r="FO76" s="67"/>
      <c r="FP76" s="67"/>
      <c r="FQ76" s="67"/>
      <c r="FR76" s="67"/>
      <c r="FS76" s="67"/>
      <c r="FT76" s="67"/>
      <c r="FU76" s="67"/>
      <c r="FV76" s="67"/>
      <c r="FW76" s="67"/>
      <c r="FX76" s="67"/>
      <c r="FY76" s="67"/>
      <c r="FZ76" s="67"/>
      <c r="GA76" s="67"/>
      <c r="GB76" s="67"/>
      <c r="GC76" s="67"/>
      <c r="GD76" s="67"/>
      <c r="GE76" s="67"/>
      <c r="GF76" s="67"/>
      <c r="GG76" s="67"/>
      <c r="GH76" s="67"/>
      <c r="GI76" s="67"/>
      <c r="GJ76" s="67"/>
      <c r="GK76" s="67"/>
      <c r="GL76" s="67"/>
      <c r="GM76" s="67"/>
      <c r="GN76" s="67"/>
      <c r="GO76" s="67"/>
      <c r="GP76" s="67"/>
      <c r="GQ76" s="67"/>
      <c r="GR76" s="67"/>
      <c r="GS76" s="67"/>
      <c r="GT76" s="67"/>
      <c r="GU76" s="67"/>
      <c r="GV76" s="67"/>
      <c r="GW76" s="67"/>
      <c r="GX76" s="67"/>
      <c r="GY76" s="67"/>
      <c r="GZ76" s="67"/>
      <c r="HA76" s="67"/>
      <c r="HB76" s="67"/>
      <c r="HC76" s="67"/>
      <c r="HD76" s="67"/>
      <c r="HE76" s="67"/>
      <c r="HF76" s="67"/>
      <c r="HG76" s="67"/>
      <c r="HH76" s="67"/>
      <c r="HI76" s="67"/>
      <c r="HJ76" s="67"/>
      <c r="HK76" s="67"/>
      <c r="HL76" s="67"/>
      <c r="HM76" s="67"/>
      <c r="HN76" s="67"/>
      <c r="HO76" s="67"/>
      <c r="HP76" s="67"/>
      <c r="HQ76" s="67"/>
      <c r="HR76" s="67"/>
      <c r="HS76" s="67"/>
      <c r="HT76" s="67"/>
      <c r="HU76" s="67"/>
      <c r="HV76" s="67"/>
      <c r="HW76" s="67"/>
      <c r="HX76" s="67"/>
      <c r="HY76" s="67"/>
      <c r="HZ76" s="67"/>
      <c r="IA76" s="67"/>
      <c r="IB76" s="67"/>
      <c r="IC76" s="67"/>
      <c r="ID76" s="67"/>
      <c r="IE76" s="67"/>
      <c r="IF76" s="67"/>
      <c r="IG76" s="67"/>
      <c r="IH76" s="67"/>
      <c r="II76" s="67"/>
      <c r="IJ76" s="67"/>
      <c r="IK76" s="67"/>
      <c r="IL76" s="67"/>
      <c r="IM76" s="67"/>
      <c r="IN76" s="67"/>
      <c r="IO76" s="67"/>
      <c r="IP76" s="67"/>
      <c r="IQ76" s="67"/>
      <c r="IR76" s="67"/>
      <c r="IS76" s="67"/>
      <c r="IT76" s="67"/>
      <c r="IU76" s="67"/>
      <c r="IV76" s="67"/>
      <c r="IW76" s="67"/>
    </row>
    <row r="77" spans="1:257" s="4" customFormat="1" ht="12.75" hidden="1" customHeight="1" x14ac:dyDescent="0.2">
      <c r="A77" s="235"/>
      <c r="B77" s="238"/>
      <c r="C77" s="248"/>
      <c r="D77" s="183" t="s">
        <v>13</v>
      </c>
      <c r="E77" s="81"/>
      <c r="F77" s="77"/>
      <c r="G77" s="77"/>
      <c r="H77" s="173"/>
      <c r="I77" s="77"/>
      <c r="J77" s="77"/>
      <c r="K77" s="177"/>
      <c r="L77" s="77"/>
      <c r="M77" s="77"/>
      <c r="N77" s="235"/>
      <c r="Z77" s="104"/>
      <c r="AA77" s="232"/>
      <c r="AB77" s="232"/>
      <c r="AC77" s="232"/>
      <c r="AD77" s="232"/>
      <c r="AE77" s="235"/>
      <c r="AF77" s="232"/>
      <c r="AG77" s="114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7"/>
      <c r="DW77" s="67"/>
      <c r="DX77" s="67"/>
      <c r="DY77" s="67"/>
      <c r="DZ77" s="67"/>
      <c r="EA77" s="67"/>
      <c r="EB77" s="67"/>
      <c r="EC77" s="67"/>
      <c r="ED77" s="67"/>
      <c r="EE77" s="67"/>
      <c r="EF77" s="67"/>
      <c r="EG77" s="67"/>
      <c r="EH77" s="67"/>
      <c r="EI77" s="67"/>
      <c r="EJ77" s="67"/>
      <c r="EK77" s="67"/>
      <c r="EL77" s="67"/>
      <c r="EM77" s="67"/>
      <c r="EN77" s="67"/>
      <c r="EO77" s="67"/>
      <c r="EP77" s="67"/>
      <c r="EQ77" s="67"/>
      <c r="ER77" s="67"/>
      <c r="ES77" s="67"/>
      <c r="ET77" s="67"/>
      <c r="EU77" s="67"/>
      <c r="EV77" s="67"/>
      <c r="EW77" s="67"/>
      <c r="EX77" s="67"/>
      <c r="EY77" s="67"/>
      <c r="EZ77" s="67"/>
      <c r="FA77" s="67"/>
      <c r="FB77" s="67"/>
      <c r="FC77" s="67"/>
      <c r="FD77" s="67"/>
      <c r="FE77" s="67"/>
      <c r="FF77" s="67"/>
      <c r="FG77" s="67"/>
      <c r="FH77" s="67"/>
      <c r="FI77" s="67"/>
      <c r="FJ77" s="67"/>
      <c r="FK77" s="67"/>
      <c r="FL77" s="67"/>
      <c r="FM77" s="67"/>
      <c r="FN77" s="67"/>
      <c r="FO77" s="67"/>
      <c r="FP77" s="67"/>
      <c r="FQ77" s="67"/>
      <c r="FR77" s="67"/>
      <c r="FS77" s="67"/>
      <c r="FT77" s="67"/>
      <c r="FU77" s="67"/>
      <c r="FV77" s="67"/>
      <c r="FW77" s="67"/>
      <c r="FX77" s="67"/>
      <c r="FY77" s="67"/>
      <c r="FZ77" s="67"/>
      <c r="GA77" s="67"/>
      <c r="GB77" s="67"/>
      <c r="GC77" s="67"/>
      <c r="GD77" s="67"/>
      <c r="GE77" s="67"/>
      <c r="GF77" s="67"/>
      <c r="GG77" s="67"/>
      <c r="GH77" s="67"/>
      <c r="GI77" s="67"/>
      <c r="GJ77" s="67"/>
      <c r="GK77" s="67"/>
      <c r="GL77" s="67"/>
      <c r="GM77" s="67"/>
      <c r="GN77" s="67"/>
      <c r="GO77" s="67"/>
      <c r="GP77" s="67"/>
      <c r="GQ77" s="67"/>
      <c r="GR77" s="67"/>
      <c r="GS77" s="67"/>
      <c r="GT77" s="67"/>
      <c r="GU77" s="67"/>
      <c r="GV77" s="67"/>
      <c r="GW77" s="67"/>
      <c r="GX77" s="67"/>
      <c r="GY77" s="67"/>
      <c r="GZ77" s="67"/>
      <c r="HA77" s="67"/>
      <c r="HB77" s="67"/>
      <c r="HC77" s="67"/>
      <c r="HD77" s="67"/>
      <c r="HE77" s="67"/>
      <c r="HF77" s="67"/>
      <c r="HG77" s="67"/>
      <c r="HH77" s="67"/>
      <c r="HI77" s="67"/>
      <c r="HJ77" s="67"/>
      <c r="HK77" s="67"/>
      <c r="HL77" s="67"/>
      <c r="HM77" s="67"/>
      <c r="HN77" s="67"/>
      <c r="HO77" s="67"/>
      <c r="HP77" s="67"/>
      <c r="HQ77" s="67"/>
      <c r="HR77" s="67"/>
      <c r="HS77" s="67"/>
      <c r="HT77" s="67"/>
      <c r="HU77" s="67"/>
      <c r="HV77" s="67"/>
      <c r="HW77" s="67"/>
      <c r="HX77" s="67"/>
      <c r="HY77" s="67"/>
      <c r="HZ77" s="67"/>
      <c r="IA77" s="67"/>
      <c r="IB77" s="67"/>
      <c r="IC77" s="67"/>
      <c r="ID77" s="67"/>
      <c r="IE77" s="67"/>
      <c r="IF77" s="67"/>
      <c r="IG77" s="67"/>
      <c r="IH77" s="67"/>
      <c r="II77" s="67"/>
      <c r="IJ77" s="67"/>
      <c r="IK77" s="67"/>
      <c r="IL77" s="67"/>
      <c r="IM77" s="67"/>
      <c r="IN77" s="67"/>
      <c r="IO77" s="67"/>
      <c r="IP77" s="67"/>
      <c r="IQ77" s="67"/>
      <c r="IR77" s="67"/>
      <c r="IS77" s="67"/>
      <c r="IT77" s="67"/>
      <c r="IU77" s="67"/>
      <c r="IV77" s="67"/>
      <c r="IW77" s="67"/>
    </row>
    <row r="78" spans="1:257" s="4" customFormat="1" ht="12.75" hidden="1" customHeight="1" x14ac:dyDescent="0.2">
      <c r="A78" s="236"/>
      <c r="B78" s="239"/>
      <c r="C78" s="249"/>
      <c r="D78" s="183" t="s">
        <v>41</v>
      </c>
      <c r="E78" s="82"/>
      <c r="F78" s="78"/>
      <c r="G78" s="78"/>
      <c r="H78" s="174"/>
      <c r="I78" s="78"/>
      <c r="J78" s="78"/>
      <c r="K78" s="178"/>
      <c r="L78" s="78"/>
      <c r="M78" s="78"/>
      <c r="N78" s="236"/>
      <c r="Z78" s="104"/>
      <c r="AA78" s="233"/>
      <c r="AB78" s="233"/>
      <c r="AC78" s="233"/>
      <c r="AD78" s="233"/>
      <c r="AE78" s="236"/>
      <c r="AF78" s="233"/>
      <c r="AG78" s="114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 s="67"/>
      <c r="GL78" s="67"/>
      <c r="GM78" s="67"/>
      <c r="GN78" s="67"/>
      <c r="GO78" s="67"/>
      <c r="GP78" s="67"/>
      <c r="GQ78" s="67"/>
      <c r="GR78" s="67"/>
      <c r="GS78" s="67"/>
      <c r="GT78" s="67"/>
      <c r="GU78" s="67"/>
      <c r="GV78" s="67"/>
      <c r="GW78" s="67"/>
      <c r="GX78" s="67"/>
      <c r="GY78" s="67"/>
      <c r="GZ78" s="67"/>
      <c r="HA78" s="67"/>
      <c r="HB78" s="67"/>
      <c r="HC78" s="67"/>
      <c r="HD78" s="67"/>
      <c r="HE78" s="67"/>
      <c r="HF78" s="67"/>
      <c r="HG78" s="67"/>
      <c r="HH78" s="67"/>
      <c r="HI78" s="67"/>
      <c r="HJ78" s="67"/>
      <c r="HK78" s="67"/>
      <c r="HL78" s="67"/>
      <c r="HM78" s="67"/>
      <c r="HN78" s="67"/>
      <c r="HO78" s="67"/>
      <c r="HP78" s="67"/>
      <c r="HQ78" s="67"/>
      <c r="HR78" s="67"/>
      <c r="HS78" s="67"/>
      <c r="HT78" s="67"/>
      <c r="HU78" s="67"/>
      <c r="HV78" s="67"/>
      <c r="HW78" s="67"/>
      <c r="HX78" s="67"/>
      <c r="HY78" s="67"/>
      <c r="HZ78" s="67"/>
      <c r="IA78" s="67"/>
      <c r="IB78" s="67"/>
      <c r="IC78" s="67"/>
      <c r="ID78" s="67"/>
      <c r="IE78" s="67"/>
      <c r="IF78" s="67"/>
      <c r="IG78" s="67"/>
      <c r="IH78" s="67"/>
      <c r="II78" s="67"/>
      <c r="IJ78" s="67"/>
      <c r="IK78" s="67"/>
      <c r="IL78" s="67"/>
      <c r="IM78" s="67"/>
      <c r="IN78" s="67"/>
      <c r="IO78" s="67"/>
      <c r="IP78" s="67"/>
      <c r="IQ78" s="67"/>
      <c r="IR78" s="67"/>
      <c r="IS78" s="67"/>
      <c r="IT78" s="67"/>
      <c r="IU78" s="67"/>
      <c r="IV78" s="67"/>
      <c r="IW78" s="67"/>
    </row>
    <row r="79" spans="1:257" s="4" customFormat="1" ht="12.75" hidden="1" customHeight="1" x14ac:dyDescent="0.2">
      <c r="A79" s="234"/>
      <c r="B79" s="237"/>
      <c r="C79" s="240" t="s">
        <v>1</v>
      </c>
      <c r="D79" s="240"/>
      <c r="E79" s="80"/>
      <c r="F79" s="76"/>
      <c r="G79" s="76"/>
      <c r="H79" s="175"/>
      <c r="I79" s="76"/>
      <c r="J79" s="76"/>
      <c r="K79" s="179"/>
      <c r="L79" s="76"/>
      <c r="M79" s="76"/>
      <c r="N79" s="234"/>
      <c r="Z79" s="104"/>
      <c r="AA79" s="231" t="str">
        <f t="shared" ref="AA79" si="54">B79&amp;" - "&amp;A79&amp;" "&amp;C79</f>
        <v xml:space="preserve"> -  PFDs</v>
      </c>
      <c r="AB79" s="231" t="str">
        <f t="shared" ref="AB79" si="55">B79&amp;" - "&amp;A79&amp;" "&amp;C80</f>
        <v xml:space="preserve"> -  P&amp;IDs</v>
      </c>
      <c r="AC79" s="231" t="s">
        <v>42</v>
      </c>
      <c r="AD79" s="231" t="s">
        <v>43</v>
      </c>
      <c r="AE79" s="234"/>
      <c r="AF79" s="231" t="str">
        <f t="shared" ref="AF79" si="56">IF(ISBLANK(B79),"",B79)</f>
        <v/>
      </c>
      <c r="AG79" s="114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A79" s="67"/>
      <c r="DB79" s="67"/>
      <c r="DC79" s="67"/>
      <c r="DD79" s="67"/>
      <c r="DE79" s="67"/>
      <c r="DF79" s="67"/>
      <c r="DG79" s="67"/>
      <c r="DH79" s="67"/>
      <c r="DI79" s="67"/>
      <c r="DJ79" s="67"/>
      <c r="DK79" s="67"/>
      <c r="DL79" s="67"/>
      <c r="DM79" s="67"/>
      <c r="DN79" s="67"/>
      <c r="DO79" s="67"/>
      <c r="DP79" s="67"/>
      <c r="DQ79" s="67"/>
      <c r="DR79" s="67"/>
      <c r="DS79" s="67"/>
      <c r="DT79" s="67"/>
      <c r="DU79" s="67"/>
      <c r="DV79" s="67"/>
      <c r="DW79" s="67"/>
      <c r="DX79" s="67"/>
      <c r="DY79" s="67"/>
      <c r="DZ79" s="67"/>
      <c r="EA79" s="67"/>
      <c r="EB79" s="67"/>
      <c r="EC79" s="67"/>
      <c r="ED79" s="67"/>
      <c r="EE79" s="67"/>
      <c r="EF79" s="67"/>
      <c r="EG79" s="67"/>
      <c r="EH79" s="67"/>
      <c r="EI79" s="67"/>
      <c r="EJ79" s="67"/>
      <c r="EK79" s="67"/>
      <c r="EL79" s="67"/>
      <c r="EM79" s="67"/>
      <c r="EN79" s="67"/>
      <c r="EO79" s="67"/>
      <c r="EP79" s="67"/>
      <c r="EQ79" s="67"/>
      <c r="ER79" s="67"/>
      <c r="ES79" s="67"/>
      <c r="ET79" s="67"/>
      <c r="EU79" s="67"/>
      <c r="EV79" s="67"/>
      <c r="EW79" s="67"/>
      <c r="EX79" s="67"/>
      <c r="EY79" s="67"/>
      <c r="EZ79" s="67"/>
      <c r="FA79" s="67"/>
      <c r="FB79" s="67"/>
      <c r="FC79" s="67"/>
      <c r="FD79" s="67"/>
      <c r="FE79" s="67"/>
      <c r="FF79" s="67"/>
      <c r="FG79" s="67"/>
      <c r="FH79" s="67"/>
      <c r="FI79" s="67"/>
      <c r="FJ79" s="67"/>
      <c r="FK79" s="67"/>
      <c r="FL79" s="67"/>
      <c r="FM79" s="67"/>
      <c r="FN79" s="67"/>
      <c r="FO79" s="67"/>
      <c r="FP79" s="67"/>
      <c r="FQ79" s="67"/>
      <c r="FR79" s="67"/>
      <c r="FS79" s="67"/>
      <c r="FT79" s="67"/>
      <c r="FU79" s="67"/>
      <c r="FV79" s="67"/>
      <c r="FW79" s="67"/>
      <c r="FX79" s="67"/>
      <c r="FY79" s="67"/>
      <c r="FZ79" s="67"/>
      <c r="GA79" s="67"/>
      <c r="GB79" s="67"/>
      <c r="GC79" s="67"/>
      <c r="GD79" s="67"/>
      <c r="GE79" s="67"/>
      <c r="GF79" s="67"/>
      <c r="GG79" s="67"/>
      <c r="GH79" s="67"/>
      <c r="GI79" s="67"/>
      <c r="GJ79" s="67"/>
      <c r="GK79" s="67"/>
      <c r="GL79" s="67"/>
      <c r="GM79" s="67"/>
      <c r="GN79" s="67"/>
      <c r="GO79" s="67"/>
      <c r="GP79" s="67"/>
      <c r="GQ79" s="67"/>
      <c r="GR79" s="67"/>
      <c r="GS79" s="67"/>
      <c r="GT79" s="67"/>
      <c r="GU79" s="67"/>
      <c r="GV79" s="67"/>
      <c r="GW79" s="67"/>
      <c r="GX79" s="67"/>
      <c r="GY79" s="67"/>
      <c r="GZ79" s="67"/>
      <c r="HA79" s="67"/>
      <c r="HB79" s="67"/>
      <c r="HC79" s="67"/>
      <c r="HD79" s="67"/>
      <c r="HE79" s="67"/>
      <c r="HF79" s="67"/>
      <c r="HG79" s="67"/>
      <c r="HH79" s="67"/>
      <c r="HI79" s="67"/>
      <c r="HJ79" s="67"/>
      <c r="HK79" s="67"/>
      <c r="HL79" s="67"/>
      <c r="HM79" s="67"/>
      <c r="HN79" s="67"/>
      <c r="HO79" s="67"/>
      <c r="HP79" s="67"/>
      <c r="HQ79" s="67"/>
      <c r="HR79" s="67"/>
      <c r="HS79" s="67"/>
      <c r="HT79" s="67"/>
      <c r="HU79" s="67"/>
      <c r="HV79" s="67"/>
      <c r="HW79" s="67"/>
      <c r="HX79" s="67"/>
      <c r="HY79" s="67"/>
      <c r="HZ79" s="67"/>
      <c r="IA79" s="67"/>
      <c r="IB79" s="67"/>
      <c r="IC79" s="67"/>
      <c r="ID79" s="67"/>
      <c r="IE79" s="67"/>
      <c r="IF79" s="67"/>
      <c r="IG79" s="67"/>
      <c r="IH79" s="67"/>
      <c r="II79" s="67"/>
      <c r="IJ79" s="67"/>
      <c r="IK79" s="67"/>
      <c r="IL79" s="67"/>
      <c r="IM79" s="67"/>
      <c r="IN79" s="67"/>
      <c r="IO79" s="67"/>
      <c r="IP79" s="67"/>
      <c r="IQ79" s="67"/>
      <c r="IR79" s="67"/>
      <c r="IS79" s="67"/>
      <c r="IT79" s="67"/>
      <c r="IU79" s="67"/>
      <c r="IV79" s="67"/>
      <c r="IW79" s="67"/>
    </row>
    <row r="80" spans="1:257" s="4" customFormat="1" ht="12.75" hidden="1" customHeight="1" x14ac:dyDescent="0.2">
      <c r="A80" s="235"/>
      <c r="B80" s="238"/>
      <c r="C80" s="247" t="s">
        <v>0</v>
      </c>
      <c r="D80" s="183" t="s">
        <v>12</v>
      </c>
      <c r="E80" s="81"/>
      <c r="F80" s="77"/>
      <c r="G80" s="77"/>
      <c r="H80" s="173"/>
      <c r="I80" s="77"/>
      <c r="J80" s="77"/>
      <c r="K80" s="177"/>
      <c r="L80" s="77"/>
      <c r="M80" s="77"/>
      <c r="N80" s="235"/>
      <c r="Z80" s="104"/>
      <c r="AA80" s="232"/>
      <c r="AB80" s="232"/>
      <c r="AC80" s="232"/>
      <c r="AD80" s="232"/>
      <c r="AE80" s="235"/>
      <c r="AF80" s="232"/>
      <c r="AG80" s="114"/>
      <c r="AH80" s="67"/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  <c r="BI80" s="67"/>
      <c r="BJ80" s="67"/>
      <c r="BK80" s="67"/>
      <c r="BL80" s="6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A80" s="67"/>
      <c r="CB80" s="67"/>
      <c r="CC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  <c r="CR80" s="67"/>
      <c r="CS80" s="67"/>
      <c r="CT80" s="67"/>
      <c r="CU80" s="67"/>
      <c r="CV80" s="67"/>
      <c r="CW80" s="67"/>
      <c r="CX80" s="67"/>
      <c r="CY80" s="67"/>
      <c r="CZ80" s="67"/>
      <c r="DA80" s="67"/>
      <c r="DB80" s="67"/>
      <c r="DC80" s="67"/>
      <c r="DD80" s="67"/>
      <c r="DE80" s="67"/>
      <c r="DF80" s="67"/>
      <c r="DG80" s="67"/>
      <c r="DH80" s="67"/>
      <c r="DI80" s="67"/>
      <c r="DJ80" s="67"/>
      <c r="DK80" s="67"/>
      <c r="DL80" s="67"/>
      <c r="DM80" s="67"/>
      <c r="DN80" s="67"/>
      <c r="DO80" s="67"/>
      <c r="DP80" s="67"/>
      <c r="DQ80" s="67"/>
      <c r="DR80" s="67"/>
      <c r="DS80" s="67"/>
      <c r="DT80" s="67"/>
      <c r="DU80" s="67"/>
      <c r="DV80" s="67"/>
      <c r="DW80" s="67"/>
      <c r="DX80" s="67"/>
      <c r="DY80" s="67"/>
      <c r="DZ80" s="67"/>
      <c r="EA80" s="67"/>
      <c r="EB80" s="67"/>
      <c r="EC80" s="67"/>
      <c r="ED80" s="67"/>
      <c r="EE80" s="67"/>
      <c r="EF80" s="67"/>
      <c r="EG80" s="67"/>
      <c r="EH80" s="67"/>
      <c r="EI80" s="67"/>
      <c r="EJ80" s="67"/>
      <c r="EK80" s="67"/>
      <c r="EL80" s="67"/>
      <c r="EM80" s="67"/>
      <c r="EN80" s="67"/>
      <c r="EO80" s="67"/>
      <c r="EP80" s="67"/>
      <c r="EQ80" s="67"/>
      <c r="ER80" s="67"/>
      <c r="ES80" s="67"/>
      <c r="ET80" s="67"/>
      <c r="EU80" s="67"/>
      <c r="EV80" s="67"/>
      <c r="EW80" s="67"/>
      <c r="EX80" s="67"/>
      <c r="EY80" s="67"/>
      <c r="EZ80" s="67"/>
      <c r="FA80" s="67"/>
      <c r="FB80" s="67"/>
      <c r="FC80" s="67"/>
      <c r="FD80" s="67"/>
      <c r="FE80" s="67"/>
      <c r="FF80" s="67"/>
      <c r="FG80" s="67"/>
      <c r="FH80" s="67"/>
      <c r="FI80" s="67"/>
      <c r="FJ80" s="67"/>
      <c r="FK80" s="67"/>
      <c r="FL80" s="67"/>
      <c r="FM80" s="67"/>
      <c r="FN80" s="67"/>
      <c r="FO80" s="67"/>
      <c r="FP80" s="67"/>
      <c r="FQ80" s="67"/>
      <c r="FR80" s="67"/>
      <c r="FS80" s="67"/>
      <c r="FT80" s="67"/>
      <c r="FU80" s="67"/>
      <c r="FV80" s="67"/>
      <c r="FW80" s="67"/>
      <c r="FX80" s="67"/>
      <c r="FY80" s="67"/>
      <c r="FZ80" s="67"/>
      <c r="GA80" s="67"/>
      <c r="GB80" s="67"/>
      <c r="GC80" s="67"/>
      <c r="GD80" s="67"/>
      <c r="GE80" s="67"/>
      <c r="GF80" s="67"/>
      <c r="GG80" s="67"/>
      <c r="GH80" s="67"/>
      <c r="GI80" s="67"/>
      <c r="GJ80" s="67"/>
      <c r="GK80" s="67"/>
      <c r="GL80" s="67"/>
      <c r="GM80" s="67"/>
      <c r="GN80" s="67"/>
      <c r="GO80" s="67"/>
      <c r="GP80" s="67"/>
      <c r="GQ80" s="67"/>
      <c r="GR80" s="67"/>
      <c r="GS80" s="67"/>
      <c r="GT80" s="67"/>
      <c r="GU80" s="67"/>
      <c r="GV80" s="67"/>
      <c r="GW80" s="67"/>
      <c r="GX80" s="67"/>
      <c r="GY80" s="67"/>
      <c r="GZ80" s="67"/>
      <c r="HA80" s="67"/>
      <c r="HB80" s="67"/>
      <c r="HC80" s="67"/>
      <c r="HD80" s="67"/>
      <c r="HE80" s="67"/>
      <c r="HF80" s="67"/>
      <c r="HG80" s="67"/>
      <c r="HH80" s="67"/>
      <c r="HI80" s="67"/>
      <c r="HJ80" s="67"/>
      <c r="HK80" s="67"/>
      <c r="HL80" s="67"/>
      <c r="HM80" s="67"/>
      <c r="HN80" s="67"/>
      <c r="HO80" s="67"/>
      <c r="HP80" s="67"/>
      <c r="HQ80" s="67"/>
      <c r="HR80" s="67"/>
      <c r="HS80" s="67"/>
      <c r="HT80" s="67"/>
      <c r="HU80" s="67"/>
      <c r="HV80" s="67"/>
      <c r="HW80" s="67"/>
      <c r="HX80" s="67"/>
      <c r="HY80" s="67"/>
      <c r="HZ80" s="67"/>
      <c r="IA80" s="67"/>
      <c r="IB80" s="67"/>
      <c r="IC80" s="67"/>
      <c r="ID80" s="67"/>
      <c r="IE80" s="67"/>
      <c r="IF80" s="67"/>
      <c r="IG80" s="67"/>
      <c r="IH80" s="67"/>
      <c r="II80" s="67"/>
      <c r="IJ80" s="67"/>
      <c r="IK80" s="67"/>
      <c r="IL80" s="67"/>
      <c r="IM80" s="67"/>
      <c r="IN80" s="67"/>
      <c r="IO80" s="67"/>
      <c r="IP80" s="67"/>
      <c r="IQ80" s="67"/>
      <c r="IR80" s="67"/>
      <c r="IS80" s="67"/>
      <c r="IT80" s="67"/>
      <c r="IU80" s="67"/>
      <c r="IV80" s="67"/>
      <c r="IW80" s="67"/>
    </row>
    <row r="81" spans="1:257" s="4" customFormat="1" ht="12.75" hidden="1" customHeight="1" x14ac:dyDescent="0.2">
      <c r="A81" s="235"/>
      <c r="B81" s="238"/>
      <c r="C81" s="248"/>
      <c r="D81" s="183" t="s">
        <v>13</v>
      </c>
      <c r="E81" s="81"/>
      <c r="F81" s="77"/>
      <c r="G81" s="77"/>
      <c r="H81" s="173"/>
      <c r="I81" s="77"/>
      <c r="J81" s="77"/>
      <c r="K81" s="177"/>
      <c r="L81" s="77"/>
      <c r="M81" s="77"/>
      <c r="N81" s="235"/>
      <c r="Z81" s="104"/>
      <c r="AA81" s="232"/>
      <c r="AB81" s="232"/>
      <c r="AC81" s="232"/>
      <c r="AD81" s="232"/>
      <c r="AE81" s="235"/>
      <c r="AF81" s="232"/>
      <c r="AG81" s="114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  <c r="BI81" s="67"/>
      <c r="BJ81" s="67"/>
      <c r="BK81" s="67"/>
      <c r="BL81" s="6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A81" s="67"/>
      <c r="CB81" s="67"/>
      <c r="CC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  <c r="CR81" s="67"/>
      <c r="CS81" s="67"/>
      <c r="CT81" s="67"/>
      <c r="CU81" s="67"/>
      <c r="CV81" s="67"/>
      <c r="CW81" s="67"/>
      <c r="CX81" s="67"/>
      <c r="CY81" s="67"/>
      <c r="CZ81" s="67"/>
      <c r="DA81" s="67"/>
      <c r="DB81" s="67"/>
      <c r="DC81" s="67"/>
      <c r="DD81" s="67"/>
      <c r="DE81" s="67"/>
      <c r="DF81" s="67"/>
      <c r="DG81" s="67"/>
      <c r="DH81" s="67"/>
      <c r="DI81" s="67"/>
      <c r="DJ81" s="67"/>
      <c r="DK81" s="67"/>
      <c r="DL81" s="67"/>
      <c r="DM81" s="67"/>
      <c r="DN81" s="67"/>
      <c r="DO81" s="67"/>
      <c r="DP81" s="67"/>
      <c r="DQ81" s="67"/>
      <c r="DR81" s="67"/>
      <c r="DS81" s="67"/>
      <c r="DT81" s="67"/>
      <c r="DU81" s="67"/>
      <c r="DV81" s="67"/>
      <c r="DW81" s="67"/>
      <c r="DX81" s="67"/>
      <c r="DY81" s="67"/>
      <c r="DZ81" s="67"/>
      <c r="EA81" s="67"/>
      <c r="EB81" s="67"/>
      <c r="EC81" s="67"/>
      <c r="ED81" s="67"/>
      <c r="EE81" s="67"/>
      <c r="EF81" s="67"/>
      <c r="EG81" s="67"/>
      <c r="EH81" s="67"/>
      <c r="EI81" s="67"/>
      <c r="EJ81" s="67"/>
      <c r="EK81" s="67"/>
      <c r="EL81" s="67"/>
      <c r="EM81" s="67"/>
      <c r="EN81" s="67"/>
      <c r="EO81" s="67"/>
      <c r="EP81" s="67"/>
      <c r="EQ81" s="67"/>
      <c r="ER81" s="67"/>
      <c r="ES81" s="67"/>
      <c r="ET81" s="67"/>
      <c r="EU81" s="67"/>
      <c r="EV81" s="67"/>
      <c r="EW81" s="67"/>
      <c r="EX81" s="67"/>
      <c r="EY81" s="67"/>
      <c r="EZ81" s="67"/>
      <c r="FA81" s="67"/>
      <c r="FB81" s="67"/>
      <c r="FC81" s="67"/>
      <c r="FD81" s="67"/>
      <c r="FE81" s="67"/>
      <c r="FF81" s="67"/>
      <c r="FG81" s="67"/>
      <c r="FH81" s="67"/>
      <c r="FI81" s="67"/>
      <c r="FJ81" s="67"/>
      <c r="FK81" s="67"/>
      <c r="FL81" s="67"/>
      <c r="FM81" s="67"/>
      <c r="FN81" s="67"/>
      <c r="FO81" s="67"/>
      <c r="FP81" s="67"/>
      <c r="FQ81" s="67"/>
      <c r="FR81" s="67"/>
      <c r="FS81" s="67"/>
      <c r="FT81" s="67"/>
      <c r="FU81" s="67"/>
      <c r="FV81" s="67"/>
      <c r="FW81" s="67"/>
      <c r="FX81" s="67"/>
      <c r="FY81" s="67"/>
      <c r="FZ81" s="67"/>
      <c r="GA81" s="67"/>
      <c r="GB81" s="67"/>
      <c r="GC81" s="67"/>
      <c r="GD81" s="67"/>
      <c r="GE81" s="67"/>
      <c r="GF81" s="67"/>
      <c r="GG81" s="67"/>
      <c r="GH81" s="67"/>
      <c r="GI81" s="67"/>
      <c r="GJ81" s="67"/>
      <c r="GK81" s="67"/>
      <c r="GL81" s="67"/>
      <c r="GM81" s="67"/>
      <c r="GN81" s="67"/>
      <c r="GO81" s="67"/>
      <c r="GP81" s="67"/>
      <c r="GQ81" s="67"/>
      <c r="GR81" s="67"/>
      <c r="GS81" s="67"/>
      <c r="GT81" s="67"/>
      <c r="GU81" s="67"/>
      <c r="GV81" s="67"/>
      <c r="GW81" s="67"/>
      <c r="GX81" s="67"/>
      <c r="GY81" s="67"/>
      <c r="GZ81" s="67"/>
      <c r="HA81" s="67"/>
      <c r="HB81" s="67"/>
      <c r="HC81" s="67"/>
      <c r="HD81" s="67"/>
      <c r="HE81" s="67"/>
      <c r="HF81" s="67"/>
      <c r="HG81" s="67"/>
      <c r="HH81" s="67"/>
      <c r="HI81" s="67"/>
      <c r="HJ81" s="67"/>
      <c r="HK81" s="67"/>
      <c r="HL81" s="67"/>
      <c r="HM81" s="67"/>
      <c r="HN81" s="67"/>
      <c r="HO81" s="67"/>
      <c r="HP81" s="67"/>
      <c r="HQ81" s="67"/>
      <c r="HR81" s="67"/>
      <c r="HS81" s="67"/>
      <c r="HT81" s="67"/>
      <c r="HU81" s="67"/>
      <c r="HV81" s="67"/>
      <c r="HW81" s="67"/>
      <c r="HX81" s="67"/>
      <c r="HY81" s="67"/>
      <c r="HZ81" s="67"/>
      <c r="IA81" s="67"/>
      <c r="IB81" s="67"/>
      <c r="IC81" s="67"/>
      <c r="ID81" s="67"/>
      <c r="IE81" s="67"/>
      <c r="IF81" s="67"/>
      <c r="IG81" s="67"/>
      <c r="IH81" s="67"/>
      <c r="II81" s="67"/>
      <c r="IJ81" s="67"/>
      <c r="IK81" s="67"/>
      <c r="IL81" s="67"/>
      <c r="IM81" s="67"/>
      <c r="IN81" s="67"/>
      <c r="IO81" s="67"/>
      <c r="IP81" s="67"/>
      <c r="IQ81" s="67"/>
      <c r="IR81" s="67"/>
      <c r="IS81" s="67"/>
      <c r="IT81" s="67"/>
      <c r="IU81" s="67"/>
      <c r="IV81" s="67"/>
      <c r="IW81" s="67"/>
    </row>
    <row r="82" spans="1:257" s="4" customFormat="1" ht="12.75" hidden="1" customHeight="1" x14ac:dyDescent="0.2">
      <c r="A82" s="236"/>
      <c r="B82" s="239"/>
      <c r="C82" s="249"/>
      <c r="D82" s="183" t="s">
        <v>41</v>
      </c>
      <c r="E82" s="82"/>
      <c r="F82" s="78"/>
      <c r="G82" s="78"/>
      <c r="H82" s="174"/>
      <c r="I82" s="78"/>
      <c r="J82" s="78"/>
      <c r="K82" s="178"/>
      <c r="L82" s="78"/>
      <c r="M82" s="78"/>
      <c r="N82" s="236"/>
      <c r="Z82" s="104"/>
      <c r="AA82" s="233"/>
      <c r="AB82" s="233"/>
      <c r="AC82" s="233"/>
      <c r="AD82" s="233"/>
      <c r="AE82" s="236"/>
      <c r="AF82" s="233"/>
      <c r="AG82" s="114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7"/>
      <c r="CC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  <c r="CR82" s="67"/>
      <c r="CS82" s="67"/>
      <c r="CT82" s="67"/>
      <c r="CU82" s="67"/>
      <c r="CV82" s="67"/>
      <c r="CW82" s="67"/>
      <c r="CX82" s="67"/>
      <c r="CY82" s="67"/>
      <c r="CZ82" s="67"/>
      <c r="DA82" s="67"/>
      <c r="DB82" s="67"/>
      <c r="DC82" s="67"/>
      <c r="DD82" s="67"/>
      <c r="DE82" s="67"/>
      <c r="DF82" s="67"/>
      <c r="DG82" s="67"/>
      <c r="DH82" s="67"/>
      <c r="DI82" s="67"/>
      <c r="DJ82" s="67"/>
      <c r="DK82" s="67"/>
      <c r="DL82" s="67"/>
      <c r="DM82" s="67"/>
      <c r="DN82" s="67"/>
      <c r="DO82" s="67"/>
      <c r="DP82" s="67"/>
      <c r="DQ82" s="67"/>
      <c r="DR82" s="67"/>
      <c r="DS82" s="67"/>
      <c r="DT82" s="67"/>
      <c r="DU82" s="67"/>
      <c r="DV82" s="67"/>
      <c r="DW82" s="67"/>
      <c r="DX82" s="67"/>
      <c r="DY82" s="67"/>
      <c r="DZ82" s="67"/>
      <c r="EA82" s="67"/>
      <c r="EB82" s="67"/>
      <c r="EC82" s="67"/>
      <c r="ED82" s="67"/>
      <c r="EE82" s="67"/>
      <c r="EF82" s="67"/>
      <c r="EG82" s="67"/>
      <c r="EH82" s="67"/>
      <c r="EI82" s="67"/>
      <c r="EJ82" s="67"/>
      <c r="EK82" s="67"/>
      <c r="EL82" s="67"/>
      <c r="EM82" s="67"/>
      <c r="EN82" s="67"/>
      <c r="EO82" s="67"/>
      <c r="EP82" s="67"/>
      <c r="EQ82" s="67"/>
      <c r="ER82" s="67"/>
      <c r="ES82" s="67"/>
      <c r="ET82" s="67"/>
      <c r="EU82" s="67"/>
      <c r="EV82" s="67"/>
      <c r="EW82" s="67"/>
      <c r="EX82" s="67"/>
      <c r="EY82" s="67"/>
      <c r="EZ82" s="67"/>
      <c r="FA82" s="67"/>
      <c r="FB82" s="67"/>
      <c r="FC82" s="67"/>
      <c r="FD82" s="67"/>
      <c r="FE82" s="67"/>
      <c r="FF82" s="67"/>
      <c r="FG82" s="67"/>
      <c r="FH82" s="67"/>
      <c r="FI82" s="67"/>
      <c r="FJ82" s="67"/>
      <c r="FK82" s="67"/>
      <c r="FL82" s="67"/>
      <c r="FM82" s="67"/>
      <c r="FN82" s="67"/>
      <c r="FO82" s="67"/>
      <c r="FP82" s="67"/>
      <c r="FQ82" s="67"/>
      <c r="FR82" s="67"/>
      <c r="FS82" s="67"/>
      <c r="FT82" s="67"/>
      <c r="FU82" s="67"/>
      <c r="FV82" s="67"/>
      <c r="FW82" s="67"/>
      <c r="FX82" s="67"/>
      <c r="FY82" s="67"/>
      <c r="FZ82" s="67"/>
      <c r="GA82" s="67"/>
      <c r="GB82" s="67"/>
      <c r="GC82" s="67"/>
      <c r="GD82" s="67"/>
      <c r="GE82" s="67"/>
      <c r="GF82" s="67"/>
      <c r="GG82" s="67"/>
      <c r="GH82" s="67"/>
      <c r="GI82" s="67"/>
      <c r="GJ82" s="67"/>
      <c r="GK82" s="67"/>
      <c r="GL82" s="67"/>
      <c r="GM82" s="67"/>
      <c r="GN82" s="67"/>
      <c r="GO82" s="67"/>
      <c r="GP82" s="67"/>
      <c r="GQ82" s="67"/>
      <c r="GR82" s="67"/>
      <c r="GS82" s="67"/>
      <c r="GT82" s="67"/>
      <c r="GU82" s="67"/>
      <c r="GV82" s="67"/>
      <c r="GW82" s="67"/>
      <c r="GX82" s="67"/>
      <c r="GY82" s="67"/>
      <c r="GZ82" s="67"/>
      <c r="HA82" s="67"/>
      <c r="HB82" s="67"/>
      <c r="HC82" s="67"/>
      <c r="HD82" s="67"/>
      <c r="HE82" s="67"/>
      <c r="HF82" s="67"/>
      <c r="HG82" s="67"/>
      <c r="HH82" s="67"/>
      <c r="HI82" s="67"/>
      <c r="HJ82" s="67"/>
      <c r="HK82" s="67"/>
      <c r="HL82" s="67"/>
      <c r="HM82" s="67"/>
      <c r="HN82" s="67"/>
      <c r="HO82" s="67"/>
      <c r="HP82" s="67"/>
      <c r="HQ82" s="67"/>
      <c r="HR82" s="67"/>
      <c r="HS82" s="67"/>
      <c r="HT82" s="67"/>
      <c r="HU82" s="67"/>
      <c r="HV82" s="67"/>
      <c r="HW82" s="67"/>
      <c r="HX82" s="67"/>
      <c r="HY82" s="67"/>
      <c r="HZ82" s="67"/>
      <c r="IA82" s="67"/>
      <c r="IB82" s="67"/>
      <c r="IC82" s="67"/>
      <c r="ID82" s="67"/>
      <c r="IE82" s="67"/>
      <c r="IF82" s="67"/>
      <c r="IG82" s="67"/>
      <c r="IH82" s="67"/>
      <c r="II82" s="67"/>
      <c r="IJ82" s="67"/>
      <c r="IK82" s="67"/>
      <c r="IL82" s="67"/>
      <c r="IM82" s="67"/>
      <c r="IN82" s="67"/>
      <c r="IO82" s="67"/>
      <c r="IP82" s="67"/>
      <c r="IQ82" s="67"/>
      <c r="IR82" s="67"/>
      <c r="IS82" s="67"/>
      <c r="IT82" s="67"/>
      <c r="IU82" s="67"/>
      <c r="IV82" s="67"/>
      <c r="IW82" s="67"/>
    </row>
    <row r="83" spans="1:257" s="4" customFormat="1" ht="12.75" hidden="1" customHeight="1" x14ac:dyDescent="0.2">
      <c r="A83" s="234"/>
      <c r="B83" s="237"/>
      <c r="C83" s="240" t="s">
        <v>1</v>
      </c>
      <c r="D83" s="240"/>
      <c r="E83" s="80"/>
      <c r="F83" s="76"/>
      <c r="G83" s="76"/>
      <c r="H83" s="175"/>
      <c r="I83" s="76"/>
      <c r="J83" s="76"/>
      <c r="K83" s="179"/>
      <c r="L83" s="76"/>
      <c r="M83" s="76"/>
      <c r="N83" s="234"/>
      <c r="Z83" s="104"/>
      <c r="AA83" s="231" t="str">
        <f t="shared" ref="AA83" si="57">B83&amp;" - "&amp;A83&amp;" "&amp;C83</f>
        <v xml:space="preserve"> -  PFDs</v>
      </c>
      <c r="AB83" s="231" t="str">
        <f t="shared" ref="AB83" si="58">B83&amp;" - "&amp;A83&amp;" "&amp;C84</f>
        <v xml:space="preserve"> -  P&amp;IDs</v>
      </c>
      <c r="AC83" s="231" t="s">
        <v>42</v>
      </c>
      <c r="AD83" s="231" t="s">
        <v>43</v>
      </c>
      <c r="AE83" s="234"/>
      <c r="AF83" s="231" t="str">
        <f t="shared" ref="AF83" si="59">IF(ISBLANK(B83),"",B83)</f>
        <v/>
      </c>
      <c r="AG83" s="114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  <c r="CR83" s="67"/>
      <c r="CS83" s="67"/>
      <c r="CT83" s="67"/>
      <c r="CU83" s="67"/>
      <c r="CV83" s="67"/>
      <c r="CW83" s="67"/>
      <c r="CX83" s="67"/>
      <c r="CY83" s="67"/>
      <c r="CZ83" s="67"/>
      <c r="DA83" s="67"/>
      <c r="DB83" s="67"/>
      <c r="DC83" s="67"/>
      <c r="DD83" s="67"/>
      <c r="DE83" s="67"/>
      <c r="DF83" s="67"/>
      <c r="DG83" s="67"/>
      <c r="DH83" s="67"/>
      <c r="DI83" s="67"/>
      <c r="DJ83" s="67"/>
      <c r="DK83" s="67"/>
      <c r="DL83" s="67"/>
      <c r="DM83" s="67"/>
      <c r="DN83" s="67"/>
      <c r="DO83" s="67"/>
      <c r="DP83" s="67"/>
      <c r="DQ83" s="67"/>
      <c r="DR83" s="67"/>
      <c r="DS83" s="67"/>
      <c r="DT83" s="67"/>
      <c r="DU83" s="67"/>
      <c r="DV83" s="67"/>
      <c r="DW83" s="67"/>
      <c r="DX83" s="67"/>
      <c r="DY83" s="67"/>
      <c r="DZ83" s="67"/>
      <c r="EA83" s="67"/>
      <c r="EB83" s="67"/>
      <c r="EC83" s="67"/>
      <c r="ED83" s="67"/>
      <c r="EE83" s="67"/>
      <c r="EF83" s="67"/>
      <c r="EG83" s="67"/>
      <c r="EH83" s="67"/>
      <c r="EI83" s="67"/>
      <c r="EJ83" s="67"/>
      <c r="EK83" s="67"/>
      <c r="EL83" s="67"/>
      <c r="EM83" s="67"/>
      <c r="EN83" s="67"/>
      <c r="EO83" s="67"/>
      <c r="EP83" s="67"/>
      <c r="EQ83" s="67"/>
      <c r="ER83" s="67"/>
      <c r="ES83" s="67"/>
      <c r="ET83" s="67"/>
      <c r="EU83" s="67"/>
      <c r="EV83" s="67"/>
      <c r="EW83" s="67"/>
      <c r="EX83" s="67"/>
      <c r="EY83" s="67"/>
      <c r="EZ83" s="67"/>
      <c r="FA83" s="67"/>
      <c r="FB83" s="67"/>
      <c r="FC83" s="67"/>
      <c r="FD83" s="67"/>
      <c r="FE83" s="67"/>
      <c r="FF83" s="67"/>
      <c r="FG83" s="67"/>
      <c r="FH83" s="67"/>
      <c r="FI83" s="67"/>
      <c r="FJ83" s="67"/>
      <c r="FK83" s="67"/>
      <c r="FL83" s="67"/>
      <c r="FM83" s="67"/>
      <c r="FN83" s="67"/>
      <c r="FO83" s="67"/>
      <c r="FP83" s="67"/>
      <c r="FQ83" s="67"/>
      <c r="FR83" s="67"/>
      <c r="FS83" s="67"/>
      <c r="FT83" s="67"/>
      <c r="FU83" s="67"/>
      <c r="FV83" s="67"/>
      <c r="FW83" s="67"/>
      <c r="FX83" s="67"/>
      <c r="FY83" s="67"/>
      <c r="FZ83" s="67"/>
      <c r="GA83" s="67"/>
      <c r="GB83" s="67"/>
      <c r="GC83" s="67"/>
      <c r="GD83" s="67"/>
      <c r="GE83" s="67"/>
      <c r="GF83" s="67"/>
      <c r="GG83" s="67"/>
      <c r="GH83" s="67"/>
      <c r="GI83" s="67"/>
      <c r="GJ83" s="67"/>
      <c r="GK83" s="67"/>
      <c r="GL83" s="67"/>
      <c r="GM83" s="67"/>
      <c r="GN83" s="67"/>
      <c r="GO83" s="67"/>
      <c r="GP83" s="67"/>
      <c r="GQ83" s="67"/>
      <c r="GR83" s="67"/>
      <c r="GS83" s="67"/>
      <c r="GT83" s="67"/>
      <c r="GU83" s="67"/>
      <c r="GV83" s="67"/>
      <c r="GW83" s="67"/>
      <c r="GX83" s="67"/>
      <c r="GY83" s="67"/>
      <c r="GZ83" s="67"/>
      <c r="HA83" s="67"/>
      <c r="HB83" s="67"/>
      <c r="HC83" s="67"/>
      <c r="HD83" s="67"/>
      <c r="HE83" s="67"/>
      <c r="HF83" s="67"/>
      <c r="HG83" s="67"/>
      <c r="HH83" s="67"/>
      <c r="HI83" s="67"/>
      <c r="HJ83" s="67"/>
      <c r="HK83" s="67"/>
      <c r="HL83" s="67"/>
      <c r="HM83" s="67"/>
      <c r="HN83" s="67"/>
      <c r="HO83" s="67"/>
      <c r="HP83" s="67"/>
      <c r="HQ83" s="67"/>
      <c r="HR83" s="67"/>
      <c r="HS83" s="67"/>
      <c r="HT83" s="67"/>
      <c r="HU83" s="67"/>
      <c r="HV83" s="67"/>
      <c r="HW83" s="67"/>
      <c r="HX83" s="67"/>
      <c r="HY83" s="67"/>
      <c r="HZ83" s="67"/>
      <c r="IA83" s="67"/>
      <c r="IB83" s="67"/>
      <c r="IC83" s="67"/>
      <c r="ID83" s="67"/>
      <c r="IE83" s="67"/>
      <c r="IF83" s="67"/>
      <c r="IG83" s="67"/>
      <c r="IH83" s="67"/>
      <c r="II83" s="67"/>
      <c r="IJ83" s="67"/>
      <c r="IK83" s="67"/>
      <c r="IL83" s="67"/>
      <c r="IM83" s="67"/>
      <c r="IN83" s="67"/>
      <c r="IO83" s="67"/>
      <c r="IP83" s="67"/>
      <c r="IQ83" s="67"/>
      <c r="IR83" s="67"/>
      <c r="IS83" s="67"/>
      <c r="IT83" s="67"/>
      <c r="IU83" s="67"/>
      <c r="IV83" s="67"/>
      <c r="IW83" s="67"/>
    </row>
    <row r="84" spans="1:257" s="4" customFormat="1" ht="12.75" hidden="1" customHeight="1" x14ac:dyDescent="0.2">
      <c r="A84" s="235"/>
      <c r="B84" s="238"/>
      <c r="C84" s="247" t="s">
        <v>0</v>
      </c>
      <c r="D84" s="183" t="s">
        <v>12</v>
      </c>
      <c r="E84" s="81"/>
      <c r="F84" s="77"/>
      <c r="G84" s="77"/>
      <c r="H84" s="173"/>
      <c r="I84" s="77"/>
      <c r="J84" s="77"/>
      <c r="K84" s="177"/>
      <c r="L84" s="77"/>
      <c r="M84" s="77"/>
      <c r="N84" s="235"/>
      <c r="Z84" s="104"/>
      <c r="AA84" s="232"/>
      <c r="AB84" s="232"/>
      <c r="AC84" s="232"/>
      <c r="AD84" s="232"/>
      <c r="AE84" s="235"/>
      <c r="AF84" s="232"/>
      <c r="AG84" s="114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</row>
    <row r="85" spans="1:257" s="4" customFormat="1" ht="12.75" hidden="1" customHeight="1" x14ac:dyDescent="0.2">
      <c r="A85" s="235"/>
      <c r="B85" s="238"/>
      <c r="C85" s="248"/>
      <c r="D85" s="183" t="s">
        <v>13</v>
      </c>
      <c r="E85" s="81"/>
      <c r="F85" s="77"/>
      <c r="G85" s="77"/>
      <c r="H85" s="173"/>
      <c r="I85" s="77"/>
      <c r="J85" s="77"/>
      <c r="K85" s="177"/>
      <c r="L85" s="77"/>
      <c r="M85" s="77"/>
      <c r="N85" s="235"/>
      <c r="Z85" s="104"/>
      <c r="AA85" s="232"/>
      <c r="AB85" s="232"/>
      <c r="AC85" s="232"/>
      <c r="AD85" s="232"/>
      <c r="AE85" s="235"/>
      <c r="AF85" s="232"/>
      <c r="AG85" s="114"/>
      <c r="AH85" s="67"/>
      <c r="AI85" s="67"/>
      <c r="AJ85" s="67"/>
      <c r="AK85" s="67"/>
      <c r="AL85" s="67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  <c r="BI85" s="67"/>
      <c r="BJ85" s="67"/>
      <c r="BK85" s="67"/>
      <c r="BL85" s="6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A85" s="67"/>
      <c r="CB85" s="67"/>
      <c r="CC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  <c r="CR85" s="67"/>
      <c r="CS85" s="67"/>
      <c r="CT85" s="67"/>
      <c r="CU85" s="67"/>
      <c r="CV85" s="67"/>
      <c r="CW85" s="67"/>
      <c r="CX85" s="67"/>
      <c r="CY85" s="67"/>
      <c r="CZ85" s="67"/>
      <c r="DA85" s="67"/>
      <c r="DB85" s="67"/>
      <c r="DC85" s="67"/>
      <c r="DD85" s="67"/>
      <c r="DE85" s="67"/>
      <c r="DF85" s="67"/>
      <c r="DG85" s="67"/>
      <c r="DH85" s="67"/>
      <c r="DI85" s="67"/>
      <c r="DJ85" s="67"/>
      <c r="DK85" s="67"/>
      <c r="DL85" s="67"/>
      <c r="DM85" s="67"/>
      <c r="DN85" s="67"/>
      <c r="DO85" s="67"/>
      <c r="DP85" s="67"/>
      <c r="DQ85" s="67"/>
      <c r="DR85" s="67"/>
      <c r="DS85" s="67"/>
      <c r="DT85" s="67"/>
      <c r="DU85" s="67"/>
      <c r="DV85" s="67"/>
      <c r="DW85" s="67"/>
      <c r="DX85" s="67"/>
      <c r="DY85" s="67"/>
      <c r="DZ85" s="67"/>
      <c r="EA85" s="67"/>
      <c r="EB85" s="67"/>
      <c r="EC85" s="67"/>
      <c r="ED85" s="67"/>
      <c r="EE85" s="67"/>
      <c r="EF85" s="67"/>
      <c r="EG85" s="67"/>
      <c r="EH85" s="67"/>
      <c r="EI85" s="67"/>
      <c r="EJ85" s="67"/>
      <c r="EK85" s="67"/>
      <c r="EL85" s="67"/>
      <c r="EM85" s="67"/>
      <c r="EN85" s="67"/>
      <c r="EO85" s="67"/>
      <c r="EP85" s="67"/>
      <c r="EQ85" s="67"/>
      <c r="ER85" s="67"/>
      <c r="ES85" s="67"/>
      <c r="ET85" s="67"/>
      <c r="EU85" s="67"/>
      <c r="EV85" s="67"/>
      <c r="EW85" s="67"/>
      <c r="EX85" s="67"/>
      <c r="EY85" s="67"/>
      <c r="EZ85" s="67"/>
      <c r="FA85" s="67"/>
      <c r="FB85" s="67"/>
      <c r="FC85" s="67"/>
      <c r="FD85" s="67"/>
      <c r="FE85" s="67"/>
      <c r="FF85" s="67"/>
      <c r="FG85" s="67"/>
      <c r="FH85" s="67"/>
      <c r="FI85" s="67"/>
      <c r="FJ85" s="67"/>
      <c r="FK85" s="67"/>
      <c r="FL85" s="67"/>
      <c r="FM85" s="67"/>
      <c r="FN85" s="67"/>
      <c r="FO85" s="67"/>
      <c r="FP85" s="67"/>
      <c r="FQ85" s="67"/>
      <c r="FR85" s="67"/>
      <c r="FS85" s="67"/>
      <c r="FT85" s="67"/>
      <c r="FU85" s="67"/>
      <c r="FV85" s="67"/>
      <c r="FW85" s="67"/>
      <c r="FX85" s="67"/>
      <c r="FY85" s="67"/>
      <c r="FZ85" s="67"/>
      <c r="GA85" s="67"/>
      <c r="GB85" s="67"/>
      <c r="GC85" s="67"/>
      <c r="GD85" s="67"/>
      <c r="GE85" s="67"/>
      <c r="GF85" s="67"/>
      <c r="GG85" s="67"/>
      <c r="GH85" s="67"/>
      <c r="GI85" s="67"/>
      <c r="GJ85" s="67"/>
      <c r="GK85" s="67"/>
      <c r="GL85" s="67"/>
      <c r="GM85" s="67"/>
      <c r="GN85" s="67"/>
      <c r="GO85" s="67"/>
      <c r="GP85" s="67"/>
      <c r="GQ85" s="67"/>
      <c r="GR85" s="67"/>
      <c r="GS85" s="67"/>
      <c r="GT85" s="67"/>
      <c r="GU85" s="67"/>
      <c r="GV85" s="67"/>
      <c r="GW85" s="67"/>
      <c r="GX85" s="67"/>
      <c r="GY85" s="67"/>
      <c r="GZ85" s="67"/>
      <c r="HA85" s="67"/>
      <c r="HB85" s="67"/>
      <c r="HC85" s="67"/>
      <c r="HD85" s="67"/>
      <c r="HE85" s="67"/>
      <c r="HF85" s="67"/>
      <c r="HG85" s="67"/>
      <c r="HH85" s="67"/>
      <c r="HI85" s="67"/>
      <c r="HJ85" s="67"/>
      <c r="HK85" s="67"/>
      <c r="HL85" s="67"/>
      <c r="HM85" s="67"/>
      <c r="HN85" s="67"/>
      <c r="HO85" s="67"/>
      <c r="HP85" s="67"/>
      <c r="HQ85" s="67"/>
      <c r="HR85" s="67"/>
      <c r="HS85" s="67"/>
      <c r="HT85" s="67"/>
      <c r="HU85" s="67"/>
      <c r="HV85" s="67"/>
      <c r="HW85" s="67"/>
      <c r="HX85" s="67"/>
      <c r="HY85" s="67"/>
      <c r="HZ85" s="67"/>
      <c r="IA85" s="67"/>
      <c r="IB85" s="67"/>
      <c r="IC85" s="67"/>
      <c r="ID85" s="67"/>
      <c r="IE85" s="67"/>
      <c r="IF85" s="67"/>
      <c r="IG85" s="67"/>
      <c r="IH85" s="67"/>
      <c r="II85" s="67"/>
      <c r="IJ85" s="67"/>
      <c r="IK85" s="67"/>
      <c r="IL85" s="67"/>
      <c r="IM85" s="67"/>
      <c r="IN85" s="67"/>
      <c r="IO85" s="67"/>
      <c r="IP85" s="67"/>
      <c r="IQ85" s="67"/>
      <c r="IR85" s="67"/>
      <c r="IS85" s="67"/>
      <c r="IT85" s="67"/>
      <c r="IU85" s="67"/>
      <c r="IV85" s="67"/>
      <c r="IW85" s="67"/>
    </row>
    <row r="86" spans="1:257" s="4" customFormat="1" ht="12.75" hidden="1" customHeight="1" x14ac:dyDescent="0.2">
      <c r="A86" s="236"/>
      <c r="B86" s="239"/>
      <c r="C86" s="249"/>
      <c r="D86" s="183" t="s">
        <v>41</v>
      </c>
      <c r="E86" s="82"/>
      <c r="F86" s="78"/>
      <c r="G86" s="78"/>
      <c r="H86" s="174"/>
      <c r="I86" s="78"/>
      <c r="J86" s="78"/>
      <c r="K86" s="178"/>
      <c r="L86" s="78"/>
      <c r="M86" s="78"/>
      <c r="N86" s="236"/>
      <c r="Z86" s="104"/>
      <c r="AA86" s="233"/>
      <c r="AB86" s="233"/>
      <c r="AC86" s="233"/>
      <c r="AD86" s="233"/>
      <c r="AE86" s="236"/>
      <c r="AF86" s="233"/>
      <c r="AG86" s="114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  <c r="BI86" s="67"/>
      <c r="BJ86" s="67"/>
      <c r="BK86" s="67"/>
      <c r="BL86" s="6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A86" s="67"/>
      <c r="CB86" s="67"/>
      <c r="CC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  <c r="CR86" s="67"/>
      <c r="CS86" s="67"/>
      <c r="CT86" s="67"/>
      <c r="CU86" s="67"/>
      <c r="CV86" s="67"/>
      <c r="CW86" s="67"/>
      <c r="CX86" s="67"/>
      <c r="CY86" s="67"/>
      <c r="CZ86" s="67"/>
      <c r="DA86" s="67"/>
      <c r="DB86" s="67"/>
      <c r="DC86" s="67"/>
      <c r="DD86" s="67"/>
      <c r="DE86" s="67"/>
      <c r="DF86" s="67"/>
      <c r="DG86" s="67"/>
      <c r="DH86" s="67"/>
      <c r="DI86" s="67"/>
      <c r="DJ86" s="67"/>
      <c r="DK86" s="67"/>
      <c r="DL86" s="67"/>
      <c r="DM86" s="67"/>
      <c r="DN86" s="67"/>
      <c r="DO86" s="67"/>
      <c r="DP86" s="67"/>
      <c r="DQ86" s="67"/>
      <c r="DR86" s="67"/>
      <c r="DS86" s="67"/>
      <c r="DT86" s="67"/>
      <c r="DU86" s="67"/>
      <c r="DV86" s="67"/>
      <c r="DW86" s="67"/>
      <c r="DX86" s="67"/>
      <c r="DY86" s="67"/>
      <c r="DZ86" s="67"/>
      <c r="EA86" s="67"/>
      <c r="EB86" s="67"/>
      <c r="EC86" s="67"/>
      <c r="ED86" s="67"/>
      <c r="EE86" s="67"/>
      <c r="EF86" s="67"/>
      <c r="EG86" s="67"/>
      <c r="EH86" s="67"/>
      <c r="EI86" s="67"/>
      <c r="EJ86" s="67"/>
      <c r="EK86" s="67"/>
      <c r="EL86" s="67"/>
      <c r="EM86" s="67"/>
      <c r="EN86" s="67"/>
      <c r="EO86" s="67"/>
      <c r="EP86" s="67"/>
      <c r="EQ86" s="67"/>
      <c r="ER86" s="67"/>
      <c r="ES86" s="67"/>
      <c r="ET86" s="67"/>
      <c r="EU86" s="67"/>
      <c r="EV86" s="67"/>
      <c r="EW86" s="67"/>
      <c r="EX86" s="67"/>
      <c r="EY86" s="67"/>
      <c r="EZ86" s="67"/>
      <c r="FA86" s="67"/>
      <c r="FB86" s="67"/>
      <c r="FC86" s="67"/>
      <c r="FD86" s="67"/>
      <c r="FE86" s="67"/>
      <c r="FF86" s="67"/>
      <c r="FG86" s="67"/>
      <c r="FH86" s="67"/>
      <c r="FI86" s="67"/>
      <c r="FJ86" s="67"/>
      <c r="FK86" s="67"/>
      <c r="FL86" s="67"/>
      <c r="FM86" s="67"/>
      <c r="FN86" s="67"/>
      <c r="FO86" s="67"/>
      <c r="FP86" s="67"/>
      <c r="FQ86" s="67"/>
      <c r="FR86" s="67"/>
      <c r="FS86" s="67"/>
      <c r="FT86" s="67"/>
      <c r="FU86" s="67"/>
      <c r="FV86" s="67"/>
      <c r="FW86" s="67"/>
      <c r="FX86" s="67"/>
      <c r="FY86" s="67"/>
      <c r="FZ86" s="67"/>
      <c r="GA86" s="67"/>
      <c r="GB86" s="67"/>
      <c r="GC86" s="67"/>
      <c r="GD86" s="67"/>
      <c r="GE86" s="67"/>
      <c r="GF86" s="67"/>
      <c r="GG86" s="67"/>
      <c r="GH86" s="67"/>
      <c r="GI86" s="67"/>
      <c r="GJ86" s="67"/>
      <c r="GK86" s="67"/>
      <c r="GL86" s="67"/>
      <c r="GM86" s="67"/>
      <c r="GN86" s="67"/>
      <c r="GO86" s="67"/>
      <c r="GP86" s="67"/>
      <c r="GQ86" s="67"/>
      <c r="GR86" s="67"/>
      <c r="GS86" s="67"/>
      <c r="GT86" s="67"/>
      <c r="GU86" s="67"/>
      <c r="GV86" s="67"/>
      <c r="GW86" s="67"/>
      <c r="GX86" s="67"/>
      <c r="GY86" s="67"/>
      <c r="GZ86" s="67"/>
      <c r="HA86" s="67"/>
      <c r="HB86" s="67"/>
      <c r="HC86" s="67"/>
      <c r="HD86" s="67"/>
      <c r="HE86" s="67"/>
      <c r="HF86" s="67"/>
      <c r="HG86" s="67"/>
      <c r="HH86" s="67"/>
      <c r="HI86" s="67"/>
      <c r="HJ86" s="67"/>
      <c r="HK86" s="67"/>
      <c r="HL86" s="67"/>
      <c r="HM86" s="67"/>
      <c r="HN86" s="67"/>
      <c r="HO86" s="67"/>
      <c r="HP86" s="67"/>
      <c r="HQ86" s="67"/>
      <c r="HR86" s="67"/>
      <c r="HS86" s="67"/>
      <c r="HT86" s="67"/>
      <c r="HU86" s="67"/>
      <c r="HV86" s="67"/>
      <c r="HW86" s="67"/>
      <c r="HX86" s="67"/>
      <c r="HY86" s="67"/>
      <c r="HZ86" s="67"/>
      <c r="IA86" s="67"/>
      <c r="IB86" s="67"/>
      <c r="IC86" s="67"/>
      <c r="ID86" s="67"/>
      <c r="IE86" s="67"/>
      <c r="IF86" s="67"/>
      <c r="IG86" s="67"/>
      <c r="IH86" s="67"/>
      <c r="II86" s="67"/>
      <c r="IJ86" s="67"/>
      <c r="IK86" s="67"/>
      <c r="IL86" s="67"/>
      <c r="IM86" s="67"/>
      <c r="IN86" s="67"/>
      <c r="IO86" s="67"/>
      <c r="IP86" s="67"/>
      <c r="IQ86" s="67"/>
      <c r="IR86" s="67"/>
      <c r="IS86" s="67"/>
      <c r="IT86" s="67"/>
      <c r="IU86" s="67"/>
      <c r="IV86" s="67"/>
      <c r="IW86" s="67"/>
    </row>
    <row r="87" spans="1:257" s="4" customFormat="1" ht="12.75" hidden="1" customHeight="1" x14ac:dyDescent="0.2">
      <c r="A87" s="234"/>
      <c r="B87" s="237"/>
      <c r="C87" s="240" t="s">
        <v>1</v>
      </c>
      <c r="D87" s="240"/>
      <c r="E87" s="80"/>
      <c r="F87" s="76"/>
      <c r="G87" s="76"/>
      <c r="H87" s="175"/>
      <c r="I87" s="76"/>
      <c r="J87" s="76"/>
      <c r="K87" s="179"/>
      <c r="L87" s="76"/>
      <c r="M87" s="76"/>
      <c r="N87" s="234"/>
      <c r="Z87" s="104"/>
      <c r="AA87" s="231" t="str">
        <f t="shared" ref="AA87" si="60">B87&amp;" - "&amp;A87&amp;" "&amp;C87</f>
        <v xml:space="preserve"> -  PFDs</v>
      </c>
      <c r="AB87" s="231" t="str">
        <f t="shared" ref="AB87" si="61">B87&amp;" - "&amp;A87&amp;" "&amp;C88</f>
        <v xml:space="preserve"> -  P&amp;IDs</v>
      </c>
      <c r="AC87" s="231" t="s">
        <v>42</v>
      </c>
      <c r="AD87" s="231" t="s">
        <v>43</v>
      </c>
      <c r="AE87" s="234"/>
      <c r="AF87" s="231" t="str">
        <f t="shared" ref="AF87" si="62">IF(ISBLANK(B87),"",B87)</f>
        <v/>
      </c>
      <c r="AG87" s="114"/>
      <c r="AH87" s="67"/>
      <c r="AI87" s="67"/>
      <c r="AJ87" s="67"/>
      <c r="AK87" s="67"/>
      <c r="AL87" s="67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  <c r="BI87" s="67"/>
      <c r="BJ87" s="67"/>
      <c r="BK87" s="67"/>
      <c r="BL87" s="6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A87" s="67"/>
      <c r="CB87" s="67"/>
      <c r="CC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  <c r="CR87" s="67"/>
      <c r="CS87" s="67"/>
      <c r="CT87" s="67"/>
      <c r="CU87" s="67"/>
      <c r="CV87" s="67"/>
      <c r="CW87" s="67"/>
      <c r="CX87" s="67"/>
      <c r="CY87" s="67"/>
      <c r="CZ87" s="67"/>
      <c r="DA87" s="67"/>
      <c r="DB87" s="67"/>
      <c r="DC87" s="67"/>
      <c r="DD87" s="67"/>
      <c r="DE87" s="67"/>
      <c r="DF87" s="67"/>
      <c r="DG87" s="67"/>
      <c r="DH87" s="67"/>
      <c r="DI87" s="67"/>
      <c r="DJ87" s="67"/>
      <c r="DK87" s="67"/>
      <c r="DL87" s="67"/>
      <c r="DM87" s="67"/>
      <c r="DN87" s="67"/>
      <c r="DO87" s="67"/>
      <c r="DP87" s="67"/>
      <c r="DQ87" s="67"/>
      <c r="DR87" s="67"/>
      <c r="DS87" s="67"/>
      <c r="DT87" s="67"/>
      <c r="DU87" s="67"/>
      <c r="DV87" s="67"/>
      <c r="DW87" s="67"/>
      <c r="DX87" s="67"/>
      <c r="DY87" s="67"/>
      <c r="DZ87" s="67"/>
      <c r="EA87" s="67"/>
      <c r="EB87" s="67"/>
      <c r="EC87" s="67"/>
      <c r="ED87" s="67"/>
      <c r="EE87" s="67"/>
      <c r="EF87" s="67"/>
      <c r="EG87" s="67"/>
      <c r="EH87" s="67"/>
      <c r="EI87" s="67"/>
      <c r="EJ87" s="67"/>
      <c r="EK87" s="67"/>
      <c r="EL87" s="67"/>
      <c r="EM87" s="67"/>
      <c r="EN87" s="67"/>
      <c r="EO87" s="67"/>
      <c r="EP87" s="67"/>
      <c r="EQ87" s="67"/>
      <c r="ER87" s="67"/>
      <c r="ES87" s="67"/>
      <c r="ET87" s="67"/>
      <c r="EU87" s="67"/>
      <c r="EV87" s="67"/>
      <c r="EW87" s="67"/>
      <c r="EX87" s="67"/>
      <c r="EY87" s="67"/>
      <c r="EZ87" s="67"/>
      <c r="FA87" s="67"/>
      <c r="FB87" s="67"/>
      <c r="FC87" s="67"/>
      <c r="FD87" s="67"/>
      <c r="FE87" s="67"/>
      <c r="FF87" s="67"/>
      <c r="FG87" s="67"/>
      <c r="FH87" s="67"/>
      <c r="FI87" s="67"/>
      <c r="FJ87" s="67"/>
      <c r="FK87" s="67"/>
      <c r="FL87" s="67"/>
      <c r="FM87" s="67"/>
      <c r="FN87" s="67"/>
      <c r="FO87" s="67"/>
      <c r="FP87" s="67"/>
      <c r="FQ87" s="67"/>
      <c r="FR87" s="67"/>
      <c r="FS87" s="67"/>
      <c r="FT87" s="67"/>
      <c r="FU87" s="67"/>
      <c r="FV87" s="67"/>
      <c r="FW87" s="67"/>
      <c r="FX87" s="67"/>
      <c r="FY87" s="67"/>
      <c r="FZ87" s="67"/>
      <c r="GA87" s="67"/>
      <c r="GB87" s="67"/>
      <c r="GC87" s="67"/>
      <c r="GD87" s="67"/>
      <c r="GE87" s="67"/>
      <c r="GF87" s="67"/>
      <c r="GG87" s="67"/>
      <c r="GH87" s="67"/>
      <c r="GI87" s="67"/>
      <c r="GJ87" s="67"/>
      <c r="GK87" s="67"/>
      <c r="GL87" s="67"/>
      <c r="GM87" s="67"/>
      <c r="GN87" s="67"/>
      <c r="GO87" s="67"/>
      <c r="GP87" s="67"/>
      <c r="GQ87" s="67"/>
      <c r="GR87" s="67"/>
      <c r="GS87" s="67"/>
      <c r="GT87" s="67"/>
      <c r="GU87" s="67"/>
      <c r="GV87" s="67"/>
      <c r="GW87" s="67"/>
      <c r="GX87" s="67"/>
      <c r="GY87" s="67"/>
      <c r="GZ87" s="67"/>
      <c r="HA87" s="67"/>
      <c r="HB87" s="67"/>
      <c r="HC87" s="67"/>
      <c r="HD87" s="67"/>
      <c r="HE87" s="67"/>
      <c r="HF87" s="67"/>
      <c r="HG87" s="67"/>
      <c r="HH87" s="67"/>
      <c r="HI87" s="67"/>
      <c r="HJ87" s="67"/>
      <c r="HK87" s="67"/>
      <c r="HL87" s="67"/>
      <c r="HM87" s="67"/>
      <c r="HN87" s="67"/>
      <c r="HO87" s="67"/>
      <c r="HP87" s="67"/>
      <c r="HQ87" s="67"/>
      <c r="HR87" s="67"/>
      <c r="HS87" s="67"/>
      <c r="HT87" s="67"/>
      <c r="HU87" s="67"/>
      <c r="HV87" s="67"/>
      <c r="HW87" s="67"/>
      <c r="HX87" s="67"/>
      <c r="HY87" s="67"/>
      <c r="HZ87" s="67"/>
      <c r="IA87" s="67"/>
      <c r="IB87" s="67"/>
      <c r="IC87" s="67"/>
      <c r="ID87" s="67"/>
      <c r="IE87" s="67"/>
      <c r="IF87" s="67"/>
      <c r="IG87" s="67"/>
      <c r="IH87" s="67"/>
      <c r="II87" s="67"/>
      <c r="IJ87" s="67"/>
      <c r="IK87" s="67"/>
      <c r="IL87" s="67"/>
      <c r="IM87" s="67"/>
      <c r="IN87" s="67"/>
      <c r="IO87" s="67"/>
      <c r="IP87" s="67"/>
      <c r="IQ87" s="67"/>
      <c r="IR87" s="67"/>
      <c r="IS87" s="67"/>
      <c r="IT87" s="67"/>
      <c r="IU87" s="67"/>
      <c r="IV87" s="67"/>
      <c r="IW87" s="67"/>
    </row>
    <row r="88" spans="1:257" s="4" customFormat="1" ht="12.75" hidden="1" customHeight="1" x14ac:dyDescent="0.2">
      <c r="A88" s="235"/>
      <c r="B88" s="238"/>
      <c r="C88" s="247" t="s">
        <v>0</v>
      </c>
      <c r="D88" s="183" t="s">
        <v>12</v>
      </c>
      <c r="E88" s="81"/>
      <c r="F88" s="77"/>
      <c r="G88" s="77"/>
      <c r="H88" s="173"/>
      <c r="I88" s="77"/>
      <c r="J88" s="77"/>
      <c r="K88" s="177"/>
      <c r="L88" s="77"/>
      <c r="M88" s="77"/>
      <c r="N88" s="235"/>
      <c r="Z88" s="104"/>
      <c r="AA88" s="232"/>
      <c r="AB88" s="232"/>
      <c r="AC88" s="232"/>
      <c r="AD88" s="232"/>
      <c r="AE88" s="235"/>
      <c r="AF88" s="232"/>
      <c r="AG88" s="114"/>
      <c r="AH88" s="67"/>
      <c r="AI88" s="67"/>
      <c r="AJ88" s="67"/>
      <c r="AK88" s="67"/>
      <c r="AL88" s="67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  <c r="BI88" s="67"/>
      <c r="BJ88" s="67"/>
      <c r="BK88" s="67"/>
      <c r="BL88" s="6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A88" s="67"/>
      <c r="CB88" s="67"/>
      <c r="CC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  <c r="CR88" s="67"/>
      <c r="CS88" s="67"/>
      <c r="CT88" s="67"/>
      <c r="CU88" s="67"/>
      <c r="CV88" s="67"/>
      <c r="CW88" s="67"/>
      <c r="CX88" s="67"/>
      <c r="CY88" s="67"/>
      <c r="CZ88" s="67"/>
      <c r="DA88" s="67"/>
      <c r="DB88" s="67"/>
      <c r="DC88" s="67"/>
      <c r="DD88" s="67"/>
      <c r="DE88" s="67"/>
      <c r="DF88" s="67"/>
      <c r="DG88" s="67"/>
      <c r="DH88" s="67"/>
      <c r="DI88" s="67"/>
      <c r="DJ88" s="67"/>
      <c r="DK88" s="67"/>
      <c r="DL88" s="67"/>
      <c r="DM88" s="67"/>
      <c r="DN88" s="67"/>
      <c r="DO88" s="67"/>
      <c r="DP88" s="67"/>
      <c r="DQ88" s="67"/>
      <c r="DR88" s="67"/>
      <c r="DS88" s="67"/>
      <c r="DT88" s="67"/>
      <c r="DU88" s="67"/>
      <c r="DV88" s="67"/>
      <c r="DW88" s="67"/>
      <c r="DX88" s="67"/>
      <c r="DY88" s="67"/>
      <c r="DZ88" s="67"/>
      <c r="EA88" s="67"/>
      <c r="EB88" s="67"/>
      <c r="EC88" s="67"/>
      <c r="ED88" s="67"/>
      <c r="EE88" s="67"/>
      <c r="EF88" s="67"/>
      <c r="EG88" s="67"/>
      <c r="EH88" s="67"/>
      <c r="EI88" s="67"/>
      <c r="EJ88" s="67"/>
      <c r="EK88" s="67"/>
      <c r="EL88" s="67"/>
      <c r="EM88" s="67"/>
      <c r="EN88" s="67"/>
      <c r="EO88" s="67"/>
      <c r="EP88" s="67"/>
      <c r="EQ88" s="67"/>
      <c r="ER88" s="67"/>
      <c r="ES88" s="67"/>
      <c r="ET88" s="67"/>
      <c r="EU88" s="67"/>
      <c r="EV88" s="67"/>
      <c r="EW88" s="67"/>
      <c r="EX88" s="67"/>
      <c r="EY88" s="67"/>
      <c r="EZ88" s="67"/>
      <c r="FA88" s="67"/>
      <c r="FB88" s="67"/>
      <c r="FC88" s="67"/>
      <c r="FD88" s="67"/>
      <c r="FE88" s="67"/>
      <c r="FF88" s="67"/>
      <c r="FG88" s="67"/>
      <c r="FH88" s="67"/>
      <c r="FI88" s="67"/>
      <c r="FJ88" s="67"/>
      <c r="FK88" s="67"/>
      <c r="FL88" s="67"/>
      <c r="FM88" s="67"/>
      <c r="FN88" s="67"/>
      <c r="FO88" s="67"/>
      <c r="FP88" s="67"/>
      <c r="FQ88" s="67"/>
      <c r="FR88" s="67"/>
      <c r="FS88" s="67"/>
      <c r="FT88" s="67"/>
      <c r="FU88" s="67"/>
      <c r="FV88" s="67"/>
      <c r="FW88" s="67"/>
      <c r="FX88" s="67"/>
      <c r="FY88" s="67"/>
      <c r="FZ88" s="67"/>
      <c r="GA88" s="67"/>
      <c r="GB88" s="67"/>
      <c r="GC88" s="67"/>
      <c r="GD88" s="67"/>
      <c r="GE88" s="67"/>
      <c r="GF88" s="67"/>
      <c r="GG88" s="67"/>
      <c r="GH88" s="67"/>
      <c r="GI88" s="67"/>
      <c r="GJ88" s="67"/>
      <c r="GK88" s="67"/>
      <c r="GL88" s="67"/>
      <c r="GM88" s="67"/>
      <c r="GN88" s="67"/>
      <c r="GO88" s="67"/>
      <c r="GP88" s="67"/>
      <c r="GQ88" s="67"/>
      <c r="GR88" s="67"/>
      <c r="GS88" s="67"/>
      <c r="GT88" s="67"/>
      <c r="GU88" s="67"/>
      <c r="GV88" s="67"/>
      <c r="GW88" s="67"/>
      <c r="GX88" s="67"/>
      <c r="GY88" s="67"/>
      <c r="GZ88" s="67"/>
      <c r="HA88" s="67"/>
      <c r="HB88" s="67"/>
      <c r="HC88" s="67"/>
      <c r="HD88" s="67"/>
      <c r="HE88" s="67"/>
      <c r="HF88" s="67"/>
      <c r="HG88" s="67"/>
      <c r="HH88" s="67"/>
      <c r="HI88" s="67"/>
      <c r="HJ88" s="67"/>
      <c r="HK88" s="67"/>
      <c r="HL88" s="67"/>
      <c r="HM88" s="67"/>
      <c r="HN88" s="67"/>
      <c r="HO88" s="67"/>
      <c r="HP88" s="67"/>
      <c r="HQ88" s="67"/>
      <c r="HR88" s="67"/>
      <c r="HS88" s="67"/>
      <c r="HT88" s="67"/>
      <c r="HU88" s="67"/>
      <c r="HV88" s="67"/>
      <c r="HW88" s="67"/>
      <c r="HX88" s="67"/>
      <c r="HY88" s="67"/>
      <c r="HZ88" s="67"/>
      <c r="IA88" s="67"/>
      <c r="IB88" s="67"/>
      <c r="IC88" s="67"/>
      <c r="ID88" s="67"/>
      <c r="IE88" s="67"/>
      <c r="IF88" s="67"/>
      <c r="IG88" s="67"/>
      <c r="IH88" s="67"/>
      <c r="II88" s="67"/>
      <c r="IJ88" s="67"/>
      <c r="IK88" s="67"/>
      <c r="IL88" s="67"/>
      <c r="IM88" s="67"/>
      <c r="IN88" s="67"/>
      <c r="IO88" s="67"/>
      <c r="IP88" s="67"/>
      <c r="IQ88" s="67"/>
      <c r="IR88" s="67"/>
      <c r="IS88" s="67"/>
      <c r="IT88" s="67"/>
      <c r="IU88" s="67"/>
      <c r="IV88" s="67"/>
      <c r="IW88" s="67"/>
    </row>
    <row r="89" spans="1:257" s="4" customFormat="1" ht="12.75" hidden="1" customHeight="1" x14ac:dyDescent="0.2">
      <c r="A89" s="235"/>
      <c r="B89" s="238"/>
      <c r="C89" s="248"/>
      <c r="D89" s="183" t="s">
        <v>13</v>
      </c>
      <c r="E89" s="81"/>
      <c r="F89" s="77"/>
      <c r="G89" s="77"/>
      <c r="H89" s="173"/>
      <c r="I89" s="77"/>
      <c r="J89" s="77"/>
      <c r="K89" s="177"/>
      <c r="L89" s="77"/>
      <c r="M89" s="77"/>
      <c r="N89" s="235"/>
      <c r="Z89" s="104"/>
      <c r="AA89" s="232"/>
      <c r="AB89" s="232"/>
      <c r="AC89" s="232"/>
      <c r="AD89" s="232"/>
      <c r="AE89" s="235"/>
      <c r="AF89" s="232"/>
      <c r="AG89" s="114"/>
      <c r="AH89" s="67"/>
      <c r="AI89" s="67"/>
      <c r="AJ89" s="67"/>
      <c r="AK89" s="67"/>
      <c r="AL89" s="67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  <c r="BI89" s="67"/>
      <c r="BJ89" s="67"/>
      <c r="BK89" s="67"/>
      <c r="BL89" s="6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A89" s="67"/>
      <c r="CB89" s="67"/>
      <c r="CC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  <c r="CR89" s="67"/>
      <c r="CS89" s="67"/>
      <c r="CT89" s="67"/>
      <c r="CU89" s="67"/>
      <c r="CV89" s="67"/>
      <c r="CW89" s="67"/>
      <c r="CX89" s="67"/>
      <c r="CY89" s="67"/>
      <c r="CZ89" s="67"/>
      <c r="DA89" s="67"/>
      <c r="DB89" s="67"/>
      <c r="DC89" s="67"/>
      <c r="DD89" s="67"/>
      <c r="DE89" s="67"/>
      <c r="DF89" s="67"/>
      <c r="DG89" s="67"/>
      <c r="DH89" s="67"/>
      <c r="DI89" s="67"/>
      <c r="DJ89" s="67"/>
      <c r="DK89" s="67"/>
      <c r="DL89" s="67"/>
      <c r="DM89" s="67"/>
      <c r="DN89" s="67"/>
      <c r="DO89" s="67"/>
      <c r="DP89" s="67"/>
      <c r="DQ89" s="67"/>
      <c r="DR89" s="67"/>
      <c r="DS89" s="67"/>
      <c r="DT89" s="67"/>
      <c r="DU89" s="67"/>
      <c r="DV89" s="67"/>
      <c r="DW89" s="67"/>
      <c r="DX89" s="67"/>
      <c r="DY89" s="67"/>
      <c r="DZ89" s="67"/>
      <c r="EA89" s="67"/>
      <c r="EB89" s="67"/>
      <c r="EC89" s="67"/>
      <c r="ED89" s="67"/>
      <c r="EE89" s="67"/>
      <c r="EF89" s="67"/>
      <c r="EG89" s="67"/>
      <c r="EH89" s="67"/>
      <c r="EI89" s="67"/>
      <c r="EJ89" s="67"/>
      <c r="EK89" s="67"/>
      <c r="EL89" s="67"/>
      <c r="EM89" s="67"/>
      <c r="EN89" s="67"/>
      <c r="EO89" s="67"/>
      <c r="EP89" s="67"/>
      <c r="EQ89" s="67"/>
      <c r="ER89" s="67"/>
      <c r="ES89" s="67"/>
      <c r="ET89" s="67"/>
      <c r="EU89" s="67"/>
      <c r="EV89" s="67"/>
      <c r="EW89" s="67"/>
      <c r="EX89" s="67"/>
      <c r="EY89" s="67"/>
      <c r="EZ89" s="67"/>
      <c r="FA89" s="67"/>
      <c r="FB89" s="67"/>
      <c r="FC89" s="67"/>
      <c r="FD89" s="67"/>
      <c r="FE89" s="67"/>
      <c r="FF89" s="67"/>
      <c r="FG89" s="67"/>
      <c r="FH89" s="67"/>
      <c r="FI89" s="67"/>
      <c r="FJ89" s="67"/>
      <c r="FK89" s="67"/>
      <c r="FL89" s="67"/>
      <c r="FM89" s="67"/>
      <c r="FN89" s="67"/>
      <c r="FO89" s="67"/>
      <c r="FP89" s="67"/>
      <c r="FQ89" s="67"/>
      <c r="FR89" s="67"/>
      <c r="FS89" s="67"/>
      <c r="FT89" s="67"/>
      <c r="FU89" s="67"/>
      <c r="FV89" s="67"/>
      <c r="FW89" s="67"/>
      <c r="FX89" s="67"/>
      <c r="FY89" s="67"/>
      <c r="FZ89" s="67"/>
      <c r="GA89" s="67"/>
      <c r="GB89" s="67"/>
      <c r="GC89" s="67"/>
      <c r="GD89" s="67"/>
      <c r="GE89" s="67"/>
      <c r="GF89" s="67"/>
      <c r="GG89" s="67"/>
      <c r="GH89" s="67"/>
      <c r="GI89" s="67"/>
      <c r="GJ89" s="67"/>
      <c r="GK89" s="67"/>
      <c r="GL89" s="67"/>
      <c r="GM89" s="67"/>
      <c r="GN89" s="67"/>
      <c r="GO89" s="67"/>
      <c r="GP89" s="67"/>
      <c r="GQ89" s="67"/>
      <c r="GR89" s="67"/>
      <c r="GS89" s="67"/>
      <c r="GT89" s="67"/>
      <c r="GU89" s="67"/>
      <c r="GV89" s="67"/>
      <c r="GW89" s="67"/>
      <c r="GX89" s="67"/>
      <c r="GY89" s="67"/>
      <c r="GZ89" s="67"/>
      <c r="HA89" s="67"/>
      <c r="HB89" s="67"/>
      <c r="HC89" s="67"/>
      <c r="HD89" s="67"/>
      <c r="HE89" s="67"/>
      <c r="HF89" s="67"/>
      <c r="HG89" s="67"/>
      <c r="HH89" s="67"/>
      <c r="HI89" s="67"/>
      <c r="HJ89" s="67"/>
      <c r="HK89" s="67"/>
      <c r="HL89" s="67"/>
      <c r="HM89" s="67"/>
      <c r="HN89" s="67"/>
      <c r="HO89" s="67"/>
      <c r="HP89" s="67"/>
      <c r="HQ89" s="67"/>
      <c r="HR89" s="67"/>
      <c r="HS89" s="67"/>
      <c r="HT89" s="67"/>
      <c r="HU89" s="67"/>
      <c r="HV89" s="67"/>
      <c r="HW89" s="67"/>
      <c r="HX89" s="67"/>
      <c r="HY89" s="67"/>
      <c r="HZ89" s="67"/>
      <c r="IA89" s="67"/>
      <c r="IB89" s="67"/>
      <c r="IC89" s="67"/>
      <c r="ID89" s="67"/>
      <c r="IE89" s="67"/>
      <c r="IF89" s="67"/>
      <c r="IG89" s="67"/>
      <c r="IH89" s="67"/>
      <c r="II89" s="67"/>
      <c r="IJ89" s="67"/>
      <c r="IK89" s="67"/>
      <c r="IL89" s="67"/>
      <c r="IM89" s="67"/>
      <c r="IN89" s="67"/>
      <c r="IO89" s="67"/>
      <c r="IP89" s="67"/>
      <c r="IQ89" s="67"/>
      <c r="IR89" s="67"/>
      <c r="IS89" s="67"/>
      <c r="IT89" s="67"/>
      <c r="IU89" s="67"/>
      <c r="IV89" s="67"/>
      <c r="IW89" s="67"/>
    </row>
    <row r="90" spans="1:257" s="4" customFormat="1" ht="12.75" hidden="1" customHeight="1" x14ac:dyDescent="0.2">
      <c r="A90" s="236"/>
      <c r="B90" s="239"/>
      <c r="C90" s="249"/>
      <c r="D90" s="183" t="s">
        <v>41</v>
      </c>
      <c r="E90" s="82"/>
      <c r="F90" s="78"/>
      <c r="G90" s="78"/>
      <c r="H90" s="174"/>
      <c r="I90" s="78"/>
      <c r="J90" s="78"/>
      <c r="K90" s="178"/>
      <c r="L90" s="78"/>
      <c r="M90" s="78"/>
      <c r="N90" s="236"/>
      <c r="Z90" s="104"/>
      <c r="AA90" s="233"/>
      <c r="AB90" s="233"/>
      <c r="AC90" s="233"/>
      <c r="AD90" s="233"/>
      <c r="AE90" s="236"/>
      <c r="AF90" s="233"/>
      <c r="AG90" s="114"/>
      <c r="AH90" s="67"/>
      <c r="AI90" s="67"/>
      <c r="AJ90" s="67"/>
      <c r="AK90" s="67"/>
      <c r="AL90" s="67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  <c r="BI90" s="67"/>
      <c r="BJ90" s="67"/>
      <c r="BK90" s="67"/>
      <c r="BL90" s="6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A90" s="67"/>
      <c r="CB90" s="67"/>
      <c r="CC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  <c r="CR90" s="67"/>
      <c r="CS90" s="67"/>
      <c r="CT90" s="67"/>
      <c r="CU90" s="67"/>
      <c r="CV90" s="67"/>
      <c r="CW90" s="67"/>
      <c r="CX90" s="67"/>
      <c r="CY90" s="67"/>
      <c r="CZ90" s="67"/>
      <c r="DA90" s="67"/>
      <c r="DB90" s="67"/>
      <c r="DC90" s="67"/>
      <c r="DD90" s="67"/>
      <c r="DE90" s="67"/>
      <c r="DF90" s="67"/>
      <c r="DG90" s="67"/>
      <c r="DH90" s="67"/>
      <c r="DI90" s="67"/>
      <c r="DJ90" s="67"/>
      <c r="DK90" s="67"/>
      <c r="DL90" s="67"/>
      <c r="DM90" s="67"/>
      <c r="DN90" s="67"/>
      <c r="DO90" s="67"/>
      <c r="DP90" s="67"/>
      <c r="DQ90" s="67"/>
      <c r="DR90" s="67"/>
      <c r="DS90" s="67"/>
      <c r="DT90" s="67"/>
      <c r="DU90" s="67"/>
      <c r="DV90" s="67"/>
      <c r="DW90" s="67"/>
      <c r="DX90" s="67"/>
      <c r="DY90" s="67"/>
      <c r="DZ90" s="67"/>
      <c r="EA90" s="67"/>
      <c r="EB90" s="67"/>
      <c r="EC90" s="67"/>
      <c r="ED90" s="67"/>
      <c r="EE90" s="67"/>
      <c r="EF90" s="67"/>
      <c r="EG90" s="67"/>
      <c r="EH90" s="67"/>
      <c r="EI90" s="67"/>
      <c r="EJ90" s="67"/>
      <c r="EK90" s="67"/>
      <c r="EL90" s="67"/>
      <c r="EM90" s="67"/>
      <c r="EN90" s="67"/>
      <c r="EO90" s="67"/>
      <c r="EP90" s="67"/>
      <c r="EQ90" s="67"/>
      <c r="ER90" s="67"/>
      <c r="ES90" s="67"/>
      <c r="ET90" s="67"/>
      <c r="EU90" s="67"/>
      <c r="EV90" s="67"/>
      <c r="EW90" s="67"/>
      <c r="EX90" s="67"/>
      <c r="EY90" s="67"/>
      <c r="EZ90" s="67"/>
      <c r="FA90" s="67"/>
      <c r="FB90" s="67"/>
      <c r="FC90" s="67"/>
      <c r="FD90" s="67"/>
      <c r="FE90" s="67"/>
      <c r="FF90" s="67"/>
      <c r="FG90" s="67"/>
      <c r="FH90" s="67"/>
      <c r="FI90" s="67"/>
      <c r="FJ90" s="67"/>
      <c r="FK90" s="67"/>
      <c r="FL90" s="67"/>
      <c r="FM90" s="67"/>
      <c r="FN90" s="67"/>
      <c r="FO90" s="67"/>
      <c r="FP90" s="67"/>
      <c r="FQ90" s="67"/>
      <c r="FR90" s="67"/>
      <c r="FS90" s="67"/>
      <c r="FT90" s="67"/>
      <c r="FU90" s="67"/>
      <c r="FV90" s="67"/>
      <c r="FW90" s="67"/>
      <c r="FX90" s="67"/>
      <c r="FY90" s="67"/>
      <c r="FZ90" s="67"/>
      <c r="GA90" s="67"/>
      <c r="GB90" s="67"/>
      <c r="GC90" s="67"/>
      <c r="GD90" s="67"/>
      <c r="GE90" s="67"/>
      <c r="GF90" s="67"/>
      <c r="GG90" s="67"/>
      <c r="GH90" s="67"/>
      <c r="GI90" s="67"/>
      <c r="GJ90" s="67"/>
      <c r="GK90" s="67"/>
      <c r="GL90" s="67"/>
      <c r="GM90" s="67"/>
      <c r="GN90" s="67"/>
      <c r="GO90" s="67"/>
      <c r="GP90" s="67"/>
      <c r="GQ90" s="67"/>
      <c r="GR90" s="67"/>
      <c r="GS90" s="67"/>
      <c r="GT90" s="67"/>
      <c r="GU90" s="67"/>
      <c r="GV90" s="67"/>
      <c r="GW90" s="67"/>
      <c r="GX90" s="67"/>
      <c r="GY90" s="67"/>
      <c r="GZ90" s="67"/>
      <c r="HA90" s="67"/>
      <c r="HB90" s="67"/>
      <c r="HC90" s="67"/>
      <c r="HD90" s="67"/>
      <c r="HE90" s="67"/>
      <c r="HF90" s="67"/>
      <c r="HG90" s="67"/>
      <c r="HH90" s="67"/>
      <c r="HI90" s="67"/>
      <c r="HJ90" s="67"/>
      <c r="HK90" s="67"/>
      <c r="HL90" s="67"/>
      <c r="HM90" s="67"/>
      <c r="HN90" s="67"/>
      <c r="HO90" s="67"/>
      <c r="HP90" s="67"/>
      <c r="HQ90" s="67"/>
      <c r="HR90" s="67"/>
      <c r="HS90" s="67"/>
      <c r="HT90" s="67"/>
      <c r="HU90" s="67"/>
      <c r="HV90" s="67"/>
      <c r="HW90" s="67"/>
      <c r="HX90" s="67"/>
      <c r="HY90" s="67"/>
      <c r="HZ90" s="67"/>
      <c r="IA90" s="67"/>
      <c r="IB90" s="67"/>
      <c r="IC90" s="67"/>
      <c r="ID90" s="67"/>
      <c r="IE90" s="67"/>
      <c r="IF90" s="67"/>
      <c r="IG90" s="67"/>
      <c r="IH90" s="67"/>
      <c r="II90" s="67"/>
      <c r="IJ90" s="67"/>
      <c r="IK90" s="67"/>
      <c r="IL90" s="67"/>
      <c r="IM90" s="67"/>
      <c r="IN90" s="67"/>
      <c r="IO90" s="67"/>
      <c r="IP90" s="67"/>
      <c r="IQ90" s="67"/>
      <c r="IR90" s="67"/>
      <c r="IS90" s="67"/>
      <c r="IT90" s="67"/>
      <c r="IU90" s="67"/>
      <c r="IV90" s="67"/>
      <c r="IW90" s="67"/>
    </row>
    <row r="91" spans="1:257" s="4" customFormat="1" x14ac:dyDescent="0.2">
      <c r="A91" s="241" t="s">
        <v>38</v>
      </c>
      <c r="B91" s="242"/>
      <c r="C91" s="240" t="s">
        <v>1</v>
      </c>
      <c r="D91" s="240"/>
      <c r="E91" s="80">
        <f>SUM(E87,E83,E79,E75,E71,E67,E63,E59,E55,E51,E47,E43,E39,E35,E31,E27,E23,E19,E15,E11,E7,E3)</f>
        <v>0</v>
      </c>
      <c r="F91" s="172"/>
      <c r="G91" s="68"/>
      <c r="H91" s="176"/>
      <c r="I91" s="68"/>
      <c r="J91" s="68"/>
      <c r="K91" s="180"/>
      <c r="L91" s="68"/>
      <c r="M91" s="68"/>
      <c r="N91" s="181"/>
      <c r="Z91" s="114"/>
      <c r="AA91" s="114"/>
      <c r="AB91" s="114"/>
      <c r="AC91" s="114"/>
      <c r="AD91" s="114"/>
      <c r="AE91" s="114"/>
      <c r="AF91" s="114"/>
      <c r="AG91" s="114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  <c r="BI91" s="67"/>
      <c r="BJ91" s="67"/>
      <c r="BK91" s="67"/>
      <c r="BL91" s="6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A91" s="67"/>
      <c r="CB91" s="67"/>
      <c r="CC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  <c r="CR91" s="67"/>
      <c r="CS91" s="67"/>
      <c r="CT91" s="67"/>
      <c r="CU91" s="67"/>
      <c r="CV91" s="67"/>
      <c r="CW91" s="67"/>
      <c r="CX91" s="67"/>
      <c r="CY91" s="67"/>
      <c r="CZ91" s="67"/>
      <c r="DA91" s="67"/>
      <c r="DB91" s="67"/>
      <c r="DC91" s="67"/>
      <c r="DD91" s="67"/>
      <c r="DE91" s="67"/>
      <c r="DF91" s="67"/>
      <c r="DG91" s="67"/>
      <c r="DH91" s="67"/>
      <c r="DI91" s="67"/>
      <c r="DJ91" s="67"/>
      <c r="DK91" s="67"/>
      <c r="DL91" s="67"/>
      <c r="DM91" s="67"/>
      <c r="DN91" s="67"/>
      <c r="DO91" s="67"/>
      <c r="DP91" s="67"/>
      <c r="DQ91" s="67"/>
      <c r="DR91" s="67"/>
      <c r="DS91" s="67"/>
      <c r="DT91" s="67"/>
      <c r="DU91" s="67"/>
      <c r="DV91" s="67"/>
      <c r="DW91" s="67"/>
      <c r="DX91" s="67"/>
      <c r="DY91" s="67"/>
      <c r="DZ91" s="67"/>
      <c r="EA91" s="67"/>
      <c r="EB91" s="67"/>
      <c r="EC91" s="67"/>
      <c r="ED91" s="67"/>
      <c r="EE91" s="67"/>
      <c r="EF91" s="67"/>
      <c r="EG91" s="67"/>
      <c r="EH91" s="67"/>
      <c r="EI91" s="67"/>
      <c r="EJ91" s="67"/>
      <c r="EK91" s="67"/>
      <c r="EL91" s="67"/>
      <c r="EM91" s="67"/>
      <c r="EN91" s="67"/>
      <c r="EO91" s="67"/>
      <c r="EP91" s="67"/>
      <c r="EQ91" s="67"/>
      <c r="ER91" s="67"/>
      <c r="ES91" s="67"/>
      <c r="ET91" s="67"/>
      <c r="EU91" s="67"/>
      <c r="EV91" s="67"/>
      <c r="EW91" s="67"/>
      <c r="EX91" s="67"/>
      <c r="EY91" s="67"/>
      <c r="EZ91" s="67"/>
      <c r="FA91" s="67"/>
      <c r="FB91" s="67"/>
      <c r="FC91" s="67"/>
      <c r="FD91" s="67"/>
      <c r="FE91" s="67"/>
      <c r="FF91" s="67"/>
      <c r="FG91" s="67"/>
      <c r="FH91" s="67"/>
      <c r="FI91" s="67"/>
      <c r="FJ91" s="67"/>
      <c r="FK91" s="67"/>
      <c r="FL91" s="67"/>
      <c r="FM91" s="67"/>
      <c r="FN91" s="67"/>
      <c r="FO91" s="67"/>
      <c r="FP91" s="67"/>
      <c r="FQ91" s="67"/>
      <c r="FR91" s="67"/>
      <c r="FS91" s="67"/>
      <c r="FT91" s="67"/>
      <c r="FU91" s="67"/>
      <c r="FV91" s="67"/>
      <c r="FW91" s="67"/>
      <c r="FX91" s="67"/>
      <c r="FY91" s="67"/>
      <c r="FZ91" s="67"/>
      <c r="GA91" s="67"/>
      <c r="GB91" s="67"/>
      <c r="GC91" s="67"/>
      <c r="GD91" s="67"/>
      <c r="GE91" s="67"/>
      <c r="GF91" s="67"/>
      <c r="GG91" s="67"/>
      <c r="GH91" s="67"/>
      <c r="GI91" s="67"/>
      <c r="GJ91" s="67"/>
      <c r="GK91" s="67"/>
      <c r="GL91" s="67"/>
      <c r="GM91" s="67"/>
      <c r="GN91" s="67"/>
      <c r="GO91" s="67"/>
      <c r="GP91" s="67"/>
      <c r="GQ91" s="67"/>
      <c r="GR91" s="67"/>
      <c r="GS91" s="67"/>
      <c r="GT91" s="67"/>
      <c r="GU91" s="67"/>
      <c r="GV91" s="67"/>
      <c r="GW91" s="67"/>
      <c r="GX91" s="67"/>
      <c r="GY91" s="67"/>
      <c r="GZ91" s="67"/>
      <c r="HA91" s="67"/>
      <c r="HB91" s="67"/>
      <c r="HC91" s="67"/>
      <c r="HD91" s="67"/>
      <c r="HE91" s="67"/>
      <c r="HF91" s="67"/>
      <c r="HG91" s="67"/>
      <c r="HH91" s="67"/>
      <c r="HI91" s="67"/>
      <c r="HJ91" s="67"/>
      <c r="HK91" s="67"/>
      <c r="HL91" s="67"/>
      <c r="HM91" s="67"/>
      <c r="HN91" s="67"/>
      <c r="HO91" s="67"/>
      <c r="HP91" s="67"/>
      <c r="HQ91" s="67"/>
      <c r="HR91" s="67"/>
      <c r="HS91" s="67"/>
      <c r="HT91" s="67"/>
      <c r="HU91" s="67"/>
      <c r="HV91" s="67"/>
      <c r="HW91" s="67"/>
      <c r="HX91" s="67"/>
      <c r="HY91" s="67"/>
      <c r="HZ91" s="67"/>
      <c r="IA91" s="67"/>
      <c r="IB91" s="67"/>
      <c r="IC91" s="67"/>
      <c r="ID91" s="67"/>
      <c r="IE91" s="67"/>
      <c r="IF91" s="67"/>
      <c r="IG91" s="67"/>
      <c r="IH91" s="67"/>
      <c r="II91" s="67"/>
      <c r="IJ91" s="67"/>
      <c r="IK91" s="67"/>
      <c r="IL91" s="67"/>
      <c r="IM91" s="67"/>
      <c r="IN91" s="67"/>
      <c r="IO91" s="67"/>
      <c r="IP91" s="67"/>
      <c r="IQ91" s="67"/>
      <c r="IR91" s="67"/>
      <c r="IS91" s="67"/>
    </row>
    <row r="92" spans="1:257" s="4" customFormat="1" x14ac:dyDescent="0.2">
      <c r="A92" s="243"/>
      <c r="B92" s="244"/>
      <c r="C92" s="247" t="s">
        <v>0</v>
      </c>
      <c r="D92" s="183" t="s">
        <v>12</v>
      </c>
      <c r="E92" s="81">
        <f t="shared" ref="E92:E93" si="63">SUM(E88,E84,E80,E76,E72,E68,E64,E60,E56,E52,E48,E44,E40,E36,E32,E28,E24,E20,E16,E12,E8,E4)</f>
        <v>0</v>
      </c>
      <c r="F92" s="69"/>
      <c r="G92" s="70"/>
      <c r="H92" s="63"/>
      <c r="I92" s="71"/>
      <c r="J92" s="71"/>
      <c r="K92" s="71"/>
      <c r="L92" s="71"/>
      <c r="M92" s="71"/>
      <c r="N92" s="75"/>
      <c r="Z92" s="114"/>
      <c r="AA92" s="114"/>
      <c r="AB92" s="114"/>
      <c r="AC92" s="114"/>
      <c r="AD92" s="114"/>
      <c r="AE92" s="114"/>
      <c r="AF92" s="114"/>
      <c r="AG92" s="114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  <c r="BI92" s="67"/>
      <c r="BJ92" s="67"/>
      <c r="BK92" s="67"/>
      <c r="BL92" s="6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A92" s="67"/>
      <c r="CB92" s="67"/>
      <c r="CC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  <c r="CR92" s="67"/>
      <c r="CS92" s="67"/>
      <c r="CT92" s="67"/>
      <c r="CU92" s="67"/>
      <c r="CV92" s="67"/>
      <c r="CW92" s="67"/>
      <c r="CX92" s="67"/>
      <c r="CY92" s="67"/>
      <c r="CZ92" s="67"/>
      <c r="DA92" s="67"/>
      <c r="DB92" s="67"/>
      <c r="DC92" s="67"/>
      <c r="DD92" s="67"/>
      <c r="DE92" s="67"/>
      <c r="DF92" s="67"/>
      <c r="DG92" s="67"/>
      <c r="DH92" s="67"/>
      <c r="DI92" s="67"/>
      <c r="DJ92" s="67"/>
      <c r="DK92" s="67"/>
      <c r="DL92" s="67"/>
      <c r="DM92" s="67"/>
      <c r="DN92" s="67"/>
      <c r="DO92" s="67"/>
      <c r="DP92" s="67"/>
      <c r="DQ92" s="67"/>
      <c r="DR92" s="67"/>
      <c r="DS92" s="67"/>
      <c r="DT92" s="67"/>
      <c r="DU92" s="67"/>
      <c r="DV92" s="67"/>
      <c r="DW92" s="67"/>
      <c r="DX92" s="67"/>
      <c r="DY92" s="67"/>
      <c r="DZ92" s="67"/>
      <c r="EA92" s="67"/>
      <c r="EB92" s="67"/>
      <c r="EC92" s="67"/>
      <c r="ED92" s="67"/>
      <c r="EE92" s="67"/>
      <c r="EF92" s="67"/>
      <c r="EG92" s="67"/>
      <c r="EH92" s="67"/>
      <c r="EI92" s="67"/>
      <c r="EJ92" s="67"/>
      <c r="EK92" s="67"/>
      <c r="EL92" s="67"/>
      <c r="EM92" s="67"/>
      <c r="EN92" s="67"/>
      <c r="EO92" s="67"/>
      <c r="EP92" s="67"/>
      <c r="EQ92" s="67"/>
      <c r="ER92" s="67"/>
      <c r="ES92" s="67"/>
      <c r="ET92" s="67"/>
      <c r="EU92" s="67"/>
      <c r="EV92" s="67"/>
      <c r="EW92" s="67"/>
      <c r="EX92" s="67"/>
      <c r="EY92" s="67"/>
      <c r="EZ92" s="67"/>
      <c r="FA92" s="67"/>
      <c r="FB92" s="67"/>
      <c r="FC92" s="67"/>
      <c r="FD92" s="67"/>
      <c r="FE92" s="67"/>
      <c r="FF92" s="67"/>
      <c r="FG92" s="67"/>
      <c r="FH92" s="67"/>
      <c r="FI92" s="67"/>
      <c r="FJ92" s="67"/>
      <c r="FK92" s="67"/>
      <c r="FL92" s="67"/>
      <c r="FM92" s="67"/>
      <c r="FN92" s="67"/>
      <c r="FO92" s="67"/>
      <c r="FP92" s="67"/>
      <c r="FQ92" s="67"/>
      <c r="FR92" s="67"/>
      <c r="FS92" s="67"/>
      <c r="FT92" s="67"/>
      <c r="FU92" s="67"/>
      <c r="FV92" s="67"/>
      <c r="FW92" s="67"/>
      <c r="FX92" s="67"/>
      <c r="FY92" s="67"/>
      <c r="FZ92" s="67"/>
      <c r="GA92" s="67"/>
      <c r="GB92" s="67"/>
      <c r="GC92" s="67"/>
      <c r="GD92" s="67"/>
      <c r="GE92" s="67"/>
      <c r="GF92" s="67"/>
      <c r="GG92" s="67"/>
      <c r="GH92" s="67"/>
      <c r="GI92" s="67"/>
      <c r="GJ92" s="67"/>
      <c r="GK92" s="67"/>
      <c r="GL92" s="67"/>
      <c r="GM92" s="67"/>
      <c r="GN92" s="67"/>
      <c r="GO92" s="67"/>
      <c r="GP92" s="67"/>
      <c r="GQ92" s="67"/>
      <c r="GR92" s="67"/>
      <c r="GS92" s="67"/>
      <c r="GT92" s="67"/>
      <c r="GU92" s="67"/>
      <c r="GV92" s="67"/>
      <c r="GW92" s="67"/>
      <c r="GX92" s="67"/>
      <c r="GY92" s="67"/>
      <c r="GZ92" s="67"/>
      <c r="HA92" s="67"/>
      <c r="HB92" s="67"/>
      <c r="HC92" s="67"/>
      <c r="HD92" s="67"/>
      <c r="HE92" s="67"/>
      <c r="HF92" s="67"/>
      <c r="HG92" s="67"/>
      <c r="HH92" s="67"/>
      <c r="HI92" s="67"/>
      <c r="HJ92" s="67"/>
      <c r="HK92" s="67"/>
      <c r="HL92" s="67"/>
      <c r="HM92" s="67"/>
      <c r="HN92" s="67"/>
      <c r="HO92" s="67"/>
      <c r="HP92" s="67"/>
      <c r="HQ92" s="67"/>
      <c r="HR92" s="67"/>
      <c r="HS92" s="67"/>
      <c r="HT92" s="67"/>
      <c r="HU92" s="67"/>
      <c r="HV92" s="67"/>
      <c r="HW92" s="67"/>
      <c r="HX92" s="67"/>
      <c r="HY92" s="67"/>
      <c r="HZ92" s="67"/>
      <c r="IA92" s="67"/>
      <c r="IB92" s="67"/>
      <c r="IC92" s="67"/>
      <c r="ID92" s="67"/>
      <c r="IE92" s="67"/>
      <c r="IF92" s="67"/>
      <c r="IG92" s="67"/>
      <c r="IH92" s="67"/>
      <c r="II92" s="67"/>
      <c r="IJ92" s="67"/>
      <c r="IK92" s="67"/>
      <c r="IL92" s="67"/>
      <c r="IM92" s="67"/>
      <c r="IN92" s="67"/>
      <c r="IO92" s="67"/>
      <c r="IP92" s="67"/>
      <c r="IQ92" s="67"/>
      <c r="IR92" s="67"/>
      <c r="IS92" s="67"/>
    </row>
    <row r="93" spans="1:257" s="4" customFormat="1" x14ac:dyDescent="0.2">
      <c r="A93" s="243"/>
      <c r="B93" s="244"/>
      <c r="C93" s="248"/>
      <c r="D93" s="183" t="s">
        <v>13</v>
      </c>
      <c r="E93" s="81">
        <f t="shared" si="63"/>
        <v>0</v>
      </c>
      <c r="F93" s="69"/>
      <c r="G93" s="70"/>
      <c r="H93" s="63"/>
      <c r="I93" s="71"/>
      <c r="J93" s="71"/>
      <c r="K93" s="71"/>
      <c r="L93" s="71"/>
      <c r="M93" s="71"/>
      <c r="Y93" s="114"/>
      <c r="Z93" s="114"/>
      <c r="AA93" s="114"/>
      <c r="AB93" s="114"/>
      <c r="AC93" s="114"/>
      <c r="AD93" s="114"/>
      <c r="AE93" s="114"/>
      <c r="AF93" s="114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67"/>
      <c r="BL93" s="6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A93" s="67"/>
      <c r="CB93" s="67"/>
      <c r="CC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  <c r="CR93" s="67"/>
      <c r="CS93" s="67"/>
      <c r="CT93" s="67"/>
      <c r="CU93" s="67"/>
      <c r="CV93" s="67"/>
      <c r="CW93" s="67"/>
      <c r="CX93" s="67"/>
      <c r="CY93" s="67"/>
      <c r="CZ93" s="67"/>
      <c r="DA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/>
      <c r="DS93" s="67"/>
      <c r="DT93" s="67"/>
      <c r="DU93" s="67"/>
      <c r="DV93" s="67"/>
      <c r="DW93" s="67"/>
      <c r="DX93" s="67"/>
      <c r="DY93" s="67"/>
      <c r="DZ93" s="67"/>
      <c r="EA93" s="67"/>
      <c r="EB93" s="67"/>
      <c r="EC93" s="67"/>
      <c r="ED93" s="67"/>
      <c r="EE93" s="67"/>
      <c r="EF93" s="67"/>
      <c r="EG93" s="67"/>
      <c r="EH93" s="67"/>
      <c r="EI93" s="67"/>
      <c r="EJ93" s="67"/>
      <c r="EK93" s="67"/>
      <c r="EL93" s="67"/>
      <c r="EM93" s="67"/>
      <c r="EN93" s="67"/>
      <c r="EO93" s="67"/>
      <c r="EP93" s="67"/>
      <c r="EQ93" s="67"/>
      <c r="ER93" s="67"/>
      <c r="ES93" s="67"/>
      <c r="ET93" s="67"/>
      <c r="EU93" s="67"/>
      <c r="EV93" s="67"/>
      <c r="EW93" s="67"/>
      <c r="EX93" s="67"/>
      <c r="EY93" s="67"/>
      <c r="EZ93" s="67"/>
      <c r="FA93" s="67"/>
      <c r="FB93" s="67"/>
      <c r="FC93" s="67"/>
      <c r="FD93" s="67"/>
      <c r="FE93" s="67"/>
      <c r="FF93" s="67"/>
      <c r="FG93" s="67"/>
      <c r="FH93" s="67"/>
      <c r="FI93" s="67"/>
      <c r="FJ93" s="67"/>
      <c r="FK93" s="67"/>
      <c r="FL93" s="67"/>
      <c r="FM93" s="67"/>
      <c r="FN93" s="67"/>
      <c r="FO93" s="67"/>
      <c r="FP93" s="67"/>
      <c r="FQ93" s="67"/>
      <c r="FR93" s="67"/>
      <c r="FS93" s="67"/>
      <c r="FT93" s="67"/>
      <c r="FU93" s="67"/>
      <c r="FV93" s="67"/>
      <c r="FW93" s="67"/>
      <c r="FX93" s="67"/>
      <c r="FY93" s="67"/>
      <c r="FZ93" s="67"/>
      <c r="GA93" s="67"/>
      <c r="GB93" s="67"/>
      <c r="GC93" s="67"/>
      <c r="GD93" s="67"/>
      <c r="GE93" s="67"/>
      <c r="GF93" s="67"/>
      <c r="GG93" s="67"/>
      <c r="GH93" s="67"/>
      <c r="GI93" s="67"/>
      <c r="GJ93" s="67"/>
      <c r="GK93" s="67"/>
      <c r="GL93" s="67"/>
      <c r="GM93" s="67"/>
      <c r="GN93" s="67"/>
      <c r="GO93" s="67"/>
      <c r="GP93" s="67"/>
      <c r="GQ93" s="67"/>
      <c r="GR93" s="67"/>
      <c r="GS93" s="67"/>
      <c r="GT93" s="67"/>
      <c r="GU93" s="67"/>
      <c r="GV93" s="67"/>
      <c r="GW93" s="67"/>
      <c r="GX93" s="67"/>
      <c r="GY93" s="67"/>
      <c r="GZ93" s="67"/>
      <c r="HA93" s="67"/>
      <c r="HB93" s="67"/>
      <c r="HC93" s="67"/>
      <c r="HD93" s="67"/>
      <c r="HE93" s="67"/>
      <c r="HF93" s="67"/>
      <c r="HG93" s="67"/>
      <c r="HH93" s="67"/>
      <c r="HI93" s="67"/>
      <c r="HJ93" s="67"/>
      <c r="HK93" s="67"/>
      <c r="HL93" s="67"/>
      <c r="HM93" s="67"/>
      <c r="HN93" s="67"/>
      <c r="HO93" s="67"/>
      <c r="HP93" s="67"/>
      <c r="HQ93" s="67"/>
      <c r="HR93" s="67"/>
      <c r="HS93" s="67"/>
      <c r="HT93" s="67"/>
      <c r="HU93" s="67"/>
      <c r="HV93" s="67"/>
      <c r="HW93" s="67"/>
      <c r="HX93" s="67"/>
      <c r="HY93" s="67"/>
      <c r="HZ93" s="67"/>
      <c r="IA93" s="67"/>
      <c r="IB93" s="67"/>
      <c r="IC93" s="67"/>
      <c r="ID93" s="67"/>
      <c r="IE93" s="67"/>
      <c r="IF93" s="67"/>
      <c r="IG93" s="67"/>
      <c r="IH93" s="67"/>
      <c r="II93" s="67"/>
      <c r="IJ93" s="67"/>
      <c r="IK93" s="67"/>
      <c r="IL93" s="67"/>
      <c r="IM93" s="67"/>
      <c r="IN93" s="67"/>
      <c r="IO93" s="67"/>
      <c r="IP93" s="67"/>
      <c r="IQ93" s="67"/>
      <c r="IR93" s="67"/>
    </row>
    <row r="94" spans="1:257" s="4" customFormat="1" x14ac:dyDescent="0.2">
      <c r="A94" s="245"/>
      <c r="B94" s="246"/>
      <c r="C94" s="249"/>
      <c r="D94" s="183" t="s">
        <v>41</v>
      </c>
      <c r="E94" s="82">
        <f>SUM($E$6,$E$10,$E$14,$E$18,$E$22,$E$26,$E$30,$E$34,$E$38,$E$42,$E$46,$E$50,$E$54,$E$58,$E$62,$E$66,$E$70,$E$74,$E$78,$E$82,$E$86,$E$90)</f>
        <v>0</v>
      </c>
      <c r="F94" s="69"/>
      <c r="G94" s="70"/>
      <c r="H94" s="63"/>
      <c r="I94" s="71"/>
      <c r="J94" s="71"/>
      <c r="K94" s="71"/>
      <c r="L94" s="71"/>
      <c r="M94" s="71"/>
      <c r="Y94" s="114"/>
      <c r="Z94" s="114"/>
      <c r="AA94" s="114"/>
      <c r="AB94" s="114"/>
      <c r="AC94" s="114"/>
      <c r="AD94" s="114"/>
      <c r="AE94" s="114"/>
      <c r="AF94" s="114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  <c r="BI94" s="67"/>
      <c r="BJ94" s="67"/>
      <c r="BK94" s="67"/>
      <c r="BL94" s="6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A94" s="67"/>
      <c r="CB94" s="67"/>
      <c r="CC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  <c r="CR94" s="67"/>
      <c r="CS94" s="67"/>
      <c r="CT94" s="67"/>
      <c r="CU94" s="67"/>
      <c r="CV94" s="67"/>
      <c r="CW94" s="67"/>
      <c r="CX94" s="67"/>
      <c r="CY94" s="67"/>
      <c r="CZ94" s="67"/>
      <c r="DA94" s="67"/>
      <c r="DB94" s="67"/>
      <c r="DC94" s="67"/>
      <c r="DD94" s="67"/>
      <c r="DE94" s="67"/>
      <c r="DF94" s="67"/>
      <c r="DG94" s="67"/>
      <c r="DH94" s="67"/>
      <c r="DI94" s="67"/>
      <c r="DJ94" s="67"/>
      <c r="DK94" s="67"/>
      <c r="DL94" s="67"/>
      <c r="DM94" s="67"/>
      <c r="DN94" s="67"/>
      <c r="DO94" s="67"/>
      <c r="DP94" s="67"/>
      <c r="DQ94" s="67"/>
      <c r="DR94" s="67"/>
      <c r="DS94" s="67"/>
      <c r="DT94" s="67"/>
      <c r="DU94" s="67"/>
      <c r="DV94" s="67"/>
      <c r="DW94" s="67"/>
      <c r="DX94" s="67"/>
      <c r="DY94" s="67"/>
      <c r="DZ94" s="67"/>
      <c r="EA94" s="67"/>
      <c r="EB94" s="67"/>
      <c r="EC94" s="67"/>
      <c r="ED94" s="67"/>
      <c r="EE94" s="67"/>
      <c r="EF94" s="67"/>
      <c r="EG94" s="67"/>
      <c r="EH94" s="67"/>
      <c r="EI94" s="67"/>
      <c r="EJ94" s="67"/>
      <c r="EK94" s="67"/>
      <c r="EL94" s="67"/>
      <c r="EM94" s="67"/>
      <c r="EN94" s="67"/>
      <c r="EO94" s="67"/>
      <c r="EP94" s="67"/>
      <c r="EQ94" s="67"/>
      <c r="ER94" s="67"/>
      <c r="ES94" s="67"/>
      <c r="ET94" s="67"/>
      <c r="EU94" s="67"/>
      <c r="EV94" s="67"/>
      <c r="EW94" s="67"/>
      <c r="EX94" s="67"/>
      <c r="EY94" s="67"/>
      <c r="EZ94" s="67"/>
      <c r="FA94" s="67"/>
      <c r="FB94" s="67"/>
      <c r="FC94" s="67"/>
      <c r="FD94" s="67"/>
      <c r="FE94" s="67"/>
      <c r="FF94" s="67"/>
      <c r="FG94" s="67"/>
      <c r="FH94" s="67"/>
      <c r="FI94" s="67"/>
      <c r="FJ94" s="67"/>
      <c r="FK94" s="67"/>
      <c r="FL94" s="67"/>
      <c r="FM94" s="67"/>
      <c r="FN94" s="67"/>
      <c r="FO94" s="67"/>
      <c r="FP94" s="67"/>
      <c r="FQ94" s="67"/>
      <c r="FR94" s="67"/>
      <c r="FS94" s="67"/>
      <c r="FT94" s="67"/>
      <c r="FU94" s="67"/>
      <c r="FV94" s="67"/>
      <c r="FW94" s="67"/>
      <c r="FX94" s="67"/>
      <c r="FY94" s="67"/>
      <c r="FZ94" s="67"/>
      <c r="GA94" s="67"/>
      <c r="GB94" s="67"/>
      <c r="GC94" s="67"/>
      <c r="GD94" s="67"/>
      <c r="GE94" s="67"/>
      <c r="GF94" s="67"/>
      <c r="GG94" s="67"/>
      <c r="GH94" s="67"/>
      <c r="GI94" s="67"/>
      <c r="GJ94" s="67"/>
      <c r="GK94" s="67"/>
      <c r="GL94" s="67"/>
      <c r="GM94" s="67"/>
      <c r="GN94" s="67"/>
      <c r="GO94" s="67"/>
      <c r="GP94" s="67"/>
      <c r="GQ94" s="67"/>
      <c r="GR94" s="67"/>
      <c r="GS94" s="67"/>
      <c r="GT94" s="67"/>
      <c r="GU94" s="67"/>
      <c r="GV94" s="67"/>
      <c r="GW94" s="67"/>
      <c r="GX94" s="67"/>
      <c r="GY94" s="67"/>
      <c r="GZ94" s="67"/>
      <c r="HA94" s="67"/>
      <c r="HB94" s="67"/>
      <c r="HC94" s="67"/>
      <c r="HD94" s="67"/>
      <c r="HE94" s="67"/>
      <c r="HF94" s="67"/>
      <c r="HG94" s="67"/>
      <c r="HH94" s="67"/>
      <c r="HI94" s="67"/>
      <c r="HJ94" s="67"/>
      <c r="HK94" s="67"/>
      <c r="HL94" s="67"/>
      <c r="HM94" s="67"/>
      <c r="HN94" s="67"/>
      <c r="HO94" s="67"/>
      <c r="HP94" s="67"/>
      <c r="HQ94" s="67"/>
      <c r="HR94" s="67"/>
      <c r="HS94" s="67"/>
      <c r="HT94" s="67"/>
      <c r="HU94" s="67"/>
      <c r="HV94" s="67"/>
      <c r="HW94" s="67"/>
      <c r="HX94" s="67"/>
      <c r="HY94" s="67"/>
      <c r="HZ94" s="67"/>
      <c r="IA94" s="67"/>
      <c r="IB94" s="67"/>
      <c r="IC94" s="67"/>
      <c r="ID94" s="67"/>
      <c r="IE94" s="67"/>
      <c r="IF94" s="67"/>
      <c r="IG94" s="67"/>
      <c r="IH94" s="67"/>
      <c r="II94" s="67"/>
      <c r="IJ94" s="67"/>
      <c r="IK94" s="67"/>
      <c r="IL94" s="67"/>
      <c r="IM94" s="67"/>
      <c r="IN94" s="67"/>
      <c r="IO94" s="67"/>
      <c r="IP94" s="67"/>
      <c r="IQ94" s="67"/>
      <c r="IR94" s="67"/>
    </row>
    <row r="95" spans="1:257" s="4" customFormat="1" x14ac:dyDescent="0.2">
      <c r="D95" s="67"/>
      <c r="F95" s="72"/>
      <c r="G95" s="72"/>
      <c r="H95" s="72"/>
      <c r="I95" s="72"/>
      <c r="J95" s="72"/>
      <c r="L95" s="6"/>
      <c r="Z95" s="114"/>
      <c r="AA95" s="114"/>
      <c r="AB95" s="114"/>
      <c r="AC95" s="114"/>
      <c r="AD95" s="114"/>
      <c r="AE95" s="114"/>
      <c r="AF95" s="114"/>
      <c r="AG95" s="114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  <c r="BI95" s="67"/>
      <c r="BJ95" s="67"/>
      <c r="BK95" s="67"/>
      <c r="BL95" s="6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A95" s="67"/>
      <c r="CB95" s="67"/>
      <c r="CC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  <c r="CR95" s="67"/>
      <c r="CS95" s="67"/>
      <c r="CT95" s="67"/>
      <c r="CU95" s="67"/>
      <c r="CV95" s="67"/>
      <c r="CW95" s="67"/>
      <c r="CX95" s="67"/>
      <c r="CY95" s="67"/>
      <c r="CZ95" s="67"/>
      <c r="DA95" s="67"/>
      <c r="DB95" s="67"/>
      <c r="DC95" s="67"/>
      <c r="DD95" s="67"/>
      <c r="DE95" s="67"/>
      <c r="DF95" s="67"/>
      <c r="DG95" s="67"/>
      <c r="DH95" s="67"/>
      <c r="DI95" s="67"/>
      <c r="DJ95" s="67"/>
      <c r="DK95" s="67"/>
      <c r="DL95" s="67"/>
      <c r="DM95" s="67"/>
      <c r="DN95" s="67"/>
      <c r="DO95" s="67"/>
      <c r="DP95" s="67"/>
      <c r="DQ95" s="67"/>
      <c r="DR95" s="67"/>
      <c r="DS95" s="67"/>
      <c r="DT95" s="67"/>
      <c r="DU95" s="67"/>
      <c r="DV95" s="67"/>
      <c r="DW95" s="67"/>
      <c r="DX95" s="67"/>
      <c r="DY95" s="67"/>
      <c r="DZ95" s="67"/>
      <c r="EA95" s="67"/>
      <c r="EB95" s="67"/>
      <c r="EC95" s="67"/>
      <c r="ED95" s="67"/>
      <c r="EE95" s="67"/>
      <c r="EF95" s="67"/>
      <c r="EG95" s="67"/>
      <c r="EH95" s="67"/>
      <c r="EI95" s="67"/>
      <c r="EJ95" s="67"/>
      <c r="EK95" s="67"/>
      <c r="EL95" s="67"/>
      <c r="EM95" s="67"/>
      <c r="EN95" s="67"/>
      <c r="EO95" s="67"/>
      <c r="EP95" s="67"/>
      <c r="EQ95" s="67"/>
      <c r="ER95" s="67"/>
      <c r="ES95" s="67"/>
      <c r="ET95" s="67"/>
      <c r="EU95" s="67"/>
      <c r="EV95" s="67"/>
      <c r="EW95" s="67"/>
      <c r="EX95" s="67"/>
      <c r="EY95" s="67"/>
      <c r="EZ95" s="67"/>
      <c r="FA95" s="67"/>
      <c r="FB95" s="67"/>
      <c r="FC95" s="67"/>
      <c r="FD95" s="67"/>
      <c r="FE95" s="67"/>
      <c r="FF95" s="67"/>
      <c r="FG95" s="67"/>
      <c r="FH95" s="67"/>
      <c r="FI95" s="67"/>
      <c r="FJ95" s="67"/>
      <c r="FK95" s="67"/>
      <c r="FL95" s="67"/>
      <c r="FM95" s="67"/>
      <c r="FN95" s="67"/>
      <c r="FO95" s="67"/>
      <c r="FP95" s="67"/>
      <c r="FQ95" s="67"/>
      <c r="FR95" s="67"/>
      <c r="FS95" s="67"/>
      <c r="FT95" s="67"/>
      <c r="FU95" s="67"/>
      <c r="FV95" s="67"/>
      <c r="FW95" s="67"/>
      <c r="FX95" s="67"/>
      <c r="FY95" s="67"/>
      <c r="FZ95" s="67"/>
      <c r="GA95" s="67"/>
      <c r="GB95" s="67"/>
      <c r="GC95" s="67"/>
      <c r="GD95" s="67"/>
      <c r="GE95" s="67"/>
      <c r="GF95" s="67"/>
      <c r="GG95" s="67"/>
      <c r="GH95" s="67"/>
      <c r="GI95" s="67"/>
      <c r="GJ95" s="67"/>
      <c r="GK95" s="67"/>
      <c r="GL95" s="67"/>
      <c r="GM95" s="67"/>
      <c r="GN95" s="67"/>
      <c r="GO95" s="67"/>
      <c r="GP95" s="67"/>
      <c r="GQ95" s="67"/>
      <c r="GR95" s="67"/>
      <c r="GS95" s="67"/>
      <c r="GT95" s="67"/>
      <c r="GU95" s="67"/>
      <c r="GV95" s="67"/>
      <c r="GW95" s="67"/>
      <c r="GX95" s="67"/>
      <c r="GY95" s="67"/>
      <c r="GZ95" s="67"/>
      <c r="HA95" s="67"/>
      <c r="HB95" s="67"/>
      <c r="HC95" s="67"/>
      <c r="HD95" s="67"/>
      <c r="HE95" s="67"/>
      <c r="HF95" s="67"/>
      <c r="HG95" s="67"/>
      <c r="HH95" s="67"/>
      <c r="HI95" s="67"/>
      <c r="HJ95" s="67"/>
      <c r="HK95" s="67"/>
      <c r="HL95" s="67"/>
      <c r="HM95" s="67"/>
      <c r="HN95" s="67"/>
      <c r="HO95" s="67"/>
      <c r="HP95" s="67"/>
      <c r="HQ95" s="67"/>
      <c r="HR95" s="67"/>
      <c r="HS95" s="67"/>
      <c r="HT95" s="67"/>
      <c r="HU95" s="67"/>
      <c r="HV95" s="67"/>
      <c r="HW95" s="67"/>
      <c r="HX95" s="67"/>
      <c r="HY95" s="67"/>
      <c r="HZ95" s="67"/>
      <c r="IA95" s="67"/>
      <c r="IB95" s="67"/>
      <c r="IC95" s="67"/>
      <c r="ID95" s="67"/>
      <c r="IE95" s="67"/>
      <c r="IF95" s="67"/>
      <c r="IG95" s="67"/>
      <c r="IH95" s="67"/>
      <c r="II95" s="67"/>
      <c r="IJ95" s="67"/>
      <c r="IK95" s="67"/>
      <c r="IL95" s="67"/>
      <c r="IM95" s="67"/>
      <c r="IN95" s="67"/>
      <c r="IO95" s="67"/>
      <c r="IP95" s="67"/>
      <c r="IQ95" s="67"/>
      <c r="IR95" s="67"/>
      <c r="IS95" s="67"/>
    </row>
    <row r="96" spans="1:257" s="4" customFormat="1" x14ac:dyDescent="0.2">
      <c r="C96" s="73"/>
      <c r="L96" s="6"/>
      <c r="Z96" s="114"/>
      <c r="AA96" s="114"/>
      <c r="AB96" s="114"/>
      <c r="AC96" s="114"/>
      <c r="AD96" s="114"/>
      <c r="AE96" s="114"/>
      <c r="AF96" s="114"/>
      <c r="AG96" s="114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  <c r="BI96" s="67"/>
      <c r="BJ96" s="67"/>
      <c r="BK96" s="67"/>
      <c r="BL96" s="6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A96" s="67"/>
      <c r="CB96" s="67"/>
      <c r="CC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  <c r="CR96" s="67"/>
      <c r="CS96" s="67"/>
      <c r="CT96" s="67"/>
      <c r="CU96" s="67"/>
      <c r="CV96" s="67"/>
      <c r="CW96" s="67"/>
      <c r="CX96" s="67"/>
      <c r="CY96" s="67"/>
      <c r="CZ96" s="67"/>
      <c r="DA96" s="67"/>
      <c r="DB96" s="67"/>
      <c r="DC96" s="67"/>
      <c r="DD96" s="67"/>
      <c r="DE96" s="67"/>
      <c r="DF96" s="67"/>
      <c r="DG96" s="67"/>
      <c r="DH96" s="67"/>
      <c r="DI96" s="67"/>
      <c r="DJ96" s="67"/>
      <c r="DK96" s="67"/>
      <c r="DL96" s="67"/>
      <c r="DM96" s="67"/>
      <c r="DN96" s="67"/>
      <c r="DO96" s="67"/>
      <c r="DP96" s="67"/>
      <c r="DQ96" s="67"/>
      <c r="DR96" s="67"/>
      <c r="DS96" s="67"/>
      <c r="DT96" s="67"/>
      <c r="DU96" s="67"/>
      <c r="DV96" s="67"/>
      <c r="DW96" s="67"/>
      <c r="DX96" s="67"/>
      <c r="DY96" s="67"/>
      <c r="DZ96" s="67"/>
      <c r="EA96" s="67"/>
      <c r="EB96" s="67"/>
      <c r="EC96" s="67"/>
      <c r="ED96" s="67"/>
      <c r="EE96" s="67"/>
      <c r="EF96" s="67"/>
      <c r="EG96" s="67"/>
      <c r="EH96" s="67"/>
      <c r="EI96" s="67"/>
      <c r="EJ96" s="67"/>
      <c r="EK96" s="67"/>
      <c r="EL96" s="67"/>
      <c r="EM96" s="67"/>
      <c r="EN96" s="67"/>
      <c r="EO96" s="67"/>
      <c r="EP96" s="67"/>
      <c r="EQ96" s="67"/>
      <c r="ER96" s="67"/>
      <c r="ES96" s="67"/>
      <c r="ET96" s="67"/>
      <c r="EU96" s="67"/>
      <c r="EV96" s="67"/>
      <c r="EW96" s="67"/>
      <c r="EX96" s="67"/>
      <c r="EY96" s="67"/>
      <c r="EZ96" s="67"/>
      <c r="FA96" s="67"/>
      <c r="FB96" s="67"/>
      <c r="FC96" s="67"/>
      <c r="FD96" s="67"/>
      <c r="FE96" s="67"/>
      <c r="FF96" s="67"/>
      <c r="FG96" s="67"/>
      <c r="FH96" s="67"/>
      <c r="FI96" s="67"/>
      <c r="FJ96" s="67"/>
      <c r="FK96" s="67"/>
      <c r="FL96" s="67"/>
      <c r="FM96" s="67"/>
      <c r="FN96" s="67"/>
      <c r="FO96" s="67"/>
      <c r="FP96" s="67"/>
      <c r="FQ96" s="67"/>
      <c r="FR96" s="67"/>
      <c r="FS96" s="67"/>
      <c r="FT96" s="67"/>
      <c r="FU96" s="67"/>
      <c r="FV96" s="67"/>
      <c r="FW96" s="67"/>
      <c r="FX96" s="67"/>
      <c r="FY96" s="67"/>
      <c r="FZ96" s="67"/>
      <c r="GA96" s="67"/>
      <c r="GB96" s="67"/>
      <c r="GC96" s="67"/>
      <c r="GD96" s="67"/>
      <c r="GE96" s="67"/>
      <c r="GF96" s="67"/>
      <c r="GG96" s="67"/>
      <c r="GH96" s="67"/>
      <c r="GI96" s="67"/>
      <c r="GJ96" s="67"/>
      <c r="GK96" s="67"/>
      <c r="GL96" s="67"/>
      <c r="GM96" s="67"/>
      <c r="GN96" s="67"/>
      <c r="GO96" s="67"/>
      <c r="GP96" s="67"/>
      <c r="GQ96" s="67"/>
      <c r="GR96" s="67"/>
      <c r="GS96" s="67"/>
      <c r="GT96" s="67"/>
      <c r="GU96" s="67"/>
      <c r="GV96" s="67"/>
      <c r="GW96" s="67"/>
      <c r="GX96" s="67"/>
      <c r="GY96" s="67"/>
      <c r="GZ96" s="67"/>
      <c r="HA96" s="67"/>
      <c r="HB96" s="67"/>
      <c r="HC96" s="67"/>
      <c r="HD96" s="67"/>
      <c r="HE96" s="67"/>
      <c r="HF96" s="67"/>
      <c r="HG96" s="67"/>
      <c r="HH96" s="67"/>
      <c r="HI96" s="67"/>
      <c r="HJ96" s="67"/>
      <c r="HK96" s="67"/>
      <c r="HL96" s="67"/>
      <c r="HM96" s="67"/>
      <c r="HN96" s="67"/>
      <c r="HO96" s="67"/>
      <c r="HP96" s="67"/>
      <c r="HQ96" s="67"/>
      <c r="HR96" s="67"/>
      <c r="HS96" s="67"/>
      <c r="HT96" s="67"/>
      <c r="HU96" s="67"/>
      <c r="HV96" s="67"/>
      <c r="HW96" s="67"/>
      <c r="HX96" s="67"/>
      <c r="HY96" s="67"/>
      <c r="HZ96" s="67"/>
      <c r="IA96" s="67"/>
      <c r="IB96" s="67"/>
      <c r="IC96" s="67"/>
      <c r="ID96" s="67"/>
      <c r="IE96" s="67"/>
      <c r="IF96" s="67"/>
      <c r="IG96" s="67"/>
      <c r="IH96" s="67"/>
      <c r="II96" s="67"/>
      <c r="IJ96" s="67"/>
      <c r="IK96" s="67"/>
      <c r="IL96" s="67"/>
      <c r="IM96" s="67"/>
      <c r="IN96" s="67"/>
      <c r="IO96" s="67"/>
      <c r="IP96" s="67"/>
      <c r="IQ96" s="67"/>
      <c r="IR96" s="67"/>
      <c r="IS96" s="67"/>
    </row>
    <row r="97" spans="1:257" s="4" customFormat="1" x14ac:dyDescent="0.2">
      <c r="A97" s="67" t="s">
        <v>5</v>
      </c>
      <c r="B97" s="255" t="s">
        <v>6</v>
      </c>
      <c r="C97" s="255"/>
      <c r="L97" s="6"/>
      <c r="Z97" s="104"/>
      <c r="AA97" s="115"/>
      <c r="AB97" s="116"/>
      <c r="AC97" s="114"/>
      <c r="AD97" s="114"/>
      <c r="AE97" s="114"/>
      <c r="AF97" s="114"/>
      <c r="AG97" s="114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  <c r="BI97" s="67"/>
      <c r="BJ97" s="67"/>
      <c r="BK97" s="67"/>
      <c r="BL97" s="6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A97" s="67"/>
      <c r="CB97" s="67"/>
      <c r="CC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  <c r="CR97" s="67"/>
      <c r="CS97" s="67"/>
      <c r="CT97" s="67"/>
      <c r="CU97" s="67"/>
      <c r="CV97" s="67"/>
      <c r="CW97" s="67"/>
      <c r="CX97" s="67"/>
      <c r="CY97" s="67"/>
      <c r="CZ97" s="67"/>
      <c r="DA97" s="67"/>
      <c r="DB97" s="67"/>
      <c r="DC97" s="67"/>
      <c r="DD97" s="67"/>
      <c r="DE97" s="67"/>
      <c r="DF97" s="67"/>
      <c r="DG97" s="67"/>
      <c r="DH97" s="67"/>
      <c r="DI97" s="67"/>
      <c r="DJ97" s="67"/>
      <c r="DK97" s="67"/>
      <c r="DL97" s="67"/>
      <c r="DM97" s="67"/>
      <c r="DN97" s="67"/>
      <c r="DO97" s="67"/>
      <c r="DP97" s="67"/>
      <c r="DQ97" s="67"/>
      <c r="DR97" s="67"/>
      <c r="DS97" s="67"/>
      <c r="DT97" s="67"/>
      <c r="DU97" s="67"/>
      <c r="DV97" s="67"/>
      <c r="DW97" s="67"/>
      <c r="DX97" s="67"/>
      <c r="DY97" s="67"/>
      <c r="DZ97" s="67"/>
      <c r="EA97" s="67"/>
      <c r="EB97" s="67"/>
      <c r="EC97" s="67"/>
      <c r="ED97" s="67"/>
      <c r="EE97" s="67"/>
      <c r="EF97" s="67"/>
      <c r="EG97" s="67"/>
      <c r="EH97" s="67"/>
      <c r="EI97" s="67"/>
      <c r="EJ97" s="67"/>
      <c r="EK97" s="67"/>
      <c r="EL97" s="67"/>
      <c r="EM97" s="67"/>
      <c r="EN97" s="67"/>
      <c r="EO97" s="67"/>
      <c r="EP97" s="67"/>
      <c r="EQ97" s="67"/>
      <c r="ER97" s="67"/>
      <c r="ES97" s="67"/>
      <c r="ET97" s="67"/>
      <c r="EU97" s="67"/>
      <c r="EV97" s="67"/>
      <c r="EW97" s="67"/>
      <c r="EX97" s="67"/>
      <c r="EY97" s="67"/>
      <c r="EZ97" s="67"/>
      <c r="FA97" s="67"/>
      <c r="FB97" s="67"/>
      <c r="FC97" s="67"/>
      <c r="FD97" s="67"/>
      <c r="FE97" s="67"/>
      <c r="FF97" s="67"/>
      <c r="FG97" s="67"/>
      <c r="FH97" s="67"/>
      <c r="FI97" s="67"/>
      <c r="FJ97" s="67"/>
      <c r="FK97" s="67"/>
      <c r="FL97" s="67"/>
      <c r="FM97" s="67"/>
      <c r="FN97" s="67"/>
      <c r="FO97" s="67"/>
      <c r="FP97" s="67"/>
      <c r="FQ97" s="67"/>
      <c r="FR97" s="67"/>
      <c r="FS97" s="67"/>
      <c r="FT97" s="67"/>
      <c r="FU97" s="67"/>
      <c r="FV97" s="67"/>
      <c r="FW97" s="67"/>
      <c r="FX97" s="67"/>
      <c r="FY97" s="67"/>
      <c r="FZ97" s="67"/>
      <c r="GA97" s="67"/>
      <c r="GB97" s="67"/>
      <c r="GC97" s="67"/>
      <c r="GD97" s="67"/>
      <c r="GE97" s="67"/>
      <c r="GF97" s="67"/>
      <c r="GG97" s="67"/>
      <c r="GH97" s="67"/>
      <c r="GI97" s="67"/>
      <c r="GJ97" s="67"/>
      <c r="GK97" s="67"/>
      <c r="GL97" s="67"/>
      <c r="GM97" s="67"/>
      <c r="GN97" s="67"/>
      <c r="GO97" s="67"/>
      <c r="GP97" s="67"/>
      <c r="GQ97" s="67"/>
      <c r="GR97" s="67"/>
      <c r="GS97" s="67"/>
      <c r="GT97" s="67"/>
      <c r="GU97" s="67"/>
      <c r="GV97" s="67"/>
      <c r="GW97" s="67"/>
      <c r="GX97" s="67"/>
      <c r="GY97" s="67"/>
      <c r="GZ97" s="67"/>
      <c r="HA97" s="67"/>
      <c r="HB97" s="67"/>
      <c r="HC97" s="67"/>
      <c r="HD97" s="67"/>
      <c r="HE97" s="67"/>
      <c r="HF97" s="67"/>
      <c r="HG97" s="67"/>
      <c r="HH97" s="67"/>
      <c r="HI97" s="67"/>
      <c r="HJ97" s="67"/>
      <c r="HK97" s="67"/>
      <c r="HL97" s="67"/>
      <c r="HM97" s="67"/>
      <c r="HN97" s="67"/>
      <c r="HO97" s="67"/>
      <c r="HP97" s="67"/>
      <c r="HQ97" s="67"/>
      <c r="HR97" s="67"/>
      <c r="HS97" s="67"/>
      <c r="HT97" s="67"/>
      <c r="HU97" s="67"/>
      <c r="HV97" s="67"/>
      <c r="HW97" s="67"/>
      <c r="HX97" s="67"/>
      <c r="HY97" s="67"/>
      <c r="HZ97" s="67"/>
      <c r="IA97" s="67"/>
      <c r="IB97" s="67"/>
      <c r="IC97" s="67"/>
      <c r="ID97" s="67"/>
      <c r="IE97" s="67"/>
      <c r="IF97" s="67"/>
      <c r="IG97" s="67"/>
      <c r="IH97" s="67"/>
      <c r="II97" s="67"/>
      <c r="IJ97" s="67"/>
      <c r="IK97" s="67"/>
      <c r="IL97" s="67"/>
      <c r="IM97" s="67"/>
      <c r="IN97" s="67"/>
      <c r="IO97" s="67"/>
      <c r="IP97" s="67"/>
      <c r="IQ97" s="67"/>
      <c r="IR97" s="67"/>
      <c r="IS97" s="67"/>
      <c r="IT97" s="67"/>
      <c r="IU97" s="67"/>
      <c r="IV97" s="67"/>
      <c r="IW97" s="67"/>
    </row>
    <row r="98" spans="1:257" s="4" customFormat="1" x14ac:dyDescent="0.2">
      <c r="B98" s="256" t="s">
        <v>7</v>
      </c>
      <c r="C98" s="256"/>
      <c r="Z98" s="104"/>
      <c r="AA98" s="115"/>
      <c r="AB98" s="116"/>
      <c r="AC98" s="114"/>
      <c r="AD98" s="114"/>
      <c r="AE98" s="114"/>
      <c r="AF98" s="114"/>
      <c r="AG98" s="114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  <c r="BI98" s="67"/>
      <c r="BJ98" s="67"/>
      <c r="BK98" s="67"/>
      <c r="BL98" s="6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A98" s="67"/>
      <c r="CB98" s="67"/>
      <c r="CC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  <c r="CR98" s="67"/>
      <c r="CS98" s="67"/>
      <c r="CT98" s="67"/>
      <c r="CU98" s="67"/>
      <c r="CV98" s="67"/>
      <c r="CW98" s="67"/>
      <c r="CX98" s="67"/>
      <c r="CY98" s="67"/>
      <c r="CZ98" s="67"/>
      <c r="DA98" s="67"/>
      <c r="DB98" s="67"/>
      <c r="DC98" s="67"/>
      <c r="DD98" s="67"/>
      <c r="DE98" s="67"/>
      <c r="DF98" s="67"/>
      <c r="DG98" s="67"/>
      <c r="DH98" s="67"/>
      <c r="DI98" s="67"/>
      <c r="DJ98" s="67"/>
      <c r="DK98" s="67"/>
      <c r="DL98" s="67"/>
      <c r="DM98" s="67"/>
      <c r="DN98" s="67"/>
      <c r="DO98" s="67"/>
      <c r="DP98" s="67"/>
      <c r="DQ98" s="67"/>
      <c r="DR98" s="67"/>
      <c r="DS98" s="67"/>
      <c r="DT98" s="67"/>
      <c r="DU98" s="67"/>
      <c r="DV98" s="67"/>
      <c r="DW98" s="67"/>
      <c r="DX98" s="67"/>
      <c r="DY98" s="67"/>
      <c r="DZ98" s="67"/>
      <c r="EA98" s="67"/>
      <c r="EB98" s="67"/>
      <c r="EC98" s="67"/>
      <c r="ED98" s="67"/>
      <c r="EE98" s="67"/>
      <c r="EF98" s="67"/>
      <c r="EG98" s="67"/>
      <c r="EH98" s="67"/>
      <c r="EI98" s="67"/>
      <c r="EJ98" s="67"/>
      <c r="EK98" s="67"/>
      <c r="EL98" s="67"/>
      <c r="EM98" s="67"/>
      <c r="EN98" s="67"/>
      <c r="EO98" s="67"/>
      <c r="EP98" s="67"/>
      <c r="EQ98" s="67"/>
      <c r="ER98" s="67"/>
      <c r="ES98" s="67"/>
      <c r="ET98" s="67"/>
      <c r="EU98" s="67"/>
      <c r="EV98" s="67"/>
      <c r="EW98" s="67"/>
      <c r="EX98" s="67"/>
      <c r="EY98" s="67"/>
      <c r="EZ98" s="67"/>
      <c r="FA98" s="67"/>
      <c r="FB98" s="67"/>
      <c r="FC98" s="67"/>
      <c r="FD98" s="67"/>
      <c r="FE98" s="67"/>
      <c r="FF98" s="67"/>
      <c r="FG98" s="67"/>
      <c r="FH98" s="67"/>
      <c r="FI98" s="67"/>
      <c r="FJ98" s="67"/>
      <c r="FK98" s="67"/>
      <c r="FL98" s="67"/>
      <c r="FM98" s="67"/>
      <c r="FN98" s="67"/>
      <c r="FO98" s="67"/>
      <c r="FP98" s="67"/>
      <c r="FQ98" s="67"/>
      <c r="FR98" s="67"/>
      <c r="FS98" s="67"/>
      <c r="FT98" s="67"/>
      <c r="FU98" s="67"/>
      <c r="FV98" s="67"/>
      <c r="FW98" s="67"/>
      <c r="FX98" s="67"/>
      <c r="FY98" s="67"/>
      <c r="FZ98" s="67"/>
      <c r="GA98" s="67"/>
      <c r="GB98" s="67"/>
      <c r="GC98" s="67"/>
      <c r="GD98" s="67"/>
      <c r="GE98" s="67"/>
      <c r="GF98" s="67"/>
      <c r="GG98" s="67"/>
      <c r="GH98" s="67"/>
      <c r="GI98" s="67"/>
      <c r="GJ98" s="67"/>
      <c r="GK98" s="67"/>
      <c r="GL98" s="67"/>
      <c r="GM98" s="67"/>
      <c r="GN98" s="67"/>
      <c r="GO98" s="67"/>
      <c r="GP98" s="67"/>
      <c r="GQ98" s="67"/>
      <c r="GR98" s="67"/>
      <c r="GS98" s="67"/>
      <c r="GT98" s="67"/>
      <c r="GU98" s="67"/>
      <c r="GV98" s="67"/>
      <c r="GW98" s="67"/>
      <c r="GX98" s="67"/>
      <c r="GY98" s="67"/>
      <c r="GZ98" s="67"/>
      <c r="HA98" s="67"/>
      <c r="HB98" s="67"/>
      <c r="HC98" s="67"/>
      <c r="HD98" s="67"/>
      <c r="HE98" s="67"/>
      <c r="HF98" s="67"/>
      <c r="HG98" s="67"/>
      <c r="HH98" s="67"/>
      <c r="HI98" s="67"/>
      <c r="HJ98" s="67"/>
      <c r="HK98" s="67"/>
      <c r="HL98" s="67"/>
      <c r="HM98" s="67"/>
      <c r="HN98" s="67"/>
      <c r="HO98" s="67"/>
      <c r="HP98" s="67"/>
      <c r="HQ98" s="67"/>
      <c r="HR98" s="67"/>
      <c r="HS98" s="67"/>
      <c r="HT98" s="67"/>
      <c r="HU98" s="67"/>
      <c r="HV98" s="67"/>
      <c r="HW98" s="67"/>
      <c r="HX98" s="67"/>
      <c r="HY98" s="67"/>
      <c r="HZ98" s="67"/>
      <c r="IA98" s="67"/>
      <c r="IB98" s="67"/>
      <c r="IC98" s="67"/>
      <c r="ID98" s="67"/>
      <c r="IE98" s="67"/>
      <c r="IF98" s="67"/>
      <c r="IG98" s="67"/>
      <c r="IH98" s="67"/>
      <c r="II98" s="67"/>
      <c r="IJ98" s="67"/>
      <c r="IK98" s="67"/>
      <c r="IL98" s="67"/>
      <c r="IM98" s="67"/>
      <c r="IN98" s="67"/>
      <c r="IO98" s="67"/>
      <c r="IP98" s="67"/>
      <c r="IQ98" s="67"/>
      <c r="IR98" s="67"/>
      <c r="IS98" s="67"/>
      <c r="IT98" s="67"/>
      <c r="IU98" s="67"/>
      <c r="IV98" s="67"/>
      <c r="IW98" s="67"/>
    </row>
    <row r="99" spans="1:257" s="4" customFormat="1" x14ac:dyDescent="0.2">
      <c r="B99" s="257" t="s">
        <v>9</v>
      </c>
      <c r="C99" s="257"/>
      <c r="Z99" s="104"/>
      <c r="AA99" s="115"/>
      <c r="AB99" s="116"/>
      <c r="AC99" s="114"/>
      <c r="AD99" s="114"/>
      <c r="AE99" s="114"/>
      <c r="AF99" s="114"/>
      <c r="AG99" s="114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  <c r="BI99" s="67"/>
      <c r="BJ99" s="67"/>
      <c r="BK99" s="67"/>
      <c r="BL99" s="6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A99" s="67"/>
      <c r="CB99" s="67"/>
      <c r="CC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  <c r="CR99" s="67"/>
      <c r="CS99" s="67"/>
      <c r="CT99" s="67"/>
      <c r="CU99" s="67"/>
      <c r="CV99" s="67"/>
      <c r="CW99" s="67"/>
      <c r="CX99" s="67"/>
      <c r="CY99" s="67"/>
      <c r="CZ99" s="67"/>
      <c r="DA99" s="67"/>
      <c r="DB99" s="67"/>
      <c r="DC99" s="67"/>
      <c r="DD99" s="67"/>
      <c r="DE99" s="67"/>
      <c r="DF99" s="67"/>
      <c r="DG99" s="67"/>
      <c r="DH99" s="67"/>
      <c r="DI99" s="67"/>
      <c r="DJ99" s="67"/>
      <c r="DK99" s="67"/>
      <c r="DL99" s="67"/>
      <c r="DM99" s="67"/>
      <c r="DN99" s="67"/>
      <c r="DO99" s="67"/>
      <c r="DP99" s="67"/>
      <c r="DQ99" s="67"/>
      <c r="DR99" s="67"/>
      <c r="DS99" s="67"/>
      <c r="DT99" s="67"/>
      <c r="DU99" s="67"/>
      <c r="DV99" s="67"/>
      <c r="DW99" s="67"/>
      <c r="DX99" s="67"/>
      <c r="DY99" s="67"/>
      <c r="DZ99" s="67"/>
      <c r="EA99" s="67"/>
      <c r="EB99" s="67"/>
      <c r="EC99" s="67"/>
      <c r="ED99" s="67"/>
      <c r="EE99" s="67"/>
      <c r="EF99" s="67"/>
      <c r="EG99" s="67"/>
      <c r="EH99" s="67"/>
      <c r="EI99" s="67"/>
      <c r="EJ99" s="67"/>
      <c r="EK99" s="67"/>
      <c r="EL99" s="67"/>
      <c r="EM99" s="67"/>
      <c r="EN99" s="67"/>
      <c r="EO99" s="67"/>
      <c r="EP99" s="67"/>
      <c r="EQ99" s="67"/>
      <c r="ER99" s="67"/>
      <c r="ES99" s="67"/>
      <c r="ET99" s="67"/>
      <c r="EU99" s="67"/>
      <c r="EV99" s="67"/>
      <c r="EW99" s="67"/>
      <c r="EX99" s="67"/>
      <c r="EY99" s="67"/>
      <c r="EZ99" s="67"/>
      <c r="FA99" s="67"/>
      <c r="FB99" s="67"/>
      <c r="FC99" s="67"/>
      <c r="FD99" s="67"/>
      <c r="FE99" s="67"/>
      <c r="FF99" s="67"/>
      <c r="FG99" s="67"/>
      <c r="FH99" s="67"/>
      <c r="FI99" s="67"/>
      <c r="FJ99" s="67"/>
      <c r="FK99" s="67"/>
      <c r="FL99" s="67"/>
      <c r="FM99" s="67"/>
      <c r="FN99" s="67"/>
      <c r="FO99" s="67"/>
      <c r="FP99" s="67"/>
      <c r="FQ99" s="67"/>
      <c r="FR99" s="67"/>
      <c r="FS99" s="67"/>
      <c r="FT99" s="67"/>
      <c r="FU99" s="67"/>
      <c r="FV99" s="67"/>
      <c r="FW99" s="67"/>
      <c r="FX99" s="67"/>
      <c r="FY99" s="67"/>
      <c r="FZ99" s="67"/>
      <c r="GA99" s="67"/>
      <c r="GB99" s="67"/>
      <c r="GC99" s="67"/>
      <c r="GD99" s="67"/>
      <c r="GE99" s="67"/>
      <c r="GF99" s="67"/>
      <c r="GG99" s="67"/>
      <c r="GH99" s="67"/>
      <c r="GI99" s="67"/>
      <c r="GJ99" s="67"/>
      <c r="GK99" s="67"/>
      <c r="GL99" s="67"/>
      <c r="GM99" s="67"/>
      <c r="GN99" s="67"/>
      <c r="GO99" s="67"/>
      <c r="GP99" s="67"/>
      <c r="GQ99" s="67"/>
      <c r="GR99" s="67"/>
      <c r="GS99" s="67"/>
      <c r="GT99" s="67"/>
      <c r="GU99" s="67"/>
      <c r="GV99" s="67"/>
      <c r="GW99" s="67"/>
      <c r="GX99" s="67"/>
      <c r="GY99" s="67"/>
      <c r="GZ99" s="67"/>
      <c r="HA99" s="67"/>
      <c r="HB99" s="67"/>
      <c r="HC99" s="67"/>
      <c r="HD99" s="67"/>
      <c r="HE99" s="67"/>
      <c r="HF99" s="67"/>
      <c r="HG99" s="67"/>
      <c r="HH99" s="67"/>
      <c r="HI99" s="67"/>
      <c r="HJ99" s="67"/>
      <c r="HK99" s="67"/>
      <c r="HL99" s="67"/>
      <c r="HM99" s="67"/>
      <c r="HN99" s="67"/>
      <c r="HO99" s="67"/>
      <c r="HP99" s="67"/>
      <c r="HQ99" s="67"/>
      <c r="HR99" s="67"/>
      <c r="HS99" s="67"/>
      <c r="HT99" s="67"/>
      <c r="HU99" s="67"/>
      <c r="HV99" s="67"/>
      <c r="HW99" s="67"/>
      <c r="HX99" s="67"/>
      <c r="HY99" s="67"/>
      <c r="HZ99" s="67"/>
      <c r="IA99" s="67"/>
      <c r="IB99" s="67"/>
      <c r="IC99" s="67"/>
      <c r="ID99" s="67"/>
      <c r="IE99" s="67"/>
      <c r="IF99" s="67"/>
      <c r="IG99" s="67"/>
      <c r="IH99" s="67"/>
      <c r="II99" s="67"/>
      <c r="IJ99" s="67"/>
      <c r="IK99" s="67"/>
      <c r="IL99" s="67"/>
      <c r="IM99" s="67"/>
      <c r="IN99" s="67"/>
      <c r="IO99" s="67"/>
      <c r="IP99" s="67"/>
      <c r="IQ99" s="67"/>
      <c r="IR99" s="67"/>
      <c r="IS99" s="67"/>
      <c r="IT99" s="67"/>
      <c r="IU99" s="67"/>
      <c r="IV99" s="67"/>
      <c r="IW99" s="67"/>
    </row>
    <row r="100" spans="1:257" s="4" customFormat="1" x14ac:dyDescent="0.2">
      <c r="B100" s="258" t="s">
        <v>8</v>
      </c>
      <c r="C100" s="258"/>
      <c r="Z100" s="104"/>
      <c r="AA100" s="115"/>
      <c r="AB100" s="116"/>
      <c r="AC100" s="114"/>
      <c r="AD100" s="114"/>
      <c r="AE100" s="114"/>
      <c r="AF100" s="114"/>
      <c r="AG100" s="114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  <c r="BI100" s="67"/>
      <c r="BJ100" s="67"/>
      <c r="BK100" s="67"/>
      <c r="BL100" s="6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/>
      <c r="DS100" s="67"/>
      <c r="DT100" s="67"/>
      <c r="DU100" s="67"/>
      <c r="DV100" s="67"/>
      <c r="DW100" s="67"/>
      <c r="DX100" s="67"/>
      <c r="DY100" s="67"/>
      <c r="DZ100" s="67"/>
      <c r="EA100" s="67"/>
      <c r="EB100" s="67"/>
      <c r="EC100" s="67"/>
      <c r="ED100" s="67"/>
      <c r="EE100" s="67"/>
      <c r="EF100" s="67"/>
      <c r="EG100" s="67"/>
      <c r="EH100" s="67"/>
      <c r="EI100" s="67"/>
      <c r="EJ100" s="67"/>
      <c r="EK100" s="67"/>
      <c r="EL100" s="67"/>
      <c r="EM100" s="67"/>
      <c r="EN100" s="67"/>
      <c r="EO100" s="67"/>
      <c r="EP100" s="67"/>
      <c r="EQ100" s="67"/>
      <c r="ER100" s="67"/>
      <c r="ES100" s="67"/>
      <c r="ET100" s="67"/>
      <c r="EU100" s="67"/>
      <c r="EV100" s="67"/>
      <c r="EW100" s="67"/>
      <c r="EX100" s="67"/>
      <c r="EY100" s="67"/>
      <c r="EZ100" s="67"/>
      <c r="FA100" s="67"/>
      <c r="FB100" s="67"/>
      <c r="FC100" s="67"/>
      <c r="FD100" s="67"/>
      <c r="FE100" s="67"/>
      <c r="FF100" s="67"/>
      <c r="FG100" s="67"/>
      <c r="FH100" s="67"/>
      <c r="FI100" s="67"/>
      <c r="FJ100" s="67"/>
      <c r="FK100" s="67"/>
      <c r="FL100" s="67"/>
      <c r="FM100" s="67"/>
      <c r="FN100" s="67"/>
      <c r="FO100" s="67"/>
      <c r="FP100" s="67"/>
      <c r="FQ100" s="67"/>
      <c r="FR100" s="67"/>
      <c r="FS100" s="67"/>
      <c r="FT100" s="67"/>
      <c r="FU100" s="67"/>
      <c r="FV100" s="67"/>
      <c r="FW100" s="67"/>
      <c r="FX100" s="67"/>
      <c r="FY100" s="67"/>
      <c r="FZ100" s="67"/>
      <c r="GA100" s="67"/>
      <c r="GB100" s="67"/>
      <c r="GC100" s="67"/>
      <c r="GD100" s="67"/>
      <c r="GE100" s="67"/>
      <c r="GF100" s="67"/>
      <c r="GG100" s="67"/>
      <c r="GH100" s="67"/>
      <c r="GI100" s="67"/>
      <c r="GJ100" s="67"/>
      <c r="GK100" s="67"/>
      <c r="GL100" s="67"/>
      <c r="GM100" s="67"/>
      <c r="GN100" s="67"/>
      <c r="GO100" s="67"/>
      <c r="GP100" s="67"/>
      <c r="GQ100" s="67"/>
      <c r="GR100" s="67"/>
      <c r="GS100" s="67"/>
      <c r="GT100" s="67"/>
      <c r="GU100" s="67"/>
      <c r="GV100" s="67"/>
      <c r="GW100" s="67"/>
      <c r="GX100" s="67"/>
      <c r="GY100" s="67"/>
      <c r="GZ100" s="67"/>
      <c r="HA100" s="67"/>
      <c r="HB100" s="67"/>
      <c r="HC100" s="67"/>
      <c r="HD100" s="67"/>
      <c r="HE100" s="67"/>
      <c r="HF100" s="67"/>
      <c r="HG100" s="67"/>
      <c r="HH100" s="67"/>
      <c r="HI100" s="67"/>
      <c r="HJ100" s="67"/>
      <c r="HK100" s="67"/>
      <c r="HL100" s="67"/>
      <c r="HM100" s="67"/>
      <c r="HN100" s="67"/>
      <c r="HO100" s="67"/>
      <c r="HP100" s="67"/>
      <c r="HQ100" s="67"/>
      <c r="HR100" s="67"/>
      <c r="HS100" s="67"/>
      <c r="HT100" s="67"/>
      <c r="HU100" s="67"/>
      <c r="HV100" s="67"/>
      <c r="HW100" s="67"/>
      <c r="HX100" s="67"/>
      <c r="HY100" s="67"/>
      <c r="HZ100" s="67"/>
      <c r="IA100" s="67"/>
      <c r="IB100" s="67"/>
      <c r="IC100" s="67"/>
      <c r="ID100" s="67"/>
      <c r="IE100" s="67"/>
      <c r="IF100" s="67"/>
      <c r="IG100" s="67"/>
      <c r="IH100" s="67"/>
      <c r="II100" s="67"/>
      <c r="IJ100" s="67"/>
      <c r="IK100" s="67"/>
      <c r="IL100" s="67"/>
      <c r="IM100" s="67"/>
      <c r="IN100" s="67"/>
      <c r="IO100" s="67"/>
      <c r="IP100" s="67"/>
      <c r="IQ100" s="67"/>
      <c r="IR100" s="67"/>
      <c r="IS100" s="67"/>
      <c r="IT100" s="67"/>
      <c r="IU100" s="67"/>
      <c r="IV100" s="67"/>
      <c r="IW100" s="67"/>
    </row>
    <row r="101" spans="1:257" s="4" customFormat="1" x14ac:dyDescent="0.2">
      <c r="C101" s="73"/>
      <c r="Z101" s="104"/>
      <c r="AA101" s="115"/>
      <c r="AB101" s="116"/>
      <c r="AC101" s="114"/>
      <c r="AD101" s="114"/>
      <c r="AE101" s="114"/>
      <c r="AF101" s="114"/>
      <c r="AG101" s="114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  <c r="BI101" s="67"/>
      <c r="BJ101" s="67"/>
      <c r="BK101" s="67"/>
      <c r="BL101" s="6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A101" s="67"/>
      <c r="CB101" s="67"/>
      <c r="CC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  <c r="CR101" s="67"/>
      <c r="CS101" s="67"/>
      <c r="CT101" s="67"/>
      <c r="CU101" s="67"/>
      <c r="CV101" s="67"/>
      <c r="CW101" s="67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/>
      <c r="DS101" s="67"/>
      <c r="DT101" s="67"/>
      <c r="DU101" s="67"/>
      <c r="DV101" s="67"/>
      <c r="DW101" s="67"/>
      <c r="DX101" s="67"/>
      <c r="DY101" s="67"/>
      <c r="DZ101" s="67"/>
      <c r="EA101" s="67"/>
      <c r="EB101" s="67"/>
      <c r="EC101" s="67"/>
      <c r="ED101" s="67"/>
      <c r="EE101" s="67"/>
      <c r="EF101" s="67"/>
      <c r="EG101" s="67"/>
      <c r="EH101" s="67"/>
      <c r="EI101" s="67"/>
      <c r="EJ101" s="67"/>
      <c r="EK101" s="67"/>
      <c r="EL101" s="67"/>
      <c r="EM101" s="67"/>
      <c r="EN101" s="67"/>
      <c r="EO101" s="67"/>
      <c r="EP101" s="67"/>
      <c r="EQ101" s="67"/>
      <c r="ER101" s="67"/>
      <c r="ES101" s="67"/>
      <c r="ET101" s="67"/>
      <c r="EU101" s="67"/>
      <c r="EV101" s="67"/>
      <c r="EW101" s="67"/>
      <c r="EX101" s="67"/>
      <c r="EY101" s="67"/>
      <c r="EZ101" s="67"/>
      <c r="FA101" s="67"/>
      <c r="FB101" s="67"/>
      <c r="FC101" s="67"/>
      <c r="FD101" s="67"/>
      <c r="FE101" s="67"/>
      <c r="FF101" s="67"/>
      <c r="FG101" s="67"/>
      <c r="FH101" s="67"/>
      <c r="FI101" s="67"/>
      <c r="FJ101" s="67"/>
      <c r="FK101" s="67"/>
      <c r="FL101" s="67"/>
      <c r="FM101" s="67"/>
      <c r="FN101" s="67"/>
      <c r="FO101" s="67"/>
      <c r="FP101" s="67"/>
      <c r="FQ101" s="67"/>
      <c r="FR101" s="67"/>
      <c r="FS101" s="67"/>
      <c r="FT101" s="67"/>
      <c r="FU101" s="67"/>
      <c r="FV101" s="67"/>
      <c r="FW101" s="67"/>
      <c r="FX101" s="67"/>
      <c r="FY101" s="67"/>
      <c r="FZ101" s="67"/>
      <c r="GA101" s="67"/>
      <c r="GB101" s="67"/>
      <c r="GC101" s="67"/>
      <c r="GD101" s="67"/>
      <c r="GE101" s="67"/>
      <c r="GF101" s="67"/>
      <c r="GG101" s="67"/>
      <c r="GH101" s="67"/>
      <c r="GI101" s="67"/>
      <c r="GJ101" s="67"/>
      <c r="GK101" s="67"/>
      <c r="GL101" s="67"/>
      <c r="GM101" s="67"/>
      <c r="GN101" s="67"/>
      <c r="GO101" s="67"/>
      <c r="GP101" s="67"/>
      <c r="GQ101" s="67"/>
      <c r="GR101" s="67"/>
      <c r="GS101" s="67"/>
      <c r="GT101" s="67"/>
      <c r="GU101" s="67"/>
      <c r="GV101" s="67"/>
      <c r="GW101" s="67"/>
      <c r="GX101" s="67"/>
      <c r="GY101" s="67"/>
      <c r="GZ101" s="67"/>
      <c r="HA101" s="67"/>
      <c r="HB101" s="67"/>
      <c r="HC101" s="67"/>
      <c r="HD101" s="67"/>
      <c r="HE101" s="67"/>
      <c r="HF101" s="67"/>
      <c r="HG101" s="67"/>
      <c r="HH101" s="67"/>
      <c r="HI101" s="67"/>
      <c r="HJ101" s="67"/>
      <c r="HK101" s="67"/>
      <c r="HL101" s="67"/>
      <c r="HM101" s="67"/>
      <c r="HN101" s="67"/>
      <c r="HO101" s="67"/>
      <c r="HP101" s="67"/>
      <c r="HQ101" s="67"/>
      <c r="HR101" s="67"/>
      <c r="HS101" s="67"/>
      <c r="HT101" s="67"/>
      <c r="HU101" s="67"/>
      <c r="HV101" s="67"/>
      <c r="HW101" s="67"/>
      <c r="HX101" s="67"/>
      <c r="HY101" s="67"/>
      <c r="HZ101" s="67"/>
      <c r="IA101" s="67"/>
      <c r="IB101" s="67"/>
      <c r="IC101" s="67"/>
      <c r="ID101" s="67"/>
      <c r="IE101" s="67"/>
      <c r="IF101" s="67"/>
      <c r="IG101" s="67"/>
      <c r="IH101" s="67"/>
      <c r="II101" s="67"/>
      <c r="IJ101" s="67"/>
      <c r="IK101" s="67"/>
      <c r="IL101" s="67"/>
      <c r="IM101" s="67"/>
      <c r="IN101" s="67"/>
      <c r="IO101" s="67"/>
      <c r="IP101" s="67"/>
      <c r="IQ101" s="67"/>
      <c r="IR101" s="67"/>
      <c r="IS101" s="67"/>
      <c r="IT101" s="67"/>
      <c r="IU101" s="67"/>
      <c r="IV101" s="67"/>
      <c r="IW101" s="67"/>
    </row>
    <row r="102" spans="1:257" s="4" customFormat="1" x14ac:dyDescent="0.2">
      <c r="B102" s="259" t="s">
        <v>51</v>
      </c>
      <c r="C102" s="260"/>
      <c r="Z102" s="104"/>
      <c r="AA102" s="115"/>
      <c r="AB102" s="116"/>
      <c r="AC102" s="114"/>
      <c r="AD102" s="114"/>
      <c r="AE102" s="114"/>
      <c r="AF102" s="114"/>
      <c r="AG102" s="114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  <c r="BI102" s="67"/>
      <c r="BJ102" s="67"/>
      <c r="BK102" s="67"/>
      <c r="BL102" s="6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A102" s="67"/>
      <c r="CB102" s="67"/>
      <c r="CC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  <c r="CR102" s="67"/>
      <c r="CS102" s="67"/>
      <c r="CT102" s="67"/>
      <c r="CU102" s="67"/>
      <c r="CV102" s="67"/>
      <c r="CW102" s="67"/>
      <c r="CX102" s="67"/>
      <c r="CY102" s="67"/>
      <c r="CZ102" s="67"/>
      <c r="DA102" s="67"/>
      <c r="DB102" s="67"/>
      <c r="DC102" s="67"/>
      <c r="DD102" s="67"/>
      <c r="DE102" s="67"/>
      <c r="DF102" s="67"/>
      <c r="DG102" s="67"/>
      <c r="DH102" s="67"/>
      <c r="DI102" s="67"/>
      <c r="DJ102" s="67"/>
      <c r="DK102" s="67"/>
      <c r="DL102" s="67"/>
      <c r="DM102" s="67"/>
      <c r="DN102" s="67"/>
      <c r="DO102" s="67"/>
      <c r="DP102" s="67"/>
      <c r="DQ102" s="67"/>
      <c r="DR102" s="67"/>
      <c r="DS102" s="67"/>
      <c r="DT102" s="67"/>
      <c r="DU102" s="67"/>
      <c r="DV102" s="67"/>
      <c r="DW102" s="67"/>
      <c r="DX102" s="67"/>
      <c r="DY102" s="67"/>
      <c r="DZ102" s="67"/>
      <c r="EA102" s="67"/>
      <c r="EB102" s="67"/>
      <c r="EC102" s="67"/>
      <c r="ED102" s="67"/>
      <c r="EE102" s="67"/>
      <c r="EF102" s="67"/>
      <c r="EG102" s="67"/>
      <c r="EH102" s="67"/>
      <c r="EI102" s="67"/>
      <c r="EJ102" s="67"/>
      <c r="EK102" s="67"/>
      <c r="EL102" s="67"/>
      <c r="EM102" s="67"/>
      <c r="EN102" s="67"/>
      <c r="EO102" s="67"/>
      <c r="EP102" s="67"/>
      <c r="EQ102" s="67"/>
      <c r="ER102" s="67"/>
      <c r="ES102" s="67"/>
      <c r="ET102" s="67"/>
      <c r="EU102" s="67"/>
      <c r="EV102" s="67"/>
      <c r="EW102" s="67"/>
      <c r="EX102" s="67"/>
      <c r="EY102" s="67"/>
      <c r="EZ102" s="67"/>
      <c r="FA102" s="67"/>
      <c r="FB102" s="67"/>
      <c r="FC102" s="67"/>
      <c r="FD102" s="67"/>
      <c r="FE102" s="67"/>
      <c r="FF102" s="67"/>
      <c r="FG102" s="67"/>
      <c r="FH102" s="67"/>
      <c r="FI102" s="67"/>
      <c r="FJ102" s="67"/>
      <c r="FK102" s="67"/>
      <c r="FL102" s="67"/>
      <c r="FM102" s="67"/>
      <c r="FN102" s="67"/>
      <c r="FO102" s="67"/>
      <c r="FP102" s="67"/>
      <c r="FQ102" s="67"/>
      <c r="FR102" s="67"/>
      <c r="FS102" s="67"/>
      <c r="FT102" s="67"/>
      <c r="FU102" s="67"/>
      <c r="FV102" s="67"/>
      <c r="FW102" s="67"/>
      <c r="FX102" s="67"/>
      <c r="FY102" s="67"/>
      <c r="FZ102" s="67"/>
      <c r="GA102" s="67"/>
      <c r="GB102" s="67"/>
      <c r="GC102" s="67"/>
      <c r="GD102" s="67"/>
      <c r="GE102" s="67"/>
      <c r="GF102" s="67"/>
      <c r="GG102" s="67"/>
      <c r="GH102" s="67"/>
      <c r="GI102" s="67"/>
      <c r="GJ102" s="67"/>
      <c r="GK102" s="67"/>
      <c r="GL102" s="67"/>
      <c r="GM102" s="67"/>
      <c r="GN102" s="67"/>
      <c r="GO102" s="67"/>
      <c r="GP102" s="67"/>
      <c r="GQ102" s="67"/>
      <c r="GR102" s="67"/>
      <c r="GS102" s="67"/>
      <c r="GT102" s="67"/>
      <c r="GU102" s="67"/>
      <c r="GV102" s="67"/>
      <c r="GW102" s="67"/>
      <c r="GX102" s="67"/>
      <c r="GY102" s="67"/>
      <c r="GZ102" s="67"/>
      <c r="HA102" s="67"/>
      <c r="HB102" s="67"/>
      <c r="HC102" s="67"/>
      <c r="HD102" s="67"/>
      <c r="HE102" s="67"/>
      <c r="HF102" s="67"/>
      <c r="HG102" s="67"/>
      <c r="HH102" s="67"/>
      <c r="HI102" s="67"/>
      <c r="HJ102" s="67"/>
      <c r="HK102" s="67"/>
      <c r="HL102" s="67"/>
      <c r="HM102" s="67"/>
      <c r="HN102" s="67"/>
      <c r="HO102" s="67"/>
      <c r="HP102" s="67"/>
      <c r="HQ102" s="67"/>
      <c r="HR102" s="67"/>
      <c r="HS102" s="67"/>
      <c r="HT102" s="67"/>
      <c r="HU102" s="67"/>
      <c r="HV102" s="67"/>
      <c r="HW102" s="67"/>
      <c r="HX102" s="67"/>
      <c r="HY102" s="67"/>
      <c r="HZ102" s="67"/>
      <c r="IA102" s="67"/>
      <c r="IB102" s="67"/>
      <c r="IC102" s="67"/>
      <c r="ID102" s="67"/>
      <c r="IE102" s="67"/>
      <c r="IF102" s="67"/>
      <c r="IG102" s="67"/>
      <c r="IH102" s="67"/>
      <c r="II102" s="67"/>
      <c r="IJ102" s="67"/>
      <c r="IK102" s="67"/>
      <c r="IL102" s="67"/>
      <c r="IM102" s="67"/>
      <c r="IN102" s="67"/>
      <c r="IO102" s="67"/>
      <c r="IP102" s="67"/>
      <c r="IQ102" s="67"/>
      <c r="IR102" s="67"/>
      <c r="IS102" s="67"/>
      <c r="IT102" s="67"/>
      <c r="IU102" s="67"/>
      <c r="IV102" s="67"/>
      <c r="IW102" s="67"/>
    </row>
    <row r="103" spans="1:257" s="4" customFormat="1" x14ac:dyDescent="0.2">
      <c r="C103" s="73"/>
      <c r="Z103" s="104"/>
      <c r="AA103" s="115"/>
      <c r="AB103" s="116"/>
      <c r="AC103" s="114"/>
      <c r="AD103" s="114"/>
      <c r="AE103" s="114"/>
      <c r="AF103" s="114"/>
      <c r="AG103" s="114"/>
      <c r="AH103" s="67"/>
      <c r="AI103" s="67"/>
      <c r="AJ103" s="67"/>
      <c r="AK103" s="67"/>
      <c r="AL103" s="67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  <c r="BI103" s="67"/>
      <c r="BJ103" s="67"/>
      <c r="BK103" s="67"/>
      <c r="BL103" s="6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A103" s="67"/>
      <c r="CB103" s="67"/>
      <c r="CC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  <c r="CR103" s="67"/>
      <c r="CS103" s="67"/>
      <c r="CT103" s="67"/>
      <c r="CU103" s="67"/>
      <c r="CV103" s="67"/>
      <c r="CW103" s="67"/>
      <c r="CX103" s="67"/>
      <c r="CY103" s="67"/>
      <c r="CZ103" s="67"/>
      <c r="DA103" s="67"/>
      <c r="DB103" s="67"/>
      <c r="DC103" s="67"/>
      <c r="DD103" s="67"/>
      <c r="DE103" s="67"/>
      <c r="DF103" s="67"/>
      <c r="DG103" s="67"/>
      <c r="DH103" s="67"/>
      <c r="DI103" s="67"/>
      <c r="DJ103" s="67"/>
      <c r="DK103" s="67"/>
      <c r="DL103" s="67"/>
      <c r="DM103" s="67"/>
      <c r="DN103" s="67"/>
      <c r="DO103" s="67"/>
      <c r="DP103" s="67"/>
      <c r="DQ103" s="67"/>
      <c r="DR103" s="67"/>
      <c r="DS103" s="67"/>
      <c r="DT103" s="67"/>
      <c r="DU103" s="67"/>
      <c r="DV103" s="67"/>
      <c r="DW103" s="67"/>
      <c r="DX103" s="67"/>
      <c r="DY103" s="67"/>
      <c r="DZ103" s="67"/>
      <c r="EA103" s="67"/>
      <c r="EB103" s="67"/>
      <c r="EC103" s="67"/>
      <c r="ED103" s="67"/>
      <c r="EE103" s="67"/>
      <c r="EF103" s="67"/>
      <c r="EG103" s="67"/>
      <c r="EH103" s="67"/>
      <c r="EI103" s="67"/>
      <c r="EJ103" s="67"/>
      <c r="EK103" s="67"/>
      <c r="EL103" s="67"/>
      <c r="EM103" s="67"/>
      <c r="EN103" s="67"/>
      <c r="EO103" s="67"/>
      <c r="EP103" s="67"/>
      <c r="EQ103" s="67"/>
      <c r="ER103" s="67"/>
      <c r="ES103" s="67"/>
      <c r="ET103" s="67"/>
      <c r="EU103" s="67"/>
      <c r="EV103" s="67"/>
      <c r="EW103" s="67"/>
      <c r="EX103" s="67"/>
      <c r="EY103" s="67"/>
      <c r="EZ103" s="67"/>
      <c r="FA103" s="67"/>
      <c r="FB103" s="67"/>
      <c r="FC103" s="67"/>
      <c r="FD103" s="67"/>
      <c r="FE103" s="67"/>
      <c r="FF103" s="67"/>
      <c r="FG103" s="67"/>
      <c r="FH103" s="67"/>
      <c r="FI103" s="67"/>
      <c r="FJ103" s="67"/>
      <c r="FK103" s="67"/>
      <c r="FL103" s="67"/>
      <c r="FM103" s="67"/>
      <c r="FN103" s="67"/>
      <c r="FO103" s="67"/>
      <c r="FP103" s="67"/>
      <c r="FQ103" s="67"/>
      <c r="FR103" s="67"/>
      <c r="FS103" s="67"/>
      <c r="FT103" s="67"/>
      <c r="FU103" s="67"/>
      <c r="FV103" s="67"/>
      <c r="FW103" s="67"/>
      <c r="FX103" s="67"/>
      <c r="FY103" s="67"/>
      <c r="FZ103" s="67"/>
      <c r="GA103" s="67"/>
      <c r="GB103" s="67"/>
      <c r="GC103" s="67"/>
      <c r="GD103" s="67"/>
      <c r="GE103" s="67"/>
      <c r="GF103" s="67"/>
      <c r="GG103" s="67"/>
      <c r="GH103" s="67"/>
      <c r="GI103" s="67"/>
      <c r="GJ103" s="67"/>
      <c r="GK103" s="67"/>
      <c r="GL103" s="67"/>
      <c r="GM103" s="67"/>
      <c r="GN103" s="67"/>
      <c r="GO103" s="67"/>
      <c r="GP103" s="67"/>
      <c r="GQ103" s="67"/>
      <c r="GR103" s="67"/>
      <c r="GS103" s="67"/>
      <c r="GT103" s="67"/>
      <c r="GU103" s="67"/>
      <c r="GV103" s="67"/>
      <c r="GW103" s="67"/>
      <c r="GX103" s="67"/>
      <c r="GY103" s="67"/>
      <c r="GZ103" s="67"/>
      <c r="HA103" s="67"/>
      <c r="HB103" s="67"/>
      <c r="HC103" s="67"/>
      <c r="HD103" s="67"/>
      <c r="HE103" s="67"/>
      <c r="HF103" s="67"/>
      <c r="HG103" s="67"/>
      <c r="HH103" s="67"/>
      <c r="HI103" s="67"/>
      <c r="HJ103" s="67"/>
      <c r="HK103" s="67"/>
      <c r="HL103" s="67"/>
      <c r="HM103" s="67"/>
      <c r="HN103" s="67"/>
      <c r="HO103" s="67"/>
      <c r="HP103" s="67"/>
      <c r="HQ103" s="67"/>
      <c r="HR103" s="67"/>
      <c r="HS103" s="67"/>
      <c r="HT103" s="67"/>
      <c r="HU103" s="67"/>
      <c r="HV103" s="67"/>
      <c r="HW103" s="67"/>
      <c r="HX103" s="67"/>
      <c r="HY103" s="67"/>
      <c r="HZ103" s="67"/>
      <c r="IA103" s="67"/>
      <c r="IB103" s="67"/>
      <c r="IC103" s="67"/>
      <c r="ID103" s="67"/>
      <c r="IE103" s="67"/>
      <c r="IF103" s="67"/>
      <c r="IG103" s="67"/>
      <c r="IH103" s="67"/>
      <c r="II103" s="67"/>
      <c r="IJ103" s="67"/>
      <c r="IK103" s="67"/>
      <c r="IL103" s="67"/>
      <c r="IM103" s="67"/>
      <c r="IN103" s="67"/>
      <c r="IO103" s="67"/>
      <c r="IP103" s="67"/>
      <c r="IQ103" s="67"/>
      <c r="IR103" s="67"/>
      <c r="IS103" s="67"/>
      <c r="IT103" s="67"/>
      <c r="IU103" s="67"/>
      <c r="IV103" s="67"/>
      <c r="IW103" s="67"/>
    </row>
    <row r="104" spans="1:257" s="4" customFormat="1" x14ac:dyDescent="0.2">
      <c r="C104" s="73"/>
      <c r="Z104" s="104"/>
      <c r="AA104" s="115"/>
      <c r="AB104" s="116"/>
      <c r="AC104" s="114"/>
      <c r="AD104" s="114"/>
      <c r="AE104" s="114"/>
      <c r="AF104" s="114"/>
      <c r="AG104" s="114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  <c r="BI104" s="67"/>
      <c r="BJ104" s="67"/>
      <c r="BK104" s="67"/>
      <c r="BL104" s="6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A104" s="67"/>
      <c r="CB104" s="67"/>
      <c r="CC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  <c r="CR104" s="67"/>
      <c r="CS104" s="67"/>
      <c r="CT104" s="67"/>
      <c r="CU104" s="67"/>
      <c r="CV104" s="67"/>
      <c r="CW104" s="67"/>
      <c r="CX104" s="67"/>
      <c r="CY104" s="67"/>
      <c r="CZ104" s="67"/>
      <c r="DA104" s="67"/>
      <c r="DB104" s="67"/>
      <c r="DC104" s="67"/>
      <c r="DD104" s="67"/>
      <c r="DE104" s="67"/>
      <c r="DF104" s="67"/>
      <c r="DG104" s="67"/>
      <c r="DH104" s="67"/>
      <c r="DI104" s="67"/>
      <c r="DJ104" s="67"/>
      <c r="DK104" s="67"/>
      <c r="DL104" s="67"/>
      <c r="DM104" s="67"/>
      <c r="DN104" s="67"/>
      <c r="DO104" s="67"/>
      <c r="DP104" s="67"/>
      <c r="DQ104" s="67"/>
      <c r="DR104" s="67"/>
      <c r="DS104" s="67"/>
      <c r="DT104" s="67"/>
      <c r="DU104" s="67"/>
      <c r="DV104" s="67"/>
      <c r="DW104" s="67"/>
      <c r="DX104" s="67"/>
      <c r="DY104" s="67"/>
      <c r="DZ104" s="67"/>
      <c r="EA104" s="67"/>
      <c r="EB104" s="67"/>
      <c r="EC104" s="67"/>
      <c r="ED104" s="67"/>
      <c r="EE104" s="67"/>
      <c r="EF104" s="67"/>
      <c r="EG104" s="67"/>
      <c r="EH104" s="67"/>
      <c r="EI104" s="67"/>
      <c r="EJ104" s="67"/>
      <c r="EK104" s="67"/>
      <c r="EL104" s="67"/>
      <c r="EM104" s="67"/>
      <c r="EN104" s="67"/>
      <c r="EO104" s="67"/>
      <c r="EP104" s="67"/>
      <c r="EQ104" s="67"/>
      <c r="ER104" s="67"/>
      <c r="ES104" s="67"/>
      <c r="ET104" s="67"/>
      <c r="EU104" s="67"/>
      <c r="EV104" s="67"/>
      <c r="EW104" s="67"/>
      <c r="EX104" s="67"/>
      <c r="EY104" s="67"/>
      <c r="EZ104" s="67"/>
      <c r="FA104" s="67"/>
      <c r="FB104" s="67"/>
      <c r="FC104" s="67"/>
      <c r="FD104" s="67"/>
      <c r="FE104" s="67"/>
      <c r="FF104" s="67"/>
      <c r="FG104" s="67"/>
      <c r="FH104" s="67"/>
      <c r="FI104" s="67"/>
      <c r="FJ104" s="67"/>
      <c r="FK104" s="67"/>
      <c r="FL104" s="67"/>
      <c r="FM104" s="67"/>
      <c r="FN104" s="67"/>
      <c r="FO104" s="67"/>
      <c r="FP104" s="67"/>
      <c r="FQ104" s="67"/>
      <c r="FR104" s="67"/>
      <c r="FS104" s="67"/>
      <c r="FT104" s="67"/>
      <c r="FU104" s="67"/>
      <c r="FV104" s="67"/>
      <c r="FW104" s="67"/>
      <c r="FX104" s="67"/>
      <c r="FY104" s="67"/>
      <c r="FZ104" s="67"/>
      <c r="GA104" s="67"/>
      <c r="GB104" s="67"/>
      <c r="GC104" s="67"/>
      <c r="GD104" s="67"/>
      <c r="GE104" s="67"/>
      <c r="GF104" s="67"/>
      <c r="GG104" s="67"/>
      <c r="GH104" s="67"/>
      <c r="GI104" s="67"/>
      <c r="GJ104" s="67"/>
      <c r="GK104" s="67"/>
      <c r="GL104" s="67"/>
      <c r="GM104" s="67"/>
      <c r="GN104" s="67"/>
      <c r="GO104" s="67"/>
      <c r="GP104" s="67"/>
      <c r="GQ104" s="67"/>
      <c r="GR104" s="67"/>
      <c r="GS104" s="67"/>
      <c r="GT104" s="67"/>
      <c r="GU104" s="67"/>
      <c r="GV104" s="67"/>
      <c r="GW104" s="67"/>
      <c r="GX104" s="67"/>
      <c r="GY104" s="67"/>
      <c r="GZ104" s="67"/>
      <c r="HA104" s="67"/>
      <c r="HB104" s="67"/>
      <c r="HC104" s="67"/>
      <c r="HD104" s="67"/>
      <c r="HE104" s="67"/>
      <c r="HF104" s="67"/>
      <c r="HG104" s="67"/>
      <c r="HH104" s="67"/>
      <c r="HI104" s="67"/>
      <c r="HJ104" s="67"/>
      <c r="HK104" s="67"/>
      <c r="HL104" s="67"/>
      <c r="HM104" s="67"/>
      <c r="HN104" s="67"/>
      <c r="HO104" s="67"/>
      <c r="HP104" s="67"/>
      <c r="HQ104" s="67"/>
      <c r="HR104" s="67"/>
      <c r="HS104" s="67"/>
      <c r="HT104" s="67"/>
      <c r="HU104" s="67"/>
      <c r="HV104" s="67"/>
      <c r="HW104" s="67"/>
      <c r="HX104" s="67"/>
      <c r="HY104" s="67"/>
      <c r="HZ104" s="67"/>
      <c r="IA104" s="67"/>
      <c r="IB104" s="67"/>
      <c r="IC104" s="67"/>
      <c r="ID104" s="67"/>
      <c r="IE104" s="67"/>
      <c r="IF104" s="67"/>
      <c r="IG104" s="67"/>
      <c r="IH104" s="67"/>
      <c r="II104" s="67"/>
      <c r="IJ104" s="67"/>
      <c r="IK104" s="67"/>
      <c r="IL104" s="67"/>
      <c r="IM104" s="67"/>
      <c r="IN104" s="67"/>
      <c r="IO104" s="67"/>
      <c r="IP104" s="67"/>
      <c r="IQ104" s="67"/>
      <c r="IR104" s="67"/>
      <c r="IS104" s="67"/>
      <c r="IT104" s="67"/>
      <c r="IU104" s="67"/>
      <c r="IV104" s="67"/>
      <c r="IW104" s="67"/>
    </row>
    <row r="105" spans="1:257" s="4" customFormat="1" x14ac:dyDescent="0.2">
      <c r="C105" s="73"/>
      <c r="Z105" s="104"/>
      <c r="AA105" s="115"/>
      <c r="AB105" s="116"/>
      <c r="AC105" s="114"/>
      <c r="AD105" s="114"/>
      <c r="AE105" s="114"/>
      <c r="AF105" s="114"/>
      <c r="AG105" s="114"/>
      <c r="AH105" s="67"/>
      <c r="AI105" s="67"/>
      <c r="AJ105" s="67"/>
      <c r="AK105" s="67"/>
      <c r="AL105" s="67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  <c r="BI105" s="67"/>
      <c r="BJ105" s="67"/>
      <c r="BK105" s="67"/>
      <c r="BL105" s="6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A105" s="67"/>
      <c r="CB105" s="67"/>
      <c r="CC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  <c r="CR105" s="67"/>
      <c r="CS105" s="67"/>
      <c r="CT105" s="67"/>
      <c r="CU105" s="67"/>
      <c r="CV105" s="67"/>
      <c r="CW105" s="67"/>
      <c r="CX105" s="67"/>
      <c r="CY105" s="67"/>
      <c r="CZ105" s="67"/>
      <c r="DA105" s="67"/>
      <c r="DB105" s="67"/>
      <c r="DC105" s="67"/>
      <c r="DD105" s="67"/>
      <c r="DE105" s="67"/>
      <c r="DF105" s="67"/>
      <c r="DG105" s="67"/>
      <c r="DH105" s="67"/>
      <c r="DI105" s="67"/>
      <c r="DJ105" s="67"/>
      <c r="DK105" s="67"/>
      <c r="DL105" s="67"/>
      <c r="DM105" s="67"/>
      <c r="DN105" s="67"/>
      <c r="DO105" s="67"/>
      <c r="DP105" s="67"/>
      <c r="DQ105" s="67"/>
      <c r="DR105" s="67"/>
      <c r="DS105" s="67"/>
      <c r="DT105" s="67"/>
      <c r="DU105" s="67"/>
      <c r="DV105" s="67"/>
      <c r="DW105" s="67"/>
      <c r="DX105" s="67"/>
      <c r="DY105" s="67"/>
      <c r="DZ105" s="67"/>
      <c r="EA105" s="67"/>
      <c r="EB105" s="67"/>
      <c r="EC105" s="67"/>
      <c r="ED105" s="67"/>
      <c r="EE105" s="67"/>
      <c r="EF105" s="67"/>
      <c r="EG105" s="67"/>
      <c r="EH105" s="67"/>
      <c r="EI105" s="67"/>
      <c r="EJ105" s="67"/>
      <c r="EK105" s="67"/>
      <c r="EL105" s="67"/>
      <c r="EM105" s="67"/>
      <c r="EN105" s="67"/>
      <c r="EO105" s="67"/>
      <c r="EP105" s="67"/>
      <c r="EQ105" s="67"/>
      <c r="ER105" s="67"/>
      <c r="ES105" s="67"/>
      <c r="ET105" s="67"/>
      <c r="EU105" s="67"/>
      <c r="EV105" s="67"/>
      <c r="EW105" s="67"/>
      <c r="EX105" s="67"/>
      <c r="EY105" s="67"/>
      <c r="EZ105" s="67"/>
      <c r="FA105" s="67"/>
      <c r="FB105" s="67"/>
      <c r="FC105" s="67"/>
      <c r="FD105" s="67"/>
      <c r="FE105" s="67"/>
      <c r="FF105" s="67"/>
      <c r="FG105" s="67"/>
      <c r="FH105" s="67"/>
      <c r="FI105" s="67"/>
      <c r="FJ105" s="67"/>
      <c r="FK105" s="67"/>
      <c r="FL105" s="67"/>
      <c r="FM105" s="67"/>
      <c r="FN105" s="67"/>
      <c r="FO105" s="67"/>
      <c r="FP105" s="67"/>
      <c r="FQ105" s="67"/>
      <c r="FR105" s="67"/>
      <c r="FS105" s="67"/>
      <c r="FT105" s="67"/>
      <c r="FU105" s="67"/>
      <c r="FV105" s="67"/>
      <c r="FW105" s="67"/>
      <c r="FX105" s="67"/>
      <c r="FY105" s="67"/>
      <c r="FZ105" s="67"/>
      <c r="GA105" s="67"/>
      <c r="GB105" s="67"/>
      <c r="GC105" s="67"/>
      <c r="GD105" s="67"/>
      <c r="GE105" s="67"/>
      <c r="GF105" s="67"/>
      <c r="GG105" s="67"/>
      <c r="GH105" s="67"/>
      <c r="GI105" s="67"/>
      <c r="GJ105" s="67"/>
      <c r="GK105" s="67"/>
      <c r="GL105" s="67"/>
      <c r="GM105" s="67"/>
      <c r="GN105" s="67"/>
      <c r="GO105" s="67"/>
      <c r="GP105" s="67"/>
      <c r="GQ105" s="67"/>
      <c r="GR105" s="67"/>
      <c r="GS105" s="67"/>
      <c r="GT105" s="67"/>
      <c r="GU105" s="67"/>
      <c r="GV105" s="67"/>
      <c r="GW105" s="67"/>
      <c r="GX105" s="67"/>
      <c r="GY105" s="67"/>
      <c r="GZ105" s="67"/>
      <c r="HA105" s="67"/>
      <c r="HB105" s="67"/>
      <c r="HC105" s="67"/>
      <c r="HD105" s="67"/>
      <c r="HE105" s="67"/>
      <c r="HF105" s="67"/>
      <c r="HG105" s="67"/>
      <c r="HH105" s="67"/>
      <c r="HI105" s="67"/>
      <c r="HJ105" s="67"/>
      <c r="HK105" s="67"/>
      <c r="HL105" s="67"/>
      <c r="HM105" s="67"/>
      <c r="HN105" s="67"/>
      <c r="HO105" s="67"/>
      <c r="HP105" s="67"/>
      <c r="HQ105" s="67"/>
      <c r="HR105" s="67"/>
      <c r="HS105" s="67"/>
      <c r="HT105" s="67"/>
      <c r="HU105" s="67"/>
      <c r="HV105" s="67"/>
      <c r="HW105" s="67"/>
      <c r="HX105" s="67"/>
      <c r="HY105" s="67"/>
      <c r="HZ105" s="67"/>
      <c r="IA105" s="67"/>
      <c r="IB105" s="67"/>
      <c r="IC105" s="67"/>
      <c r="ID105" s="67"/>
      <c r="IE105" s="67"/>
      <c r="IF105" s="67"/>
      <c r="IG105" s="67"/>
      <c r="IH105" s="67"/>
      <c r="II105" s="67"/>
      <c r="IJ105" s="67"/>
      <c r="IK105" s="67"/>
      <c r="IL105" s="67"/>
      <c r="IM105" s="67"/>
      <c r="IN105" s="67"/>
      <c r="IO105" s="67"/>
      <c r="IP105" s="67"/>
      <c r="IQ105" s="67"/>
      <c r="IR105" s="67"/>
      <c r="IS105" s="67"/>
      <c r="IT105" s="67"/>
      <c r="IU105" s="67"/>
      <c r="IV105" s="67"/>
      <c r="IW105" s="67"/>
    </row>
    <row r="106" spans="1:257" s="4" customFormat="1" x14ac:dyDescent="0.2">
      <c r="C106" s="73"/>
      <c r="Z106" s="104"/>
      <c r="AA106" s="115"/>
      <c r="AB106" s="116"/>
      <c r="AC106" s="114"/>
      <c r="AD106" s="114"/>
      <c r="AE106" s="114"/>
      <c r="AF106" s="114"/>
      <c r="AG106" s="114"/>
      <c r="AH106" s="67"/>
      <c r="AI106" s="67"/>
      <c r="AJ106" s="67"/>
      <c r="AK106" s="67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  <c r="BI106" s="67"/>
      <c r="BJ106" s="67"/>
      <c r="BK106" s="67"/>
      <c r="BL106" s="6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A106" s="67"/>
      <c r="CB106" s="67"/>
      <c r="CC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  <c r="CR106" s="67"/>
      <c r="CS106" s="67"/>
      <c r="CT106" s="67"/>
      <c r="CU106" s="67"/>
      <c r="CV106" s="67"/>
      <c r="CW106" s="67"/>
      <c r="CX106" s="67"/>
      <c r="CY106" s="67"/>
      <c r="CZ106" s="67"/>
      <c r="DA106" s="67"/>
      <c r="DB106" s="67"/>
      <c r="DC106" s="67"/>
      <c r="DD106" s="67"/>
      <c r="DE106" s="67"/>
      <c r="DF106" s="67"/>
      <c r="DG106" s="67"/>
      <c r="DH106" s="67"/>
      <c r="DI106" s="67"/>
      <c r="DJ106" s="67"/>
      <c r="DK106" s="67"/>
      <c r="DL106" s="67"/>
      <c r="DM106" s="67"/>
      <c r="DN106" s="67"/>
      <c r="DO106" s="67"/>
      <c r="DP106" s="67"/>
      <c r="DQ106" s="67"/>
      <c r="DR106" s="67"/>
      <c r="DS106" s="67"/>
      <c r="DT106" s="67"/>
      <c r="DU106" s="67"/>
      <c r="DV106" s="67"/>
      <c r="DW106" s="67"/>
      <c r="DX106" s="67"/>
      <c r="DY106" s="67"/>
      <c r="DZ106" s="67"/>
      <c r="EA106" s="67"/>
      <c r="EB106" s="67"/>
      <c r="EC106" s="67"/>
      <c r="ED106" s="67"/>
      <c r="EE106" s="67"/>
      <c r="EF106" s="67"/>
      <c r="EG106" s="67"/>
      <c r="EH106" s="67"/>
      <c r="EI106" s="67"/>
      <c r="EJ106" s="67"/>
      <c r="EK106" s="67"/>
      <c r="EL106" s="67"/>
      <c r="EM106" s="67"/>
      <c r="EN106" s="67"/>
      <c r="EO106" s="67"/>
      <c r="EP106" s="67"/>
      <c r="EQ106" s="67"/>
      <c r="ER106" s="67"/>
      <c r="ES106" s="67"/>
      <c r="ET106" s="67"/>
      <c r="EU106" s="67"/>
      <c r="EV106" s="67"/>
      <c r="EW106" s="67"/>
      <c r="EX106" s="67"/>
      <c r="EY106" s="67"/>
      <c r="EZ106" s="67"/>
      <c r="FA106" s="67"/>
      <c r="FB106" s="67"/>
      <c r="FC106" s="67"/>
      <c r="FD106" s="67"/>
      <c r="FE106" s="67"/>
      <c r="FF106" s="67"/>
      <c r="FG106" s="67"/>
      <c r="FH106" s="67"/>
      <c r="FI106" s="67"/>
      <c r="FJ106" s="67"/>
      <c r="FK106" s="67"/>
      <c r="FL106" s="67"/>
      <c r="FM106" s="67"/>
      <c r="FN106" s="67"/>
      <c r="FO106" s="67"/>
      <c r="FP106" s="67"/>
      <c r="FQ106" s="67"/>
      <c r="FR106" s="67"/>
      <c r="FS106" s="67"/>
      <c r="FT106" s="67"/>
      <c r="FU106" s="67"/>
      <c r="FV106" s="67"/>
      <c r="FW106" s="67"/>
      <c r="FX106" s="67"/>
      <c r="FY106" s="67"/>
      <c r="FZ106" s="67"/>
      <c r="GA106" s="67"/>
      <c r="GB106" s="67"/>
      <c r="GC106" s="67"/>
      <c r="GD106" s="67"/>
      <c r="GE106" s="67"/>
      <c r="GF106" s="67"/>
      <c r="GG106" s="67"/>
      <c r="GH106" s="67"/>
      <c r="GI106" s="67"/>
      <c r="GJ106" s="67"/>
      <c r="GK106" s="67"/>
      <c r="GL106" s="67"/>
      <c r="GM106" s="67"/>
      <c r="GN106" s="67"/>
      <c r="GO106" s="67"/>
      <c r="GP106" s="67"/>
      <c r="GQ106" s="67"/>
      <c r="GR106" s="67"/>
      <c r="GS106" s="67"/>
      <c r="GT106" s="67"/>
      <c r="GU106" s="67"/>
      <c r="GV106" s="67"/>
      <c r="GW106" s="67"/>
      <c r="GX106" s="67"/>
      <c r="GY106" s="67"/>
      <c r="GZ106" s="67"/>
      <c r="HA106" s="67"/>
      <c r="HB106" s="67"/>
      <c r="HC106" s="67"/>
      <c r="HD106" s="67"/>
      <c r="HE106" s="67"/>
      <c r="HF106" s="67"/>
      <c r="HG106" s="67"/>
      <c r="HH106" s="67"/>
      <c r="HI106" s="67"/>
      <c r="HJ106" s="67"/>
      <c r="HK106" s="67"/>
      <c r="HL106" s="67"/>
      <c r="HM106" s="67"/>
      <c r="HN106" s="67"/>
      <c r="HO106" s="67"/>
      <c r="HP106" s="67"/>
      <c r="HQ106" s="67"/>
      <c r="HR106" s="67"/>
      <c r="HS106" s="67"/>
      <c r="HT106" s="67"/>
      <c r="HU106" s="67"/>
      <c r="HV106" s="67"/>
      <c r="HW106" s="67"/>
      <c r="HX106" s="67"/>
      <c r="HY106" s="67"/>
      <c r="HZ106" s="67"/>
      <c r="IA106" s="67"/>
      <c r="IB106" s="67"/>
      <c r="IC106" s="67"/>
      <c r="ID106" s="67"/>
      <c r="IE106" s="67"/>
      <c r="IF106" s="67"/>
      <c r="IG106" s="67"/>
      <c r="IH106" s="67"/>
      <c r="II106" s="67"/>
      <c r="IJ106" s="67"/>
      <c r="IK106" s="67"/>
      <c r="IL106" s="67"/>
      <c r="IM106" s="67"/>
      <c r="IN106" s="67"/>
      <c r="IO106" s="67"/>
      <c r="IP106" s="67"/>
      <c r="IQ106" s="67"/>
      <c r="IR106" s="67"/>
      <c r="IS106" s="67"/>
      <c r="IT106" s="67"/>
      <c r="IU106" s="67"/>
      <c r="IV106" s="67"/>
      <c r="IW106" s="67"/>
    </row>
    <row r="107" spans="1:257" s="4" customFormat="1" x14ac:dyDescent="0.2">
      <c r="C107" s="73"/>
      <c r="Z107" s="104"/>
      <c r="AA107" s="115"/>
      <c r="AB107" s="116"/>
      <c r="AC107" s="114"/>
      <c r="AD107" s="114"/>
      <c r="AE107" s="114"/>
      <c r="AF107" s="114"/>
      <c r="AG107" s="114"/>
      <c r="AH107" s="67"/>
      <c r="AI107" s="67"/>
      <c r="AJ107" s="67"/>
      <c r="AK107" s="67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  <c r="BI107" s="67"/>
      <c r="BJ107" s="67"/>
      <c r="BK107" s="67"/>
      <c r="BL107" s="6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A107" s="67"/>
      <c r="CB107" s="67"/>
      <c r="CC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  <c r="CR107" s="67"/>
      <c r="CS107" s="67"/>
      <c r="CT107" s="67"/>
      <c r="CU107" s="67"/>
      <c r="CV107" s="67"/>
      <c r="CW107" s="67"/>
      <c r="CX107" s="67"/>
      <c r="CY107" s="67"/>
      <c r="CZ107" s="67"/>
      <c r="DA107" s="67"/>
      <c r="DB107" s="67"/>
      <c r="DC107" s="67"/>
      <c r="DD107" s="67"/>
      <c r="DE107" s="67"/>
      <c r="DF107" s="67"/>
      <c r="DG107" s="67"/>
      <c r="DH107" s="67"/>
      <c r="DI107" s="67"/>
      <c r="DJ107" s="67"/>
      <c r="DK107" s="67"/>
      <c r="DL107" s="67"/>
      <c r="DM107" s="67"/>
      <c r="DN107" s="67"/>
      <c r="DO107" s="67"/>
      <c r="DP107" s="67"/>
      <c r="DQ107" s="67"/>
      <c r="DR107" s="67"/>
      <c r="DS107" s="67"/>
      <c r="DT107" s="67"/>
      <c r="DU107" s="67"/>
      <c r="DV107" s="67"/>
      <c r="DW107" s="67"/>
      <c r="DX107" s="67"/>
      <c r="DY107" s="67"/>
      <c r="DZ107" s="67"/>
      <c r="EA107" s="67"/>
      <c r="EB107" s="67"/>
      <c r="EC107" s="67"/>
      <c r="ED107" s="67"/>
      <c r="EE107" s="67"/>
      <c r="EF107" s="67"/>
      <c r="EG107" s="67"/>
      <c r="EH107" s="67"/>
      <c r="EI107" s="67"/>
      <c r="EJ107" s="67"/>
      <c r="EK107" s="67"/>
      <c r="EL107" s="67"/>
      <c r="EM107" s="67"/>
      <c r="EN107" s="67"/>
      <c r="EO107" s="67"/>
      <c r="EP107" s="67"/>
      <c r="EQ107" s="67"/>
      <c r="ER107" s="67"/>
      <c r="ES107" s="67"/>
      <c r="ET107" s="67"/>
      <c r="EU107" s="67"/>
      <c r="EV107" s="67"/>
      <c r="EW107" s="67"/>
      <c r="EX107" s="67"/>
      <c r="EY107" s="67"/>
      <c r="EZ107" s="67"/>
      <c r="FA107" s="67"/>
      <c r="FB107" s="67"/>
      <c r="FC107" s="67"/>
      <c r="FD107" s="67"/>
      <c r="FE107" s="67"/>
      <c r="FF107" s="67"/>
      <c r="FG107" s="67"/>
      <c r="FH107" s="67"/>
      <c r="FI107" s="67"/>
      <c r="FJ107" s="67"/>
      <c r="FK107" s="67"/>
      <c r="FL107" s="67"/>
      <c r="FM107" s="67"/>
      <c r="FN107" s="67"/>
      <c r="FO107" s="67"/>
      <c r="FP107" s="67"/>
      <c r="FQ107" s="67"/>
      <c r="FR107" s="67"/>
      <c r="FS107" s="67"/>
      <c r="FT107" s="67"/>
      <c r="FU107" s="67"/>
      <c r="FV107" s="67"/>
      <c r="FW107" s="67"/>
      <c r="FX107" s="67"/>
      <c r="FY107" s="67"/>
      <c r="FZ107" s="67"/>
      <c r="GA107" s="67"/>
      <c r="GB107" s="67"/>
      <c r="GC107" s="67"/>
      <c r="GD107" s="67"/>
      <c r="GE107" s="67"/>
      <c r="GF107" s="67"/>
      <c r="GG107" s="67"/>
      <c r="GH107" s="67"/>
      <c r="GI107" s="67"/>
      <c r="GJ107" s="67"/>
      <c r="GK107" s="67"/>
      <c r="GL107" s="67"/>
      <c r="GM107" s="67"/>
      <c r="GN107" s="67"/>
      <c r="GO107" s="67"/>
      <c r="GP107" s="67"/>
      <c r="GQ107" s="67"/>
      <c r="GR107" s="67"/>
      <c r="GS107" s="67"/>
      <c r="GT107" s="67"/>
      <c r="GU107" s="67"/>
      <c r="GV107" s="67"/>
      <c r="GW107" s="67"/>
      <c r="GX107" s="67"/>
      <c r="GY107" s="67"/>
      <c r="GZ107" s="67"/>
      <c r="HA107" s="67"/>
      <c r="HB107" s="67"/>
      <c r="HC107" s="67"/>
      <c r="HD107" s="67"/>
      <c r="HE107" s="67"/>
      <c r="HF107" s="67"/>
      <c r="HG107" s="67"/>
      <c r="HH107" s="67"/>
      <c r="HI107" s="67"/>
      <c r="HJ107" s="67"/>
      <c r="HK107" s="67"/>
      <c r="HL107" s="67"/>
      <c r="HM107" s="67"/>
      <c r="HN107" s="67"/>
      <c r="HO107" s="67"/>
      <c r="HP107" s="67"/>
      <c r="HQ107" s="67"/>
      <c r="HR107" s="67"/>
      <c r="HS107" s="67"/>
      <c r="HT107" s="67"/>
      <c r="HU107" s="67"/>
      <c r="HV107" s="67"/>
      <c r="HW107" s="67"/>
      <c r="HX107" s="67"/>
      <c r="HY107" s="67"/>
      <c r="HZ107" s="67"/>
      <c r="IA107" s="67"/>
      <c r="IB107" s="67"/>
      <c r="IC107" s="67"/>
      <c r="ID107" s="67"/>
      <c r="IE107" s="67"/>
      <c r="IF107" s="67"/>
      <c r="IG107" s="67"/>
      <c r="IH107" s="67"/>
      <c r="II107" s="67"/>
      <c r="IJ107" s="67"/>
      <c r="IK107" s="67"/>
      <c r="IL107" s="67"/>
      <c r="IM107" s="67"/>
      <c r="IN107" s="67"/>
      <c r="IO107" s="67"/>
      <c r="IP107" s="67"/>
      <c r="IQ107" s="67"/>
      <c r="IR107" s="67"/>
      <c r="IS107" s="67"/>
      <c r="IT107" s="67"/>
      <c r="IU107" s="67"/>
      <c r="IV107" s="67"/>
      <c r="IW107" s="67"/>
    </row>
    <row r="108" spans="1:257" s="4" customFormat="1" x14ac:dyDescent="0.2">
      <c r="C108" s="73"/>
      <c r="Z108" s="104"/>
      <c r="AA108" s="115"/>
      <c r="AB108" s="116"/>
      <c r="AC108" s="114"/>
      <c r="AD108" s="114"/>
      <c r="AE108" s="114"/>
      <c r="AF108" s="114"/>
      <c r="AG108" s="114"/>
      <c r="AH108" s="67"/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  <c r="BI108" s="67"/>
      <c r="BJ108" s="67"/>
      <c r="BK108" s="67"/>
      <c r="BL108" s="6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A108" s="67"/>
      <c r="CB108" s="67"/>
      <c r="CC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  <c r="CR108" s="67"/>
      <c r="CS108" s="67"/>
      <c r="CT108" s="67"/>
      <c r="CU108" s="67"/>
      <c r="CV108" s="67"/>
      <c r="CW108" s="67"/>
      <c r="CX108" s="67"/>
      <c r="CY108" s="67"/>
      <c r="CZ108" s="67"/>
      <c r="DA108" s="67"/>
      <c r="DB108" s="67"/>
      <c r="DC108" s="67"/>
      <c r="DD108" s="67"/>
      <c r="DE108" s="67"/>
      <c r="DF108" s="67"/>
      <c r="DG108" s="67"/>
      <c r="DH108" s="67"/>
      <c r="DI108" s="67"/>
      <c r="DJ108" s="67"/>
      <c r="DK108" s="67"/>
      <c r="DL108" s="67"/>
      <c r="DM108" s="67"/>
      <c r="DN108" s="67"/>
      <c r="DO108" s="67"/>
      <c r="DP108" s="67"/>
      <c r="DQ108" s="67"/>
      <c r="DR108" s="67"/>
      <c r="DS108" s="67"/>
      <c r="DT108" s="67"/>
      <c r="DU108" s="67"/>
      <c r="DV108" s="67"/>
      <c r="DW108" s="67"/>
      <c r="DX108" s="67"/>
      <c r="DY108" s="67"/>
      <c r="DZ108" s="67"/>
      <c r="EA108" s="67"/>
      <c r="EB108" s="67"/>
      <c r="EC108" s="67"/>
      <c r="ED108" s="67"/>
      <c r="EE108" s="67"/>
      <c r="EF108" s="67"/>
      <c r="EG108" s="67"/>
      <c r="EH108" s="67"/>
      <c r="EI108" s="67"/>
      <c r="EJ108" s="67"/>
      <c r="EK108" s="67"/>
      <c r="EL108" s="67"/>
      <c r="EM108" s="67"/>
      <c r="EN108" s="67"/>
      <c r="EO108" s="67"/>
      <c r="EP108" s="67"/>
      <c r="EQ108" s="67"/>
      <c r="ER108" s="67"/>
      <c r="ES108" s="67"/>
      <c r="ET108" s="67"/>
      <c r="EU108" s="67"/>
      <c r="EV108" s="67"/>
      <c r="EW108" s="67"/>
      <c r="EX108" s="67"/>
      <c r="EY108" s="67"/>
      <c r="EZ108" s="67"/>
      <c r="FA108" s="67"/>
      <c r="FB108" s="67"/>
      <c r="FC108" s="67"/>
      <c r="FD108" s="67"/>
      <c r="FE108" s="67"/>
      <c r="FF108" s="67"/>
      <c r="FG108" s="67"/>
      <c r="FH108" s="67"/>
      <c r="FI108" s="67"/>
      <c r="FJ108" s="67"/>
      <c r="FK108" s="67"/>
      <c r="FL108" s="67"/>
      <c r="FM108" s="67"/>
      <c r="FN108" s="67"/>
      <c r="FO108" s="67"/>
      <c r="FP108" s="67"/>
      <c r="FQ108" s="67"/>
      <c r="FR108" s="67"/>
      <c r="FS108" s="67"/>
      <c r="FT108" s="67"/>
      <c r="FU108" s="67"/>
      <c r="FV108" s="67"/>
      <c r="FW108" s="67"/>
      <c r="FX108" s="67"/>
      <c r="FY108" s="67"/>
      <c r="FZ108" s="67"/>
      <c r="GA108" s="67"/>
      <c r="GB108" s="67"/>
      <c r="GC108" s="67"/>
      <c r="GD108" s="67"/>
      <c r="GE108" s="67"/>
      <c r="GF108" s="67"/>
      <c r="GG108" s="67"/>
      <c r="GH108" s="67"/>
      <c r="GI108" s="67"/>
      <c r="GJ108" s="67"/>
      <c r="GK108" s="67"/>
      <c r="GL108" s="67"/>
      <c r="GM108" s="67"/>
      <c r="GN108" s="67"/>
      <c r="GO108" s="67"/>
      <c r="GP108" s="67"/>
      <c r="GQ108" s="67"/>
      <c r="GR108" s="67"/>
      <c r="GS108" s="67"/>
      <c r="GT108" s="67"/>
      <c r="GU108" s="67"/>
      <c r="GV108" s="67"/>
      <c r="GW108" s="67"/>
      <c r="GX108" s="67"/>
      <c r="GY108" s="67"/>
      <c r="GZ108" s="67"/>
      <c r="HA108" s="67"/>
      <c r="HB108" s="67"/>
      <c r="HC108" s="67"/>
      <c r="HD108" s="67"/>
      <c r="HE108" s="67"/>
      <c r="HF108" s="67"/>
      <c r="HG108" s="67"/>
      <c r="HH108" s="67"/>
      <c r="HI108" s="67"/>
      <c r="HJ108" s="67"/>
      <c r="HK108" s="67"/>
      <c r="HL108" s="67"/>
      <c r="HM108" s="67"/>
      <c r="HN108" s="67"/>
      <c r="HO108" s="67"/>
      <c r="HP108" s="67"/>
      <c r="HQ108" s="67"/>
      <c r="HR108" s="67"/>
      <c r="HS108" s="67"/>
      <c r="HT108" s="67"/>
      <c r="HU108" s="67"/>
      <c r="HV108" s="67"/>
      <c r="HW108" s="67"/>
      <c r="HX108" s="67"/>
      <c r="HY108" s="67"/>
      <c r="HZ108" s="67"/>
      <c r="IA108" s="67"/>
      <c r="IB108" s="67"/>
      <c r="IC108" s="67"/>
      <c r="ID108" s="67"/>
      <c r="IE108" s="67"/>
      <c r="IF108" s="67"/>
      <c r="IG108" s="67"/>
      <c r="IH108" s="67"/>
      <c r="II108" s="67"/>
      <c r="IJ108" s="67"/>
      <c r="IK108" s="67"/>
      <c r="IL108" s="67"/>
      <c r="IM108" s="67"/>
      <c r="IN108" s="67"/>
      <c r="IO108" s="67"/>
      <c r="IP108" s="67"/>
      <c r="IQ108" s="67"/>
      <c r="IR108" s="67"/>
      <c r="IS108" s="67"/>
      <c r="IT108" s="67"/>
      <c r="IU108" s="67"/>
      <c r="IV108" s="67"/>
      <c r="IW108" s="67"/>
    </row>
    <row r="109" spans="1:257" s="4" customFormat="1" x14ac:dyDescent="0.2">
      <c r="C109" s="73"/>
      <c r="Z109" s="104"/>
      <c r="AA109" s="115"/>
      <c r="AB109" s="116"/>
      <c r="AC109" s="114"/>
      <c r="AD109" s="114"/>
      <c r="AE109" s="114"/>
      <c r="AF109" s="114"/>
      <c r="AG109" s="114"/>
      <c r="AH109" s="67"/>
      <c r="AI109" s="67"/>
      <c r="AJ109" s="67"/>
      <c r="AK109" s="67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  <c r="BI109" s="67"/>
      <c r="BJ109" s="67"/>
      <c r="BK109" s="67"/>
      <c r="BL109" s="6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A109" s="67"/>
      <c r="CB109" s="67"/>
      <c r="CC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  <c r="CR109" s="67"/>
      <c r="CS109" s="67"/>
      <c r="CT109" s="67"/>
      <c r="CU109" s="67"/>
      <c r="CV109" s="67"/>
      <c r="CW109" s="67"/>
      <c r="CX109" s="67"/>
      <c r="CY109" s="67"/>
      <c r="CZ109" s="67"/>
      <c r="DA109" s="67"/>
      <c r="DB109" s="67"/>
      <c r="DC109" s="67"/>
      <c r="DD109" s="67"/>
      <c r="DE109" s="67"/>
      <c r="DF109" s="67"/>
      <c r="DG109" s="67"/>
      <c r="DH109" s="67"/>
      <c r="DI109" s="67"/>
      <c r="DJ109" s="67"/>
      <c r="DK109" s="67"/>
      <c r="DL109" s="67"/>
      <c r="DM109" s="67"/>
      <c r="DN109" s="67"/>
      <c r="DO109" s="67"/>
      <c r="DP109" s="67"/>
      <c r="DQ109" s="67"/>
      <c r="DR109" s="67"/>
      <c r="DS109" s="67"/>
      <c r="DT109" s="67"/>
      <c r="DU109" s="67"/>
      <c r="DV109" s="67"/>
      <c r="DW109" s="67"/>
      <c r="DX109" s="67"/>
      <c r="DY109" s="67"/>
      <c r="DZ109" s="67"/>
      <c r="EA109" s="67"/>
      <c r="EB109" s="67"/>
      <c r="EC109" s="67"/>
      <c r="ED109" s="67"/>
      <c r="EE109" s="67"/>
      <c r="EF109" s="67"/>
      <c r="EG109" s="67"/>
      <c r="EH109" s="67"/>
      <c r="EI109" s="67"/>
      <c r="EJ109" s="67"/>
      <c r="EK109" s="67"/>
      <c r="EL109" s="67"/>
      <c r="EM109" s="67"/>
      <c r="EN109" s="67"/>
      <c r="EO109" s="67"/>
      <c r="EP109" s="67"/>
      <c r="EQ109" s="67"/>
      <c r="ER109" s="67"/>
      <c r="ES109" s="67"/>
      <c r="ET109" s="67"/>
      <c r="EU109" s="67"/>
      <c r="EV109" s="67"/>
      <c r="EW109" s="67"/>
      <c r="EX109" s="67"/>
      <c r="EY109" s="67"/>
      <c r="EZ109" s="67"/>
      <c r="FA109" s="67"/>
      <c r="FB109" s="67"/>
      <c r="FC109" s="67"/>
      <c r="FD109" s="67"/>
      <c r="FE109" s="67"/>
      <c r="FF109" s="67"/>
      <c r="FG109" s="67"/>
      <c r="FH109" s="67"/>
      <c r="FI109" s="67"/>
      <c r="FJ109" s="67"/>
      <c r="FK109" s="67"/>
      <c r="FL109" s="67"/>
      <c r="FM109" s="67"/>
      <c r="FN109" s="67"/>
      <c r="FO109" s="67"/>
      <c r="FP109" s="67"/>
      <c r="FQ109" s="67"/>
      <c r="FR109" s="67"/>
      <c r="FS109" s="67"/>
      <c r="FT109" s="67"/>
      <c r="FU109" s="67"/>
      <c r="FV109" s="67"/>
      <c r="FW109" s="67"/>
      <c r="FX109" s="67"/>
      <c r="FY109" s="67"/>
      <c r="FZ109" s="67"/>
      <c r="GA109" s="67"/>
      <c r="GB109" s="67"/>
      <c r="GC109" s="67"/>
      <c r="GD109" s="67"/>
      <c r="GE109" s="67"/>
      <c r="GF109" s="67"/>
      <c r="GG109" s="67"/>
      <c r="GH109" s="67"/>
      <c r="GI109" s="67"/>
      <c r="GJ109" s="67"/>
      <c r="GK109" s="67"/>
      <c r="GL109" s="67"/>
      <c r="GM109" s="67"/>
      <c r="GN109" s="67"/>
      <c r="GO109" s="67"/>
      <c r="GP109" s="67"/>
      <c r="GQ109" s="67"/>
      <c r="GR109" s="67"/>
      <c r="GS109" s="67"/>
      <c r="GT109" s="67"/>
      <c r="GU109" s="67"/>
      <c r="GV109" s="67"/>
      <c r="GW109" s="67"/>
      <c r="GX109" s="67"/>
      <c r="GY109" s="67"/>
      <c r="GZ109" s="67"/>
      <c r="HA109" s="67"/>
      <c r="HB109" s="67"/>
      <c r="HC109" s="67"/>
      <c r="HD109" s="67"/>
      <c r="HE109" s="67"/>
      <c r="HF109" s="67"/>
      <c r="HG109" s="67"/>
      <c r="HH109" s="67"/>
      <c r="HI109" s="67"/>
      <c r="HJ109" s="67"/>
      <c r="HK109" s="67"/>
      <c r="HL109" s="67"/>
      <c r="HM109" s="67"/>
      <c r="HN109" s="67"/>
      <c r="HO109" s="67"/>
      <c r="HP109" s="67"/>
      <c r="HQ109" s="67"/>
      <c r="HR109" s="67"/>
      <c r="HS109" s="67"/>
      <c r="HT109" s="67"/>
      <c r="HU109" s="67"/>
      <c r="HV109" s="67"/>
      <c r="HW109" s="67"/>
      <c r="HX109" s="67"/>
      <c r="HY109" s="67"/>
      <c r="HZ109" s="67"/>
      <c r="IA109" s="67"/>
      <c r="IB109" s="67"/>
      <c r="IC109" s="67"/>
      <c r="ID109" s="67"/>
      <c r="IE109" s="67"/>
      <c r="IF109" s="67"/>
      <c r="IG109" s="67"/>
      <c r="IH109" s="67"/>
      <c r="II109" s="67"/>
      <c r="IJ109" s="67"/>
      <c r="IK109" s="67"/>
      <c r="IL109" s="67"/>
      <c r="IM109" s="67"/>
      <c r="IN109" s="67"/>
      <c r="IO109" s="67"/>
      <c r="IP109" s="67"/>
      <c r="IQ109" s="67"/>
      <c r="IR109" s="67"/>
      <c r="IS109" s="67"/>
      <c r="IT109" s="67"/>
      <c r="IU109" s="67"/>
      <c r="IV109" s="67"/>
      <c r="IW109" s="67"/>
    </row>
    <row r="110" spans="1:257" s="4" customFormat="1" x14ac:dyDescent="0.2">
      <c r="C110" s="73"/>
      <c r="Z110" s="104"/>
      <c r="AA110" s="115"/>
      <c r="AB110" s="116"/>
      <c r="AC110" s="114"/>
      <c r="AD110" s="114"/>
      <c r="AE110" s="114"/>
      <c r="AF110" s="114"/>
      <c r="AG110" s="114"/>
      <c r="AH110" s="67"/>
      <c r="AI110" s="67"/>
      <c r="AJ110" s="67"/>
      <c r="AK110" s="67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  <c r="BI110" s="67"/>
      <c r="BJ110" s="67"/>
      <c r="BK110" s="67"/>
      <c r="BL110" s="6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A110" s="67"/>
      <c r="CB110" s="67"/>
      <c r="CC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  <c r="CR110" s="67"/>
      <c r="CS110" s="67"/>
      <c r="CT110" s="67"/>
      <c r="CU110" s="67"/>
      <c r="CV110" s="67"/>
      <c r="CW110" s="67"/>
      <c r="CX110" s="67"/>
      <c r="CY110" s="67"/>
      <c r="CZ110" s="67"/>
      <c r="DA110" s="67"/>
      <c r="DB110" s="67"/>
      <c r="DC110" s="67"/>
      <c r="DD110" s="67"/>
      <c r="DE110" s="67"/>
      <c r="DF110" s="67"/>
      <c r="DG110" s="67"/>
      <c r="DH110" s="67"/>
      <c r="DI110" s="67"/>
      <c r="DJ110" s="67"/>
      <c r="DK110" s="67"/>
      <c r="DL110" s="67"/>
      <c r="DM110" s="67"/>
      <c r="DN110" s="67"/>
      <c r="DO110" s="67"/>
      <c r="DP110" s="67"/>
      <c r="DQ110" s="67"/>
      <c r="DR110" s="67"/>
      <c r="DS110" s="67"/>
      <c r="DT110" s="67"/>
      <c r="DU110" s="67"/>
      <c r="DV110" s="67"/>
      <c r="DW110" s="67"/>
      <c r="DX110" s="67"/>
      <c r="DY110" s="67"/>
      <c r="DZ110" s="67"/>
      <c r="EA110" s="67"/>
      <c r="EB110" s="67"/>
      <c r="EC110" s="67"/>
      <c r="ED110" s="67"/>
      <c r="EE110" s="67"/>
      <c r="EF110" s="67"/>
      <c r="EG110" s="67"/>
      <c r="EH110" s="67"/>
      <c r="EI110" s="67"/>
      <c r="EJ110" s="67"/>
      <c r="EK110" s="67"/>
      <c r="EL110" s="67"/>
      <c r="EM110" s="67"/>
      <c r="EN110" s="67"/>
      <c r="EO110" s="67"/>
      <c r="EP110" s="67"/>
      <c r="EQ110" s="67"/>
      <c r="ER110" s="67"/>
      <c r="ES110" s="67"/>
      <c r="ET110" s="67"/>
      <c r="EU110" s="67"/>
      <c r="EV110" s="67"/>
      <c r="EW110" s="67"/>
      <c r="EX110" s="67"/>
      <c r="EY110" s="67"/>
      <c r="EZ110" s="67"/>
      <c r="FA110" s="67"/>
      <c r="FB110" s="67"/>
      <c r="FC110" s="67"/>
      <c r="FD110" s="67"/>
      <c r="FE110" s="67"/>
      <c r="FF110" s="67"/>
      <c r="FG110" s="67"/>
      <c r="FH110" s="67"/>
      <c r="FI110" s="67"/>
      <c r="FJ110" s="67"/>
      <c r="FK110" s="67"/>
      <c r="FL110" s="67"/>
      <c r="FM110" s="67"/>
      <c r="FN110" s="67"/>
      <c r="FO110" s="67"/>
      <c r="FP110" s="67"/>
      <c r="FQ110" s="67"/>
      <c r="FR110" s="67"/>
      <c r="FS110" s="67"/>
      <c r="FT110" s="67"/>
      <c r="FU110" s="67"/>
      <c r="FV110" s="67"/>
      <c r="FW110" s="67"/>
      <c r="FX110" s="67"/>
      <c r="FY110" s="67"/>
      <c r="FZ110" s="67"/>
      <c r="GA110" s="67"/>
      <c r="GB110" s="67"/>
      <c r="GC110" s="67"/>
      <c r="GD110" s="67"/>
      <c r="GE110" s="67"/>
      <c r="GF110" s="67"/>
      <c r="GG110" s="67"/>
      <c r="GH110" s="67"/>
      <c r="GI110" s="67"/>
      <c r="GJ110" s="67"/>
      <c r="GK110" s="67"/>
      <c r="GL110" s="67"/>
      <c r="GM110" s="67"/>
      <c r="GN110" s="67"/>
      <c r="GO110" s="67"/>
      <c r="GP110" s="67"/>
      <c r="GQ110" s="67"/>
      <c r="GR110" s="67"/>
      <c r="GS110" s="67"/>
      <c r="GT110" s="67"/>
      <c r="GU110" s="67"/>
      <c r="GV110" s="67"/>
      <c r="GW110" s="67"/>
      <c r="GX110" s="67"/>
      <c r="GY110" s="67"/>
      <c r="GZ110" s="67"/>
      <c r="HA110" s="67"/>
      <c r="HB110" s="67"/>
      <c r="HC110" s="67"/>
      <c r="HD110" s="67"/>
      <c r="HE110" s="67"/>
      <c r="HF110" s="67"/>
      <c r="HG110" s="67"/>
      <c r="HH110" s="67"/>
      <c r="HI110" s="67"/>
      <c r="HJ110" s="67"/>
      <c r="HK110" s="67"/>
      <c r="HL110" s="67"/>
      <c r="HM110" s="67"/>
      <c r="HN110" s="67"/>
      <c r="HO110" s="67"/>
      <c r="HP110" s="67"/>
      <c r="HQ110" s="67"/>
      <c r="HR110" s="67"/>
      <c r="HS110" s="67"/>
      <c r="HT110" s="67"/>
      <c r="HU110" s="67"/>
      <c r="HV110" s="67"/>
      <c r="HW110" s="67"/>
      <c r="HX110" s="67"/>
      <c r="HY110" s="67"/>
      <c r="HZ110" s="67"/>
      <c r="IA110" s="67"/>
      <c r="IB110" s="67"/>
      <c r="IC110" s="67"/>
      <c r="ID110" s="67"/>
      <c r="IE110" s="67"/>
      <c r="IF110" s="67"/>
      <c r="IG110" s="67"/>
      <c r="IH110" s="67"/>
      <c r="II110" s="67"/>
      <c r="IJ110" s="67"/>
      <c r="IK110" s="67"/>
      <c r="IL110" s="67"/>
      <c r="IM110" s="67"/>
      <c r="IN110" s="67"/>
      <c r="IO110" s="67"/>
      <c r="IP110" s="67"/>
      <c r="IQ110" s="67"/>
      <c r="IR110" s="67"/>
      <c r="IS110" s="67"/>
      <c r="IT110" s="67"/>
      <c r="IU110" s="67"/>
      <c r="IV110" s="67"/>
      <c r="IW110" s="67"/>
    </row>
    <row r="111" spans="1:257" s="4" customFormat="1" x14ac:dyDescent="0.2">
      <c r="C111" s="73"/>
      <c r="Z111" s="104"/>
      <c r="AA111" s="115"/>
      <c r="AB111" s="116"/>
      <c r="AC111" s="114"/>
      <c r="AD111" s="114"/>
      <c r="AE111" s="114"/>
      <c r="AF111" s="114"/>
      <c r="AG111" s="114"/>
      <c r="AH111" s="67"/>
      <c r="AI111" s="67"/>
      <c r="AJ111" s="67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  <c r="BI111" s="67"/>
      <c r="BJ111" s="67"/>
      <c r="BK111" s="67"/>
      <c r="BL111" s="6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A111" s="67"/>
      <c r="CB111" s="67"/>
      <c r="CC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  <c r="CR111" s="67"/>
      <c r="CS111" s="67"/>
      <c r="CT111" s="67"/>
      <c r="CU111" s="67"/>
      <c r="CV111" s="67"/>
      <c r="CW111" s="67"/>
      <c r="CX111" s="67"/>
      <c r="CY111" s="67"/>
      <c r="CZ111" s="67"/>
      <c r="DA111" s="67"/>
      <c r="DB111" s="67"/>
      <c r="DC111" s="67"/>
      <c r="DD111" s="67"/>
      <c r="DE111" s="67"/>
      <c r="DF111" s="67"/>
      <c r="DG111" s="67"/>
      <c r="DH111" s="67"/>
      <c r="DI111" s="67"/>
      <c r="DJ111" s="67"/>
      <c r="DK111" s="67"/>
      <c r="DL111" s="67"/>
      <c r="DM111" s="67"/>
      <c r="DN111" s="67"/>
      <c r="DO111" s="67"/>
      <c r="DP111" s="67"/>
      <c r="DQ111" s="67"/>
      <c r="DR111" s="67"/>
      <c r="DS111" s="67"/>
      <c r="DT111" s="67"/>
      <c r="DU111" s="67"/>
      <c r="DV111" s="67"/>
      <c r="DW111" s="67"/>
      <c r="DX111" s="67"/>
      <c r="DY111" s="67"/>
      <c r="DZ111" s="67"/>
      <c r="EA111" s="67"/>
      <c r="EB111" s="67"/>
      <c r="EC111" s="67"/>
      <c r="ED111" s="67"/>
      <c r="EE111" s="67"/>
      <c r="EF111" s="67"/>
      <c r="EG111" s="67"/>
      <c r="EH111" s="67"/>
      <c r="EI111" s="67"/>
      <c r="EJ111" s="67"/>
      <c r="EK111" s="67"/>
      <c r="EL111" s="67"/>
      <c r="EM111" s="67"/>
      <c r="EN111" s="67"/>
      <c r="EO111" s="67"/>
      <c r="EP111" s="67"/>
      <c r="EQ111" s="67"/>
      <c r="ER111" s="67"/>
      <c r="ES111" s="67"/>
      <c r="ET111" s="67"/>
      <c r="EU111" s="67"/>
      <c r="EV111" s="67"/>
      <c r="EW111" s="67"/>
      <c r="EX111" s="67"/>
      <c r="EY111" s="67"/>
      <c r="EZ111" s="67"/>
      <c r="FA111" s="67"/>
      <c r="FB111" s="67"/>
      <c r="FC111" s="67"/>
      <c r="FD111" s="67"/>
      <c r="FE111" s="67"/>
      <c r="FF111" s="67"/>
      <c r="FG111" s="67"/>
      <c r="FH111" s="67"/>
      <c r="FI111" s="67"/>
      <c r="FJ111" s="67"/>
      <c r="FK111" s="67"/>
      <c r="FL111" s="67"/>
      <c r="FM111" s="67"/>
      <c r="FN111" s="67"/>
      <c r="FO111" s="67"/>
      <c r="FP111" s="67"/>
      <c r="FQ111" s="67"/>
      <c r="FR111" s="67"/>
      <c r="FS111" s="67"/>
      <c r="FT111" s="67"/>
      <c r="FU111" s="67"/>
      <c r="FV111" s="67"/>
      <c r="FW111" s="67"/>
      <c r="FX111" s="67"/>
      <c r="FY111" s="67"/>
      <c r="FZ111" s="67"/>
      <c r="GA111" s="67"/>
      <c r="GB111" s="67"/>
      <c r="GC111" s="67"/>
      <c r="GD111" s="67"/>
      <c r="GE111" s="67"/>
      <c r="GF111" s="67"/>
      <c r="GG111" s="67"/>
      <c r="GH111" s="67"/>
      <c r="GI111" s="67"/>
      <c r="GJ111" s="67"/>
      <c r="GK111" s="67"/>
      <c r="GL111" s="67"/>
      <c r="GM111" s="67"/>
      <c r="GN111" s="67"/>
      <c r="GO111" s="67"/>
      <c r="GP111" s="67"/>
      <c r="GQ111" s="67"/>
      <c r="GR111" s="67"/>
      <c r="GS111" s="67"/>
      <c r="GT111" s="67"/>
      <c r="GU111" s="67"/>
      <c r="GV111" s="67"/>
      <c r="GW111" s="67"/>
      <c r="GX111" s="67"/>
      <c r="GY111" s="67"/>
      <c r="GZ111" s="67"/>
      <c r="HA111" s="67"/>
      <c r="HB111" s="67"/>
      <c r="HC111" s="67"/>
      <c r="HD111" s="67"/>
      <c r="HE111" s="67"/>
      <c r="HF111" s="67"/>
      <c r="HG111" s="67"/>
      <c r="HH111" s="67"/>
      <c r="HI111" s="67"/>
      <c r="HJ111" s="67"/>
      <c r="HK111" s="67"/>
      <c r="HL111" s="67"/>
      <c r="HM111" s="67"/>
      <c r="HN111" s="67"/>
      <c r="HO111" s="67"/>
      <c r="HP111" s="67"/>
      <c r="HQ111" s="67"/>
      <c r="HR111" s="67"/>
      <c r="HS111" s="67"/>
      <c r="HT111" s="67"/>
      <c r="HU111" s="67"/>
      <c r="HV111" s="67"/>
      <c r="HW111" s="67"/>
      <c r="HX111" s="67"/>
      <c r="HY111" s="67"/>
      <c r="HZ111" s="67"/>
      <c r="IA111" s="67"/>
      <c r="IB111" s="67"/>
      <c r="IC111" s="67"/>
      <c r="ID111" s="67"/>
      <c r="IE111" s="67"/>
      <c r="IF111" s="67"/>
      <c r="IG111" s="67"/>
      <c r="IH111" s="67"/>
      <c r="II111" s="67"/>
      <c r="IJ111" s="67"/>
      <c r="IK111" s="67"/>
      <c r="IL111" s="67"/>
      <c r="IM111" s="67"/>
      <c r="IN111" s="67"/>
      <c r="IO111" s="67"/>
      <c r="IP111" s="67"/>
      <c r="IQ111" s="67"/>
      <c r="IR111" s="67"/>
      <c r="IS111" s="67"/>
      <c r="IT111" s="67"/>
      <c r="IU111" s="67"/>
      <c r="IV111" s="67"/>
      <c r="IW111" s="67"/>
    </row>
    <row r="112" spans="1:257" s="4" customFormat="1" x14ac:dyDescent="0.2">
      <c r="C112" s="73"/>
      <c r="Z112" s="104"/>
      <c r="AA112" s="115"/>
      <c r="AB112" s="116"/>
      <c r="AC112" s="114"/>
      <c r="AD112" s="114"/>
      <c r="AE112" s="114"/>
      <c r="AF112" s="114"/>
      <c r="AG112" s="114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  <c r="BI112" s="67"/>
      <c r="BJ112" s="67"/>
      <c r="BK112" s="67"/>
      <c r="BL112" s="6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A112" s="67"/>
      <c r="CB112" s="67"/>
      <c r="CC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  <c r="CR112" s="67"/>
      <c r="CS112" s="67"/>
      <c r="CT112" s="67"/>
      <c r="CU112" s="67"/>
      <c r="CV112" s="67"/>
      <c r="CW112" s="67"/>
      <c r="CX112" s="67"/>
      <c r="CY112" s="67"/>
      <c r="CZ112" s="67"/>
      <c r="DA112" s="67"/>
      <c r="DB112" s="67"/>
      <c r="DC112" s="67"/>
      <c r="DD112" s="67"/>
      <c r="DE112" s="67"/>
      <c r="DF112" s="67"/>
      <c r="DG112" s="67"/>
      <c r="DH112" s="67"/>
      <c r="DI112" s="67"/>
      <c r="DJ112" s="67"/>
      <c r="DK112" s="67"/>
      <c r="DL112" s="67"/>
      <c r="DM112" s="67"/>
      <c r="DN112" s="67"/>
      <c r="DO112" s="67"/>
      <c r="DP112" s="67"/>
      <c r="DQ112" s="67"/>
      <c r="DR112" s="67"/>
      <c r="DS112" s="67"/>
      <c r="DT112" s="67"/>
      <c r="DU112" s="67"/>
      <c r="DV112" s="67"/>
      <c r="DW112" s="67"/>
      <c r="DX112" s="67"/>
      <c r="DY112" s="67"/>
      <c r="DZ112" s="67"/>
      <c r="EA112" s="67"/>
      <c r="EB112" s="67"/>
      <c r="EC112" s="67"/>
      <c r="ED112" s="67"/>
      <c r="EE112" s="67"/>
      <c r="EF112" s="67"/>
      <c r="EG112" s="67"/>
      <c r="EH112" s="67"/>
      <c r="EI112" s="67"/>
      <c r="EJ112" s="67"/>
      <c r="EK112" s="67"/>
      <c r="EL112" s="67"/>
      <c r="EM112" s="67"/>
      <c r="EN112" s="67"/>
      <c r="EO112" s="67"/>
      <c r="EP112" s="67"/>
      <c r="EQ112" s="67"/>
      <c r="ER112" s="67"/>
      <c r="ES112" s="67"/>
      <c r="ET112" s="67"/>
      <c r="EU112" s="67"/>
      <c r="EV112" s="67"/>
      <c r="EW112" s="67"/>
      <c r="EX112" s="67"/>
      <c r="EY112" s="67"/>
      <c r="EZ112" s="67"/>
      <c r="FA112" s="67"/>
      <c r="FB112" s="67"/>
      <c r="FC112" s="67"/>
      <c r="FD112" s="67"/>
      <c r="FE112" s="67"/>
      <c r="FF112" s="67"/>
      <c r="FG112" s="67"/>
      <c r="FH112" s="67"/>
      <c r="FI112" s="67"/>
      <c r="FJ112" s="67"/>
      <c r="FK112" s="67"/>
      <c r="FL112" s="67"/>
      <c r="FM112" s="67"/>
      <c r="FN112" s="67"/>
      <c r="FO112" s="67"/>
      <c r="FP112" s="67"/>
      <c r="FQ112" s="67"/>
      <c r="FR112" s="67"/>
      <c r="FS112" s="67"/>
      <c r="FT112" s="67"/>
      <c r="FU112" s="67"/>
      <c r="FV112" s="67"/>
      <c r="FW112" s="67"/>
      <c r="FX112" s="67"/>
      <c r="FY112" s="67"/>
      <c r="FZ112" s="67"/>
      <c r="GA112" s="67"/>
      <c r="GB112" s="67"/>
      <c r="GC112" s="67"/>
      <c r="GD112" s="67"/>
      <c r="GE112" s="67"/>
      <c r="GF112" s="67"/>
      <c r="GG112" s="67"/>
      <c r="GH112" s="67"/>
      <c r="GI112" s="67"/>
      <c r="GJ112" s="67"/>
      <c r="GK112" s="67"/>
      <c r="GL112" s="67"/>
      <c r="GM112" s="67"/>
      <c r="GN112" s="67"/>
      <c r="GO112" s="67"/>
      <c r="GP112" s="67"/>
      <c r="GQ112" s="67"/>
      <c r="GR112" s="67"/>
      <c r="GS112" s="67"/>
      <c r="GT112" s="67"/>
      <c r="GU112" s="67"/>
      <c r="GV112" s="67"/>
      <c r="GW112" s="67"/>
      <c r="GX112" s="67"/>
      <c r="GY112" s="67"/>
      <c r="GZ112" s="67"/>
      <c r="HA112" s="67"/>
      <c r="HB112" s="67"/>
      <c r="HC112" s="67"/>
      <c r="HD112" s="67"/>
      <c r="HE112" s="67"/>
      <c r="HF112" s="67"/>
      <c r="HG112" s="67"/>
      <c r="HH112" s="67"/>
      <c r="HI112" s="67"/>
      <c r="HJ112" s="67"/>
      <c r="HK112" s="67"/>
      <c r="HL112" s="67"/>
      <c r="HM112" s="67"/>
      <c r="HN112" s="67"/>
      <c r="HO112" s="67"/>
      <c r="HP112" s="67"/>
      <c r="HQ112" s="67"/>
      <c r="HR112" s="67"/>
      <c r="HS112" s="67"/>
      <c r="HT112" s="67"/>
      <c r="HU112" s="67"/>
      <c r="HV112" s="67"/>
      <c r="HW112" s="67"/>
      <c r="HX112" s="67"/>
      <c r="HY112" s="67"/>
      <c r="HZ112" s="67"/>
      <c r="IA112" s="67"/>
      <c r="IB112" s="67"/>
      <c r="IC112" s="67"/>
      <c r="ID112" s="67"/>
      <c r="IE112" s="67"/>
      <c r="IF112" s="67"/>
      <c r="IG112" s="67"/>
      <c r="IH112" s="67"/>
      <c r="II112" s="67"/>
      <c r="IJ112" s="67"/>
      <c r="IK112" s="67"/>
      <c r="IL112" s="67"/>
      <c r="IM112" s="67"/>
      <c r="IN112" s="67"/>
      <c r="IO112" s="67"/>
      <c r="IP112" s="67"/>
      <c r="IQ112" s="67"/>
      <c r="IR112" s="67"/>
      <c r="IS112" s="67"/>
      <c r="IT112" s="67"/>
      <c r="IU112" s="67"/>
      <c r="IV112" s="67"/>
      <c r="IW112" s="67"/>
    </row>
    <row r="113" spans="3:257" s="4" customFormat="1" x14ac:dyDescent="0.2">
      <c r="C113" s="73"/>
      <c r="Z113" s="104"/>
      <c r="AA113" s="115"/>
      <c r="AB113" s="116"/>
      <c r="AC113" s="112"/>
      <c r="AD113" s="112"/>
      <c r="AE113" s="112"/>
      <c r="AF113" s="112"/>
      <c r="AG113" s="112"/>
      <c r="AH113" s="65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  <c r="AT113" s="65"/>
      <c r="AU113" s="65"/>
      <c r="AV113" s="65"/>
      <c r="AW113" s="65"/>
      <c r="AX113" s="65"/>
      <c r="AY113" s="65"/>
      <c r="AZ113" s="65"/>
      <c r="BA113" s="65"/>
      <c r="BB113" s="65"/>
      <c r="BC113" s="65"/>
      <c r="BD113" s="65"/>
      <c r="BE113" s="65"/>
      <c r="BF113" s="65"/>
      <c r="BG113" s="65"/>
      <c r="BH113" s="65"/>
      <c r="BI113" s="65"/>
      <c r="BJ113" s="65"/>
      <c r="BK113" s="65"/>
      <c r="BL113" s="65"/>
      <c r="BM113" s="65"/>
      <c r="BN113" s="65"/>
      <c r="BO113" s="65"/>
      <c r="BP113" s="65"/>
      <c r="BQ113" s="65"/>
      <c r="BR113" s="65"/>
      <c r="BS113" s="65"/>
      <c r="BT113" s="65"/>
      <c r="BU113" s="65"/>
      <c r="BV113" s="65"/>
      <c r="BW113" s="65"/>
      <c r="BX113" s="65"/>
      <c r="BY113" s="65"/>
      <c r="BZ113" s="65"/>
      <c r="CA113" s="65"/>
      <c r="CB113" s="65"/>
      <c r="CC113" s="65"/>
      <c r="CD113" s="65"/>
      <c r="CE113" s="65"/>
      <c r="CF113" s="65"/>
      <c r="CG113" s="65"/>
      <c r="CH113" s="65"/>
      <c r="CI113" s="65"/>
      <c r="CJ113" s="65"/>
      <c r="CK113" s="65"/>
      <c r="CL113" s="65"/>
      <c r="CM113" s="65"/>
      <c r="CN113" s="65"/>
      <c r="CO113" s="65"/>
      <c r="CP113" s="65"/>
      <c r="CQ113" s="65"/>
      <c r="CR113" s="65"/>
      <c r="CS113" s="65"/>
      <c r="CT113" s="65"/>
      <c r="CU113" s="65"/>
      <c r="CV113" s="65"/>
      <c r="CW113" s="65"/>
      <c r="CX113" s="65"/>
      <c r="CY113" s="65"/>
      <c r="CZ113" s="65"/>
      <c r="DA113" s="65"/>
      <c r="DB113" s="65"/>
      <c r="DC113" s="65"/>
      <c r="DD113" s="65"/>
      <c r="DE113" s="65"/>
      <c r="DF113" s="65"/>
      <c r="DG113" s="65"/>
      <c r="DH113" s="65"/>
      <c r="DI113" s="65"/>
      <c r="DJ113" s="65"/>
      <c r="DK113" s="65"/>
      <c r="DL113" s="65"/>
      <c r="DM113" s="65"/>
      <c r="DN113" s="65"/>
      <c r="DO113" s="65"/>
      <c r="DP113" s="65"/>
      <c r="DQ113" s="65"/>
      <c r="DR113" s="65"/>
      <c r="DS113" s="65"/>
      <c r="DT113" s="65"/>
      <c r="DU113" s="65"/>
      <c r="DV113" s="65"/>
      <c r="DW113" s="65"/>
      <c r="DX113" s="65"/>
      <c r="DY113" s="65"/>
      <c r="DZ113" s="65"/>
      <c r="EA113" s="65"/>
      <c r="EB113" s="65"/>
      <c r="EC113" s="65"/>
      <c r="ED113" s="65"/>
      <c r="EE113" s="65"/>
      <c r="EF113" s="65"/>
      <c r="EG113" s="65"/>
      <c r="EH113" s="65"/>
      <c r="EI113" s="65"/>
      <c r="EJ113" s="65"/>
      <c r="EK113" s="65"/>
      <c r="EL113" s="65"/>
      <c r="EM113" s="65"/>
      <c r="EN113" s="65"/>
      <c r="EO113" s="65"/>
      <c r="EP113" s="65"/>
      <c r="EQ113" s="65"/>
      <c r="ER113" s="65"/>
      <c r="ES113" s="65"/>
      <c r="ET113" s="65"/>
      <c r="EU113" s="65"/>
      <c r="EV113" s="65"/>
      <c r="EW113" s="65"/>
      <c r="EX113" s="65"/>
      <c r="EY113" s="65"/>
      <c r="EZ113" s="65"/>
      <c r="FA113" s="65"/>
      <c r="FB113" s="65"/>
      <c r="FC113" s="65"/>
      <c r="FD113" s="65"/>
      <c r="FE113" s="65"/>
      <c r="FF113" s="65"/>
      <c r="FG113" s="65"/>
      <c r="FH113" s="65"/>
      <c r="FI113" s="65"/>
      <c r="FJ113" s="65"/>
      <c r="FK113" s="65"/>
      <c r="FL113" s="65"/>
      <c r="FM113" s="65"/>
      <c r="FN113" s="65"/>
      <c r="FO113" s="65"/>
      <c r="FP113" s="65"/>
      <c r="FQ113" s="65"/>
      <c r="FR113" s="65"/>
      <c r="FS113" s="65"/>
      <c r="FT113" s="65"/>
      <c r="FU113" s="65"/>
      <c r="FV113" s="65"/>
      <c r="FW113" s="65"/>
      <c r="FX113" s="65"/>
      <c r="FY113" s="65"/>
      <c r="FZ113" s="65"/>
      <c r="GA113" s="65"/>
      <c r="GB113" s="65"/>
      <c r="GC113" s="65"/>
      <c r="GD113" s="65"/>
      <c r="GE113" s="65"/>
      <c r="GF113" s="65"/>
      <c r="GG113" s="65"/>
      <c r="GH113" s="65"/>
      <c r="GI113" s="65"/>
      <c r="GJ113" s="65"/>
      <c r="GK113" s="65"/>
      <c r="GL113" s="65"/>
      <c r="GM113" s="65"/>
      <c r="GN113" s="65"/>
      <c r="GO113" s="65"/>
      <c r="GP113" s="65"/>
      <c r="GQ113" s="65"/>
      <c r="GR113" s="65"/>
      <c r="GS113" s="65"/>
      <c r="GT113" s="65"/>
      <c r="GU113" s="65"/>
      <c r="GV113" s="65"/>
      <c r="GW113" s="65"/>
      <c r="GX113" s="65"/>
      <c r="GY113" s="65"/>
      <c r="GZ113" s="65"/>
      <c r="HA113" s="65"/>
      <c r="HB113" s="65"/>
      <c r="HC113" s="65"/>
      <c r="HD113" s="65"/>
      <c r="HE113" s="65"/>
      <c r="HF113" s="65"/>
      <c r="HG113" s="65"/>
      <c r="HH113" s="65"/>
      <c r="HI113" s="65"/>
      <c r="HJ113" s="65"/>
      <c r="HK113" s="65"/>
      <c r="HL113" s="65"/>
      <c r="HM113" s="65"/>
      <c r="HN113" s="65"/>
      <c r="HO113" s="65"/>
      <c r="HP113" s="65"/>
      <c r="HQ113" s="65"/>
      <c r="HR113" s="65"/>
      <c r="HS113" s="65"/>
      <c r="HT113" s="65"/>
      <c r="HU113" s="65"/>
      <c r="HV113" s="65"/>
      <c r="HW113" s="65"/>
      <c r="HX113" s="65"/>
      <c r="HY113" s="65"/>
      <c r="HZ113" s="65"/>
      <c r="IA113" s="65"/>
      <c r="IB113" s="65"/>
      <c r="IC113" s="65"/>
      <c r="ID113" s="65"/>
      <c r="IE113" s="65"/>
      <c r="IF113" s="65"/>
      <c r="IG113" s="65"/>
      <c r="IH113" s="65"/>
      <c r="II113" s="65"/>
      <c r="IJ113" s="65"/>
      <c r="IK113" s="65"/>
      <c r="IL113" s="65"/>
      <c r="IM113" s="65"/>
      <c r="IN113" s="65"/>
      <c r="IO113" s="65"/>
      <c r="IP113" s="65"/>
      <c r="IQ113" s="65"/>
      <c r="IR113" s="65"/>
      <c r="IS113" s="65"/>
      <c r="IT113" s="65"/>
      <c r="IU113" s="65"/>
      <c r="IV113" s="65"/>
      <c r="IW113" s="65"/>
    </row>
    <row r="114" spans="3:257" s="4" customFormat="1" x14ac:dyDescent="0.2">
      <c r="C114" s="73"/>
      <c r="Z114" s="104"/>
      <c r="AA114" s="115"/>
      <c r="AB114" s="115"/>
      <c r="AC114" s="104"/>
      <c r="AD114" s="104"/>
      <c r="AE114" s="104"/>
      <c r="AF114" s="104"/>
      <c r="AG114" s="104"/>
    </row>
    <row r="115" spans="3:257" s="4" customFormat="1" x14ac:dyDescent="0.2">
      <c r="C115" s="73"/>
      <c r="Z115" s="104"/>
      <c r="AA115" s="115"/>
      <c r="AB115" s="115"/>
      <c r="AC115" s="104"/>
      <c r="AD115" s="104"/>
      <c r="AE115" s="104"/>
      <c r="AF115" s="104"/>
      <c r="AG115" s="104"/>
    </row>
    <row r="116" spans="3:257" s="4" customFormat="1" x14ac:dyDescent="0.2">
      <c r="C116" s="73"/>
      <c r="Z116" s="104"/>
      <c r="AA116" s="115"/>
      <c r="AB116" s="115"/>
      <c r="AC116" s="104"/>
      <c r="AD116" s="104"/>
      <c r="AE116" s="104"/>
      <c r="AF116" s="104"/>
      <c r="AG116" s="104"/>
    </row>
    <row r="117" spans="3:257" s="4" customFormat="1" x14ac:dyDescent="0.2">
      <c r="C117" s="73"/>
      <c r="Z117" s="104"/>
      <c r="AA117" s="115"/>
      <c r="AB117" s="115"/>
      <c r="AC117" s="104"/>
      <c r="AD117" s="104"/>
      <c r="AE117" s="104"/>
      <c r="AF117" s="104"/>
      <c r="AG117" s="104"/>
    </row>
    <row r="118" spans="3:257" s="4" customFormat="1" x14ac:dyDescent="0.2">
      <c r="C118" s="73"/>
      <c r="Z118" s="104"/>
      <c r="AA118" s="115"/>
      <c r="AB118" s="117"/>
      <c r="AC118" s="113"/>
      <c r="AD118" s="113"/>
      <c r="AE118" s="113"/>
      <c r="AF118" s="113"/>
      <c r="AG118" s="113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66"/>
      <c r="EZ118" s="66"/>
      <c r="FA118" s="66"/>
      <c r="FB118" s="66"/>
      <c r="FC118" s="66"/>
      <c r="FD118" s="66"/>
      <c r="FE118" s="66"/>
      <c r="FF118" s="66"/>
      <c r="FG118" s="66"/>
      <c r="FH118" s="66"/>
      <c r="FI118" s="66"/>
      <c r="FJ118" s="66"/>
      <c r="FK118" s="66"/>
      <c r="FL118" s="66"/>
      <c r="FM118" s="66"/>
      <c r="FN118" s="66"/>
      <c r="FO118" s="66"/>
      <c r="FP118" s="66"/>
      <c r="FQ118" s="66"/>
      <c r="FR118" s="66"/>
      <c r="FS118" s="66"/>
      <c r="FT118" s="66"/>
      <c r="FU118" s="66"/>
      <c r="FV118" s="66"/>
      <c r="FW118" s="66"/>
      <c r="FX118" s="66"/>
      <c r="FY118" s="66"/>
      <c r="FZ118" s="66"/>
      <c r="GA118" s="66"/>
      <c r="GB118" s="66"/>
      <c r="GC118" s="66"/>
      <c r="GD118" s="66"/>
      <c r="GE118" s="66"/>
      <c r="GF118" s="66"/>
      <c r="GG118" s="66"/>
      <c r="GH118" s="66"/>
      <c r="GI118" s="66"/>
      <c r="GJ118" s="66"/>
      <c r="GK118" s="66"/>
      <c r="GL118" s="66"/>
      <c r="GM118" s="66"/>
      <c r="GN118" s="66"/>
      <c r="GO118" s="66"/>
      <c r="GP118" s="66"/>
      <c r="GQ118" s="66"/>
      <c r="GR118" s="66"/>
      <c r="GS118" s="66"/>
      <c r="GT118" s="66"/>
      <c r="GU118" s="6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66"/>
      <c r="HG118" s="66"/>
      <c r="HH118" s="66"/>
      <c r="HI118" s="66"/>
      <c r="HJ118" s="66"/>
      <c r="HK118" s="66"/>
      <c r="HL118" s="66"/>
      <c r="HM118" s="66"/>
      <c r="HN118" s="66"/>
      <c r="HO118" s="66"/>
      <c r="HP118" s="66"/>
      <c r="HQ118" s="66"/>
      <c r="HR118" s="66"/>
      <c r="HS118" s="66"/>
      <c r="HT118" s="66"/>
      <c r="HU118" s="66"/>
      <c r="HV118" s="66"/>
      <c r="HW118" s="66"/>
      <c r="HX118" s="66"/>
      <c r="HY118" s="66"/>
      <c r="HZ118" s="66"/>
      <c r="IA118" s="66"/>
      <c r="IB118" s="66"/>
      <c r="IC118" s="66"/>
      <c r="ID118" s="66"/>
      <c r="IE118" s="66"/>
      <c r="IF118" s="66"/>
      <c r="IG118" s="66"/>
      <c r="IH118" s="66"/>
      <c r="II118" s="66"/>
      <c r="IJ118" s="66"/>
      <c r="IK118" s="66"/>
      <c r="IL118" s="66"/>
      <c r="IM118" s="66"/>
      <c r="IN118" s="66"/>
      <c r="IO118" s="66"/>
      <c r="IP118" s="66"/>
      <c r="IQ118" s="66"/>
      <c r="IR118" s="66"/>
      <c r="IS118" s="66"/>
      <c r="IT118" s="66"/>
      <c r="IU118" s="66"/>
      <c r="IV118" s="66"/>
      <c r="IW118" s="66"/>
    </row>
    <row r="119" spans="3:257" s="4" customFormat="1" x14ac:dyDescent="0.2">
      <c r="C119" s="73"/>
      <c r="Z119" s="104"/>
      <c r="AA119" s="115"/>
      <c r="AB119" s="116"/>
      <c r="AC119" s="114"/>
      <c r="AD119" s="114"/>
      <c r="AE119" s="114"/>
      <c r="AF119" s="114"/>
      <c r="AG119" s="114"/>
      <c r="AH119" s="67"/>
      <c r="AI119" s="67"/>
      <c r="AJ119" s="67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  <c r="BI119" s="67"/>
      <c r="BJ119" s="67"/>
      <c r="BK119" s="67"/>
      <c r="BL119" s="6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A119" s="67"/>
      <c r="CB119" s="67"/>
      <c r="CC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  <c r="CR119" s="67"/>
      <c r="CS119" s="67"/>
      <c r="CT119" s="67"/>
      <c r="CU119" s="67"/>
      <c r="CV119" s="67"/>
      <c r="CW119" s="67"/>
      <c r="CX119" s="67"/>
      <c r="CY119" s="67"/>
      <c r="CZ119" s="67"/>
      <c r="DA119" s="67"/>
      <c r="DB119" s="67"/>
      <c r="DC119" s="67"/>
      <c r="DD119" s="67"/>
      <c r="DE119" s="67"/>
      <c r="DF119" s="67"/>
      <c r="DG119" s="67"/>
      <c r="DH119" s="67"/>
      <c r="DI119" s="67"/>
      <c r="DJ119" s="67"/>
      <c r="DK119" s="67"/>
      <c r="DL119" s="67"/>
      <c r="DM119" s="67"/>
      <c r="DN119" s="67"/>
      <c r="DO119" s="67"/>
      <c r="DP119" s="67"/>
      <c r="DQ119" s="67"/>
      <c r="DR119" s="67"/>
      <c r="DS119" s="67"/>
      <c r="DT119" s="67"/>
      <c r="DU119" s="67"/>
      <c r="DV119" s="67"/>
      <c r="DW119" s="67"/>
      <c r="DX119" s="67"/>
      <c r="DY119" s="67"/>
      <c r="DZ119" s="67"/>
      <c r="EA119" s="67"/>
      <c r="EB119" s="67"/>
      <c r="EC119" s="67"/>
      <c r="ED119" s="67"/>
      <c r="EE119" s="67"/>
      <c r="EF119" s="67"/>
      <c r="EG119" s="67"/>
      <c r="EH119" s="67"/>
      <c r="EI119" s="67"/>
      <c r="EJ119" s="67"/>
      <c r="EK119" s="67"/>
      <c r="EL119" s="67"/>
      <c r="EM119" s="67"/>
      <c r="EN119" s="67"/>
      <c r="EO119" s="67"/>
      <c r="EP119" s="67"/>
      <c r="EQ119" s="67"/>
      <c r="ER119" s="67"/>
      <c r="ES119" s="67"/>
      <c r="ET119" s="67"/>
      <c r="EU119" s="67"/>
      <c r="EV119" s="67"/>
      <c r="EW119" s="67"/>
      <c r="EX119" s="67"/>
      <c r="EY119" s="67"/>
      <c r="EZ119" s="67"/>
      <c r="FA119" s="67"/>
      <c r="FB119" s="67"/>
      <c r="FC119" s="67"/>
      <c r="FD119" s="67"/>
      <c r="FE119" s="67"/>
      <c r="FF119" s="67"/>
      <c r="FG119" s="67"/>
      <c r="FH119" s="67"/>
      <c r="FI119" s="67"/>
      <c r="FJ119" s="67"/>
      <c r="FK119" s="67"/>
      <c r="FL119" s="67"/>
      <c r="FM119" s="67"/>
      <c r="FN119" s="67"/>
      <c r="FO119" s="67"/>
      <c r="FP119" s="67"/>
      <c r="FQ119" s="67"/>
      <c r="FR119" s="67"/>
      <c r="FS119" s="67"/>
      <c r="FT119" s="67"/>
      <c r="FU119" s="67"/>
      <c r="FV119" s="67"/>
      <c r="FW119" s="67"/>
      <c r="FX119" s="67"/>
      <c r="FY119" s="67"/>
      <c r="FZ119" s="67"/>
      <c r="GA119" s="67"/>
      <c r="GB119" s="67"/>
      <c r="GC119" s="67"/>
      <c r="GD119" s="67"/>
      <c r="GE119" s="67"/>
      <c r="GF119" s="67"/>
      <c r="GG119" s="67"/>
      <c r="GH119" s="67"/>
      <c r="GI119" s="67"/>
      <c r="GJ119" s="67"/>
      <c r="GK119" s="67"/>
      <c r="GL119" s="67"/>
      <c r="GM119" s="67"/>
      <c r="GN119" s="67"/>
      <c r="GO119" s="67"/>
      <c r="GP119" s="67"/>
      <c r="GQ119" s="67"/>
      <c r="GR119" s="67"/>
      <c r="GS119" s="67"/>
      <c r="GT119" s="67"/>
      <c r="GU119" s="67"/>
      <c r="GV119" s="67"/>
      <c r="GW119" s="67"/>
      <c r="GX119" s="67"/>
      <c r="GY119" s="67"/>
      <c r="GZ119" s="67"/>
      <c r="HA119" s="67"/>
      <c r="HB119" s="67"/>
      <c r="HC119" s="67"/>
      <c r="HD119" s="67"/>
      <c r="HE119" s="67"/>
      <c r="HF119" s="67"/>
      <c r="HG119" s="67"/>
      <c r="HH119" s="67"/>
      <c r="HI119" s="67"/>
      <c r="HJ119" s="67"/>
      <c r="HK119" s="67"/>
      <c r="HL119" s="67"/>
      <c r="HM119" s="67"/>
      <c r="HN119" s="67"/>
      <c r="HO119" s="67"/>
      <c r="HP119" s="67"/>
      <c r="HQ119" s="67"/>
      <c r="HR119" s="67"/>
      <c r="HS119" s="67"/>
      <c r="HT119" s="67"/>
      <c r="HU119" s="67"/>
      <c r="HV119" s="67"/>
      <c r="HW119" s="67"/>
      <c r="HX119" s="67"/>
      <c r="HY119" s="67"/>
      <c r="HZ119" s="67"/>
      <c r="IA119" s="67"/>
      <c r="IB119" s="67"/>
      <c r="IC119" s="67"/>
      <c r="ID119" s="67"/>
      <c r="IE119" s="67"/>
      <c r="IF119" s="67"/>
      <c r="IG119" s="67"/>
      <c r="IH119" s="67"/>
      <c r="II119" s="67"/>
      <c r="IJ119" s="67"/>
      <c r="IK119" s="67"/>
      <c r="IL119" s="67"/>
      <c r="IM119" s="67"/>
      <c r="IN119" s="67"/>
      <c r="IO119" s="67"/>
      <c r="IP119" s="67"/>
      <c r="IQ119" s="67"/>
      <c r="IR119" s="67"/>
      <c r="IS119" s="67"/>
      <c r="IT119" s="67"/>
      <c r="IU119" s="67"/>
      <c r="IV119" s="67"/>
      <c r="IW119" s="67"/>
    </row>
    <row r="120" spans="3:257" s="4" customFormat="1" x14ac:dyDescent="0.2">
      <c r="C120" s="73"/>
      <c r="Z120" s="104"/>
      <c r="AA120" s="115"/>
      <c r="AB120" s="116"/>
      <c r="AC120" s="114"/>
      <c r="AD120" s="114"/>
      <c r="AE120" s="114"/>
      <c r="AF120" s="114"/>
      <c r="AG120" s="114"/>
      <c r="AH120" s="67"/>
      <c r="AI120" s="67"/>
      <c r="AJ120" s="67"/>
      <c r="AK120" s="67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  <c r="BI120" s="67"/>
      <c r="BJ120" s="67"/>
      <c r="BK120" s="67"/>
      <c r="BL120" s="6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A120" s="67"/>
      <c r="CB120" s="67"/>
      <c r="CC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  <c r="CR120" s="67"/>
      <c r="CS120" s="67"/>
      <c r="CT120" s="67"/>
      <c r="CU120" s="67"/>
      <c r="CV120" s="67"/>
      <c r="CW120" s="67"/>
      <c r="CX120" s="67"/>
      <c r="CY120" s="67"/>
      <c r="CZ120" s="67"/>
      <c r="DA120" s="67"/>
      <c r="DB120" s="67"/>
      <c r="DC120" s="67"/>
      <c r="DD120" s="67"/>
      <c r="DE120" s="67"/>
      <c r="DF120" s="67"/>
      <c r="DG120" s="67"/>
      <c r="DH120" s="67"/>
      <c r="DI120" s="67"/>
      <c r="DJ120" s="67"/>
      <c r="DK120" s="67"/>
      <c r="DL120" s="67"/>
      <c r="DM120" s="67"/>
      <c r="DN120" s="67"/>
      <c r="DO120" s="67"/>
      <c r="DP120" s="67"/>
      <c r="DQ120" s="67"/>
      <c r="DR120" s="67"/>
      <c r="DS120" s="67"/>
      <c r="DT120" s="67"/>
      <c r="DU120" s="67"/>
      <c r="DV120" s="67"/>
      <c r="DW120" s="67"/>
      <c r="DX120" s="67"/>
      <c r="DY120" s="67"/>
      <c r="DZ120" s="67"/>
      <c r="EA120" s="67"/>
      <c r="EB120" s="67"/>
      <c r="EC120" s="67"/>
      <c r="ED120" s="67"/>
      <c r="EE120" s="67"/>
      <c r="EF120" s="67"/>
      <c r="EG120" s="67"/>
      <c r="EH120" s="67"/>
      <c r="EI120" s="67"/>
      <c r="EJ120" s="67"/>
      <c r="EK120" s="67"/>
      <c r="EL120" s="67"/>
      <c r="EM120" s="67"/>
      <c r="EN120" s="67"/>
      <c r="EO120" s="67"/>
      <c r="EP120" s="67"/>
      <c r="EQ120" s="67"/>
      <c r="ER120" s="67"/>
      <c r="ES120" s="67"/>
      <c r="ET120" s="67"/>
      <c r="EU120" s="67"/>
      <c r="EV120" s="67"/>
      <c r="EW120" s="67"/>
      <c r="EX120" s="67"/>
      <c r="EY120" s="67"/>
      <c r="EZ120" s="67"/>
      <c r="FA120" s="67"/>
      <c r="FB120" s="67"/>
      <c r="FC120" s="67"/>
      <c r="FD120" s="67"/>
      <c r="FE120" s="67"/>
      <c r="FF120" s="67"/>
      <c r="FG120" s="67"/>
      <c r="FH120" s="67"/>
      <c r="FI120" s="67"/>
      <c r="FJ120" s="67"/>
      <c r="FK120" s="67"/>
      <c r="FL120" s="67"/>
      <c r="FM120" s="67"/>
      <c r="FN120" s="67"/>
      <c r="FO120" s="67"/>
      <c r="FP120" s="67"/>
      <c r="FQ120" s="67"/>
      <c r="FR120" s="67"/>
      <c r="FS120" s="67"/>
      <c r="FT120" s="67"/>
      <c r="FU120" s="67"/>
      <c r="FV120" s="67"/>
      <c r="FW120" s="67"/>
      <c r="FX120" s="67"/>
      <c r="FY120" s="67"/>
      <c r="FZ120" s="67"/>
      <c r="GA120" s="67"/>
      <c r="GB120" s="67"/>
      <c r="GC120" s="67"/>
      <c r="GD120" s="67"/>
      <c r="GE120" s="67"/>
      <c r="GF120" s="67"/>
      <c r="GG120" s="67"/>
      <c r="GH120" s="67"/>
      <c r="GI120" s="67"/>
      <c r="GJ120" s="67"/>
      <c r="GK120" s="67"/>
      <c r="GL120" s="67"/>
      <c r="GM120" s="67"/>
      <c r="GN120" s="67"/>
      <c r="GO120" s="67"/>
      <c r="GP120" s="67"/>
      <c r="GQ120" s="67"/>
      <c r="GR120" s="67"/>
      <c r="GS120" s="67"/>
      <c r="GT120" s="67"/>
      <c r="GU120" s="67"/>
      <c r="GV120" s="67"/>
      <c r="GW120" s="67"/>
      <c r="GX120" s="67"/>
      <c r="GY120" s="67"/>
      <c r="GZ120" s="67"/>
      <c r="HA120" s="67"/>
      <c r="HB120" s="67"/>
      <c r="HC120" s="67"/>
      <c r="HD120" s="67"/>
      <c r="HE120" s="67"/>
      <c r="HF120" s="67"/>
      <c r="HG120" s="67"/>
      <c r="HH120" s="67"/>
      <c r="HI120" s="67"/>
      <c r="HJ120" s="67"/>
      <c r="HK120" s="67"/>
      <c r="HL120" s="67"/>
      <c r="HM120" s="67"/>
      <c r="HN120" s="67"/>
      <c r="HO120" s="67"/>
      <c r="HP120" s="67"/>
      <c r="HQ120" s="67"/>
      <c r="HR120" s="67"/>
      <c r="HS120" s="67"/>
      <c r="HT120" s="67"/>
      <c r="HU120" s="67"/>
      <c r="HV120" s="67"/>
      <c r="HW120" s="67"/>
      <c r="HX120" s="67"/>
      <c r="HY120" s="67"/>
      <c r="HZ120" s="67"/>
      <c r="IA120" s="67"/>
      <c r="IB120" s="67"/>
      <c r="IC120" s="67"/>
      <c r="ID120" s="67"/>
      <c r="IE120" s="67"/>
      <c r="IF120" s="67"/>
      <c r="IG120" s="67"/>
      <c r="IH120" s="67"/>
      <c r="II120" s="67"/>
      <c r="IJ120" s="67"/>
      <c r="IK120" s="67"/>
      <c r="IL120" s="67"/>
      <c r="IM120" s="67"/>
      <c r="IN120" s="67"/>
      <c r="IO120" s="67"/>
      <c r="IP120" s="67"/>
      <c r="IQ120" s="67"/>
      <c r="IR120" s="67"/>
      <c r="IS120" s="67"/>
      <c r="IT120" s="67"/>
      <c r="IU120" s="67"/>
      <c r="IV120" s="67"/>
      <c r="IW120" s="67"/>
    </row>
    <row r="121" spans="3:257" s="4" customFormat="1" x14ac:dyDescent="0.2">
      <c r="C121" s="73"/>
      <c r="Z121" s="104"/>
      <c r="AA121" s="115"/>
      <c r="AB121" s="116"/>
      <c r="AC121" s="114"/>
      <c r="AD121" s="114"/>
      <c r="AE121" s="114"/>
      <c r="AF121" s="114"/>
      <c r="AG121" s="114"/>
      <c r="AH121" s="67"/>
      <c r="AI121" s="67"/>
      <c r="AJ121" s="67"/>
      <c r="AK121" s="67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  <c r="BI121" s="67"/>
      <c r="BJ121" s="67"/>
      <c r="BK121" s="67"/>
      <c r="BL121" s="6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A121" s="67"/>
      <c r="CB121" s="67"/>
      <c r="CC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  <c r="CR121" s="67"/>
      <c r="CS121" s="67"/>
      <c r="CT121" s="67"/>
      <c r="CU121" s="67"/>
      <c r="CV121" s="67"/>
      <c r="CW121" s="67"/>
      <c r="CX121" s="67"/>
      <c r="CY121" s="67"/>
      <c r="CZ121" s="67"/>
      <c r="DA121" s="67"/>
      <c r="DB121" s="67"/>
      <c r="DC121" s="67"/>
      <c r="DD121" s="67"/>
      <c r="DE121" s="67"/>
      <c r="DF121" s="67"/>
      <c r="DG121" s="67"/>
      <c r="DH121" s="67"/>
      <c r="DI121" s="67"/>
      <c r="DJ121" s="67"/>
      <c r="DK121" s="67"/>
      <c r="DL121" s="67"/>
      <c r="DM121" s="67"/>
      <c r="DN121" s="67"/>
      <c r="DO121" s="67"/>
      <c r="DP121" s="67"/>
      <c r="DQ121" s="67"/>
      <c r="DR121" s="67"/>
      <c r="DS121" s="67"/>
      <c r="DT121" s="67"/>
      <c r="DU121" s="67"/>
      <c r="DV121" s="67"/>
      <c r="DW121" s="67"/>
      <c r="DX121" s="67"/>
      <c r="DY121" s="67"/>
      <c r="DZ121" s="67"/>
      <c r="EA121" s="67"/>
      <c r="EB121" s="67"/>
      <c r="EC121" s="67"/>
      <c r="ED121" s="67"/>
      <c r="EE121" s="67"/>
      <c r="EF121" s="67"/>
      <c r="EG121" s="67"/>
      <c r="EH121" s="67"/>
      <c r="EI121" s="67"/>
      <c r="EJ121" s="67"/>
      <c r="EK121" s="67"/>
      <c r="EL121" s="67"/>
      <c r="EM121" s="67"/>
      <c r="EN121" s="67"/>
      <c r="EO121" s="67"/>
      <c r="EP121" s="67"/>
      <c r="EQ121" s="67"/>
      <c r="ER121" s="67"/>
      <c r="ES121" s="67"/>
      <c r="ET121" s="67"/>
      <c r="EU121" s="67"/>
      <c r="EV121" s="67"/>
      <c r="EW121" s="67"/>
      <c r="EX121" s="67"/>
      <c r="EY121" s="67"/>
      <c r="EZ121" s="67"/>
      <c r="FA121" s="67"/>
      <c r="FB121" s="67"/>
      <c r="FC121" s="67"/>
      <c r="FD121" s="67"/>
      <c r="FE121" s="67"/>
      <c r="FF121" s="67"/>
      <c r="FG121" s="67"/>
      <c r="FH121" s="67"/>
      <c r="FI121" s="67"/>
      <c r="FJ121" s="67"/>
      <c r="FK121" s="67"/>
      <c r="FL121" s="67"/>
      <c r="FM121" s="67"/>
      <c r="FN121" s="67"/>
      <c r="FO121" s="67"/>
      <c r="FP121" s="67"/>
      <c r="FQ121" s="67"/>
      <c r="FR121" s="67"/>
      <c r="FS121" s="67"/>
      <c r="FT121" s="67"/>
      <c r="FU121" s="67"/>
      <c r="FV121" s="67"/>
      <c r="FW121" s="67"/>
      <c r="FX121" s="67"/>
      <c r="FY121" s="67"/>
      <c r="FZ121" s="67"/>
      <c r="GA121" s="67"/>
      <c r="GB121" s="67"/>
      <c r="GC121" s="67"/>
      <c r="GD121" s="67"/>
      <c r="GE121" s="67"/>
      <c r="GF121" s="67"/>
      <c r="GG121" s="67"/>
      <c r="GH121" s="67"/>
      <c r="GI121" s="67"/>
      <c r="GJ121" s="67"/>
      <c r="GK121" s="67"/>
      <c r="GL121" s="67"/>
      <c r="GM121" s="67"/>
      <c r="GN121" s="67"/>
      <c r="GO121" s="67"/>
      <c r="GP121" s="67"/>
      <c r="GQ121" s="67"/>
      <c r="GR121" s="67"/>
      <c r="GS121" s="67"/>
      <c r="GT121" s="67"/>
      <c r="GU121" s="67"/>
      <c r="GV121" s="67"/>
      <c r="GW121" s="67"/>
      <c r="GX121" s="67"/>
      <c r="GY121" s="67"/>
      <c r="GZ121" s="67"/>
      <c r="HA121" s="67"/>
      <c r="HB121" s="67"/>
      <c r="HC121" s="67"/>
      <c r="HD121" s="67"/>
      <c r="HE121" s="67"/>
      <c r="HF121" s="67"/>
      <c r="HG121" s="67"/>
      <c r="HH121" s="67"/>
      <c r="HI121" s="67"/>
      <c r="HJ121" s="67"/>
      <c r="HK121" s="67"/>
      <c r="HL121" s="67"/>
      <c r="HM121" s="67"/>
      <c r="HN121" s="67"/>
      <c r="HO121" s="67"/>
      <c r="HP121" s="67"/>
      <c r="HQ121" s="67"/>
      <c r="HR121" s="67"/>
      <c r="HS121" s="67"/>
      <c r="HT121" s="67"/>
      <c r="HU121" s="67"/>
      <c r="HV121" s="67"/>
      <c r="HW121" s="67"/>
      <c r="HX121" s="67"/>
      <c r="HY121" s="67"/>
      <c r="HZ121" s="67"/>
      <c r="IA121" s="67"/>
      <c r="IB121" s="67"/>
      <c r="IC121" s="67"/>
      <c r="ID121" s="67"/>
      <c r="IE121" s="67"/>
      <c r="IF121" s="67"/>
      <c r="IG121" s="67"/>
      <c r="IH121" s="67"/>
      <c r="II121" s="67"/>
      <c r="IJ121" s="67"/>
      <c r="IK121" s="67"/>
      <c r="IL121" s="67"/>
      <c r="IM121" s="67"/>
      <c r="IN121" s="67"/>
      <c r="IO121" s="67"/>
      <c r="IP121" s="67"/>
      <c r="IQ121" s="67"/>
      <c r="IR121" s="67"/>
      <c r="IS121" s="67"/>
      <c r="IT121" s="67"/>
      <c r="IU121" s="67"/>
      <c r="IV121" s="67"/>
      <c r="IW121" s="67"/>
    </row>
    <row r="122" spans="3:257" s="4" customFormat="1" x14ac:dyDescent="0.2">
      <c r="C122" s="73"/>
      <c r="Z122" s="104"/>
      <c r="AA122" s="115"/>
      <c r="AB122" s="116"/>
      <c r="AC122" s="114"/>
      <c r="AD122" s="114"/>
      <c r="AE122" s="114"/>
      <c r="AF122" s="114"/>
      <c r="AG122" s="114"/>
      <c r="AH122" s="67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  <c r="BI122" s="67"/>
      <c r="BJ122" s="67"/>
      <c r="BK122" s="67"/>
      <c r="BL122" s="6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A122" s="67"/>
      <c r="CB122" s="67"/>
      <c r="CC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  <c r="CR122" s="67"/>
      <c r="CS122" s="67"/>
      <c r="CT122" s="67"/>
      <c r="CU122" s="67"/>
      <c r="CV122" s="67"/>
      <c r="CW122" s="67"/>
      <c r="CX122" s="67"/>
      <c r="CY122" s="67"/>
      <c r="CZ122" s="67"/>
      <c r="DA122" s="67"/>
      <c r="DB122" s="67"/>
      <c r="DC122" s="67"/>
      <c r="DD122" s="67"/>
      <c r="DE122" s="67"/>
      <c r="DF122" s="67"/>
      <c r="DG122" s="67"/>
      <c r="DH122" s="67"/>
      <c r="DI122" s="67"/>
      <c r="DJ122" s="67"/>
      <c r="DK122" s="67"/>
      <c r="DL122" s="67"/>
      <c r="DM122" s="67"/>
      <c r="DN122" s="67"/>
      <c r="DO122" s="67"/>
      <c r="DP122" s="67"/>
      <c r="DQ122" s="67"/>
      <c r="DR122" s="67"/>
      <c r="DS122" s="67"/>
      <c r="DT122" s="67"/>
      <c r="DU122" s="67"/>
      <c r="DV122" s="67"/>
      <c r="DW122" s="67"/>
      <c r="DX122" s="67"/>
      <c r="DY122" s="67"/>
      <c r="DZ122" s="67"/>
      <c r="EA122" s="67"/>
      <c r="EB122" s="67"/>
      <c r="EC122" s="67"/>
      <c r="ED122" s="67"/>
      <c r="EE122" s="67"/>
      <c r="EF122" s="67"/>
      <c r="EG122" s="67"/>
      <c r="EH122" s="67"/>
      <c r="EI122" s="67"/>
      <c r="EJ122" s="67"/>
      <c r="EK122" s="67"/>
      <c r="EL122" s="67"/>
      <c r="EM122" s="67"/>
      <c r="EN122" s="67"/>
      <c r="EO122" s="67"/>
      <c r="EP122" s="67"/>
      <c r="EQ122" s="67"/>
      <c r="ER122" s="67"/>
      <c r="ES122" s="67"/>
      <c r="ET122" s="67"/>
      <c r="EU122" s="67"/>
      <c r="EV122" s="67"/>
      <c r="EW122" s="67"/>
      <c r="EX122" s="67"/>
      <c r="EY122" s="67"/>
      <c r="EZ122" s="67"/>
      <c r="FA122" s="67"/>
      <c r="FB122" s="67"/>
      <c r="FC122" s="67"/>
      <c r="FD122" s="67"/>
      <c r="FE122" s="67"/>
      <c r="FF122" s="67"/>
      <c r="FG122" s="67"/>
      <c r="FH122" s="67"/>
      <c r="FI122" s="67"/>
      <c r="FJ122" s="67"/>
      <c r="FK122" s="67"/>
      <c r="FL122" s="67"/>
      <c r="FM122" s="67"/>
      <c r="FN122" s="67"/>
      <c r="FO122" s="67"/>
      <c r="FP122" s="67"/>
      <c r="FQ122" s="67"/>
      <c r="FR122" s="67"/>
      <c r="FS122" s="67"/>
      <c r="FT122" s="67"/>
      <c r="FU122" s="67"/>
      <c r="FV122" s="67"/>
      <c r="FW122" s="67"/>
      <c r="FX122" s="67"/>
      <c r="FY122" s="67"/>
      <c r="FZ122" s="67"/>
      <c r="GA122" s="67"/>
      <c r="GB122" s="67"/>
      <c r="GC122" s="67"/>
      <c r="GD122" s="67"/>
      <c r="GE122" s="67"/>
      <c r="GF122" s="67"/>
      <c r="GG122" s="67"/>
      <c r="GH122" s="67"/>
      <c r="GI122" s="67"/>
      <c r="GJ122" s="67"/>
      <c r="GK122" s="67"/>
      <c r="GL122" s="67"/>
      <c r="GM122" s="67"/>
      <c r="GN122" s="67"/>
      <c r="GO122" s="67"/>
      <c r="GP122" s="67"/>
      <c r="GQ122" s="67"/>
      <c r="GR122" s="67"/>
      <c r="GS122" s="67"/>
      <c r="GT122" s="67"/>
      <c r="GU122" s="67"/>
      <c r="GV122" s="67"/>
      <c r="GW122" s="67"/>
      <c r="GX122" s="67"/>
      <c r="GY122" s="67"/>
      <c r="GZ122" s="67"/>
      <c r="HA122" s="67"/>
      <c r="HB122" s="67"/>
      <c r="HC122" s="67"/>
      <c r="HD122" s="67"/>
      <c r="HE122" s="67"/>
      <c r="HF122" s="67"/>
      <c r="HG122" s="67"/>
      <c r="HH122" s="67"/>
      <c r="HI122" s="67"/>
      <c r="HJ122" s="67"/>
      <c r="HK122" s="67"/>
      <c r="HL122" s="67"/>
      <c r="HM122" s="67"/>
      <c r="HN122" s="67"/>
      <c r="HO122" s="67"/>
      <c r="HP122" s="67"/>
      <c r="HQ122" s="67"/>
      <c r="HR122" s="67"/>
      <c r="HS122" s="67"/>
      <c r="HT122" s="67"/>
      <c r="HU122" s="67"/>
      <c r="HV122" s="67"/>
      <c r="HW122" s="67"/>
      <c r="HX122" s="67"/>
      <c r="HY122" s="67"/>
      <c r="HZ122" s="67"/>
      <c r="IA122" s="67"/>
      <c r="IB122" s="67"/>
      <c r="IC122" s="67"/>
      <c r="ID122" s="67"/>
      <c r="IE122" s="67"/>
      <c r="IF122" s="67"/>
      <c r="IG122" s="67"/>
      <c r="IH122" s="67"/>
      <c r="II122" s="67"/>
      <c r="IJ122" s="67"/>
      <c r="IK122" s="67"/>
      <c r="IL122" s="67"/>
      <c r="IM122" s="67"/>
      <c r="IN122" s="67"/>
      <c r="IO122" s="67"/>
      <c r="IP122" s="67"/>
      <c r="IQ122" s="67"/>
      <c r="IR122" s="67"/>
      <c r="IS122" s="67"/>
      <c r="IT122" s="67"/>
      <c r="IU122" s="67"/>
      <c r="IV122" s="67"/>
      <c r="IW122" s="67"/>
    </row>
    <row r="123" spans="3:257" s="4" customFormat="1" x14ac:dyDescent="0.2">
      <c r="C123" s="73"/>
      <c r="Z123" s="104"/>
      <c r="AA123" s="115"/>
      <c r="AB123" s="116"/>
      <c r="AC123" s="114"/>
      <c r="AD123" s="114"/>
      <c r="AE123" s="114"/>
      <c r="AF123" s="114"/>
      <c r="AG123" s="114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  <c r="BI123" s="67"/>
      <c r="BJ123" s="67"/>
      <c r="BK123" s="67"/>
      <c r="BL123" s="6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A123" s="67"/>
      <c r="CB123" s="67"/>
      <c r="CC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  <c r="CR123" s="67"/>
      <c r="CS123" s="67"/>
      <c r="CT123" s="67"/>
      <c r="CU123" s="67"/>
      <c r="CV123" s="67"/>
      <c r="CW123" s="67"/>
      <c r="CX123" s="67"/>
      <c r="CY123" s="67"/>
      <c r="CZ123" s="67"/>
      <c r="DA123" s="67"/>
      <c r="DB123" s="67"/>
      <c r="DC123" s="67"/>
      <c r="DD123" s="67"/>
      <c r="DE123" s="67"/>
      <c r="DF123" s="67"/>
      <c r="DG123" s="67"/>
      <c r="DH123" s="67"/>
      <c r="DI123" s="67"/>
      <c r="DJ123" s="67"/>
      <c r="DK123" s="67"/>
      <c r="DL123" s="67"/>
      <c r="DM123" s="67"/>
      <c r="DN123" s="67"/>
      <c r="DO123" s="67"/>
      <c r="DP123" s="67"/>
      <c r="DQ123" s="67"/>
      <c r="DR123" s="67"/>
      <c r="DS123" s="67"/>
      <c r="DT123" s="67"/>
      <c r="DU123" s="67"/>
      <c r="DV123" s="67"/>
      <c r="DW123" s="67"/>
      <c r="DX123" s="67"/>
      <c r="DY123" s="67"/>
      <c r="DZ123" s="67"/>
      <c r="EA123" s="67"/>
      <c r="EB123" s="67"/>
      <c r="EC123" s="67"/>
      <c r="ED123" s="67"/>
      <c r="EE123" s="67"/>
      <c r="EF123" s="67"/>
      <c r="EG123" s="67"/>
      <c r="EH123" s="67"/>
      <c r="EI123" s="67"/>
      <c r="EJ123" s="67"/>
      <c r="EK123" s="67"/>
      <c r="EL123" s="67"/>
      <c r="EM123" s="67"/>
      <c r="EN123" s="67"/>
      <c r="EO123" s="67"/>
      <c r="EP123" s="67"/>
      <c r="EQ123" s="67"/>
      <c r="ER123" s="67"/>
      <c r="ES123" s="67"/>
      <c r="ET123" s="67"/>
      <c r="EU123" s="67"/>
      <c r="EV123" s="67"/>
      <c r="EW123" s="67"/>
      <c r="EX123" s="67"/>
      <c r="EY123" s="67"/>
      <c r="EZ123" s="67"/>
      <c r="FA123" s="67"/>
      <c r="FB123" s="67"/>
      <c r="FC123" s="67"/>
      <c r="FD123" s="67"/>
      <c r="FE123" s="67"/>
      <c r="FF123" s="67"/>
      <c r="FG123" s="67"/>
      <c r="FH123" s="67"/>
      <c r="FI123" s="67"/>
      <c r="FJ123" s="67"/>
      <c r="FK123" s="67"/>
      <c r="FL123" s="67"/>
      <c r="FM123" s="67"/>
      <c r="FN123" s="67"/>
      <c r="FO123" s="67"/>
      <c r="FP123" s="67"/>
      <c r="FQ123" s="67"/>
      <c r="FR123" s="67"/>
      <c r="FS123" s="67"/>
      <c r="FT123" s="67"/>
      <c r="FU123" s="67"/>
      <c r="FV123" s="67"/>
      <c r="FW123" s="67"/>
      <c r="FX123" s="67"/>
      <c r="FY123" s="67"/>
      <c r="FZ123" s="67"/>
      <c r="GA123" s="67"/>
      <c r="GB123" s="67"/>
      <c r="GC123" s="67"/>
      <c r="GD123" s="67"/>
      <c r="GE123" s="67"/>
      <c r="GF123" s="67"/>
      <c r="GG123" s="67"/>
      <c r="GH123" s="67"/>
      <c r="GI123" s="67"/>
      <c r="GJ123" s="67"/>
      <c r="GK123" s="67"/>
      <c r="GL123" s="67"/>
      <c r="GM123" s="67"/>
      <c r="GN123" s="67"/>
      <c r="GO123" s="67"/>
      <c r="GP123" s="67"/>
      <c r="GQ123" s="67"/>
      <c r="GR123" s="67"/>
      <c r="GS123" s="67"/>
      <c r="GT123" s="67"/>
      <c r="GU123" s="67"/>
      <c r="GV123" s="67"/>
      <c r="GW123" s="67"/>
      <c r="GX123" s="67"/>
      <c r="GY123" s="67"/>
      <c r="GZ123" s="67"/>
      <c r="HA123" s="67"/>
      <c r="HB123" s="67"/>
      <c r="HC123" s="67"/>
      <c r="HD123" s="67"/>
      <c r="HE123" s="67"/>
      <c r="HF123" s="67"/>
      <c r="HG123" s="67"/>
      <c r="HH123" s="67"/>
      <c r="HI123" s="67"/>
      <c r="HJ123" s="67"/>
      <c r="HK123" s="67"/>
      <c r="HL123" s="67"/>
      <c r="HM123" s="67"/>
      <c r="HN123" s="67"/>
      <c r="HO123" s="67"/>
      <c r="HP123" s="67"/>
      <c r="HQ123" s="67"/>
      <c r="HR123" s="67"/>
      <c r="HS123" s="67"/>
      <c r="HT123" s="67"/>
      <c r="HU123" s="67"/>
      <c r="HV123" s="67"/>
      <c r="HW123" s="67"/>
      <c r="HX123" s="67"/>
      <c r="HY123" s="67"/>
      <c r="HZ123" s="67"/>
      <c r="IA123" s="67"/>
      <c r="IB123" s="67"/>
      <c r="IC123" s="67"/>
      <c r="ID123" s="67"/>
      <c r="IE123" s="67"/>
      <c r="IF123" s="67"/>
      <c r="IG123" s="67"/>
      <c r="IH123" s="67"/>
      <c r="II123" s="67"/>
      <c r="IJ123" s="67"/>
      <c r="IK123" s="67"/>
      <c r="IL123" s="67"/>
      <c r="IM123" s="67"/>
      <c r="IN123" s="67"/>
      <c r="IO123" s="67"/>
      <c r="IP123" s="67"/>
      <c r="IQ123" s="67"/>
      <c r="IR123" s="67"/>
      <c r="IS123" s="67"/>
      <c r="IT123" s="67"/>
      <c r="IU123" s="67"/>
      <c r="IV123" s="67"/>
      <c r="IW123" s="67"/>
    </row>
    <row r="124" spans="3:257" s="4" customFormat="1" x14ac:dyDescent="0.2">
      <c r="C124" s="73"/>
      <c r="Z124" s="104"/>
      <c r="AA124" s="115"/>
      <c r="AB124" s="116"/>
      <c r="AC124" s="114"/>
      <c r="AD124" s="114"/>
      <c r="AE124" s="114"/>
      <c r="AF124" s="114"/>
      <c r="AG124" s="114"/>
      <c r="AH124" s="67"/>
      <c r="AI124" s="67"/>
      <c r="AJ124" s="67"/>
      <c r="AK124" s="67"/>
      <c r="AL124" s="67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  <c r="BI124" s="67"/>
      <c r="BJ124" s="67"/>
      <c r="BK124" s="67"/>
      <c r="BL124" s="6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A124" s="67"/>
      <c r="CB124" s="67"/>
      <c r="CC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  <c r="CR124" s="67"/>
      <c r="CS124" s="67"/>
      <c r="CT124" s="67"/>
      <c r="CU124" s="67"/>
      <c r="CV124" s="67"/>
      <c r="CW124" s="67"/>
      <c r="CX124" s="67"/>
      <c r="CY124" s="67"/>
      <c r="CZ124" s="67"/>
      <c r="DA124" s="67"/>
      <c r="DB124" s="67"/>
      <c r="DC124" s="67"/>
      <c r="DD124" s="67"/>
      <c r="DE124" s="67"/>
      <c r="DF124" s="67"/>
      <c r="DG124" s="67"/>
      <c r="DH124" s="67"/>
      <c r="DI124" s="67"/>
      <c r="DJ124" s="67"/>
      <c r="DK124" s="67"/>
      <c r="DL124" s="67"/>
      <c r="DM124" s="67"/>
      <c r="DN124" s="67"/>
      <c r="DO124" s="67"/>
      <c r="DP124" s="67"/>
      <c r="DQ124" s="67"/>
      <c r="DR124" s="67"/>
      <c r="DS124" s="67"/>
      <c r="DT124" s="67"/>
      <c r="DU124" s="67"/>
      <c r="DV124" s="67"/>
      <c r="DW124" s="67"/>
      <c r="DX124" s="67"/>
      <c r="DY124" s="67"/>
      <c r="DZ124" s="67"/>
      <c r="EA124" s="67"/>
      <c r="EB124" s="67"/>
      <c r="EC124" s="67"/>
      <c r="ED124" s="67"/>
      <c r="EE124" s="67"/>
      <c r="EF124" s="67"/>
      <c r="EG124" s="67"/>
      <c r="EH124" s="67"/>
      <c r="EI124" s="67"/>
      <c r="EJ124" s="67"/>
      <c r="EK124" s="67"/>
      <c r="EL124" s="67"/>
      <c r="EM124" s="67"/>
      <c r="EN124" s="67"/>
      <c r="EO124" s="67"/>
      <c r="EP124" s="67"/>
      <c r="EQ124" s="67"/>
      <c r="ER124" s="67"/>
      <c r="ES124" s="67"/>
      <c r="ET124" s="67"/>
      <c r="EU124" s="67"/>
      <c r="EV124" s="67"/>
      <c r="EW124" s="67"/>
      <c r="EX124" s="67"/>
      <c r="EY124" s="67"/>
      <c r="EZ124" s="67"/>
      <c r="FA124" s="67"/>
      <c r="FB124" s="67"/>
      <c r="FC124" s="67"/>
      <c r="FD124" s="67"/>
      <c r="FE124" s="67"/>
      <c r="FF124" s="67"/>
      <c r="FG124" s="67"/>
      <c r="FH124" s="67"/>
      <c r="FI124" s="67"/>
      <c r="FJ124" s="67"/>
      <c r="FK124" s="67"/>
      <c r="FL124" s="67"/>
      <c r="FM124" s="67"/>
      <c r="FN124" s="67"/>
      <c r="FO124" s="67"/>
      <c r="FP124" s="67"/>
      <c r="FQ124" s="67"/>
      <c r="FR124" s="67"/>
      <c r="FS124" s="67"/>
      <c r="FT124" s="67"/>
      <c r="FU124" s="67"/>
      <c r="FV124" s="67"/>
      <c r="FW124" s="67"/>
      <c r="FX124" s="67"/>
      <c r="FY124" s="67"/>
      <c r="FZ124" s="67"/>
      <c r="GA124" s="67"/>
      <c r="GB124" s="67"/>
      <c r="GC124" s="67"/>
      <c r="GD124" s="67"/>
      <c r="GE124" s="67"/>
      <c r="GF124" s="67"/>
      <c r="GG124" s="67"/>
      <c r="GH124" s="67"/>
      <c r="GI124" s="67"/>
      <c r="GJ124" s="67"/>
      <c r="GK124" s="67"/>
      <c r="GL124" s="67"/>
      <c r="GM124" s="67"/>
      <c r="GN124" s="67"/>
      <c r="GO124" s="67"/>
      <c r="GP124" s="67"/>
      <c r="GQ124" s="67"/>
      <c r="GR124" s="67"/>
      <c r="GS124" s="67"/>
      <c r="GT124" s="67"/>
      <c r="GU124" s="67"/>
      <c r="GV124" s="67"/>
      <c r="GW124" s="67"/>
      <c r="GX124" s="67"/>
      <c r="GY124" s="67"/>
      <c r="GZ124" s="67"/>
      <c r="HA124" s="67"/>
      <c r="HB124" s="67"/>
      <c r="HC124" s="67"/>
      <c r="HD124" s="67"/>
      <c r="HE124" s="67"/>
      <c r="HF124" s="67"/>
      <c r="HG124" s="67"/>
      <c r="HH124" s="67"/>
      <c r="HI124" s="67"/>
      <c r="HJ124" s="67"/>
      <c r="HK124" s="67"/>
      <c r="HL124" s="67"/>
      <c r="HM124" s="67"/>
      <c r="HN124" s="67"/>
      <c r="HO124" s="67"/>
      <c r="HP124" s="67"/>
      <c r="HQ124" s="67"/>
      <c r="HR124" s="67"/>
      <c r="HS124" s="67"/>
      <c r="HT124" s="67"/>
      <c r="HU124" s="67"/>
      <c r="HV124" s="67"/>
      <c r="HW124" s="67"/>
      <c r="HX124" s="67"/>
      <c r="HY124" s="67"/>
      <c r="HZ124" s="67"/>
      <c r="IA124" s="67"/>
      <c r="IB124" s="67"/>
      <c r="IC124" s="67"/>
      <c r="ID124" s="67"/>
      <c r="IE124" s="67"/>
      <c r="IF124" s="67"/>
      <c r="IG124" s="67"/>
      <c r="IH124" s="67"/>
      <c r="II124" s="67"/>
      <c r="IJ124" s="67"/>
      <c r="IK124" s="67"/>
      <c r="IL124" s="67"/>
      <c r="IM124" s="67"/>
      <c r="IN124" s="67"/>
      <c r="IO124" s="67"/>
      <c r="IP124" s="67"/>
      <c r="IQ124" s="67"/>
      <c r="IR124" s="67"/>
      <c r="IS124" s="67"/>
      <c r="IT124" s="67"/>
      <c r="IU124" s="67"/>
      <c r="IV124" s="67"/>
      <c r="IW124" s="67"/>
    </row>
    <row r="125" spans="3:257" s="4" customFormat="1" x14ac:dyDescent="0.2">
      <c r="C125" s="73"/>
      <c r="Z125" s="104"/>
      <c r="AA125" s="115"/>
      <c r="AB125" s="116"/>
      <c r="AC125" s="114"/>
      <c r="AD125" s="114"/>
      <c r="AE125" s="114"/>
      <c r="AF125" s="114"/>
      <c r="AG125" s="114"/>
      <c r="AH125" s="67"/>
      <c r="AI125" s="67"/>
      <c r="AJ125" s="67"/>
      <c r="AK125" s="67"/>
      <c r="AL125" s="67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  <c r="BI125" s="67"/>
      <c r="BJ125" s="67"/>
      <c r="BK125" s="67"/>
      <c r="BL125" s="6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A125" s="67"/>
      <c r="CB125" s="67"/>
      <c r="CC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  <c r="CR125" s="67"/>
      <c r="CS125" s="67"/>
      <c r="CT125" s="67"/>
      <c r="CU125" s="67"/>
      <c r="CV125" s="67"/>
      <c r="CW125" s="67"/>
      <c r="CX125" s="67"/>
      <c r="CY125" s="67"/>
      <c r="CZ125" s="67"/>
      <c r="DA125" s="67"/>
      <c r="DB125" s="67"/>
      <c r="DC125" s="67"/>
      <c r="DD125" s="67"/>
      <c r="DE125" s="67"/>
      <c r="DF125" s="67"/>
      <c r="DG125" s="67"/>
      <c r="DH125" s="67"/>
      <c r="DI125" s="67"/>
      <c r="DJ125" s="67"/>
      <c r="DK125" s="67"/>
      <c r="DL125" s="67"/>
      <c r="DM125" s="67"/>
      <c r="DN125" s="67"/>
      <c r="DO125" s="67"/>
      <c r="DP125" s="67"/>
      <c r="DQ125" s="67"/>
      <c r="DR125" s="67"/>
      <c r="DS125" s="67"/>
      <c r="DT125" s="67"/>
      <c r="DU125" s="67"/>
      <c r="DV125" s="67"/>
      <c r="DW125" s="67"/>
      <c r="DX125" s="67"/>
      <c r="DY125" s="67"/>
      <c r="DZ125" s="67"/>
      <c r="EA125" s="67"/>
      <c r="EB125" s="67"/>
      <c r="EC125" s="67"/>
      <c r="ED125" s="67"/>
      <c r="EE125" s="67"/>
      <c r="EF125" s="67"/>
      <c r="EG125" s="67"/>
      <c r="EH125" s="67"/>
      <c r="EI125" s="67"/>
      <c r="EJ125" s="67"/>
      <c r="EK125" s="67"/>
      <c r="EL125" s="67"/>
      <c r="EM125" s="67"/>
      <c r="EN125" s="67"/>
      <c r="EO125" s="67"/>
      <c r="EP125" s="67"/>
      <c r="EQ125" s="67"/>
      <c r="ER125" s="67"/>
      <c r="ES125" s="67"/>
      <c r="ET125" s="67"/>
      <c r="EU125" s="67"/>
      <c r="EV125" s="67"/>
      <c r="EW125" s="67"/>
      <c r="EX125" s="67"/>
      <c r="EY125" s="67"/>
      <c r="EZ125" s="67"/>
      <c r="FA125" s="67"/>
      <c r="FB125" s="67"/>
      <c r="FC125" s="67"/>
      <c r="FD125" s="67"/>
      <c r="FE125" s="67"/>
      <c r="FF125" s="67"/>
      <c r="FG125" s="67"/>
      <c r="FH125" s="67"/>
      <c r="FI125" s="67"/>
      <c r="FJ125" s="67"/>
      <c r="FK125" s="67"/>
      <c r="FL125" s="67"/>
      <c r="FM125" s="67"/>
      <c r="FN125" s="67"/>
      <c r="FO125" s="67"/>
      <c r="FP125" s="67"/>
      <c r="FQ125" s="67"/>
      <c r="FR125" s="67"/>
      <c r="FS125" s="67"/>
      <c r="FT125" s="67"/>
      <c r="FU125" s="67"/>
      <c r="FV125" s="67"/>
      <c r="FW125" s="67"/>
      <c r="FX125" s="67"/>
      <c r="FY125" s="67"/>
      <c r="FZ125" s="67"/>
      <c r="GA125" s="67"/>
      <c r="GB125" s="67"/>
      <c r="GC125" s="67"/>
      <c r="GD125" s="67"/>
      <c r="GE125" s="67"/>
      <c r="GF125" s="67"/>
      <c r="GG125" s="67"/>
      <c r="GH125" s="67"/>
      <c r="GI125" s="67"/>
      <c r="GJ125" s="67"/>
      <c r="GK125" s="67"/>
      <c r="GL125" s="67"/>
      <c r="GM125" s="67"/>
      <c r="GN125" s="67"/>
      <c r="GO125" s="67"/>
      <c r="GP125" s="67"/>
      <c r="GQ125" s="67"/>
      <c r="GR125" s="67"/>
      <c r="GS125" s="67"/>
      <c r="GT125" s="67"/>
      <c r="GU125" s="67"/>
      <c r="GV125" s="67"/>
      <c r="GW125" s="67"/>
      <c r="GX125" s="67"/>
      <c r="GY125" s="67"/>
      <c r="GZ125" s="67"/>
      <c r="HA125" s="67"/>
      <c r="HB125" s="67"/>
      <c r="HC125" s="67"/>
      <c r="HD125" s="67"/>
      <c r="HE125" s="67"/>
      <c r="HF125" s="67"/>
      <c r="HG125" s="67"/>
      <c r="HH125" s="67"/>
      <c r="HI125" s="67"/>
      <c r="HJ125" s="67"/>
      <c r="HK125" s="67"/>
      <c r="HL125" s="67"/>
      <c r="HM125" s="67"/>
      <c r="HN125" s="67"/>
      <c r="HO125" s="67"/>
      <c r="HP125" s="67"/>
      <c r="HQ125" s="67"/>
      <c r="HR125" s="67"/>
      <c r="HS125" s="67"/>
      <c r="HT125" s="67"/>
      <c r="HU125" s="67"/>
      <c r="HV125" s="67"/>
      <c r="HW125" s="67"/>
      <c r="HX125" s="67"/>
      <c r="HY125" s="67"/>
      <c r="HZ125" s="67"/>
      <c r="IA125" s="67"/>
      <c r="IB125" s="67"/>
      <c r="IC125" s="67"/>
      <c r="ID125" s="67"/>
      <c r="IE125" s="67"/>
      <c r="IF125" s="67"/>
      <c r="IG125" s="67"/>
      <c r="IH125" s="67"/>
      <c r="II125" s="67"/>
      <c r="IJ125" s="67"/>
      <c r="IK125" s="67"/>
      <c r="IL125" s="67"/>
      <c r="IM125" s="67"/>
      <c r="IN125" s="67"/>
      <c r="IO125" s="67"/>
      <c r="IP125" s="67"/>
      <c r="IQ125" s="67"/>
      <c r="IR125" s="67"/>
      <c r="IS125" s="67"/>
      <c r="IT125" s="67"/>
      <c r="IU125" s="67"/>
      <c r="IV125" s="67"/>
      <c r="IW125" s="67"/>
    </row>
    <row r="126" spans="3:257" s="4" customFormat="1" x14ac:dyDescent="0.2">
      <c r="C126" s="73"/>
      <c r="Z126" s="104"/>
      <c r="AA126" s="115"/>
      <c r="AB126" s="116"/>
      <c r="AC126" s="114"/>
      <c r="AD126" s="114"/>
      <c r="AE126" s="114"/>
      <c r="AF126" s="114"/>
      <c r="AG126" s="114"/>
      <c r="AH126" s="67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  <c r="BI126" s="67"/>
      <c r="BJ126" s="67"/>
      <c r="BK126" s="67"/>
      <c r="BL126" s="6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A126" s="67"/>
      <c r="CB126" s="67"/>
      <c r="CC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  <c r="CR126" s="67"/>
      <c r="CS126" s="67"/>
      <c r="CT126" s="67"/>
      <c r="CU126" s="67"/>
      <c r="CV126" s="67"/>
      <c r="CW126" s="67"/>
      <c r="CX126" s="67"/>
      <c r="CY126" s="67"/>
      <c r="CZ126" s="67"/>
      <c r="DA126" s="67"/>
      <c r="DB126" s="67"/>
      <c r="DC126" s="67"/>
      <c r="DD126" s="67"/>
      <c r="DE126" s="67"/>
      <c r="DF126" s="67"/>
      <c r="DG126" s="67"/>
      <c r="DH126" s="67"/>
      <c r="DI126" s="67"/>
      <c r="DJ126" s="67"/>
      <c r="DK126" s="67"/>
      <c r="DL126" s="67"/>
      <c r="DM126" s="67"/>
      <c r="DN126" s="67"/>
      <c r="DO126" s="67"/>
      <c r="DP126" s="67"/>
      <c r="DQ126" s="67"/>
      <c r="DR126" s="67"/>
      <c r="DS126" s="67"/>
      <c r="DT126" s="67"/>
      <c r="DU126" s="67"/>
      <c r="DV126" s="67"/>
      <c r="DW126" s="67"/>
      <c r="DX126" s="67"/>
      <c r="DY126" s="67"/>
      <c r="DZ126" s="67"/>
      <c r="EA126" s="67"/>
      <c r="EB126" s="67"/>
      <c r="EC126" s="67"/>
      <c r="ED126" s="67"/>
      <c r="EE126" s="67"/>
      <c r="EF126" s="67"/>
      <c r="EG126" s="67"/>
      <c r="EH126" s="67"/>
      <c r="EI126" s="67"/>
      <c r="EJ126" s="67"/>
      <c r="EK126" s="67"/>
      <c r="EL126" s="67"/>
      <c r="EM126" s="67"/>
      <c r="EN126" s="67"/>
      <c r="EO126" s="67"/>
      <c r="EP126" s="67"/>
      <c r="EQ126" s="67"/>
      <c r="ER126" s="67"/>
      <c r="ES126" s="67"/>
      <c r="ET126" s="67"/>
      <c r="EU126" s="67"/>
      <c r="EV126" s="67"/>
      <c r="EW126" s="67"/>
      <c r="EX126" s="67"/>
      <c r="EY126" s="67"/>
      <c r="EZ126" s="67"/>
      <c r="FA126" s="67"/>
      <c r="FB126" s="67"/>
      <c r="FC126" s="67"/>
      <c r="FD126" s="67"/>
      <c r="FE126" s="67"/>
      <c r="FF126" s="67"/>
      <c r="FG126" s="67"/>
      <c r="FH126" s="67"/>
      <c r="FI126" s="67"/>
      <c r="FJ126" s="67"/>
      <c r="FK126" s="67"/>
      <c r="FL126" s="67"/>
      <c r="FM126" s="67"/>
      <c r="FN126" s="67"/>
      <c r="FO126" s="67"/>
      <c r="FP126" s="67"/>
      <c r="FQ126" s="67"/>
      <c r="FR126" s="67"/>
      <c r="FS126" s="67"/>
      <c r="FT126" s="67"/>
      <c r="FU126" s="67"/>
      <c r="FV126" s="67"/>
      <c r="FW126" s="67"/>
      <c r="FX126" s="67"/>
      <c r="FY126" s="67"/>
      <c r="FZ126" s="67"/>
      <c r="GA126" s="67"/>
      <c r="GB126" s="67"/>
      <c r="GC126" s="67"/>
      <c r="GD126" s="67"/>
      <c r="GE126" s="67"/>
      <c r="GF126" s="67"/>
      <c r="GG126" s="67"/>
      <c r="GH126" s="67"/>
      <c r="GI126" s="67"/>
      <c r="GJ126" s="67"/>
      <c r="GK126" s="67"/>
      <c r="GL126" s="67"/>
      <c r="GM126" s="67"/>
      <c r="GN126" s="67"/>
      <c r="GO126" s="67"/>
      <c r="GP126" s="67"/>
      <c r="GQ126" s="67"/>
      <c r="GR126" s="67"/>
      <c r="GS126" s="67"/>
      <c r="GT126" s="67"/>
      <c r="GU126" s="67"/>
      <c r="GV126" s="67"/>
      <c r="GW126" s="67"/>
      <c r="GX126" s="67"/>
      <c r="GY126" s="67"/>
      <c r="GZ126" s="67"/>
      <c r="HA126" s="67"/>
      <c r="HB126" s="67"/>
      <c r="HC126" s="67"/>
      <c r="HD126" s="67"/>
      <c r="HE126" s="67"/>
      <c r="HF126" s="67"/>
      <c r="HG126" s="67"/>
      <c r="HH126" s="67"/>
      <c r="HI126" s="67"/>
      <c r="HJ126" s="67"/>
      <c r="HK126" s="67"/>
      <c r="HL126" s="67"/>
      <c r="HM126" s="67"/>
      <c r="HN126" s="67"/>
      <c r="HO126" s="67"/>
      <c r="HP126" s="67"/>
      <c r="HQ126" s="67"/>
      <c r="HR126" s="67"/>
      <c r="HS126" s="67"/>
      <c r="HT126" s="67"/>
      <c r="HU126" s="67"/>
      <c r="HV126" s="67"/>
      <c r="HW126" s="67"/>
      <c r="HX126" s="67"/>
      <c r="HY126" s="67"/>
      <c r="HZ126" s="67"/>
      <c r="IA126" s="67"/>
      <c r="IB126" s="67"/>
      <c r="IC126" s="67"/>
      <c r="ID126" s="67"/>
      <c r="IE126" s="67"/>
      <c r="IF126" s="67"/>
      <c r="IG126" s="67"/>
      <c r="IH126" s="67"/>
      <c r="II126" s="67"/>
      <c r="IJ126" s="67"/>
      <c r="IK126" s="67"/>
      <c r="IL126" s="67"/>
      <c r="IM126" s="67"/>
      <c r="IN126" s="67"/>
      <c r="IO126" s="67"/>
      <c r="IP126" s="67"/>
      <c r="IQ126" s="67"/>
      <c r="IR126" s="67"/>
      <c r="IS126" s="67"/>
      <c r="IT126" s="67"/>
      <c r="IU126" s="67"/>
      <c r="IV126" s="67"/>
      <c r="IW126" s="67"/>
    </row>
    <row r="127" spans="3:257" s="4" customFormat="1" x14ac:dyDescent="0.2">
      <c r="C127" s="73"/>
      <c r="Z127" s="104"/>
      <c r="AA127" s="115"/>
      <c r="AB127" s="116"/>
      <c r="AC127" s="114"/>
      <c r="AD127" s="114"/>
      <c r="AE127" s="114"/>
      <c r="AF127" s="114"/>
      <c r="AG127" s="114"/>
      <c r="AH127" s="67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  <c r="BI127" s="67"/>
      <c r="BJ127" s="67"/>
      <c r="BK127" s="67"/>
      <c r="BL127" s="6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A127" s="67"/>
      <c r="CB127" s="67"/>
      <c r="CC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  <c r="CR127" s="67"/>
      <c r="CS127" s="67"/>
      <c r="CT127" s="67"/>
      <c r="CU127" s="67"/>
      <c r="CV127" s="67"/>
      <c r="CW127" s="67"/>
      <c r="CX127" s="67"/>
      <c r="CY127" s="67"/>
      <c r="CZ127" s="67"/>
      <c r="DA127" s="67"/>
      <c r="DB127" s="67"/>
      <c r="DC127" s="67"/>
      <c r="DD127" s="67"/>
      <c r="DE127" s="67"/>
      <c r="DF127" s="67"/>
      <c r="DG127" s="67"/>
      <c r="DH127" s="67"/>
      <c r="DI127" s="67"/>
      <c r="DJ127" s="67"/>
      <c r="DK127" s="67"/>
      <c r="DL127" s="67"/>
      <c r="DM127" s="67"/>
      <c r="DN127" s="67"/>
      <c r="DO127" s="67"/>
      <c r="DP127" s="67"/>
      <c r="DQ127" s="67"/>
      <c r="DR127" s="67"/>
      <c r="DS127" s="67"/>
      <c r="DT127" s="67"/>
      <c r="DU127" s="67"/>
      <c r="DV127" s="67"/>
      <c r="DW127" s="67"/>
      <c r="DX127" s="67"/>
      <c r="DY127" s="67"/>
      <c r="DZ127" s="67"/>
      <c r="EA127" s="67"/>
      <c r="EB127" s="67"/>
      <c r="EC127" s="67"/>
      <c r="ED127" s="67"/>
      <c r="EE127" s="67"/>
      <c r="EF127" s="67"/>
      <c r="EG127" s="67"/>
      <c r="EH127" s="67"/>
      <c r="EI127" s="67"/>
      <c r="EJ127" s="67"/>
      <c r="EK127" s="67"/>
      <c r="EL127" s="67"/>
      <c r="EM127" s="67"/>
      <c r="EN127" s="67"/>
      <c r="EO127" s="67"/>
      <c r="EP127" s="67"/>
      <c r="EQ127" s="67"/>
      <c r="ER127" s="67"/>
      <c r="ES127" s="67"/>
      <c r="ET127" s="67"/>
      <c r="EU127" s="67"/>
      <c r="EV127" s="67"/>
      <c r="EW127" s="67"/>
      <c r="EX127" s="67"/>
      <c r="EY127" s="67"/>
      <c r="EZ127" s="67"/>
      <c r="FA127" s="67"/>
      <c r="FB127" s="67"/>
      <c r="FC127" s="67"/>
      <c r="FD127" s="67"/>
      <c r="FE127" s="67"/>
      <c r="FF127" s="67"/>
      <c r="FG127" s="67"/>
      <c r="FH127" s="67"/>
      <c r="FI127" s="67"/>
      <c r="FJ127" s="67"/>
      <c r="FK127" s="67"/>
      <c r="FL127" s="67"/>
      <c r="FM127" s="67"/>
      <c r="FN127" s="67"/>
      <c r="FO127" s="67"/>
      <c r="FP127" s="67"/>
      <c r="FQ127" s="67"/>
      <c r="FR127" s="67"/>
      <c r="FS127" s="67"/>
      <c r="FT127" s="67"/>
      <c r="FU127" s="67"/>
      <c r="FV127" s="67"/>
      <c r="FW127" s="67"/>
      <c r="FX127" s="67"/>
      <c r="FY127" s="67"/>
      <c r="FZ127" s="67"/>
      <c r="GA127" s="67"/>
      <c r="GB127" s="67"/>
      <c r="GC127" s="67"/>
      <c r="GD127" s="67"/>
      <c r="GE127" s="67"/>
      <c r="GF127" s="67"/>
      <c r="GG127" s="67"/>
      <c r="GH127" s="67"/>
      <c r="GI127" s="67"/>
      <c r="GJ127" s="67"/>
      <c r="GK127" s="67"/>
      <c r="GL127" s="67"/>
      <c r="GM127" s="67"/>
      <c r="GN127" s="67"/>
      <c r="GO127" s="67"/>
      <c r="GP127" s="67"/>
      <c r="GQ127" s="67"/>
      <c r="GR127" s="67"/>
      <c r="GS127" s="67"/>
      <c r="GT127" s="67"/>
      <c r="GU127" s="67"/>
      <c r="GV127" s="67"/>
      <c r="GW127" s="67"/>
      <c r="GX127" s="67"/>
      <c r="GY127" s="67"/>
      <c r="GZ127" s="67"/>
      <c r="HA127" s="67"/>
      <c r="HB127" s="67"/>
      <c r="HC127" s="67"/>
      <c r="HD127" s="67"/>
      <c r="HE127" s="67"/>
      <c r="HF127" s="67"/>
      <c r="HG127" s="67"/>
      <c r="HH127" s="67"/>
      <c r="HI127" s="67"/>
      <c r="HJ127" s="67"/>
      <c r="HK127" s="67"/>
      <c r="HL127" s="67"/>
      <c r="HM127" s="67"/>
      <c r="HN127" s="67"/>
      <c r="HO127" s="67"/>
      <c r="HP127" s="67"/>
      <c r="HQ127" s="67"/>
      <c r="HR127" s="67"/>
      <c r="HS127" s="67"/>
      <c r="HT127" s="67"/>
      <c r="HU127" s="67"/>
      <c r="HV127" s="67"/>
      <c r="HW127" s="67"/>
      <c r="HX127" s="67"/>
      <c r="HY127" s="67"/>
      <c r="HZ127" s="67"/>
      <c r="IA127" s="67"/>
      <c r="IB127" s="67"/>
      <c r="IC127" s="67"/>
      <c r="ID127" s="67"/>
      <c r="IE127" s="67"/>
      <c r="IF127" s="67"/>
      <c r="IG127" s="67"/>
      <c r="IH127" s="67"/>
      <c r="II127" s="67"/>
      <c r="IJ127" s="67"/>
      <c r="IK127" s="67"/>
      <c r="IL127" s="67"/>
      <c r="IM127" s="67"/>
      <c r="IN127" s="67"/>
      <c r="IO127" s="67"/>
      <c r="IP127" s="67"/>
      <c r="IQ127" s="67"/>
      <c r="IR127" s="67"/>
      <c r="IS127" s="67"/>
      <c r="IT127" s="67"/>
      <c r="IU127" s="67"/>
      <c r="IV127" s="67"/>
      <c r="IW127" s="67"/>
    </row>
    <row r="128" spans="3:257" s="4" customFormat="1" x14ac:dyDescent="0.2">
      <c r="C128" s="73"/>
      <c r="Z128" s="104"/>
      <c r="AA128" s="115"/>
      <c r="AB128" s="116"/>
      <c r="AC128" s="114"/>
      <c r="AD128" s="114"/>
      <c r="AE128" s="114"/>
      <c r="AF128" s="114"/>
      <c r="AG128" s="114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7"/>
      <c r="BK128" s="67"/>
      <c r="BL128" s="6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A128" s="67"/>
      <c r="CB128" s="67"/>
      <c r="CC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  <c r="CR128" s="67"/>
      <c r="CS128" s="67"/>
      <c r="CT128" s="67"/>
      <c r="CU128" s="67"/>
      <c r="CV128" s="67"/>
      <c r="CW128" s="67"/>
      <c r="CX128" s="67"/>
      <c r="CY128" s="67"/>
      <c r="CZ128" s="67"/>
      <c r="DA128" s="67"/>
      <c r="DB128" s="67"/>
      <c r="DC128" s="67"/>
      <c r="DD128" s="67"/>
      <c r="DE128" s="67"/>
      <c r="DF128" s="67"/>
      <c r="DG128" s="67"/>
      <c r="DH128" s="67"/>
      <c r="DI128" s="67"/>
      <c r="DJ128" s="67"/>
      <c r="DK128" s="67"/>
      <c r="DL128" s="67"/>
      <c r="DM128" s="67"/>
      <c r="DN128" s="67"/>
      <c r="DO128" s="67"/>
      <c r="DP128" s="67"/>
      <c r="DQ128" s="67"/>
      <c r="DR128" s="67"/>
      <c r="DS128" s="67"/>
      <c r="DT128" s="67"/>
      <c r="DU128" s="67"/>
      <c r="DV128" s="67"/>
      <c r="DW128" s="67"/>
      <c r="DX128" s="67"/>
      <c r="DY128" s="67"/>
      <c r="DZ128" s="67"/>
      <c r="EA128" s="67"/>
      <c r="EB128" s="67"/>
      <c r="EC128" s="67"/>
      <c r="ED128" s="67"/>
      <c r="EE128" s="67"/>
      <c r="EF128" s="67"/>
      <c r="EG128" s="67"/>
      <c r="EH128" s="67"/>
      <c r="EI128" s="67"/>
      <c r="EJ128" s="67"/>
      <c r="EK128" s="67"/>
      <c r="EL128" s="67"/>
      <c r="EM128" s="67"/>
      <c r="EN128" s="67"/>
      <c r="EO128" s="67"/>
      <c r="EP128" s="67"/>
      <c r="EQ128" s="67"/>
      <c r="ER128" s="67"/>
      <c r="ES128" s="67"/>
      <c r="ET128" s="67"/>
      <c r="EU128" s="67"/>
      <c r="EV128" s="67"/>
      <c r="EW128" s="67"/>
      <c r="EX128" s="67"/>
      <c r="EY128" s="67"/>
      <c r="EZ128" s="67"/>
      <c r="FA128" s="67"/>
      <c r="FB128" s="67"/>
      <c r="FC128" s="67"/>
      <c r="FD128" s="67"/>
      <c r="FE128" s="67"/>
      <c r="FF128" s="67"/>
      <c r="FG128" s="67"/>
      <c r="FH128" s="67"/>
      <c r="FI128" s="67"/>
      <c r="FJ128" s="67"/>
      <c r="FK128" s="67"/>
      <c r="FL128" s="67"/>
      <c r="FM128" s="67"/>
      <c r="FN128" s="67"/>
      <c r="FO128" s="67"/>
      <c r="FP128" s="67"/>
      <c r="FQ128" s="67"/>
      <c r="FR128" s="67"/>
      <c r="FS128" s="67"/>
      <c r="FT128" s="67"/>
      <c r="FU128" s="67"/>
      <c r="FV128" s="67"/>
      <c r="FW128" s="67"/>
      <c r="FX128" s="67"/>
      <c r="FY128" s="67"/>
      <c r="FZ128" s="67"/>
      <c r="GA128" s="67"/>
      <c r="GB128" s="67"/>
      <c r="GC128" s="67"/>
      <c r="GD128" s="67"/>
      <c r="GE128" s="67"/>
      <c r="GF128" s="67"/>
      <c r="GG128" s="67"/>
      <c r="GH128" s="67"/>
      <c r="GI128" s="67"/>
      <c r="GJ128" s="67"/>
      <c r="GK128" s="67"/>
      <c r="GL128" s="67"/>
      <c r="GM128" s="67"/>
      <c r="GN128" s="67"/>
      <c r="GO128" s="67"/>
      <c r="GP128" s="67"/>
      <c r="GQ128" s="67"/>
      <c r="GR128" s="67"/>
      <c r="GS128" s="67"/>
      <c r="GT128" s="67"/>
      <c r="GU128" s="67"/>
      <c r="GV128" s="67"/>
      <c r="GW128" s="67"/>
      <c r="GX128" s="67"/>
      <c r="GY128" s="67"/>
      <c r="GZ128" s="67"/>
      <c r="HA128" s="67"/>
      <c r="HB128" s="67"/>
      <c r="HC128" s="67"/>
      <c r="HD128" s="67"/>
      <c r="HE128" s="67"/>
      <c r="HF128" s="67"/>
      <c r="HG128" s="67"/>
      <c r="HH128" s="67"/>
      <c r="HI128" s="67"/>
      <c r="HJ128" s="67"/>
      <c r="HK128" s="67"/>
      <c r="HL128" s="67"/>
      <c r="HM128" s="67"/>
      <c r="HN128" s="67"/>
      <c r="HO128" s="67"/>
      <c r="HP128" s="67"/>
      <c r="HQ128" s="67"/>
      <c r="HR128" s="67"/>
      <c r="HS128" s="67"/>
      <c r="HT128" s="67"/>
      <c r="HU128" s="67"/>
      <c r="HV128" s="67"/>
      <c r="HW128" s="67"/>
      <c r="HX128" s="67"/>
      <c r="HY128" s="67"/>
      <c r="HZ128" s="67"/>
      <c r="IA128" s="67"/>
      <c r="IB128" s="67"/>
      <c r="IC128" s="67"/>
      <c r="ID128" s="67"/>
      <c r="IE128" s="67"/>
      <c r="IF128" s="67"/>
      <c r="IG128" s="67"/>
      <c r="IH128" s="67"/>
      <c r="II128" s="67"/>
      <c r="IJ128" s="67"/>
      <c r="IK128" s="67"/>
      <c r="IL128" s="67"/>
      <c r="IM128" s="67"/>
      <c r="IN128" s="67"/>
      <c r="IO128" s="67"/>
      <c r="IP128" s="67"/>
      <c r="IQ128" s="67"/>
      <c r="IR128" s="67"/>
      <c r="IS128" s="67"/>
      <c r="IT128" s="67"/>
      <c r="IU128" s="67"/>
      <c r="IV128" s="67"/>
      <c r="IW128" s="67"/>
    </row>
    <row r="129" spans="1:257" s="4" customFormat="1" x14ac:dyDescent="0.2">
      <c r="C129" s="73"/>
      <c r="Z129" s="104"/>
      <c r="AA129" s="115"/>
      <c r="AB129" s="116"/>
      <c r="AC129" s="114"/>
      <c r="AD129" s="114"/>
      <c r="AE129" s="114"/>
      <c r="AF129" s="114"/>
      <c r="AG129" s="114"/>
      <c r="AH129" s="67"/>
      <c r="AI129" s="67"/>
      <c r="AJ129" s="67"/>
      <c r="AK129" s="67"/>
      <c r="AL129" s="67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  <c r="BI129" s="67"/>
      <c r="BJ129" s="67"/>
      <c r="BK129" s="67"/>
      <c r="BL129" s="6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A129" s="67"/>
      <c r="CB129" s="67"/>
      <c r="CC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  <c r="CR129" s="67"/>
      <c r="CS129" s="67"/>
      <c r="CT129" s="67"/>
      <c r="CU129" s="67"/>
      <c r="CV129" s="67"/>
      <c r="CW129" s="67"/>
      <c r="CX129" s="67"/>
      <c r="CY129" s="67"/>
      <c r="CZ129" s="67"/>
      <c r="DA129" s="67"/>
      <c r="DB129" s="67"/>
      <c r="DC129" s="67"/>
      <c r="DD129" s="67"/>
      <c r="DE129" s="67"/>
      <c r="DF129" s="67"/>
      <c r="DG129" s="67"/>
      <c r="DH129" s="67"/>
      <c r="DI129" s="67"/>
      <c r="DJ129" s="67"/>
      <c r="DK129" s="67"/>
      <c r="DL129" s="67"/>
      <c r="DM129" s="67"/>
      <c r="DN129" s="67"/>
      <c r="DO129" s="67"/>
      <c r="DP129" s="67"/>
      <c r="DQ129" s="67"/>
      <c r="DR129" s="67"/>
      <c r="DS129" s="67"/>
      <c r="DT129" s="67"/>
      <c r="DU129" s="67"/>
      <c r="DV129" s="67"/>
      <c r="DW129" s="67"/>
      <c r="DX129" s="67"/>
      <c r="DY129" s="67"/>
      <c r="DZ129" s="67"/>
      <c r="EA129" s="67"/>
      <c r="EB129" s="67"/>
      <c r="EC129" s="67"/>
      <c r="ED129" s="67"/>
      <c r="EE129" s="67"/>
      <c r="EF129" s="67"/>
      <c r="EG129" s="67"/>
      <c r="EH129" s="67"/>
      <c r="EI129" s="67"/>
      <c r="EJ129" s="67"/>
      <c r="EK129" s="67"/>
      <c r="EL129" s="67"/>
      <c r="EM129" s="67"/>
      <c r="EN129" s="67"/>
      <c r="EO129" s="67"/>
      <c r="EP129" s="67"/>
      <c r="EQ129" s="67"/>
      <c r="ER129" s="67"/>
      <c r="ES129" s="67"/>
      <c r="ET129" s="67"/>
      <c r="EU129" s="67"/>
      <c r="EV129" s="67"/>
      <c r="EW129" s="67"/>
      <c r="EX129" s="67"/>
      <c r="EY129" s="67"/>
      <c r="EZ129" s="67"/>
      <c r="FA129" s="67"/>
      <c r="FB129" s="67"/>
      <c r="FC129" s="67"/>
      <c r="FD129" s="67"/>
      <c r="FE129" s="67"/>
      <c r="FF129" s="67"/>
      <c r="FG129" s="67"/>
      <c r="FH129" s="67"/>
      <c r="FI129" s="67"/>
      <c r="FJ129" s="67"/>
      <c r="FK129" s="67"/>
      <c r="FL129" s="67"/>
      <c r="FM129" s="67"/>
      <c r="FN129" s="67"/>
      <c r="FO129" s="67"/>
      <c r="FP129" s="67"/>
      <c r="FQ129" s="67"/>
      <c r="FR129" s="67"/>
      <c r="FS129" s="67"/>
      <c r="FT129" s="67"/>
      <c r="FU129" s="67"/>
      <c r="FV129" s="67"/>
      <c r="FW129" s="67"/>
      <c r="FX129" s="67"/>
      <c r="FY129" s="67"/>
      <c r="FZ129" s="67"/>
      <c r="GA129" s="67"/>
      <c r="GB129" s="67"/>
      <c r="GC129" s="67"/>
      <c r="GD129" s="67"/>
      <c r="GE129" s="67"/>
      <c r="GF129" s="67"/>
      <c r="GG129" s="67"/>
      <c r="GH129" s="67"/>
      <c r="GI129" s="67"/>
      <c r="GJ129" s="67"/>
      <c r="GK129" s="67"/>
      <c r="GL129" s="67"/>
      <c r="GM129" s="67"/>
      <c r="GN129" s="67"/>
      <c r="GO129" s="67"/>
      <c r="GP129" s="67"/>
      <c r="GQ129" s="67"/>
      <c r="GR129" s="67"/>
      <c r="GS129" s="67"/>
      <c r="GT129" s="67"/>
      <c r="GU129" s="67"/>
      <c r="GV129" s="67"/>
      <c r="GW129" s="67"/>
      <c r="GX129" s="67"/>
      <c r="GY129" s="67"/>
      <c r="GZ129" s="67"/>
      <c r="HA129" s="67"/>
      <c r="HB129" s="67"/>
      <c r="HC129" s="67"/>
      <c r="HD129" s="67"/>
      <c r="HE129" s="67"/>
      <c r="HF129" s="67"/>
      <c r="HG129" s="67"/>
      <c r="HH129" s="67"/>
      <c r="HI129" s="67"/>
      <c r="HJ129" s="67"/>
      <c r="HK129" s="67"/>
      <c r="HL129" s="67"/>
      <c r="HM129" s="67"/>
      <c r="HN129" s="67"/>
      <c r="HO129" s="67"/>
      <c r="HP129" s="67"/>
      <c r="HQ129" s="67"/>
      <c r="HR129" s="67"/>
      <c r="HS129" s="67"/>
      <c r="HT129" s="67"/>
      <c r="HU129" s="67"/>
      <c r="HV129" s="67"/>
      <c r="HW129" s="67"/>
      <c r="HX129" s="67"/>
      <c r="HY129" s="67"/>
      <c r="HZ129" s="67"/>
      <c r="IA129" s="67"/>
      <c r="IB129" s="67"/>
      <c r="IC129" s="67"/>
      <c r="ID129" s="67"/>
      <c r="IE129" s="67"/>
      <c r="IF129" s="67"/>
      <c r="IG129" s="67"/>
      <c r="IH129" s="67"/>
      <c r="II129" s="67"/>
      <c r="IJ129" s="67"/>
      <c r="IK129" s="67"/>
      <c r="IL129" s="67"/>
      <c r="IM129" s="67"/>
      <c r="IN129" s="67"/>
      <c r="IO129" s="67"/>
      <c r="IP129" s="67"/>
      <c r="IQ129" s="67"/>
      <c r="IR129" s="67"/>
      <c r="IS129" s="67"/>
      <c r="IT129" s="67"/>
      <c r="IU129" s="67"/>
      <c r="IV129" s="67"/>
      <c r="IW129" s="67"/>
    </row>
    <row r="130" spans="1:257" s="4" customFormat="1" x14ac:dyDescent="0.2">
      <c r="C130" s="73"/>
      <c r="Z130" s="104"/>
      <c r="AA130" s="115"/>
      <c r="AB130" s="116"/>
      <c r="AC130" s="114"/>
      <c r="AD130" s="114"/>
      <c r="AE130" s="114"/>
      <c r="AF130" s="114"/>
      <c r="AG130" s="114"/>
      <c r="AH130" s="67"/>
      <c r="AI130" s="67"/>
      <c r="AJ130" s="67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  <c r="BI130" s="67"/>
      <c r="BJ130" s="67"/>
      <c r="BK130" s="67"/>
      <c r="BL130" s="6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  <c r="CR130" s="67"/>
      <c r="CS130" s="67"/>
      <c r="CT130" s="67"/>
      <c r="CU130" s="67"/>
      <c r="CV130" s="67"/>
      <c r="CW130" s="67"/>
      <c r="CX130" s="67"/>
      <c r="CY130" s="67"/>
      <c r="CZ130" s="67"/>
      <c r="DA130" s="67"/>
      <c r="DB130" s="67"/>
      <c r="DC130" s="67"/>
      <c r="DD130" s="67"/>
      <c r="DE130" s="67"/>
      <c r="DF130" s="67"/>
      <c r="DG130" s="67"/>
      <c r="DH130" s="67"/>
      <c r="DI130" s="67"/>
      <c r="DJ130" s="67"/>
      <c r="DK130" s="67"/>
      <c r="DL130" s="67"/>
      <c r="DM130" s="67"/>
      <c r="DN130" s="67"/>
      <c r="DO130" s="67"/>
      <c r="DP130" s="67"/>
      <c r="DQ130" s="67"/>
      <c r="DR130" s="67"/>
      <c r="DS130" s="67"/>
      <c r="DT130" s="67"/>
      <c r="DU130" s="67"/>
      <c r="DV130" s="67"/>
      <c r="DW130" s="67"/>
      <c r="DX130" s="67"/>
      <c r="DY130" s="67"/>
      <c r="DZ130" s="67"/>
      <c r="EA130" s="67"/>
      <c r="EB130" s="67"/>
      <c r="EC130" s="67"/>
      <c r="ED130" s="67"/>
      <c r="EE130" s="67"/>
      <c r="EF130" s="67"/>
      <c r="EG130" s="67"/>
      <c r="EH130" s="67"/>
      <c r="EI130" s="67"/>
      <c r="EJ130" s="67"/>
      <c r="EK130" s="67"/>
      <c r="EL130" s="67"/>
      <c r="EM130" s="67"/>
      <c r="EN130" s="67"/>
      <c r="EO130" s="67"/>
      <c r="EP130" s="67"/>
      <c r="EQ130" s="67"/>
      <c r="ER130" s="67"/>
      <c r="ES130" s="67"/>
      <c r="ET130" s="67"/>
      <c r="EU130" s="67"/>
      <c r="EV130" s="67"/>
      <c r="EW130" s="67"/>
      <c r="EX130" s="67"/>
      <c r="EY130" s="67"/>
      <c r="EZ130" s="67"/>
      <c r="FA130" s="67"/>
      <c r="FB130" s="67"/>
      <c r="FC130" s="67"/>
      <c r="FD130" s="67"/>
      <c r="FE130" s="67"/>
      <c r="FF130" s="67"/>
      <c r="FG130" s="67"/>
      <c r="FH130" s="67"/>
      <c r="FI130" s="67"/>
      <c r="FJ130" s="67"/>
      <c r="FK130" s="67"/>
      <c r="FL130" s="67"/>
      <c r="FM130" s="67"/>
      <c r="FN130" s="67"/>
      <c r="FO130" s="67"/>
      <c r="FP130" s="67"/>
      <c r="FQ130" s="67"/>
      <c r="FR130" s="67"/>
      <c r="FS130" s="67"/>
      <c r="FT130" s="67"/>
      <c r="FU130" s="67"/>
      <c r="FV130" s="67"/>
      <c r="FW130" s="67"/>
      <c r="FX130" s="67"/>
      <c r="FY130" s="67"/>
      <c r="FZ130" s="67"/>
      <c r="GA130" s="67"/>
      <c r="GB130" s="67"/>
      <c r="GC130" s="67"/>
      <c r="GD130" s="67"/>
      <c r="GE130" s="67"/>
      <c r="GF130" s="67"/>
      <c r="GG130" s="67"/>
      <c r="GH130" s="67"/>
      <c r="GI130" s="67"/>
      <c r="GJ130" s="67"/>
      <c r="GK130" s="67"/>
      <c r="GL130" s="67"/>
      <c r="GM130" s="67"/>
      <c r="GN130" s="67"/>
      <c r="GO130" s="67"/>
      <c r="GP130" s="67"/>
      <c r="GQ130" s="67"/>
      <c r="GR130" s="67"/>
      <c r="GS130" s="67"/>
      <c r="GT130" s="67"/>
      <c r="GU130" s="67"/>
      <c r="GV130" s="67"/>
      <c r="GW130" s="67"/>
      <c r="GX130" s="67"/>
      <c r="GY130" s="67"/>
      <c r="GZ130" s="67"/>
      <c r="HA130" s="67"/>
      <c r="HB130" s="67"/>
      <c r="HC130" s="67"/>
      <c r="HD130" s="67"/>
      <c r="HE130" s="67"/>
      <c r="HF130" s="67"/>
      <c r="HG130" s="67"/>
      <c r="HH130" s="67"/>
      <c r="HI130" s="67"/>
      <c r="HJ130" s="67"/>
      <c r="HK130" s="67"/>
      <c r="HL130" s="67"/>
      <c r="HM130" s="67"/>
      <c r="HN130" s="67"/>
      <c r="HO130" s="67"/>
      <c r="HP130" s="67"/>
      <c r="HQ130" s="67"/>
      <c r="HR130" s="67"/>
      <c r="HS130" s="67"/>
      <c r="HT130" s="67"/>
      <c r="HU130" s="67"/>
      <c r="HV130" s="67"/>
      <c r="HW130" s="67"/>
      <c r="HX130" s="67"/>
      <c r="HY130" s="67"/>
      <c r="HZ130" s="67"/>
      <c r="IA130" s="67"/>
      <c r="IB130" s="67"/>
      <c r="IC130" s="67"/>
      <c r="ID130" s="67"/>
      <c r="IE130" s="67"/>
      <c r="IF130" s="67"/>
      <c r="IG130" s="67"/>
      <c r="IH130" s="67"/>
      <c r="II130" s="67"/>
      <c r="IJ130" s="67"/>
      <c r="IK130" s="67"/>
      <c r="IL130" s="67"/>
      <c r="IM130" s="67"/>
      <c r="IN130" s="67"/>
      <c r="IO130" s="67"/>
      <c r="IP130" s="67"/>
      <c r="IQ130" s="67"/>
      <c r="IR130" s="67"/>
      <c r="IS130" s="67"/>
      <c r="IT130" s="67"/>
      <c r="IU130" s="67"/>
      <c r="IV130" s="67"/>
      <c r="IW130" s="67"/>
    </row>
    <row r="131" spans="1:257" s="4" customFormat="1" x14ac:dyDescent="0.2">
      <c r="C131" s="73"/>
      <c r="Z131" s="104"/>
      <c r="AA131" s="115"/>
      <c r="AB131" s="116"/>
      <c r="AC131" s="114"/>
      <c r="AD131" s="114"/>
      <c r="AE131" s="114"/>
      <c r="AF131" s="114"/>
      <c r="AG131" s="114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A131" s="67"/>
      <c r="CB131" s="67"/>
      <c r="CC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  <c r="CR131" s="67"/>
      <c r="CS131" s="67"/>
      <c r="CT131" s="67"/>
      <c r="CU131" s="67"/>
      <c r="CV131" s="67"/>
      <c r="CW131" s="67"/>
      <c r="CX131" s="67"/>
      <c r="CY131" s="67"/>
      <c r="CZ131" s="67"/>
      <c r="DA131" s="67"/>
      <c r="DB131" s="67"/>
      <c r="DC131" s="67"/>
      <c r="DD131" s="67"/>
      <c r="DE131" s="67"/>
      <c r="DF131" s="67"/>
      <c r="DG131" s="67"/>
      <c r="DH131" s="67"/>
      <c r="DI131" s="67"/>
      <c r="DJ131" s="67"/>
      <c r="DK131" s="67"/>
      <c r="DL131" s="67"/>
      <c r="DM131" s="67"/>
      <c r="DN131" s="67"/>
      <c r="DO131" s="67"/>
      <c r="DP131" s="67"/>
      <c r="DQ131" s="67"/>
      <c r="DR131" s="67"/>
      <c r="DS131" s="67"/>
      <c r="DT131" s="67"/>
      <c r="DU131" s="67"/>
      <c r="DV131" s="67"/>
      <c r="DW131" s="67"/>
      <c r="DX131" s="67"/>
      <c r="DY131" s="67"/>
      <c r="DZ131" s="67"/>
      <c r="EA131" s="67"/>
      <c r="EB131" s="67"/>
      <c r="EC131" s="67"/>
      <c r="ED131" s="67"/>
      <c r="EE131" s="67"/>
      <c r="EF131" s="67"/>
      <c r="EG131" s="67"/>
      <c r="EH131" s="67"/>
      <c r="EI131" s="67"/>
      <c r="EJ131" s="67"/>
      <c r="EK131" s="67"/>
      <c r="EL131" s="67"/>
      <c r="EM131" s="67"/>
      <c r="EN131" s="67"/>
      <c r="EO131" s="67"/>
      <c r="EP131" s="67"/>
      <c r="EQ131" s="67"/>
      <c r="ER131" s="67"/>
      <c r="ES131" s="67"/>
      <c r="ET131" s="67"/>
      <c r="EU131" s="67"/>
      <c r="EV131" s="67"/>
      <c r="EW131" s="67"/>
      <c r="EX131" s="67"/>
      <c r="EY131" s="67"/>
      <c r="EZ131" s="67"/>
      <c r="FA131" s="67"/>
      <c r="FB131" s="67"/>
      <c r="FC131" s="67"/>
      <c r="FD131" s="67"/>
      <c r="FE131" s="67"/>
      <c r="FF131" s="67"/>
      <c r="FG131" s="67"/>
      <c r="FH131" s="67"/>
      <c r="FI131" s="67"/>
      <c r="FJ131" s="67"/>
      <c r="FK131" s="67"/>
      <c r="FL131" s="67"/>
      <c r="FM131" s="67"/>
      <c r="FN131" s="67"/>
      <c r="FO131" s="67"/>
      <c r="FP131" s="67"/>
      <c r="FQ131" s="67"/>
      <c r="FR131" s="67"/>
      <c r="FS131" s="67"/>
      <c r="FT131" s="67"/>
      <c r="FU131" s="67"/>
      <c r="FV131" s="67"/>
      <c r="FW131" s="67"/>
      <c r="FX131" s="67"/>
      <c r="FY131" s="67"/>
      <c r="FZ131" s="67"/>
      <c r="GA131" s="67"/>
      <c r="GB131" s="67"/>
      <c r="GC131" s="67"/>
      <c r="GD131" s="67"/>
      <c r="GE131" s="67"/>
      <c r="GF131" s="67"/>
      <c r="GG131" s="67"/>
      <c r="GH131" s="67"/>
      <c r="GI131" s="67"/>
      <c r="GJ131" s="67"/>
      <c r="GK131" s="67"/>
      <c r="GL131" s="67"/>
      <c r="GM131" s="67"/>
      <c r="GN131" s="67"/>
      <c r="GO131" s="67"/>
      <c r="GP131" s="67"/>
      <c r="GQ131" s="67"/>
      <c r="GR131" s="67"/>
      <c r="GS131" s="67"/>
      <c r="GT131" s="67"/>
      <c r="GU131" s="67"/>
      <c r="GV131" s="67"/>
      <c r="GW131" s="67"/>
      <c r="GX131" s="67"/>
      <c r="GY131" s="67"/>
      <c r="GZ131" s="67"/>
      <c r="HA131" s="67"/>
      <c r="HB131" s="67"/>
      <c r="HC131" s="67"/>
      <c r="HD131" s="67"/>
      <c r="HE131" s="67"/>
      <c r="HF131" s="67"/>
      <c r="HG131" s="67"/>
      <c r="HH131" s="67"/>
      <c r="HI131" s="67"/>
      <c r="HJ131" s="67"/>
      <c r="HK131" s="67"/>
      <c r="HL131" s="67"/>
      <c r="HM131" s="67"/>
      <c r="HN131" s="67"/>
      <c r="HO131" s="67"/>
      <c r="HP131" s="67"/>
      <c r="HQ131" s="67"/>
      <c r="HR131" s="67"/>
      <c r="HS131" s="67"/>
      <c r="HT131" s="67"/>
      <c r="HU131" s="67"/>
      <c r="HV131" s="67"/>
      <c r="HW131" s="67"/>
      <c r="HX131" s="67"/>
      <c r="HY131" s="67"/>
      <c r="HZ131" s="67"/>
      <c r="IA131" s="67"/>
      <c r="IB131" s="67"/>
      <c r="IC131" s="67"/>
      <c r="ID131" s="67"/>
      <c r="IE131" s="67"/>
      <c r="IF131" s="67"/>
      <c r="IG131" s="67"/>
      <c r="IH131" s="67"/>
      <c r="II131" s="67"/>
      <c r="IJ131" s="67"/>
      <c r="IK131" s="67"/>
      <c r="IL131" s="67"/>
      <c r="IM131" s="67"/>
      <c r="IN131" s="67"/>
      <c r="IO131" s="67"/>
      <c r="IP131" s="67"/>
      <c r="IQ131" s="67"/>
      <c r="IR131" s="67"/>
      <c r="IS131" s="67"/>
      <c r="IT131" s="67"/>
      <c r="IU131" s="67"/>
      <c r="IV131" s="67"/>
      <c r="IW131" s="67"/>
    </row>
    <row r="132" spans="1:257" s="4" customFormat="1" x14ac:dyDescent="0.2">
      <c r="C132" s="73"/>
      <c r="Z132" s="104"/>
      <c r="AA132" s="115"/>
      <c r="AB132" s="116"/>
      <c r="AC132" s="114"/>
      <c r="AD132" s="114"/>
      <c r="AE132" s="114"/>
      <c r="AF132" s="114"/>
      <c r="AG132" s="114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  <c r="BI132" s="67"/>
      <c r="BJ132" s="67"/>
      <c r="BK132" s="67"/>
      <c r="BL132" s="6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A132" s="67"/>
      <c r="CB132" s="67"/>
      <c r="CC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  <c r="CR132" s="67"/>
      <c r="CS132" s="67"/>
      <c r="CT132" s="67"/>
      <c r="CU132" s="67"/>
      <c r="CV132" s="67"/>
      <c r="CW132" s="67"/>
      <c r="CX132" s="67"/>
      <c r="CY132" s="67"/>
      <c r="CZ132" s="67"/>
      <c r="DA132" s="67"/>
      <c r="DB132" s="67"/>
      <c r="DC132" s="67"/>
      <c r="DD132" s="67"/>
      <c r="DE132" s="67"/>
      <c r="DF132" s="67"/>
      <c r="DG132" s="67"/>
      <c r="DH132" s="67"/>
      <c r="DI132" s="67"/>
      <c r="DJ132" s="67"/>
      <c r="DK132" s="67"/>
      <c r="DL132" s="67"/>
      <c r="DM132" s="67"/>
      <c r="DN132" s="67"/>
      <c r="DO132" s="67"/>
      <c r="DP132" s="67"/>
      <c r="DQ132" s="67"/>
      <c r="DR132" s="67"/>
      <c r="DS132" s="67"/>
      <c r="DT132" s="67"/>
      <c r="DU132" s="67"/>
      <c r="DV132" s="67"/>
      <c r="DW132" s="67"/>
      <c r="DX132" s="67"/>
      <c r="DY132" s="67"/>
      <c r="DZ132" s="67"/>
      <c r="EA132" s="67"/>
      <c r="EB132" s="67"/>
      <c r="EC132" s="67"/>
      <c r="ED132" s="67"/>
      <c r="EE132" s="67"/>
      <c r="EF132" s="67"/>
      <c r="EG132" s="67"/>
      <c r="EH132" s="67"/>
      <c r="EI132" s="67"/>
      <c r="EJ132" s="67"/>
      <c r="EK132" s="67"/>
      <c r="EL132" s="67"/>
      <c r="EM132" s="67"/>
      <c r="EN132" s="67"/>
      <c r="EO132" s="67"/>
      <c r="EP132" s="67"/>
      <c r="EQ132" s="67"/>
      <c r="ER132" s="67"/>
      <c r="ES132" s="67"/>
      <c r="ET132" s="67"/>
      <c r="EU132" s="67"/>
      <c r="EV132" s="67"/>
      <c r="EW132" s="67"/>
      <c r="EX132" s="67"/>
      <c r="EY132" s="67"/>
      <c r="EZ132" s="67"/>
      <c r="FA132" s="67"/>
      <c r="FB132" s="67"/>
      <c r="FC132" s="67"/>
      <c r="FD132" s="67"/>
      <c r="FE132" s="67"/>
      <c r="FF132" s="67"/>
      <c r="FG132" s="67"/>
      <c r="FH132" s="67"/>
      <c r="FI132" s="67"/>
      <c r="FJ132" s="67"/>
      <c r="FK132" s="67"/>
      <c r="FL132" s="67"/>
      <c r="FM132" s="67"/>
      <c r="FN132" s="67"/>
      <c r="FO132" s="67"/>
      <c r="FP132" s="67"/>
      <c r="FQ132" s="67"/>
      <c r="FR132" s="67"/>
      <c r="FS132" s="67"/>
      <c r="FT132" s="67"/>
      <c r="FU132" s="67"/>
      <c r="FV132" s="67"/>
      <c r="FW132" s="67"/>
      <c r="FX132" s="67"/>
      <c r="FY132" s="67"/>
      <c r="FZ132" s="67"/>
      <c r="GA132" s="67"/>
      <c r="GB132" s="67"/>
      <c r="GC132" s="67"/>
      <c r="GD132" s="67"/>
      <c r="GE132" s="67"/>
      <c r="GF132" s="67"/>
      <c r="GG132" s="67"/>
      <c r="GH132" s="67"/>
      <c r="GI132" s="67"/>
      <c r="GJ132" s="67"/>
      <c r="GK132" s="67"/>
      <c r="GL132" s="67"/>
      <c r="GM132" s="67"/>
      <c r="GN132" s="67"/>
      <c r="GO132" s="67"/>
      <c r="GP132" s="67"/>
      <c r="GQ132" s="67"/>
      <c r="GR132" s="67"/>
      <c r="GS132" s="67"/>
      <c r="GT132" s="67"/>
      <c r="GU132" s="67"/>
      <c r="GV132" s="67"/>
      <c r="GW132" s="67"/>
      <c r="GX132" s="67"/>
      <c r="GY132" s="67"/>
      <c r="GZ132" s="67"/>
      <c r="HA132" s="67"/>
      <c r="HB132" s="67"/>
      <c r="HC132" s="67"/>
      <c r="HD132" s="67"/>
      <c r="HE132" s="67"/>
      <c r="HF132" s="67"/>
      <c r="HG132" s="67"/>
      <c r="HH132" s="67"/>
      <c r="HI132" s="67"/>
      <c r="HJ132" s="67"/>
      <c r="HK132" s="67"/>
      <c r="HL132" s="67"/>
      <c r="HM132" s="67"/>
      <c r="HN132" s="67"/>
      <c r="HO132" s="67"/>
      <c r="HP132" s="67"/>
      <c r="HQ132" s="67"/>
      <c r="HR132" s="67"/>
      <c r="HS132" s="67"/>
      <c r="HT132" s="67"/>
      <c r="HU132" s="67"/>
      <c r="HV132" s="67"/>
      <c r="HW132" s="67"/>
      <c r="HX132" s="67"/>
      <c r="HY132" s="67"/>
      <c r="HZ132" s="67"/>
      <c r="IA132" s="67"/>
      <c r="IB132" s="67"/>
      <c r="IC132" s="67"/>
      <c r="ID132" s="67"/>
      <c r="IE132" s="67"/>
      <c r="IF132" s="67"/>
      <c r="IG132" s="67"/>
      <c r="IH132" s="67"/>
      <c r="II132" s="67"/>
      <c r="IJ132" s="67"/>
      <c r="IK132" s="67"/>
      <c r="IL132" s="67"/>
      <c r="IM132" s="67"/>
      <c r="IN132" s="67"/>
      <c r="IO132" s="67"/>
      <c r="IP132" s="67"/>
      <c r="IQ132" s="67"/>
      <c r="IR132" s="67"/>
      <c r="IS132" s="67"/>
      <c r="IT132" s="67"/>
      <c r="IU132" s="67"/>
      <c r="IV132" s="67"/>
      <c r="IW132" s="67"/>
    </row>
    <row r="133" spans="1:257" s="4" customFormat="1" x14ac:dyDescent="0.2">
      <c r="C133" s="73"/>
      <c r="Z133" s="104"/>
      <c r="AA133" s="115"/>
      <c r="AB133" s="116"/>
      <c r="AC133" s="114"/>
      <c r="AD133" s="114"/>
      <c r="AE133" s="114"/>
      <c r="AF133" s="114"/>
      <c r="AG133" s="114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  <c r="BI133" s="67"/>
      <c r="BJ133" s="67"/>
      <c r="BK133" s="67"/>
      <c r="BL133" s="67"/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A133" s="67"/>
      <c r="CB133" s="67"/>
      <c r="CC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  <c r="CR133" s="67"/>
      <c r="CS133" s="67"/>
      <c r="CT133" s="67"/>
      <c r="CU133" s="67"/>
      <c r="CV133" s="67"/>
      <c r="CW133" s="67"/>
      <c r="CX133" s="67"/>
      <c r="CY133" s="67"/>
      <c r="CZ133" s="67"/>
      <c r="DA133" s="67"/>
      <c r="DB133" s="67"/>
      <c r="DC133" s="67"/>
      <c r="DD133" s="67"/>
      <c r="DE133" s="67"/>
      <c r="DF133" s="67"/>
      <c r="DG133" s="67"/>
      <c r="DH133" s="67"/>
      <c r="DI133" s="67"/>
      <c r="DJ133" s="67"/>
      <c r="DK133" s="67"/>
      <c r="DL133" s="67"/>
      <c r="DM133" s="67"/>
      <c r="DN133" s="67"/>
      <c r="DO133" s="67"/>
      <c r="DP133" s="67"/>
      <c r="DQ133" s="67"/>
      <c r="DR133" s="67"/>
      <c r="DS133" s="67"/>
      <c r="DT133" s="67"/>
      <c r="DU133" s="67"/>
      <c r="DV133" s="67"/>
      <c r="DW133" s="67"/>
      <c r="DX133" s="67"/>
      <c r="DY133" s="67"/>
      <c r="DZ133" s="67"/>
      <c r="EA133" s="67"/>
      <c r="EB133" s="67"/>
      <c r="EC133" s="67"/>
      <c r="ED133" s="67"/>
      <c r="EE133" s="67"/>
      <c r="EF133" s="67"/>
      <c r="EG133" s="67"/>
      <c r="EH133" s="67"/>
      <c r="EI133" s="67"/>
      <c r="EJ133" s="67"/>
      <c r="EK133" s="67"/>
      <c r="EL133" s="67"/>
      <c r="EM133" s="67"/>
      <c r="EN133" s="67"/>
      <c r="EO133" s="67"/>
      <c r="EP133" s="67"/>
      <c r="EQ133" s="67"/>
      <c r="ER133" s="67"/>
      <c r="ES133" s="67"/>
      <c r="ET133" s="67"/>
      <c r="EU133" s="67"/>
      <c r="EV133" s="67"/>
      <c r="EW133" s="67"/>
      <c r="EX133" s="67"/>
      <c r="EY133" s="67"/>
      <c r="EZ133" s="67"/>
      <c r="FA133" s="67"/>
      <c r="FB133" s="67"/>
      <c r="FC133" s="67"/>
      <c r="FD133" s="67"/>
      <c r="FE133" s="67"/>
      <c r="FF133" s="67"/>
      <c r="FG133" s="67"/>
      <c r="FH133" s="67"/>
      <c r="FI133" s="67"/>
      <c r="FJ133" s="67"/>
      <c r="FK133" s="67"/>
      <c r="FL133" s="67"/>
      <c r="FM133" s="67"/>
      <c r="FN133" s="67"/>
      <c r="FO133" s="67"/>
      <c r="FP133" s="67"/>
      <c r="FQ133" s="67"/>
      <c r="FR133" s="67"/>
      <c r="FS133" s="67"/>
      <c r="FT133" s="67"/>
      <c r="FU133" s="67"/>
      <c r="FV133" s="67"/>
      <c r="FW133" s="67"/>
      <c r="FX133" s="67"/>
      <c r="FY133" s="67"/>
      <c r="FZ133" s="67"/>
      <c r="GA133" s="67"/>
      <c r="GB133" s="67"/>
      <c r="GC133" s="67"/>
      <c r="GD133" s="67"/>
      <c r="GE133" s="67"/>
      <c r="GF133" s="67"/>
      <c r="GG133" s="67"/>
      <c r="GH133" s="67"/>
      <c r="GI133" s="67"/>
      <c r="GJ133" s="67"/>
      <c r="GK133" s="67"/>
      <c r="GL133" s="67"/>
      <c r="GM133" s="67"/>
      <c r="GN133" s="67"/>
      <c r="GO133" s="67"/>
      <c r="GP133" s="67"/>
      <c r="GQ133" s="67"/>
      <c r="GR133" s="67"/>
      <c r="GS133" s="67"/>
      <c r="GT133" s="67"/>
      <c r="GU133" s="67"/>
      <c r="GV133" s="67"/>
      <c r="GW133" s="67"/>
      <c r="GX133" s="67"/>
      <c r="GY133" s="67"/>
      <c r="GZ133" s="67"/>
      <c r="HA133" s="67"/>
      <c r="HB133" s="67"/>
      <c r="HC133" s="67"/>
      <c r="HD133" s="67"/>
      <c r="HE133" s="67"/>
      <c r="HF133" s="67"/>
      <c r="HG133" s="67"/>
      <c r="HH133" s="67"/>
      <c r="HI133" s="67"/>
      <c r="HJ133" s="67"/>
      <c r="HK133" s="67"/>
      <c r="HL133" s="67"/>
      <c r="HM133" s="67"/>
      <c r="HN133" s="67"/>
      <c r="HO133" s="67"/>
      <c r="HP133" s="67"/>
      <c r="HQ133" s="67"/>
      <c r="HR133" s="67"/>
      <c r="HS133" s="67"/>
      <c r="HT133" s="67"/>
      <c r="HU133" s="67"/>
      <c r="HV133" s="67"/>
      <c r="HW133" s="67"/>
      <c r="HX133" s="67"/>
      <c r="HY133" s="67"/>
      <c r="HZ133" s="67"/>
      <c r="IA133" s="67"/>
      <c r="IB133" s="67"/>
      <c r="IC133" s="67"/>
      <c r="ID133" s="67"/>
      <c r="IE133" s="67"/>
      <c r="IF133" s="67"/>
      <c r="IG133" s="67"/>
      <c r="IH133" s="67"/>
      <c r="II133" s="67"/>
      <c r="IJ133" s="67"/>
      <c r="IK133" s="67"/>
      <c r="IL133" s="67"/>
      <c r="IM133" s="67"/>
      <c r="IN133" s="67"/>
      <c r="IO133" s="67"/>
      <c r="IP133" s="67"/>
      <c r="IQ133" s="67"/>
      <c r="IR133" s="67"/>
      <c r="IS133" s="67"/>
      <c r="IT133" s="67"/>
      <c r="IU133" s="67"/>
      <c r="IV133" s="67"/>
      <c r="IW133" s="67"/>
    </row>
    <row r="134" spans="1:257" s="4" customFormat="1" x14ac:dyDescent="0.2">
      <c r="C134" s="73"/>
      <c r="Z134" s="104"/>
      <c r="AA134" s="115"/>
      <c r="AB134" s="116"/>
      <c r="AC134" s="114"/>
      <c r="AD134" s="114"/>
      <c r="AE134" s="114"/>
      <c r="AF134" s="114"/>
      <c r="AG134" s="114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  <c r="BI134" s="67"/>
      <c r="BJ134" s="67"/>
      <c r="BK134" s="67"/>
      <c r="BL134" s="67"/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A134" s="67"/>
      <c r="CB134" s="67"/>
      <c r="CC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  <c r="CR134" s="67"/>
      <c r="CS134" s="67"/>
      <c r="CT134" s="67"/>
      <c r="CU134" s="67"/>
      <c r="CV134" s="67"/>
      <c r="CW134" s="67"/>
      <c r="CX134" s="67"/>
      <c r="CY134" s="67"/>
      <c r="CZ134" s="67"/>
      <c r="DA134" s="67"/>
      <c r="DB134" s="67"/>
      <c r="DC134" s="67"/>
      <c r="DD134" s="67"/>
      <c r="DE134" s="67"/>
      <c r="DF134" s="67"/>
      <c r="DG134" s="67"/>
      <c r="DH134" s="67"/>
      <c r="DI134" s="67"/>
      <c r="DJ134" s="67"/>
      <c r="DK134" s="67"/>
      <c r="DL134" s="67"/>
      <c r="DM134" s="67"/>
      <c r="DN134" s="67"/>
      <c r="DO134" s="67"/>
      <c r="DP134" s="67"/>
      <c r="DQ134" s="67"/>
      <c r="DR134" s="67"/>
      <c r="DS134" s="67"/>
      <c r="DT134" s="67"/>
      <c r="DU134" s="67"/>
      <c r="DV134" s="67"/>
      <c r="DW134" s="67"/>
      <c r="DX134" s="67"/>
      <c r="DY134" s="67"/>
      <c r="DZ134" s="67"/>
      <c r="EA134" s="67"/>
      <c r="EB134" s="67"/>
      <c r="EC134" s="67"/>
      <c r="ED134" s="67"/>
      <c r="EE134" s="67"/>
      <c r="EF134" s="67"/>
      <c r="EG134" s="67"/>
      <c r="EH134" s="67"/>
      <c r="EI134" s="67"/>
      <c r="EJ134" s="67"/>
      <c r="EK134" s="67"/>
      <c r="EL134" s="67"/>
      <c r="EM134" s="67"/>
      <c r="EN134" s="67"/>
      <c r="EO134" s="67"/>
      <c r="EP134" s="67"/>
      <c r="EQ134" s="67"/>
      <c r="ER134" s="67"/>
      <c r="ES134" s="67"/>
      <c r="ET134" s="67"/>
      <c r="EU134" s="67"/>
      <c r="EV134" s="67"/>
      <c r="EW134" s="67"/>
      <c r="EX134" s="67"/>
      <c r="EY134" s="67"/>
      <c r="EZ134" s="67"/>
      <c r="FA134" s="67"/>
      <c r="FB134" s="67"/>
      <c r="FC134" s="67"/>
      <c r="FD134" s="67"/>
      <c r="FE134" s="67"/>
      <c r="FF134" s="67"/>
      <c r="FG134" s="67"/>
      <c r="FH134" s="67"/>
      <c r="FI134" s="67"/>
      <c r="FJ134" s="67"/>
      <c r="FK134" s="67"/>
      <c r="FL134" s="67"/>
      <c r="FM134" s="67"/>
      <c r="FN134" s="67"/>
      <c r="FO134" s="67"/>
      <c r="FP134" s="67"/>
      <c r="FQ134" s="67"/>
      <c r="FR134" s="67"/>
      <c r="FS134" s="67"/>
      <c r="FT134" s="67"/>
      <c r="FU134" s="67"/>
      <c r="FV134" s="67"/>
      <c r="FW134" s="67"/>
      <c r="FX134" s="67"/>
      <c r="FY134" s="67"/>
      <c r="FZ134" s="67"/>
      <c r="GA134" s="67"/>
      <c r="GB134" s="67"/>
      <c r="GC134" s="67"/>
      <c r="GD134" s="67"/>
      <c r="GE134" s="67"/>
      <c r="GF134" s="67"/>
      <c r="GG134" s="67"/>
      <c r="GH134" s="67"/>
      <c r="GI134" s="67"/>
      <c r="GJ134" s="67"/>
      <c r="GK134" s="67"/>
      <c r="GL134" s="67"/>
      <c r="GM134" s="67"/>
      <c r="GN134" s="67"/>
      <c r="GO134" s="67"/>
      <c r="GP134" s="67"/>
      <c r="GQ134" s="67"/>
      <c r="GR134" s="67"/>
      <c r="GS134" s="67"/>
      <c r="GT134" s="67"/>
      <c r="GU134" s="67"/>
      <c r="GV134" s="67"/>
      <c r="GW134" s="67"/>
      <c r="GX134" s="67"/>
      <c r="GY134" s="67"/>
      <c r="GZ134" s="67"/>
      <c r="HA134" s="67"/>
      <c r="HB134" s="67"/>
      <c r="HC134" s="67"/>
      <c r="HD134" s="67"/>
      <c r="HE134" s="67"/>
      <c r="HF134" s="67"/>
      <c r="HG134" s="67"/>
      <c r="HH134" s="67"/>
      <c r="HI134" s="67"/>
      <c r="HJ134" s="67"/>
      <c r="HK134" s="67"/>
      <c r="HL134" s="67"/>
      <c r="HM134" s="67"/>
      <c r="HN134" s="67"/>
      <c r="HO134" s="67"/>
      <c r="HP134" s="67"/>
      <c r="HQ134" s="67"/>
      <c r="HR134" s="67"/>
      <c r="HS134" s="67"/>
      <c r="HT134" s="67"/>
      <c r="HU134" s="67"/>
      <c r="HV134" s="67"/>
      <c r="HW134" s="67"/>
      <c r="HX134" s="67"/>
      <c r="HY134" s="67"/>
      <c r="HZ134" s="67"/>
      <c r="IA134" s="67"/>
      <c r="IB134" s="67"/>
      <c r="IC134" s="67"/>
      <c r="ID134" s="67"/>
      <c r="IE134" s="67"/>
      <c r="IF134" s="67"/>
      <c r="IG134" s="67"/>
      <c r="IH134" s="67"/>
      <c r="II134" s="67"/>
      <c r="IJ134" s="67"/>
      <c r="IK134" s="67"/>
      <c r="IL134" s="67"/>
      <c r="IM134" s="67"/>
      <c r="IN134" s="67"/>
      <c r="IO134" s="67"/>
      <c r="IP134" s="67"/>
      <c r="IQ134" s="67"/>
      <c r="IR134" s="67"/>
      <c r="IS134" s="67"/>
      <c r="IT134" s="67"/>
      <c r="IU134" s="67"/>
      <c r="IV134" s="67"/>
      <c r="IW134" s="67"/>
    </row>
    <row r="135" spans="1:257" s="4" customFormat="1" x14ac:dyDescent="0.2">
      <c r="C135" s="73"/>
      <c r="Z135" s="104"/>
      <c r="AA135" s="115"/>
      <c r="AB135" s="116"/>
      <c r="AC135" s="114"/>
      <c r="AD135" s="114"/>
      <c r="AE135" s="114"/>
      <c r="AF135" s="114"/>
      <c r="AG135" s="114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A135" s="67"/>
      <c r="CB135" s="67"/>
      <c r="CC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  <c r="CR135" s="67"/>
      <c r="CS135" s="67"/>
      <c r="CT135" s="67"/>
      <c r="CU135" s="67"/>
      <c r="CV135" s="67"/>
      <c r="CW135" s="67"/>
      <c r="CX135" s="67"/>
      <c r="CY135" s="67"/>
      <c r="CZ135" s="67"/>
      <c r="DA135" s="67"/>
      <c r="DB135" s="67"/>
      <c r="DC135" s="67"/>
      <c r="DD135" s="67"/>
      <c r="DE135" s="67"/>
      <c r="DF135" s="67"/>
      <c r="DG135" s="67"/>
      <c r="DH135" s="67"/>
      <c r="DI135" s="67"/>
      <c r="DJ135" s="67"/>
      <c r="DK135" s="67"/>
      <c r="DL135" s="67"/>
      <c r="DM135" s="67"/>
      <c r="DN135" s="67"/>
      <c r="DO135" s="67"/>
      <c r="DP135" s="67"/>
      <c r="DQ135" s="67"/>
      <c r="DR135" s="67"/>
      <c r="DS135" s="67"/>
      <c r="DT135" s="67"/>
      <c r="DU135" s="67"/>
      <c r="DV135" s="67"/>
      <c r="DW135" s="67"/>
      <c r="DX135" s="67"/>
      <c r="DY135" s="67"/>
      <c r="DZ135" s="67"/>
      <c r="EA135" s="67"/>
      <c r="EB135" s="67"/>
      <c r="EC135" s="67"/>
      <c r="ED135" s="67"/>
      <c r="EE135" s="67"/>
      <c r="EF135" s="67"/>
      <c r="EG135" s="67"/>
      <c r="EH135" s="67"/>
      <c r="EI135" s="67"/>
      <c r="EJ135" s="67"/>
      <c r="EK135" s="67"/>
      <c r="EL135" s="67"/>
      <c r="EM135" s="67"/>
      <c r="EN135" s="67"/>
      <c r="EO135" s="67"/>
      <c r="EP135" s="67"/>
      <c r="EQ135" s="67"/>
      <c r="ER135" s="67"/>
      <c r="ES135" s="67"/>
      <c r="ET135" s="67"/>
      <c r="EU135" s="67"/>
      <c r="EV135" s="67"/>
      <c r="EW135" s="67"/>
      <c r="EX135" s="67"/>
      <c r="EY135" s="67"/>
      <c r="EZ135" s="67"/>
      <c r="FA135" s="67"/>
      <c r="FB135" s="67"/>
      <c r="FC135" s="67"/>
      <c r="FD135" s="67"/>
      <c r="FE135" s="67"/>
      <c r="FF135" s="67"/>
      <c r="FG135" s="67"/>
      <c r="FH135" s="67"/>
      <c r="FI135" s="67"/>
      <c r="FJ135" s="67"/>
      <c r="FK135" s="67"/>
      <c r="FL135" s="67"/>
      <c r="FM135" s="67"/>
      <c r="FN135" s="67"/>
      <c r="FO135" s="67"/>
      <c r="FP135" s="67"/>
      <c r="FQ135" s="67"/>
      <c r="FR135" s="67"/>
      <c r="FS135" s="67"/>
      <c r="FT135" s="67"/>
      <c r="FU135" s="67"/>
      <c r="FV135" s="67"/>
      <c r="FW135" s="67"/>
      <c r="FX135" s="67"/>
      <c r="FY135" s="67"/>
      <c r="FZ135" s="67"/>
      <c r="GA135" s="67"/>
      <c r="GB135" s="67"/>
      <c r="GC135" s="67"/>
      <c r="GD135" s="67"/>
      <c r="GE135" s="67"/>
      <c r="GF135" s="67"/>
      <c r="GG135" s="67"/>
      <c r="GH135" s="67"/>
      <c r="GI135" s="67"/>
      <c r="GJ135" s="67"/>
      <c r="GK135" s="67"/>
      <c r="GL135" s="67"/>
      <c r="GM135" s="67"/>
      <c r="GN135" s="67"/>
      <c r="GO135" s="67"/>
      <c r="GP135" s="67"/>
      <c r="GQ135" s="67"/>
      <c r="GR135" s="67"/>
      <c r="GS135" s="67"/>
      <c r="GT135" s="67"/>
      <c r="GU135" s="67"/>
      <c r="GV135" s="67"/>
      <c r="GW135" s="67"/>
      <c r="GX135" s="67"/>
      <c r="GY135" s="67"/>
      <c r="GZ135" s="67"/>
      <c r="HA135" s="67"/>
      <c r="HB135" s="67"/>
      <c r="HC135" s="67"/>
      <c r="HD135" s="67"/>
      <c r="HE135" s="67"/>
      <c r="HF135" s="67"/>
      <c r="HG135" s="67"/>
      <c r="HH135" s="67"/>
      <c r="HI135" s="67"/>
      <c r="HJ135" s="67"/>
      <c r="HK135" s="67"/>
      <c r="HL135" s="67"/>
      <c r="HM135" s="67"/>
      <c r="HN135" s="67"/>
      <c r="HO135" s="67"/>
      <c r="HP135" s="67"/>
      <c r="HQ135" s="67"/>
      <c r="HR135" s="67"/>
      <c r="HS135" s="67"/>
      <c r="HT135" s="67"/>
      <c r="HU135" s="67"/>
      <c r="HV135" s="67"/>
      <c r="HW135" s="67"/>
      <c r="HX135" s="67"/>
      <c r="HY135" s="67"/>
      <c r="HZ135" s="67"/>
      <c r="IA135" s="67"/>
      <c r="IB135" s="67"/>
      <c r="IC135" s="67"/>
      <c r="ID135" s="67"/>
      <c r="IE135" s="67"/>
      <c r="IF135" s="67"/>
      <c r="IG135" s="67"/>
      <c r="IH135" s="67"/>
      <c r="II135" s="67"/>
      <c r="IJ135" s="67"/>
      <c r="IK135" s="67"/>
      <c r="IL135" s="67"/>
      <c r="IM135" s="67"/>
      <c r="IN135" s="67"/>
      <c r="IO135" s="67"/>
      <c r="IP135" s="67"/>
      <c r="IQ135" s="67"/>
      <c r="IR135" s="67"/>
      <c r="IS135" s="67"/>
      <c r="IT135" s="67"/>
      <c r="IU135" s="67"/>
      <c r="IV135" s="67"/>
      <c r="IW135" s="67"/>
    </row>
    <row r="136" spans="1:257" s="4" customFormat="1" x14ac:dyDescent="0.2">
      <c r="C136" s="73"/>
      <c r="Z136" s="104"/>
      <c r="AA136" s="115"/>
      <c r="AB136" s="116"/>
      <c r="AC136" s="114"/>
      <c r="AD136" s="114"/>
      <c r="AE136" s="114"/>
      <c r="AF136" s="114"/>
      <c r="AG136" s="114"/>
      <c r="AH136" s="67"/>
      <c r="AI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A136" s="67"/>
      <c r="CB136" s="67"/>
      <c r="CC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  <c r="CR136" s="67"/>
      <c r="CS136" s="67"/>
      <c r="CT136" s="67"/>
      <c r="CU136" s="67"/>
      <c r="CV136" s="67"/>
      <c r="CW136" s="67"/>
      <c r="CX136" s="67"/>
      <c r="CY136" s="67"/>
      <c r="CZ136" s="67"/>
      <c r="DA136" s="67"/>
      <c r="DB136" s="67"/>
      <c r="DC136" s="67"/>
      <c r="DD136" s="67"/>
      <c r="DE136" s="67"/>
      <c r="DF136" s="67"/>
      <c r="DG136" s="67"/>
      <c r="DH136" s="67"/>
      <c r="DI136" s="67"/>
      <c r="DJ136" s="67"/>
      <c r="DK136" s="67"/>
      <c r="DL136" s="67"/>
      <c r="DM136" s="67"/>
      <c r="DN136" s="67"/>
      <c r="DO136" s="67"/>
      <c r="DP136" s="67"/>
      <c r="DQ136" s="67"/>
      <c r="DR136" s="67"/>
      <c r="DS136" s="67"/>
      <c r="DT136" s="67"/>
      <c r="DU136" s="67"/>
      <c r="DV136" s="67"/>
      <c r="DW136" s="67"/>
      <c r="DX136" s="67"/>
      <c r="DY136" s="67"/>
      <c r="DZ136" s="67"/>
      <c r="EA136" s="67"/>
      <c r="EB136" s="67"/>
      <c r="EC136" s="67"/>
      <c r="ED136" s="67"/>
      <c r="EE136" s="67"/>
      <c r="EF136" s="67"/>
      <c r="EG136" s="67"/>
      <c r="EH136" s="67"/>
      <c r="EI136" s="67"/>
      <c r="EJ136" s="67"/>
      <c r="EK136" s="67"/>
      <c r="EL136" s="67"/>
      <c r="EM136" s="67"/>
      <c r="EN136" s="67"/>
      <c r="EO136" s="67"/>
      <c r="EP136" s="67"/>
      <c r="EQ136" s="67"/>
      <c r="ER136" s="67"/>
      <c r="ES136" s="67"/>
      <c r="ET136" s="67"/>
      <c r="EU136" s="67"/>
      <c r="EV136" s="67"/>
      <c r="EW136" s="67"/>
      <c r="EX136" s="67"/>
      <c r="EY136" s="67"/>
      <c r="EZ136" s="67"/>
      <c r="FA136" s="67"/>
      <c r="FB136" s="67"/>
      <c r="FC136" s="67"/>
      <c r="FD136" s="67"/>
      <c r="FE136" s="67"/>
      <c r="FF136" s="67"/>
      <c r="FG136" s="67"/>
      <c r="FH136" s="67"/>
      <c r="FI136" s="67"/>
      <c r="FJ136" s="67"/>
      <c r="FK136" s="67"/>
      <c r="FL136" s="67"/>
      <c r="FM136" s="67"/>
      <c r="FN136" s="67"/>
      <c r="FO136" s="67"/>
      <c r="FP136" s="67"/>
      <c r="FQ136" s="67"/>
      <c r="FR136" s="67"/>
      <c r="FS136" s="67"/>
      <c r="FT136" s="67"/>
      <c r="FU136" s="67"/>
      <c r="FV136" s="67"/>
      <c r="FW136" s="67"/>
      <c r="FX136" s="67"/>
      <c r="FY136" s="67"/>
      <c r="FZ136" s="67"/>
      <c r="GA136" s="67"/>
      <c r="GB136" s="67"/>
      <c r="GC136" s="67"/>
      <c r="GD136" s="67"/>
      <c r="GE136" s="67"/>
      <c r="GF136" s="67"/>
      <c r="GG136" s="67"/>
      <c r="GH136" s="67"/>
      <c r="GI136" s="67"/>
      <c r="GJ136" s="67"/>
      <c r="GK136" s="67"/>
      <c r="GL136" s="67"/>
      <c r="GM136" s="67"/>
      <c r="GN136" s="67"/>
      <c r="GO136" s="67"/>
      <c r="GP136" s="67"/>
      <c r="GQ136" s="67"/>
      <c r="GR136" s="67"/>
      <c r="GS136" s="67"/>
      <c r="GT136" s="67"/>
      <c r="GU136" s="67"/>
      <c r="GV136" s="67"/>
      <c r="GW136" s="67"/>
      <c r="GX136" s="67"/>
      <c r="GY136" s="67"/>
      <c r="GZ136" s="67"/>
      <c r="HA136" s="67"/>
      <c r="HB136" s="67"/>
      <c r="HC136" s="67"/>
      <c r="HD136" s="67"/>
      <c r="HE136" s="67"/>
      <c r="HF136" s="67"/>
      <c r="HG136" s="67"/>
      <c r="HH136" s="67"/>
      <c r="HI136" s="67"/>
      <c r="HJ136" s="67"/>
      <c r="HK136" s="67"/>
      <c r="HL136" s="67"/>
      <c r="HM136" s="67"/>
      <c r="HN136" s="67"/>
      <c r="HO136" s="67"/>
      <c r="HP136" s="67"/>
      <c r="HQ136" s="67"/>
      <c r="HR136" s="67"/>
      <c r="HS136" s="67"/>
      <c r="HT136" s="67"/>
      <c r="HU136" s="67"/>
      <c r="HV136" s="67"/>
      <c r="HW136" s="67"/>
      <c r="HX136" s="67"/>
      <c r="HY136" s="67"/>
      <c r="HZ136" s="67"/>
      <c r="IA136" s="67"/>
      <c r="IB136" s="67"/>
      <c r="IC136" s="67"/>
      <c r="ID136" s="67"/>
      <c r="IE136" s="67"/>
      <c r="IF136" s="67"/>
      <c r="IG136" s="67"/>
      <c r="IH136" s="67"/>
      <c r="II136" s="67"/>
      <c r="IJ136" s="67"/>
      <c r="IK136" s="67"/>
      <c r="IL136" s="67"/>
      <c r="IM136" s="67"/>
      <c r="IN136" s="67"/>
      <c r="IO136" s="67"/>
      <c r="IP136" s="67"/>
      <c r="IQ136" s="67"/>
      <c r="IR136" s="67"/>
      <c r="IS136" s="67"/>
      <c r="IT136" s="67"/>
      <c r="IU136" s="67"/>
      <c r="IV136" s="67"/>
      <c r="IW136" s="67"/>
    </row>
    <row r="137" spans="1:257" s="4" customFormat="1" x14ac:dyDescent="0.2">
      <c r="C137" s="73"/>
      <c r="Z137" s="104"/>
      <c r="AA137" s="115"/>
      <c r="AB137" s="116"/>
      <c r="AC137" s="114"/>
      <c r="AD137" s="114"/>
      <c r="AE137" s="114"/>
      <c r="AF137" s="114"/>
      <c r="AG137" s="114"/>
      <c r="AH137" s="67"/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  <c r="BI137" s="67"/>
      <c r="BJ137" s="67"/>
      <c r="BK137" s="67"/>
      <c r="BL137" s="67"/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A137" s="67"/>
      <c r="CB137" s="67"/>
      <c r="CC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  <c r="CR137" s="67"/>
      <c r="CS137" s="67"/>
      <c r="CT137" s="67"/>
      <c r="CU137" s="67"/>
      <c r="CV137" s="67"/>
      <c r="CW137" s="67"/>
      <c r="CX137" s="67"/>
      <c r="CY137" s="67"/>
      <c r="CZ137" s="67"/>
      <c r="DA137" s="67"/>
      <c r="DB137" s="67"/>
      <c r="DC137" s="67"/>
      <c r="DD137" s="67"/>
      <c r="DE137" s="67"/>
      <c r="DF137" s="67"/>
      <c r="DG137" s="67"/>
      <c r="DH137" s="67"/>
      <c r="DI137" s="67"/>
      <c r="DJ137" s="67"/>
      <c r="DK137" s="67"/>
      <c r="DL137" s="67"/>
      <c r="DM137" s="67"/>
      <c r="DN137" s="67"/>
      <c r="DO137" s="67"/>
      <c r="DP137" s="67"/>
      <c r="DQ137" s="67"/>
      <c r="DR137" s="67"/>
      <c r="DS137" s="67"/>
      <c r="DT137" s="67"/>
      <c r="DU137" s="67"/>
      <c r="DV137" s="67"/>
      <c r="DW137" s="67"/>
      <c r="DX137" s="67"/>
      <c r="DY137" s="67"/>
      <c r="DZ137" s="67"/>
      <c r="EA137" s="67"/>
      <c r="EB137" s="67"/>
      <c r="EC137" s="67"/>
      <c r="ED137" s="67"/>
      <c r="EE137" s="67"/>
      <c r="EF137" s="67"/>
      <c r="EG137" s="67"/>
      <c r="EH137" s="67"/>
      <c r="EI137" s="67"/>
      <c r="EJ137" s="67"/>
      <c r="EK137" s="67"/>
      <c r="EL137" s="67"/>
      <c r="EM137" s="67"/>
      <c r="EN137" s="67"/>
      <c r="EO137" s="67"/>
      <c r="EP137" s="67"/>
      <c r="EQ137" s="67"/>
      <c r="ER137" s="67"/>
      <c r="ES137" s="67"/>
      <c r="ET137" s="67"/>
      <c r="EU137" s="67"/>
      <c r="EV137" s="67"/>
      <c r="EW137" s="67"/>
      <c r="EX137" s="67"/>
      <c r="EY137" s="67"/>
      <c r="EZ137" s="67"/>
      <c r="FA137" s="67"/>
      <c r="FB137" s="67"/>
      <c r="FC137" s="67"/>
      <c r="FD137" s="67"/>
      <c r="FE137" s="67"/>
      <c r="FF137" s="67"/>
      <c r="FG137" s="67"/>
      <c r="FH137" s="67"/>
      <c r="FI137" s="67"/>
      <c r="FJ137" s="67"/>
      <c r="FK137" s="67"/>
      <c r="FL137" s="67"/>
      <c r="FM137" s="67"/>
      <c r="FN137" s="67"/>
      <c r="FO137" s="67"/>
      <c r="FP137" s="67"/>
      <c r="FQ137" s="67"/>
      <c r="FR137" s="67"/>
      <c r="FS137" s="67"/>
      <c r="FT137" s="67"/>
      <c r="FU137" s="67"/>
      <c r="FV137" s="67"/>
      <c r="FW137" s="67"/>
      <c r="FX137" s="67"/>
      <c r="FY137" s="67"/>
      <c r="FZ137" s="67"/>
      <c r="GA137" s="67"/>
      <c r="GB137" s="67"/>
      <c r="GC137" s="67"/>
      <c r="GD137" s="67"/>
      <c r="GE137" s="67"/>
      <c r="GF137" s="67"/>
      <c r="GG137" s="67"/>
      <c r="GH137" s="67"/>
      <c r="GI137" s="67"/>
      <c r="GJ137" s="67"/>
      <c r="GK137" s="67"/>
      <c r="GL137" s="67"/>
      <c r="GM137" s="67"/>
      <c r="GN137" s="67"/>
      <c r="GO137" s="67"/>
      <c r="GP137" s="67"/>
      <c r="GQ137" s="67"/>
      <c r="GR137" s="67"/>
      <c r="GS137" s="67"/>
      <c r="GT137" s="67"/>
      <c r="GU137" s="67"/>
      <c r="GV137" s="67"/>
      <c r="GW137" s="67"/>
      <c r="GX137" s="67"/>
      <c r="GY137" s="67"/>
      <c r="GZ137" s="67"/>
      <c r="HA137" s="67"/>
      <c r="HB137" s="67"/>
      <c r="HC137" s="67"/>
      <c r="HD137" s="67"/>
      <c r="HE137" s="67"/>
      <c r="HF137" s="67"/>
      <c r="HG137" s="67"/>
      <c r="HH137" s="67"/>
      <c r="HI137" s="67"/>
      <c r="HJ137" s="67"/>
      <c r="HK137" s="67"/>
      <c r="HL137" s="67"/>
      <c r="HM137" s="67"/>
      <c r="HN137" s="67"/>
      <c r="HO137" s="67"/>
      <c r="HP137" s="67"/>
      <c r="HQ137" s="67"/>
      <c r="HR137" s="67"/>
      <c r="HS137" s="67"/>
      <c r="HT137" s="67"/>
      <c r="HU137" s="67"/>
      <c r="HV137" s="67"/>
      <c r="HW137" s="67"/>
      <c r="HX137" s="67"/>
      <c r="HY137" s="67"/>
      <c r="HZ137" s="67"/>
      <c r="IA137" s="67"/>
      <c r="IB137" s="67"/>
      <c r="IC137" s="67"/>
      <c r="ID137" s="67"/>
      <c r="IE137" s="67"/>
      <c r="IF137" s="67"/>
      <c r="IG137" s="67"/>
      <c r="IH137" s="67"/>
      <c r="II137" s="67"/>
      <c r="IJ137" s="67"/>
      <c r="IK137" s="67"/>
      <c r="IL137" s="67"/>
      <c r="IM137" s="67"/>
      <c r="IN137" s="67"/>
      <c r="IO137" s="67"/>
      <c r="IP137" s="67"/>
      <c r="IQ137" s="67"/>
      <c r="IR137" s="67"/>
      <c r="IS137" s="67"/>
      <c r="IT137" s="67"/>
      <c r="IU137" s="67"/>
      <c r="IV137" s="67"/>
      <c r="IW137" s="67"/>
    </row>
    <row r="138" spans="1:257" s="4" customFormat="1" x14ac:dyDescent="0.2">
      <c r="A138" s="74"/>
      <c r="C138" s="73"/>
      <c r="Z138" s="104"/>
      <c r="AA138" s="115"/>
      <c r="AB138" s="116"/>
      <c r="AC138" s="114"/>
      <c r="AD138" s="114"/>
      <c r="AE138" s="114"/>
      <c r="AF138" s="114"/>
      <c r="AG138" s="114"/>
      <c r="AH138" s="67"/>
      <c r="AI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  <c r="BI138" s="67"/>
      <c r="BJ138" s="67"/>
      <c r="BK138" s="67"/>
      <c r="BL138" s="67"/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A138" s="67"/>
      <c r="CB138" s="67"/>
      <c r="CC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  <c r="CR138" s="67"/>
      <c r="CS138" s="67"/>
      <c r="CT138" s="67"/>
      <c r="CU138" s="67"/>
      <c r="CV138" s="67"/>
      <c r="CW138" s="67"/>
      <c r="CX138" s="67"/>
      <c r="CY138" s="67"/>
      <c r="CZ138" s="67"/>
      <c r="DA138" s="67"/>
      <c r="DB138" s="67"/>
      <c r="DC138" s="67"/>
      <c r="DD138" s="67"/>
      <c r="DE138" s="67"/>
      <c r="DF138" s="67"/>
      <c r="DG138" s="67"/>
      <c r="DH138" s="67"/>
      <c r="DI138" s="67"/>
      <c r="DJ138" s="67"/>
      <c r="DK138" s="67"/>
      <c r="DL138" s="67"/>
      <c r="DM138" s="67"/>
      <c r="DN138" s="67"/>
      <c r="DO138" s="67"/>
      <c r="DP138" s="67"/>
      <c r="DQ138" s="67"/>
      <c r="DR138" s="67"/>
      <c r="DS138" s="67"/>
      <c r="DT138" s="67"/>
      <c r="DU138" s="67"/>
      <c r="DV138" s="67"/>
      <c r="DW138" s="67"/>
      <c r="DX138" s="67"/>
      <c r="DY138" s="67"/>
      <c r="DZ138" s="67"/>
      <c r="EA138" s="67"/>
      <c r="EB138" s="67"/>
      <c r="EC138" s="67"/>
      <c r="ED138" s="67"/>
      <c r="EE138" s="67"/>
      <c r="EF138" s="67"/>
      <c r="EG138" s="67"/>
      <c r="EH138" s="67"/>
      <c r="EI138" s="67"/>
      <c r="EJ138" s="67"/>
      <c r="EK138" s="67"/>
      <c r="EL138" s="67"/>
      <c r="EM138" s="67"/>
      <c r="EN138" s="67"/>
      <c r="EO138" s="67"/>
      <c r="EP138" s="67"/>
      <c r="EQ138" s="67"/>
      <c r="ER138" s="67"/>
      <c r="ES138" s="67"/>
      <c r="ET138" s="67"/>
      <c r="EU138" s="67"/>
      <c r="EV138" s="67"/>
      <c r="EW138" s="67"/>
      <c r="EX138" s="67"/>
      <c r="EY138" s="67"/>
      <c r="EZ138" s="67"/>
      <c r="FA138" s="67"/>
      <c r="FB138" s="67"/>
      <c r="FC138" s="67"/>
      <c r="FD138" s="67"/>
      <c r="FE138" s="67"/>
      <c r="FF138" s="67"/>
      <c r="FG138" s="67"/>
      <c r="FH138" s="67"/>
      <c r="FI138" s="67"/>
      <c r="FJ138" s="67"/>
      <c r="FK138" s="67"/>
      <c r="FL138" s="67"/>
      <c r="FM138" s="67"/>
      <c r="FN138" s="67"/>
      <c r="FO138" s="67"/>
      <c r="FP138" s="67"/>
      <c r="FQ138" s="67"/>
      <c r="FR138" s="67"/>
      <c r="FS138" s="67"/>
      <c r="FT138" s="67"/>
      <c r="FU138" s="67"/>
      <c r="FV138" s="67"/>
      <c r="FW138" s="67"/>
      <c r="FX138" s="67"/>
      <c r="FY138" s="67"/>
      <c r="FZ138" s="67"/>
      <c r="GA138" s="67"/>
      <c r="GB138" s="67"/>
      <c r="GC138" s="67"/>
      <c r="GD138" s="67"/>
      <c r="GE138" s="67"/>
      <c r="GF138" s="67"/>
      <c r="GG138" s="67"/>
      <c r="GH138" s="67"/>
      <c r="GI138" s="67"/>
      <c r="GJ138" s="67"/>
      <c r="GK138" s="67"/>
      <c r="GL138" s="67"/>
      <c r="GM138" s="67"/>
      <c r="GN138" s="67"/>
      <c r="GO138" s="67"/>
      <c r="GP138" s="67"/>
      <c r="GQ138" s="67"/>
      <c r="GR138" s="67"/>
      <c r="GS138" s="67"/>
      <c r="GT138" s="67"/>
      <c r="GU138" s="67"/>
      <c r="GV138" s="67"/>
      <c r="GW138" s="67"/>
      <c r="GX138" s="67"/>
      <c r="GY138" s="67"/>
      <c r="GZ138" s="67"/>
      <c r="HA138" s="67"/>
      <c r="HB138" s="67"/>
      <c r="HC138" s="67"/>
      <c r="HD138" s="67"/>
      <c r="HE138" s="67"/>
      <c r="HF138" s="67"/>
      <c r="HG138" s="67"/>
      <c r="HH138" s="67"/>
      <c r="HI138" s="67"/>
      <c r="HJ138" s="67"/>
      <c r="HK138" s="67"/>
      <c r="HL138" s="67"/>
      <c r="HM138" s="67"/>
      <c r="HN138" s="67"/>
      <c r="HO138" s="67"/>
      <c r="HP138" s="67"/>
      <c r="HQ138" s="67"/>
      <c r="HR138" s="67"/>
      <c r="HS138" s="67"/>
      <c r="HT138" s="67"/>
      <c r="HU138" s="67"/>
      <c r="HV138" s="67"/>
      <c r="HW138" s="67"/>
      <c r="HX138" s="67"/>
      <c r="HY138" s="67"/>
      <c r="HZ138" s="67"/>
      <c r="IA138" s="67"/>
      <c r="IB138" s="67"/>
      <c r="IC138" s="67"/>
      <c r="ID138" s="67"/>
      <c r="IE138" s="67"/>
      <c r="IF138" s="67"/>
      <c r="IG138" s="67"/>
      <c r="IH138" s="67"/>
      <c r="II138" s="67"/>
      <c r="IJ138" s="67"/>
      <c r="IK138" s="67"/>
      <c r="IL138" s="67"/>
      <c r="IM138" s="67"/>
      <c r="IN138" s="67"/>
      <c r="IO138" s="67"/>
      <c r="IP138" s="67"/>
      <c r="IQ138" s="67"/>
      <c r="IR138" s="67"/>
      <c r="IS138" s="67"/>
      <c r="IT138" s="67"/>
      <c r="IU138" s="67"/>
      <c r="IV138" s="67"/>
      <c r="IW138" s="67"/>
    </row>
    <row r="139" spans="1:257" s="4" customFormat="1" x14ac:dyDescent="0.2">
      <c r="A139" s="74"/>
      <c r="C139" s="73"/>
      <c r="Z139" s="104"/>
      <c r="AA139" s="115"/>
      <c r="AB139" s="116"/>
      <c r="AC139" s="114"/>
      <c r="AD139" s="114"/>
      <c r="AE139" s="114"/>
      <c r="AF139" s="114"/>
      <c r="AG139" s="114"/>
      <c r="AH139" s="67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  <c r="BI139" s="67"/>
      <c r="BJ139" s="67"/>
      <c r="BK139" s="67"/>
      <c r="BL139" s="67"/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A139" s="67"/>
      <c r="CB139" s="67"/>
      <c r="CC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  <c r="CR139" s="67"/>
      <c r="CS139" s="67"/>
      <c r="CT139" s="67"/>
      <c r="CU139" s="67"/>
      <c r="CV139" s="67"/>
      <c r="CW139" s="67"/>
      <c r="CX139" s="67"/>
      <c r="CY139" s="67"/>
      <c r="CZ139" s="67"/>
      <c r="DA139" s="67"/>
      <c r="DB139" s="67"/>
      <c r="DC139" s="67"/>
      <c r="DD139" s="67"/>
      <c r="DE139" s="67"/>
      <c r="DF139" s="67"/>
      <c r="DG139" s="67"/>
      <c r="DH139" s="67"/>
      <c r="DI139" s="67"/>
      <c r="DJ139" s="67"/>
      <c r="DK139" s="67"/>
      <c r="DL139" s="67"/>
      <c r="DM139" s="67"/>
      <c r="DN139" s="67"/>
      <c r="DO139" s="67"/>
      <c r="DP139" s="67"/>
      <c r="DQ139" s="67"/>
      <c r="DR139" s="67"/>
      <c r="DS139" s="67"/>
      <c r="DT139" s="67"/>
      <c r="DU139" s="67"/>
      <c r="DV139" s="67"/>
      <c r="DW139" s="67"/>
      <c r="DX139" s="67"/>
      <c r="DY139" s="67"/>
      <c r="DZ139" s="67"/>
      <c r="EA139" s="67"/>
      <c r="EB139" s="67"/>
      <c r="EC139" s="67"/>
      <c r="ED139" s="67"/>
      <c r="EE139" s="67"/>
      <c r="EF139" s="67"/>
      <c r="EG139" s="67"/>
      <c r="EH139" s="67"/>
      <c r="EI139" s="67"/>
      <c r="EJ139" s="67"/>
      <c r="EK139" s="67"/>
      <c r="EL139" s="67"/>
      <c r="EM139" s="67"/>
      <c r="EN139" s="67"/>
      <c r="EO139" s="67"/>
      <c r="EP139" s="67"/>
      <c r="EQ139" s="67"/>
      <c r="ER139" s="67"/>
      <c r="ES139" s="67"/>
      <c r="ET139" s="67"/>
      <c r="EU139" s="67"/>
      <c r="EV139" s="67"/>
      <c r="EW139" s="67"/>
      <c r="EX139" s="67"/>
      <c r="EY139" s="67"/>
      <c r="EZ139" s="67"/>
      <c r="FA139" s="67"/>
      <c r="FB139" s="67"/>
      <c r="FC139" s="67"/>
      <c r="FD139" s="67"/>
      <c r="FE139" s="67"/>
      <c r="FF139" s="67"/>
      <c r="FG139" s="67"/>
      <c r="FH139" s="67"/>
      <c r="FI139" s="67"/>
      <c r="FJ139" s="67"/>
      <c r="FK139" s="67"/>
      <c r="FL139" s="67"/>
      <c r="FM139" s="67"/>
      <c r="FN139" s="67"/>
      <c r="FO139" s="67"/>
      <c r="FP139" s="67"/>
      <c r="FQ139" s="67"/>
      <c r="FR139" s="67"/>
      <c r="FS139" s="67"/>
      <c r="FT139" s="67"/>
      <c r="FU139" s="67"/>
      <c r="FV139" s="67"/>
      <c r="FW139" s="67"/>
      <c r="FX139" s="67"/>
      <c r="FY139" s="67"/>
      <c r="FZ139" s="67"/>
      <c r="GA139" s="67"/>
      <c r="GB139" s="67"/>
      <c r="GC139" s="67"/>
      <c r="GD139" s="67"/>
      <c r="GE139" s="67"/>
      <c r="GF139" s="67"/>
      <c r="GG139" s="67"/>
      <c r="GH139" s="67"/>
      <c r="GI139" s="67"/>
      <c r="GJ139" s="67"/>
      <c r="GK139" s="67"/>
      <c r="GL139" s="67"/>
      <c r="GM139" s="67"/>
      <c r="GN139" s="67"/>
      <c r="GO139" s="67"/>
      <c r="GP139" s="67"/>
      <c r="GQ139" s="67"/>
      <c r="GR139" s="67"/>
      <c r="GS139" s="67"/>
      <c r="GT139" s="67"/>
      <c r="GU139" s="67"/>
      <c r="GV139" s="67"/>
      <c r="GW139" s="67"/>
      <c r="GX139" s="67"/>
      <c r="GY139" s="67"/>
      <c r="GZ139" s="67"/>
      <c r="HA139" s="67"/>
      <c r="HB139" s="67"/>
      <c r="HC139" s="67"/>
      <c r="HD139" s="67"/>
      <c r="HE139" s="67"/>
      <c r="HF139" s="67"/>
      <c r="HG139" s="67"/>
      <c r="HH139" s="67"/>
      <c r="HI139" s="67"/>
      <c r="HJ139" s="67"/>
      <c r="HK139" s="67"/>
      <c r="HL139" s="67"/>
      <c r="HM139" s="67"/>
      <c r="HN139" s="67"/>
      <c r="HO139" s="67"/>
      <c r="HP139" s="67"/>
      <c r="HQ139" s="67"/>
      <c r="HR139" s="67"/>
      <c r="HS139" s="67"/>
      <c r="HT139" s="67"/>
      <c r="HU139" s="67"/>
      <c r="HV139" s="67"/>
      <c r="HW139" s="67"/>
      <c r="HX139" s="67"/>
      <c r="HY139" s="67"/>
      <c r="HZ139" s="67"/>
      <c r="IA139" s="67"/>
      <c r="IB139" s="67"/>
      <c r="IC139" s="67"/>
      <c r="ID139" s="67"/>
      <c r="IE139" s="67"/>
      <c r="IF139" s="67"/>
      <c r="IG139" s="67"/>
      <c r="IH139" s="67"/>
      <c r="II139" s="67"/>
      <c r="IJ139" s="67"/>
      <c r="IK139" s="67"/>
      <c r="IL139" s="67"/>
      <c r="IM139" s="67"/>
      <c r="IN139" s="67"/>
      <c r="IO139" s="67"/>
      <c r="IP139" s="67"/>
      <c r="IQ139" s="67"/>
      <c r="IR139" s="67"/>
      <c r="IS139" s="67"/>
      <c r="IT139" s="67"/>
      <c r="IU139" s="67"/>
      <c r="IV139" s="67"/>
      <c r="IW139" s="67"/>
    </row>
    <row r="140" spans="1:257" s="4" customFormat="1" x14ac:dyDescent="0.2">
      <c r="C140" s="73"/>
      <c r="Z140" s="104"/>
      <c r="AA140" s="115"/>
      <c r="AB140" s="116"/>
      <c r="AC140" s="114"/>
      <c r="AD140" s="114"/>
      <c r="AE140" s="114"/>
      <c r="AF140" s="114"/>
      <c r="AG140" s="114"/>
      <c r="AH140" s="67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  <c r="BI140" s="67"/>
      <c r="BJ140" s="67"/>
      <c r="BK140" s="67"/>
      <c r="BL140" s="67"/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A140" s="67"/>
      <c r="CB140" s="67"/>
      <c r="CC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  <c r="CR140" s="67"/>
      <c r="CS140" s="67"/>
      <c r="CT140" s="67"/>
      <c r="CU140" s="67"/>
      <c r="CV140" s="67"/>
      <c r="CW140" s="67"/>
      <c r="CX140" s="67"/>
      <c r="CY140" s="67"/>
      <c r="CZ140" s="67"/>
      <c r="DA140" s="67"/>
      <c r="DB140" s="67"/>
      <c r="DC140" s="67"/>
      <c r="DD140" s="67"/>
      <c r="DE140" s="67"/>
      <c r="DF140" s="67"/>
      <c r="DG140" s="67"/>
      <c r="DH140" s="67"/>
      <c r="DI140" s="67"/>
      <c r="DJ140" s="67"/>
      <c r="DK140" s="67"/>
      <c r="DL140" s="67"/>
      <c r="DM140" s="67"/>
      <c r="DN140" s="67"/>
      <c r="DO140" s="67"/>
      <c r="DP140" s="67"/>
      <c r="DQ140" s="67"/>
      <c r="DR140" s="67"/>
      <c r="DS140" s="67"/>
      <c r="DT140" s="67"/>
      <c r="DU140" s="67"/>
      <c r="DV140" s="67"/>
      <c r="DW140" s="67"/>
      <c r="DX140" s="67"/>
      <c r="DY140" s="67"/>
      <c r="DZ140" s="67"/>
      <c r="EA140" s="67"/>
      <c r="EB140" s="67"/>
      <c r="EC140" s="67"/>
      <c r="ED140" s="67"/>
      <c r="EE140" s="67"/>
      <c r="EF140" s="67"/>
      <c r="EG140" s="67"/>
      <c r="EH140" s="67"/>
      <c r="EI140" s="67"/>
      <c r="EJ140" s="67"/>
      <c r="EK140" s="67"/>
      <c r="EL140" s="67"/>
      <c r="EM140" s="67"/>
      <c r="EN140" s="67"/>
      <c r="EO140" s="67"/>
      <c r="EP140" s="67"/>
      <c r="EQ140" s="67"/>
      <c r="ER140" s="67"/>
      <c r="ES140" s="67"/>
      <c r="ET140" s="67"/>
      <c r="EU140" s="67"/>
      <c r="EV140" s="67"/>
      <c r="EW140" s="67"/>
      <c r="EX140" s="67"/>
      <c r="EY140" s="67"/>
      <c r="EZ140" s="67"/>
      <c r="FA140" s="67"/>
      <c r="FB140" s="67"/>
      <c r="FC140" s="67"/>
      <c r="FD140" s="67"/>
      <c r="FE140" s="67"/>
      <c r="FF140" s="67"/>
      <c r="FG140" s="67"/>
      <c r="FH140" s="67"/>
      <c r="FI140" s="67"/>
      <c r="FJ140" s="67"/>
      <c r="FK140" s="67"/>
      <c r="FL140" s="67"/>
      <c r="FM140" s="67"/>
      <c r="FN140" s="67"/>
      <c r="FO140" s="67"/>
      <c r="FP140" s="67"/>
      <c r="FQ140" s="67"/>
      <c r="FR140" s="67"/>
      <c r="FS140" s="67"/>
      <c r="FT140" s="67"/>
      <c r="FU140" s="67"/>
      <c r="FV140" s="67"/>
      <c r="FW140" s="67"/>
      <c r="FX140" s="67"/>
      <c r="FY140" s="67"/>
      <c r="FZ140" s="67"/>
      <c r="GA140" s="67"/>
      <c r="GB140" s="67"/>
      <c r="GC140" s="67"/>
      <c r="GD140" s="67"/>
      <c r="GE140" s="67"/>
      <c r="GF140" s="67"/>
      <c r="GG140" s="67"/>
      <c r="GH140" s="67"/>
      <c r="GI140" s="67"/>
      <c r="GJ140" s="67"/>
      <c r="GK140" s="67"/>
      <c r="GL140" s="67"/>
      <c r="GM140" s="67"/>
      <c r="GN140" s="67"/>
      <c r="GO140" s="67"/>
      <c r="GP140" s="67"/>
      <c r="GQ140" s="67"/>
      <c r="GR140" s="67"/>
      <c r="GS140" s="67"/>
      <c r="GT140" s="67"/>
      <c r="GU140" s="67"/>
      <c r="GV140" s="67"/>
      <c r="GW140" s="67"/>
      <c r="GX140" s="67"/>
      <c r="GY140" s="67"/>
      <c r="GZ140" s="67"/>
      <c r="HA140" s="67"/>
      <c r="HB140" s="67"/>
      <c r="HC140" s="67"/>
      <c r="HD140" s="67"/>
      <c r="HE140" s="67"/>
      <c r="HF140" s="67"/>
      <c r="HG140" s="67"/>
      <c r="HH140" s="67"/>
      <c r="HI140" s="67"/>
      <c r="HJ140" s="67"/>
      <c r="HK140" s="67"/>
      <c r="HL140" s="67"/>
      <c r="HM140" s="67"/>
      <c r="HN140" s="67"/>
      <c r="HO140" s="67"/>
      <c r="HP140" s="67"/>
      <c r="HQ140" s="67"/>
      <c r="HR140" s="67"/>
      <c r="HS140" s="67"/>
      <c r="HT140" s="67"/>
      <c r="HU140" s="67"/>
      <c r="HV140" s="67"/>
      <c r="HW140" s="67"/>
      <c r="HX140" s="67"/>
      <c r="HY140" s="67"/>
      <c r="HZ140" s="67"/>
      <c r="IA140" s="67"/>
      <c r="IB140" s="67"/>
      <c r="IC140" s="67"/>
      <c r="ID140" s="67"/>
      <c r="IE140" s="67"/>
      <c r="IF140" s="67"/>
      <c r="IG140" s="67"/>
      <c r="IH140" s="67"/>
      <c r="II140" s="67"/>
      <c r="IJ140" s="67"/>
      <c r="IK140" s="67"/>
      <c r="IL140" s="67"/>
      <c r="IM140" s="67"/>
      <c r="IN140" s="67"/>
      <c r="IO140" s="67"/>
      <c r="IP140" s="67"/>
      <c r="IQ140" s="67"/>
      <c r="IR140" s="67"/>
      <c r="IS140" s="67"/>
      <c r="IT140" s="67"/>
      <c r="IU140" s="67"/>
      <c r="IV140" s="67"/>
      <c r="IW140" s="67"/>
    </row>
    <row r="141" spans="1:257" s="4" customFormat="1" x14ac:dyDescent="0.2">
      <c r="C141" s="73"/>
      <c r="Z141" s="104"/>
      <c r="AA141" s="115"/>
      <c r="AB141" s="116"/>
      <c r="AC141" s="114"/>
      <c r="AD141" s="114"/>
      <c r="AE141" s="114"/>
      <c r="AF141" s="114"/>
      <c r="AG141" s="114"/>
      <c r="AH141" s="67"/>
      <c r="AI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  <c r="BI141" s="67"/>
      <c r="BJ141" s="67"/>
      <c r="BK141" s="67"/>
      <c r="BL141" s="67"/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A141" s="67"/>
      <c r="CB141" s="67"/>
      <c r="CC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  <c r="CR141" s="67"/>
      <c r="CS141" s="67"/>
      <c r="CT141" s="67"/>
      <c r="CU141" s="67"/>
      <c r="CV141" s="67"/>
      <c r="CW141" s="67"/>
      <c r="CX141" s="67"/>
      <c r="CY141" s="67"/>
      <c r="CZ141" s="67"/>
      <c r="DA141" s="67"/>
      <c r="DB141" s="67"/>
      <c r="DC141" s="67"/>
      <c r="DD141" s="67"/>
      <c r="DE141" s="67"/>
      <c r="DF141" s="67"/>
      <c r="DG141" s="67"/>
      <c r="DH141" s="67"/>
      <c r="DI141" s="67"/>
      <c r="DJ141" s="67"/>
      <c r="DK141" s="67"/>
      <c r="DL141" s="67"/>
      <c r="DM141" s="67"/>
      <c r="DN141" s="67"/>
      <c r="DO141" s="67"/>
      <c r="DP141" s="67"/>
      <c r="DQ141" s="67"/>
      <c r="DR141" s="67"/>
      <c r="DS141" s="67"/>
      <c r="DT141" s="67"/>
      <c r="DU141" s="67"/>
      <c r="DV141" s="67"/>
      <c r="DW141" s="67"/>
      <c r="DX141" s="67"/>
      <c r="DY141" s="67"/>
      <c r="DZ141" s="67"/>
      <c r="EA141" s="67"/>
      <c r="EB141" s="67"/>
      <c r="EC141" s="67"/>
      <c r="ED141" s="67"/>
      <c r="EE141" s="67"/>
      <c r="EF141" s="67"/>
      <c r="EG141" s="67"/>
      <c r="EH141" s="67"/>
      <c r="EI141" s="67"/>
      <c r="EJ141" s="67"/>
      <c r="EK141" s="67"/>
      <c r="EL141" s="67"/>
      <c r="EM141" s="67"/>
      <c r="EN141" s="67"/>
      <c r="EO141" s="67"/>
      <c r="EP141" s="67"/>
      <c r="EQ141" s="67"/>
      <c r="ER141" s="67"/>
      <c r="ES141" s="67"/>
      <c r="ET141" s="67"/>
      <c r="EU141" s="67"/>
      <c r="EV141" s="67"/>
      <c r="EW141" s="67"/>
      <c r="EX141" s="67"/>
      <c r="EY141" s="67"/>
      <c r="EZ141" s="67"/>
      <c r="FA141" s="67"/>
      <c r="FB141" s="67"/>
      <c r="FC141" s="67"/>
      <c r="FD141" s="67"/>
      <c r="FE141" s="67"/>
      <c r="FF141" s="67"/>
      <c r="FG141" s="67"/>
      <c r="FH141" s="67"/>
      <c r="FI141" s="67"/>
      <c r="FJ141" s="67"/>
      <c r="FK141" s="67"/>
      <c r="FL141" s="67"/>
      <c r="FM141" s="67"/>
      <c r="FN141" s="67"/>
      <c r="FO141" s="67"/>
      <c r="FP141" s="67"/>
      <c r="FQ141" s="67"/>
      <c r="FR141" s="67"/>
      <c r="FS141" s="67"/>
      <c r="FT141" s="67"/>
      <c r="FU141" s="67"/>
      <c r="FV141" s="67"/>
      <c r="FW141" s="67"/>
      <c r="FX141" s="67"/>
      <c r="FY141" s="67"/>
      <c r="FZ141" s="67"/>
      <c r="GA141" s="67"/>
      <c r="GB141" s="67"/>
      <c r="GC141" s="67"/>
      <c r="GD141" s="67"/>
      <c r="GE141" s="67"/>
      <c r="GF141" s="67"/>
      <c r="GG141" s="67"/>
      <c r="GH141" s="67"/>
      <c r="GI141" s="67"/>
      <c r="GJ141" s="67"/>
      <c r="GK141" s="67"/>
      <c r="GL141" s="67"/>
      <c r="GM141" s="67"/>
      <c r="GN141" s="67"/>
      <c r="GO141" s="67"/>
      <c r="GP141" s="67"/>
      <c r="GQ141" s="67"/>
      <c r="GR141" s="67"/>
      <c r="GS141" s="67"/>
      <c r="GT141" s="67"/>
      <c r="GU141" s="67"/>
      <c r="GV141" s="67"/>
      <c r="GW141" s="67"/>
      <c r="GX141" s="67"/>
      <c r="GY141" s="67"/>
      <c r="GZ141" s="67"/>
      <c r="HA141" s="67"/>
      <c r="HB141" s="67"/>
      <c r="HC141" s="67"/>
      <c r="HD141" s="67"/>
      <c r="HE141" s="67"/>
      <c r="HF141" s="67"/>
      <c r="HG141" s="67"/>
      <c r="HH141" s="67"/>
      <c r="HI141" s="67"/>
      <c r="HJ141" s="67"/>
      <c r="HK141" s="67"/>
      <c r="HL141" s="67"/>
      <c r="HM141" s="67"/>
      <c r="HN141" s="67"/>
      <c r="HO141" s="67"/>
      <c r="HP141" s="67"/>
      <c r="HQ141" s="67"/>
      <c r="HR141" s="67"/>
      <c r="HS141" s="67"/>
      <c r="HT141" s="67"/>
      <c r="HU141" s="67"/>
      <c r="HV141" s="67"/>
      <c r="HW141" s="67"/>
      <c r="HX141" s="67"/>
      <c r="HY141" s="67"/>
      <c r="HZ141" s="67"/>
      <c r="IA141" s="67"/>
      <c r="IB141" s="67"/>
      <c r="IC141" s="67"/>
      <c r="ID141" s="67"/>
      <c r="IE141" s="67"/>
      <c r="IF141" s="67"/>
      <c r="IG141" s="67"/>
      <c r="IH141" s="67"/>
      <c r="II141" s="67"/>
      <c r="IJ141" s="67"/>
      <c r="IK141" s="67"/>
      <c r="IL141" s="67"/>
      <c r="IM141" s="67"/>
      <c r="IN141" s="67"/>
      <c r="IO141" s="67"/>
      <c r="IP141" s="67"/>
      <c r="IQ141" s="67"/>
      <c r="IR141" s="67"/>
      <c r="IS141" s="67"/>
      <c r="IT141" s="67"/>
      <c r="IU141" s="67"/>
      <c r="IV141" s="67"/>
      <c r="IW141" s="67"/>
    </row>
    <row r="142" spans="1:257" s="4" customFormat="1" x14ac:dyDescent="0.2">
      <c r="C142" s="73"/>
      <c r="Z142" s="104"/>
      <c r="AA142" s="115"/>
      <c r="AB142" s="116"/>
      <c r="AC142" s="114"/>
      <c r="AD142" s="114"/>
      <c r="AE142" s="114"/>
      <c r="AF142" s="114"/>
      <c r="AG142" s="114"/>
      <c r="AH142" s="67"/>
      <c r="AI142" s="67"/>
      <c r="AJ142" s="67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A142" s="67"/>
      <c r="CB142" s="67"/>
      <c r="CC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  <c r="CR142" s="67"/>
      <c r="CS142" s="67"/>
      <c r="CT142" s="67"/>
      <c r="CU142" s="67"/>
      <c r="CV142" s="67"/>
      <c r="CW142" s="67"/>
      <c r="CX142" s="67"/>
      <c r="CY142" s="67"/>
      <c r="CZ142" s="67"/>
      <c r="DA142" s="67"/>
      <c r="DB142" s="67"/>
      <c r="DC142" s="67"/>
      <c r="DD142" s="67"/>
      <c r="DE142" s="67"/>
      <c r="DF142" s="67"/>
      <c r="DG142" s="67"/>
      <c r="DH142" s="67"/>
      <c r="DI142" s="67"/>
      <c r="DJ142" s="67"/>
      <c r="DK142" s="67"/>
      <c r="DL142" s="67"/>
      <c r="DM142" s="67"/>
      <c r="DN142" s="67"/>
      <c r="DO142" s="67"/>
      <c r="DP142" s="67"/>
      <c r="DQ142" s="67"/>
      <c r="DR142" s="67"/>
      <c r="DS142" s="67"/>
      <c r="DT142" s="67"/>
      <c r="DU142" s="67"/>
      <c r="DV142" s="67"/>
      <c r="DW142" s="67"/>
      <c r="DX142" s="67"/>
      <c r="DY142" s="67"/>
      <c r="DZ142" s="67"/>
      <c r="EA142" s="67"/>
      <c r="EB142" s="67"/>
      <c r="EC142" s="67"/>
      <c r="ED142" s="67"/>
      <c r="EE142" s="67"/>
      <c r="EF142" s="67"/>
      <c r="EG142" s="67"/>
      <c r="EH142" s="67"/>
      <c r="EI142" s="67"/>
      <c r="EJ142" s="67"/>
      <c r="EK142" s="67"/>
      <c r="EL142" s="67"/>
      <c r="EM142" s="67"/>
      <c r="EN142" s="67"/>
      <c r="EO142" s="67"/>
      <c r="EP142" s="67"/>
      <c r="EQ142" s="67"/>
      <c r="ER142" s="67"/>
      <c r="ES142" s="67"/>
      <c r="ET142" s="67"/>
      <c r="EU142" s="67"/>
      <c r="EV142" s="67"/>
      <c r="EW142" s="67"/>
      <c r="EX142" s="67"/>
      <c r="EY142" s="67"/>
      <c r="EZ142" s="67"/>
      <c r="FA142" s="67"/>
      <c r="FB142" s="67"/>
      <c r="FC142" s="67"/>
      <c r="FD142" s="67"/>
      <c r="FE142" s="67"/>
      <c r="FF142" s="67"/>
      <c r="FG142" s="67"/>
      <c r="FH142" s="67"/>
      <c r="FI142" s="67"/>
      <c r="FJ142" s="67"/>
      <c r="FK142" s="67"/>
      <c r="FL142" s="67"/>
      <c r="FM142" s="67"/>
      <c r="FN142" s="67"/>
      <c r="FO142" s="67"/>
      <c r="FP142" s="67"/>
      <c r="FQ142" s="67"/>
      <c r="FR142" s="67"/>
      <c r="FS142" s="67"/>
      <c r="FT142" s="67"/>
      <c r="FU142" s="67"/>
      <c r="FV142" s="67"/>
      <c r="FW142" s="67"/>
      <c r="FX142" s="67"/>
      <c r="FY142" s="67"/>
      <c r="FZ142" s="67"/>
      <c r="GA142" s="67"/>
      <c r="GB142" s="67"/>
      <c r="GC142" s="67"/>
      <c r="GD142" s="67"/>
      <c r="GE142" s="67"/>
      <c r="GF142" s="67"/>
      <c r="GG142" s="67"/>
      <c r="GH142" s="67"/>
      <c r="GI142" s="67"/>
      <c r="GJ142" s="67"/>
      <c r="GK142" s="67"/>
      <c r="GL142" s="67"/>
      <c r="GM142" s="67"/>
      <c r="GN142" s="67"/>
      <c r="GO142" s="67"/>
      <c r="GP142" s="67"/>
      <c r="GQ142" s="67"/>
      <c r="GR142" s="67"/>
      <c r="GS142" s="67"/>
      <c r="GT142" s="67"/>
      <c r="GU142" s="67"/>
      <c r="GV142" s="67"/>
      <c r="GW142" s="67"/>
      <c r="GX142" s="67"/>
      <c r="GY142" s="67"/>
      <c r="GZ142" s="67"/>
      <c r="HA142" s="67"/>
      <c r="HB142" s="67"/>
      <c r="HC142" s="67"/>
      <c r="HD142" s="67"/>
      <c r="HE142" s="67"/>
      <c r="HF142" s="67"/>
      <c r="HG142" s="67"/>
      <c r="HH142" s="67"/>
      <c r="HI142" s="67"/>
      <c r="HJ142" s="67"/>
      <c r="HK142" s="67"/>
      <c r="HL142" s="67"/>
      <c r="HM142" s="67"/>
      <c r="HN142" s="67"/>
      <c r="HO142" s="67"/>
      <c r="HP142" s="67"/>
      <c r="HQ142" s="67"/>
      <c r="HR142" s="67"/>
      <c r="HS142" s="67"/>
      <c r="HT142" s="67"/>
      <c r="HU142" s="67"/>
      <c r="HV142" s="67"/>
      <c r="HW142" s="67"/>
      <c r="HX142" s="67"/>
      <c r="HY142" s="67"/>
      <c r="HZ142" s="67"/>
      <c r="IA142" s="67"/>
      <c r="IB142" s="67"/>
      <c r="IC142" s="67"/>
      <c r="ID142" s="67"/>
      <c r="IE142" s="67"/>
      <c r="IF142" s="67"/>
      <c r="IG142" s="67"/>
      <c r="IH142" s="67"/>
      <c r="II142" s="67"/>
      <c r="IJ142" s="67"/>
      <c r="IK142" s="67"/>
      <c r="IL142" s="67"/>
      <c r="IM142" s="67"/>
      <c r="IN142" s="67"/>
      <c r="IO142" s="67"/>
      <c r="IP142" s="67"/>
      <c r="IQ142" s="67"/>
      <c r="IR142" s="67"/>
      <c r="IS142" s="67"/>
      <c r="IT142" s="67"/>
      <c r="IU142" s="67"/>
      <c r="IV142" s="67"/>
      <c r="IW142" s="67"/>
    </row>
    <row r="143" spans="1:257" s="4" customFormat="1" x14ac:dyDescent="0.2">
      <c r="C143" s="73"/>
      <c r="Z143" s="104"/>
      <c r="AA143" s="115"/>
      <c r="AB143" s="116"/>
      <c r="AC143" s="114"/>
      <c r="AD143" s="114"/>
      <c r="AE143" s="114"/>
      <c r="AF143" s="114"/>
      <c r="AG143" s="114"/>
      <c r="AH143" s="67"/>
      <c r="AI143" s="67"/>
      <c r="AJ143" s="67"/>
      <c r="AK143" s="67"/>
      <c r="AL143" s="67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A143" s="67"/>
      <c r="CB143" s="67"/>
      <c r="CC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  <c r="CR143" s="67"/>
      <c r="CS143" s="67"/>
      <c r="CT143" s="67"/>
      <c r="CU143" s="67"/>
      <c r="CV143" s="67"/>
      <c r="CW143" s="67"/>
      <c r="CX143" s="67"/>
      <c r="CY143" s="67"/>
      <c r="CZ143" s="67"/>
      <c r="DA143" s="67"/>
      <c r="DB143" s="67"/>
      <c r="DC143" s="67"/>
      <c r="DD143" s="67"/>
      <c r="DE143" s="67"/>
      <c r="DF143" s="67"/>
      <c r="DG143" s="67"/>
      <c r="DH143" s="67"/>
      <c r="DI143" s="67"/>
      <c r="DJ143" s="67"/>
      <c r="DK143" s="67"/>
      <c r="DL143" s="67"/>
      <c r="DM143" s="67"/>
      <c r="DN143" s="67"/>
      <c r="DO143" s="67"/>
      <c r="DP143" s="67"/>
      <c r="DQ143" s="67"/>
      <c r="DR143" s="67"/>
      <c r="DS143" s="67"/>
      <c r="DT143" s="67"/>
      <c r="DU143" s="67"/>
      <c r="DV143" s="67"/>
      <c r="DW143" s="67"/>
      <c r="DX143" s="67"/>
      <c r="DY143" s="67"/>
      <c r="DZ143" s="67"/>
      <c r="EA143" s="67"/>
      <c r="EB143" s="67"/>
      <c r="EC143" s="67"/>
      <c r="ED143" s="67"/>
      <c r="EE143" s="67"/>
      <c r="EF143" s="67"/>
      <c r="EG143" s="67"/>
      <c r="EH143" s="67"/>
      <c r="EI143" s="67"/>
      <c r="EJ143" s="67"/>
      <c r="EK143" s="67"/>
      <c r="EL143" s="67"/>
      <c r="EM143" s="67"/>
      <c r="EN143" s="67"/>
      <c r="EO143" s="67"/>
      <c r="EP143" s="67"/>
      <c r="EQ143" s="67"/>
      <c r="ER143" s="67"/>
      <c r="ES143" s="67"/>
      <c r="ET143" s="67"/>
      <c r="EU143" s="67"/>
      <c r="EV143" s="67"/>
      <c r="EW143" s="67"/>
      <c r="EX143" s="67"/>
      <c r="EY143" s="67"/>
      <c r="EZ143" s="67"/>
      <c r="FA143" s="67"/>
      <c r="FB143" s="67"/>
      <c r="FC143" s="67"/>
      <c r="FD143" s="67"/>
      <c r="FE143" s="67"/>
      <c r="FF143" s="67"/>
      <c r="FG143" s="67"/>
      <c r="FH143" s="67"/>
      <c r="FI143" s="67"/>
      <c r="FJ143" s="67"/>
      <c r="FK143" s="67"/>
      <c r="FL143" s="67"/>
      <c r="FM143" s="67"/>
      <c r="FN143" s="67"/>
      <c r="FO143" s="67"/>
      <c r="FP143" s="67"/>
      <c r="FQ143" s="67"/>
      <c r="FR143" s="67"/>
      <c r="FS143" s="67"/>
      <c r="FT143" s="67"/>
      <c r="FU143" s="67"/>
      <c r="FV143" s="67"/>
      <c r="FW143" s="67"/>
      <c r="FX143" s="67"/>
      <c r="FY143" s="67"/>
      <c r="FZ143" s="67"/>
      <c r="GA143" s="67"/>
      <c r="GB143" s="67"/>
      <c r="GC143" s="67"/>
      <c r="GD143" s="67"/>
      <c r="GE143" s="67"/>
      <c r="GF143" s="67"/>
      <c r="GG143" s="67"/>
      <c r="GH143" s="67"/>
      <c r="GI143" s="67"/>
      <c r="GJ143" s="67"/>
      <c r="GK143" s="67"/>
      <c r="GL143" s="67"/>
      <c r="GM143" s="67"/>
      <c r="GN143" s="67"/>
      <c r="GO143" s="67"/>
      <c r="GP143" s="67"/>
      <c r="GQ143" s="67"/>
      <c r="GR143" s="67"/>
      <c r="GS143" s="67"/>
      <c r="GT143" s="67"/>
      <c r="GU143" s="67"/>
      <c r="GV143" s="67"/>
      <c r="GW143" s="67"/>
      <c r="GX143" s="67"/>
      <c r="GY143" s="67"/>
      <c r="GZ143" s="67"/>
      <c r="HA143" s="67"/>
      <c r="HB143" s="67"/>
      <c r="HC143" s="67"/>
      <c r="HD143" s="67"/>
      <c r="HE143" s="67"/>
      <c r="HF143" s="67"/>
      <c r="HG143" s="67"/>
      <c r="HH143" s="67"/>
      <c r="HI143" s="67"/>
      <c r="HJ143" s="67"/>
      <c r="HK143" s="67"/>
      <c r="HL143" s="67"/>
      <c r="HM143" s="67"/>
      <c r="HN143" s="67"/>
      <c r="HO143" s="67"/>
      <c r="HP143" s="67"/>
      <c r="HQ143" s="67"/>
      <c r="HR143" s="67"/>
      <c r="HS143" s="67"/>
      <c r="HT143" s="67"/>
      <c r="HU143" s="67"/>
      <c r="HV143" s="67"/>
      <c r="HW143" s="67"/>
      <c r="HX143" s="67"/>
      <c r="HY143" s="67"/>
      <c r="HZ143" s="67"/>
      <c r="IA143" s="67"/>
      <c r="IB143" s="67"/>
      <c r="IC143" s="67"/>
      <c r="ID143" s="67"/>
      <c r="IE143" s="67"/>
      <c r="IF143" s="67"/>
      <c r="IG143" s="67"/>
      <c r="IH143" s="67"/>
      <c r="II143" s="67"/>
      <c r="IJ143" s="67"/>
      <c r="IK143" s="67"/>
      <c r="IL143" s="67"/>
      <c r="IM143" s="67"/>
      <c r="IN143" s="67"/>
      <c r="IO143" s="67"/>
      <c r="IP143" s="67"/>
      <c r="IQ143" s="67"/>
      <c r="IR143" s="67"/>
      <c r="IS143" s="67"/>
      <c r="IT143" s="67"/>
      <c r="IU143" s="67"/>
      <c r="IV143" s="67"/>
      <c r="IW143" s="67"/>
    </row>
    <row r="144" spans="1:257" s="4" customFormat="1" x14ac:dyDescent="0.2">
      <c r="C144" s="73"/>
      <c r="Z144" s="104"/>
      <c r="AA144" s="115"/>
      <c r="AB144" s="116"/>
      <c r="AC144" s="114"/>
      <c r="AD144" s="114"/>
      <c r="AE144" s="114"/>
      <c r="AF144" s="114"/>
      <c r="AG144" s="114"/>
      <c r="AH144" s="67"/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A144" s="67"/>
      <c r="CB144" s="67"/>
      <c r="CC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  <c r="CR144" s="67"/>
      <c r="CS144" s="67"/>
      <c r="CT144" s="67"/>
      <c r="CU144" s="67"/>
      <c r="CV144" s="67"/>
      <c r="CW144" s="67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/>
      <c r="DS144" s="67"/>
      <c r="DT144" s="67"/>
      <c r="DU144" s="67"/>
      <c r="DV144" s="67"/>
      <c r="DW144" s="67"/>
      <c r="DX144" s="67"/>
      <c r="DY144" s="67"/>
      <c r="DZ144" s="67"/>
      <c r="EA144" s="67"/>
      <c r="EB144" s="67"/>
      <c r="EC144" s="67"/>
      <c r="ED144" s="67"/>
      <c r="EE144" s="67"/>
      <c r="EF144" s="67"/>
      <c r="EG144" s="67"/>
      <c r="EH144" s="67"/>
      <c r="EI144" s="67"/>
      <c r="EJ144" s="67"/>
      <c r="EK144" s="67"/>
      <c r="EL144" s="67"/>
      <c r="EM144" s="67"/>
      <c r="EN144" s="67"/>
      <c r="EO144" s="67"/>
      <c r="EP144" s="67"/>
      <c r="EQ144" s="67"/>
      <c r="ER144" s="67"/>
      <c r="ES144" s="67"/>
      <c r="ET144" s="67"/>
      <c r="EU144" s="67"/>
      <c r="EV144" s="67"/>
      <c r="EW144" s="67"/>
      <c r="EX144" s="67"/>
      <c r="EY144" s="67"/>
      <c r="EZ144" s="67"/>
      <c r="FA144" s="67"/>
      <c r="FB144" s="67"/>
      <c r="FC144" s="67"/>
      <c r="FD144" s="67"/>
      <c r="FE144" s="67"/>
      <c r="FF144" s="67"/>
      <c r="FG144" s="67"/>
      <c r="FH144" s="67"/>
      <c r="FI144" s="67"/>
      <c r="FJ144" s="67"/>
      <c r="FK144" s="67"/>
      <c r="FL144" s="67"/>
      <c r="FM144" s="67"/>
      <c r="FN144" s="67"/>
      <c r="FO144" s="67"/>
      <c r="FP144" s="67"/>
      <c r="FQ144" s="67"/>
      <c r="FR144" s="67"/>
      <c r="FS144" s="67"/>
      <c r="FT144" s="67"/>
      <c r="FU144" s="67"/>
      <c r="FV144" s="67"/>
      <c r="FW144" s="67"/>
      <c r="FX144" s="67"/>
      <c r="FY144" s="67"/>
      <c r="FZ144" s="67"/>
      <c r="GA144" s="67"/>
      <c r="GB144" s="67"/>
      <c r="GC144" s="67"/>
      <c r="GD144" s="67"/>
      <c r="GE144" s="67"/>
      <c r="GF144" s="67"/>
      <c r="GG144" s="67"/>
      <c r="GH144" s="67"/>
      <c r="GI144" s="67"/>
      <c r="GJ144" s="67"/>
      <c r="GK144" s="67"/>
      <c r="GL144" s="67"/>
      <c r="GM144" s="67"/>
      <c r="GN144" s="67"/>
      <c r="GO144" s="67"/>
      <c r="GP144" s="67"/>
      <c r="GQ144" s="67"/>
      <c r="GR144" s="67"/>
      <c r="GS144" s="67"/>
      <c r="GT144" s="67"/>
      <c r="GU144" s="67"/>
      <c r="GV144" s="67"/>
      <c r="GW144" s="67"/>
      <c r="GX144" s="67"/>
      <c r="GY144" s="67"/>
      <c r="GZ144" s="67"/>
      <c r="HA144" s="67"/>
      <c r="HB144" s="67"/>
      <c r="HC144" s="67"/>
      <c r="HD144" s="67"/>
      <c r="HE144" s="67"/>
      <c r="HF144" s="67"/>
      <c r="HG144" s="67"/>
      <c r="HH144" s="67"/>
      <c r="HI144" s="67"/>
      <c r="HJ144" s="67"/>
      <c r="HK144" s="67"/>
      <c r="HL144" s="67"/>
      <c r="HM144" s="67"/>
      <c r="HN144" s="67"/>
      <c r="HO144" s="67"/>
      <c r="HP144" s="67"/>
      <c r="HQ144" s="67"/>
      <c r="HR144" s="67"/>
      <c r="HS144" s="67"/>
      <c r="HT144" s="67"/>
      <c r="HU144" s="67"/>
      <c r="HV144" s="67"/>
      <c r="HW144" s="67"/>
      <c r="HX144" s="67"/>
      <c r="HY144" s="67"/>
      <c r="HZ144" s="67"/>
      <c r="IA144" s="67"/>
      <c r="IB144" s="67"/>
      <c r="IC144" s="67"/>
      <c r="ID144" s="67"/>
      <c r="IE144" s="67"/>
      <c r="IF144" s="67"/>
      <c r="IG144" s="67"/>
      <c r="IH144" s="67"/>
      <c r="II144" s="67"/>
      <c r="IJ144" s="67"/>
      <c r="IK144" s="67"/>
      <c r="IL144" s="67"/>
      <c r="IM144" s="67"/>
      <c r="IN144" s="67"/>
      <c r="IO144" s="67"/>
      <c r="IP144" s="67"/>
      <c r="IQ144" s="67"/>
      <c r="IR144" s="67"/>
      <c r="IS144" s="67"/>
      <c r="IT144" s="67"/>
      <c r="IU144" s="67"/>
      <c r="IV144" s="67"/>
      <c r="IW144" s="67"/>
    </row>
    <row r="145" spans="3:257" s="4" customFormat="1" x14ac:dyDescent="0.2">
      <c r="C145" s="73"/>
      <c r="Z145" s="104"/>
      <c r="AA145" s="115"/>
      <c r="AB145" s="116"/>
      <c r="AC145" s="114"/>
      <c r="AD145" s="114"/>
      <c r="AE145" s="114"/>
      <c r="AF145" s="114"/>
      <c r="AG145" s="114"/>
      <c r="AH145" s="67"/>
      <c r="AI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  <c r="CR145" s="67"/>
      <c r="CS145" s="67"/>
      <c r="CT145" s="67"/>
      <c r="CU145" s="67"/>
      <c r="CV145" s="67"/>
      <c r="CW145" s="67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/>
      <c r="DS145" s="67"/>
      <c r="DT145" s="67"/>
      <c r="DU145" s="67"/>
      <c r="DV145" s="67"/>
      <c r="DW145" s="67"/>
      <c r="DX145" s="67"/>
      <c r="DY145" s="67"/>
      <c r="DZ145" s="67"/>
      <c r="EA145" s="67"/>
      <c r="EB145" s="67"/>
      <c r="EC145" s="67"/>
      <c r="ED145" s="67"/>
      <c r="EE145" s="67"/>
      <c r="EF145" s="67"/>
      <c r="EG145" s="67"/>
      <c r="EH145" s="67"/>
      <c r="EI145" s="67"/>
      <c r="EJ145" s="67"/>
      <c r="EK145" s="67"/>
      <c r="EL145" s="67"/>
      <c r="EM145" s="67"/>
      <c r="EN145" s="67"/>
      <c r="EO145" s="67"/>
      <c r="EP145" s="67"/>
      <c r="EQ145" s="67"/>
      <c r="ER145" s="67"/>
      <c r="ES145" s="67"/>
      <c r="ET145" s="67"/>
      <c r="EU145" s="67"/>
      <c r="EV145" s="67"/>
      <c r="EW145" s="67"/>
      <c r="EX145" s="67"/>
      <c r="EY145" s="67"/>
      <c r="EZ145" s="67"/>
      <c r="FA145" s="67"/>
      <c r="FB145" s="67"/>
      <c r="FC145" s="67"/>
      <c r="FD145" s="67"/>
      <c r="FE145" s="67"/>
      <c r="FF145" s="67"/>
      <c r="FG145" s="67"/>
      <c r="FH145" s="67"/>
      <c r="FI145" s="67"/>
      <c r="FJ145" s="67"/>
      <c r="FK145" s="67"/>
      <c r="FL145" s="67"/>
      <c r="FM145" s="67"/>
      <c r="FN145" s="67"/>
      <c r="FO145" s="67"/>
      <c r="FP145" s="67"/>
      <c r="FQ145" s="67"/>
      <c r="FR145" s="67"/>
      <c r="FS145" s="67"/>
      <c r="FT145" s="67"/>
      <c r="FU145" s="67"/>
      <c r="FV145" s="67"/>
      <c r="FW145" s="67"/>
      <c r="FX145" s="67"/>
      <c r="FY145" s="67"/>
      <c r="FZ145" s="67"/>
      <c r="GA145" s="67"/>
      <c r="GB145" s="67"/>
      <c r="GC145" s="67"/>
      <c r="GD145" s="67"/>
      <c r="GE145" s="67"/>
      <c r="GF145" s="67"/>
      <c r="GG145" s="67"/>
      <c r="GH145" s="67"/>
      <c r="GI145" s="67"/>
      <c r="GJ145" s="67"/>
      <c r="GK145" s="67"/>
      <c r="GL145" s="67"/>
      <c r="GM145" s="67"/>
      <c r="GN145" s="67"/>
      <c r="GO145" s="67"/>
      <c r="GP145" s="67"/>
      <c r="GQ145" s="67"/>
      <c r="GR145" s="67"/>
      <c r="GS145" s="67"/>
      <c r="GT145" s="67"/>
      <c r="GU145" s="67"/>
      <c r="GV145" s="67"/>
      <c r="GW145" s="67"/>
      <c r="GX145" s="67"/>
      <c r="GY145" s="67"/>
      <c r="GZ145" s="67"/>
      <c r="HA145" s="67"/>
      <c r="HB145" s="67"/>
      <c r="HC145" s="67"/>
      <c r="HD145" s="67"/>
      <c r="HE145" s="67"/>
      <c r="HF145" s="67"/>
      <c r="HG145" s="67"/>
      <c r="HH145" s="67"/>
      <c r="HI145" s="67"/>
      <c r="HJ145" s="67"/>
      <c r="HK145" s="67"/>
      <c r="HL145" s="67"/>
      <c r="HM145" s="67"/>
      <c r="HN145" s="67"/>
      <c r="HO145" s="67"/>
      <c r="HP145" s="67"/>
      <c r="HQ145" s="67"/>
      <c r="HR145" s="67"/>
      <c r="HS145" s="67"/>
      <c r="HT145" s="67"/>
      <c r="HU145" s="67"/>
      <c r="HV145" s="67"/>
      <c r="HW145" s="67"/>
      <c r="HX145" s="67"/>
      <c r="HY145" s="67"/>
      <c r="HZ145" s="67"/>
      <c r="IA145" s="67"/>
      <c r="IB145" s="67"/>
      <c r="IC145" s="67"/>
      <c r="ID145" s="67"/>
      <c r="IE145" s="67"/>
      <c r="IF145" s="67"/>
      <c r="IG145" s="67"/>
      <c r="IH145" s="67"/>
      <c r="II145" s="67"/>
      <c r="IJ145" s="67"/>
      <c r="IK145" s="67"/>
      <c r="IL145" s="67"/>
      <c r="IM145" s="67"/>
      <c r="IN145" s="67"/>
      <c r="IO145" s="67"/>
      <c r="IP145" s="67"/>
      <c r="IQ145" s="67"/>
      <c r="IR145" s="67"/>
      <c r="IS145" s="67"/>
      <c r="IT145" s="67"/>
      <c r="IU145" s="67"/>
      <c r="IV145" s="67"/>
      <c r="IW145" s="67"/>
    </row>
    <row r="146" spans="3:257" s="4" customFormat="1" x14ac:dyDescent="0.2">
      <c r="C146" s="73"/>
      <c r="Z146" s="104"/>
      <c r="AA146" s="115"/>
      <c r="AB146" s="116"/>
      <c r="AC146" s="114"/>
      <c r="AD146" s="114"/>
      <c r="AE146" s="114"/>
      <c r="AF146" s="114"/>
      <c r="AG146" s="114"/>
      <c r="AH146" s="67"/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  <c r="CR146" s="67"/>
      <c r="CS146" s="67"/>
      <c r="CT146" s="67"/>
      <c r="CU146" s="67"/>
      <c r="CV146" s="67"/>
      <c r="CW146" s="67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/>
      <c r="DS146" s="67"/>
      <c r="DT146" s="67"/>
      <c r="DU146" s="67"/>
      <c r="DV146" s="67"/>
      <c r="DW146" s="67"/>
      <c r="DX146" s="67"/>
      <c r="DY146" s="67"/>
      <c r="DZ146" s="67"/>
      <c r="EA146" s="67"/>
      <c r="EB146" s="67"/>
      <c r="EC146" s="67"/>
      <c r="ED146" s="67"/>
      <c r="EE146" s="67"/>
      <c r="EF146" s="67"/>
      <c r="EG146" s="67"/>
      <c r="EH146" s="67"/>
      <c r="EI146" s="67"/>
      <c r="EJ146" s="67"/>
      <c r="EK146" s="67"/>
      <c r="EL146" s="67"/>
      <c r="EM146" s="67"/>
      <c r="EN146" s="67"/>
      <c r="EO146" s="67"/>
      <c r="EP146" s="67"/>
      <c r="EQ146" s="67"/>
      <c r="ER146" s="67"/>
      <c r="ES146" s="67"/>
      <c r="ET146" s="67"/>
      <c r="EU146" s="67"/>
      <c r="EV146" s="67"/>
      <c r="EW146" s="67"/>
      <c r="EX146" s="67"/>
      <c r="EY146" s="67"/>
      <c r="EZ146" s="67"/>
      <c r="FA146" s="67"/>
      <c r="FB146" s="67"/>
      <c r="FC146" s="67"/>
      <c r="FD146" s="67"/>
      <c r="FE146" s="67"/>
      <c r="FF146" s="67"/>
      <c r="FG146" s="67"/>
      <c r="FH146" s="67"/>
      <c r="FI146" s="67"/>
      <c r="FJ146" s="67"/>
      <c r="FK146" s="67"/>
      <c r="FL146" s="67"/>
      <c r="FM146" s="67"/>
      <c r="FN146" s="67"/>
      <c r="FO146" s="67"/>
      <c r="FP146" s="67"/>
      <c r="FQ146" s="67"/>
      <c r="FR146" s="67"/>
      <c r="FS146" s="67"/>
      <c r="FT146" s="67"/>
      <c r="FU146" s="67"/>
      <c r="FV146" s="67"/>
      <c r="FW146" s="67"/>
      <c r="FX146" s="67"/>
      <c r="FY146" s="67"/>
      <c r="FZ146" s="67"/>
      <c r="GA146" s="67"/>
      <c r="GB146" s="67"/>
      <c r="GC146" s="67"/>
      <c r="GD146" s="67"/>
      <c r="GE146" s="67"/>
      <c r="GF146" s="67"/>
      <c r="GG146" s="67"/>
      <c r="GH146" s="67"/>
      <c r="GI146" s="67"/>
      <c r="GJ146" s="67"/>
      <c r="GK146" s="67"/>
      <c r="GL146" s="67"/>
      <c r="GM146" s="67"/>
      <c r="GN146" s="67"/>
      <c r="GO146" s="67"/>
      <c r="GP146" s="67"/>
      <c r="GQ146" s="67"/>
      <c r="GR146" s="67"/>
      <c r="GS146" s="67"/>
      <c r="GT146" s="67"/>
      <c r="GU146" s="67"/>
      <c r="GV146" s="67"/>
      <c r="GW146" s="67"/>
      <c r="GX146" s="67"/>
      <c r="GY146" s="67"/>
      <c r="GZ146" s="67"/>
      <c r="HA146" s="67"/>
      <c r="HB146" s="67"/>
      <c r="HC146" s="67"/>
      <c r="HD146" s="67"/>
      <c r="HE146" s="67"/>
      <c r="HF146" s="67"/>
      <c r="HG146" s="67"/>
      <c r="HH146" s="67"/>
      <c r="HI146" s="67"/>
      <c r="HJ146" s="67"/>
      <c r="HK146" s="67"/>
      <c r="HL146" s="67"/>
      <c r="HM146" s="67"/>
      <c r="HN146" s="67"/>
      <c r="HO146" s="67"/>
      <c r="HP146" s="67"/>
      <c r="HQ146" s="67"/>
      <c r="HR146" s="67"/>
      <c r="HS146" s="67"/>
      <c r="HT146" s="67"/>
      <c r="HU146" s="67"/>
      <c r="HV146" s="67"/>
      <c r="HW146" s="67"/>
      <c r="HX146" s="67"/>
      <c r="HY146" s="67"/>
      <c r="HZ146" s="67"/>
      <c r="IA146" s="67"/>
      <c r="IB146" s="67"/>
      <c r="IC146" s="67"/>
      <c r="ID146" s="67"/>
      <c r="IE146" s="67"/>
      <c r="IF146" s="67"/>
      <c r="IG146" s="67"/>
      <c r="IH146" s="67"/>
      <c r="II146" s="67"/>
      <c r="IJ146" s="67"/>
      <c r="IK146" s="67"/>
      <c r="IL146" s="67"/>
      <c r="IM146" s="67"/>
      <c r="IN146" s="67"/>
      <c r="IO146" s="67"/>
      <c r="IP146" s="67"/>
      <c r="IQ146" s="67"/>
      <c r="IR146" s="67"/>
      <c r="IS146" s="67"/>
      <c r="IT146" s="67"/>
      <c r="IU146" s="67"/>
      <c r="IV146" s="67"/>
      <c r="IW146" s="67"/>
    </row>
    <row r="147" spans="3:257" s="4" customFormat="1" x14ac:dyDescent="0.2">
      <c r="C147" s="73"/>
      <c r="Z147" s="104"/>
      <c r="AA147" s="115"/>
      <c r="AB147" s="116"/>
      <c r="AC147" s="114"/>
      <c r="AD147" s="114"/>
      <c r="AE147" s="114"/>
      <c r="AF147" s="114"/>
      <c r="AG147" s="114"/>
      <c r="AH147" s="67"/>
      <c r="AI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A147" s="67"/>
      <c r="CB147" s="67"/>
      <c r="CC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  <c r="CR147" s="67"/>
      <c r="CS147" s="67"/>
      <c r="CT147" s="67"/>
      <c r="CU147" s="67"/>
      <c r="CV147" s="67"/>
      <c r="CW147" s="67"/>
      <c r="CX147" s="67"/>
      <c r="CY147" s="67"/>
      <c r="CZ147" s="67"/>
      <c r="DA147" s="67"/>
      <c r="DB147" s="67"/>
      <c r="DC147" s="67"/>
      <c r="DD147" s="67"/>
      <c r="DE147" s="67"/>
      <c r="DF147" s="67"/>
      <c r="DG147" s="67"/>
      <c r="DH147" s="67"/>
      <c r="DI147" s="67"/>
      <c r="DJ147" s="67"/>
      <c r="DK147" s="67"/>
      <c r="DL147" s="67"/>
      <c r="DM147" s="67"/>
      <c r="DN147" s="67"/>
      <c r="DO147" s="67"/>
      <c r="DP147" s="67"/>
      <c r="DQ147" s="67"/>
      <c r="DR147" s="67"/>
      <c r="DS147" s="67"/>
      <c r="DT147" s="67"/>
      <c r="DU147" s="67"/>
      <c r="DV147" s="67"/>
      <c r="DW147" s="67"/>
      <c r="DX147" s="67"/>
      <c r="DY147" s="67"/>
      <c r="DZ147" s="67"/>
      <c r="EA147" s="67"/>
      <c r="EB147" s="67"/>
      <c r="EC147" s="67"/>
      <c r="ED147" s="67"/>
      <c r="EE147" s="67"/>
      <c r="EF147" s="67"/>
      <c r="EG147" s="67"/>
      <c r="EH147" s="67"/>
      <c r="EI147" s="67"/>
      <c r="EJ147" s="67"/>
      <c r="EK147" s="67"/>
      <c r="EL147" s="67"/>
      <c r="EM147" s="67"/>
      <c r="EN147" s="67"/>
      <c r="EO147" s="67"/>
      <c r="EP147" s="67"/>
      <c r="EQ147" s="67"/>
      <c r="ER147" s="67"/>
      <c r="ES147" s="67"/>
      <c r="ET147" s="67"/>
      <c r="EU147" s="67"/>
      <c r="EV147" s="67"/>
      <c r="EW147" s="67"/>
      <c r="EX147" s="67"/>
      <c r="EY147" s="67"/>
      <c r="EZ147" s="67"/>
      <c r="FA147" s="67"/>
      <c r="FB147" s="67"/>
      <c r="FC147" s="67"/>
      <c r="FD147" s="67"/>
      <c r="FE147" s="67"/>
      <c r="FF147" s="67"/>
      <c r="FG147" s="67"/>
      <c r="FH147" s="67"/>
      <c r="FI147" s="67"/>
      <c r="FJ147" s="67"/>
      <c r="FK147" s="67"/>
      <c r="FL147" s="67"/>
      <c r="FM147" s="67"/>
      <c r="FN147" s="67"/>
      <c r="FO147" s="67"/>
      <c r="FP147" s="67"/>
      <c r="FQ147" s="67"/>
      <c r="FR147" s="67"/>
      <c r="FS147" s="67"/>
      <c r="FT147" s="67"/>
      <c r="FU147" s="67"/>
      <c r="FV147" s="67"/>
      <c r="FW147" s="67"/>
      <c r="FX147" s="67"/>
      <c r="FY147" s="67"/>
      <c r="FZ147" s="67"/>
      <c r="GA147" s="67"/>
      <c r="GB147" s="67"/>
      <c r="GC147" s="67"/>
      <c r="GD147" s="67"/>
      <c r="GE147" s="67"/>
      <c r="GF147" s="67"/>
      <c r="GG147" s="67"/>
      <c r="GH147" s="67"/>
      <c r="GI147" s="67"/>
      <c r="GJ147" s="67"/>
      <c r="GK147" s="67"/>
      <c r="GL147" s="67"/>
      <c r="GM147" s="67"/>
      <c r="GN147" s="67"/>
      <c r="GO147" s="67"/>
      <c r="GP147" s="67"/>
      <c r="GQ147" s="67"/>
      <c r="GR147" s="67"/>
      <c r="GS147" s="67"/>
      <c r="GT147" s="67"/>
      <c r="GU147" s="67"/>
      <c r="GV147" s="67"/>
      <c r="GW147" s="67"/>
      <c r="GX147" s="67"/>
      <c r="GY147" s="67"/>
      <c r="GZ147" s="67"/>
      <c r="HA147" s="67"/>
      <c r="HB147" s="67"/>
      <c r="HC147" s="67"/>
      <c r="HD147" s="67"/>
      <c r="HE147" s="67"/>
      <c r="HF147" s="67"/>
      <c r="HG147" s="67"/>
      <c r="HH147" s="67"/>
      <c r="HI147" s="67"/>
      <c r="HJ147" s="67"/>
      <c r="HK147" s="67"/>
      <c r="HL147" s="67"/>
      <c r="HM147" s="67"/>
      <c r="HN147" s="67"/>
      <c r="HO147" s="67"/>
      <c r="HP147" s="67"/>
      <c r="HQ147" s="67"/>
      <c r="HR147" s="67"/>
      <c r="HS147" s="67"/>
      <c r="HT147" s="67"/>
      <c r="HU147" s="67"/>
      <c r="HV147" s="67"/>
      <c r="HW147" s="67"/>
      <c r="HX147" s="67"/>
      <c r="HY147" s="67"/>
      <c r="HZ147" s="67"/>
      <c r="IA147" s="67"/>
      <c r="IB147" s="67"/>
      <c r="IC147" s="67"/>
      <c r="ID147" s="67"/>
      <c r="IE147" s="67"/>
      <c r="IF147" s="67"/>
      <c r="IG147" s="67"/>
      <c r="IH147" s="67"/>
      <c r="II147" s="67"/>
      <c r="IJ147" s="67"/>
      <c r="IK147" s="67"/>
      <c r="IL147" s="67"/>
      <c r="IM147" s="67"/>
      <c r="IN147" s="67"/>
      <c r="IO147" s="67"/>
      <c r="IP147" s="67"/>
      <c r="IQ147" s="67"/>
      <c r="IR147" s="67"/>
      <c r="IS147" s="67"/>
      <c r="IT147" s="67"/>
      <c r="IU147" s="67"/>
      <c r="IV147" s="67"/>
      <c r="IW147" s="67"/>
    </row>
    <row r="148" spans="3:257" s="4" customFormat="1" x14ac:dyDescent="0.2">
      <c r="C148" s="73"/>
      <c r="Z148" s="104"/>
      <c r="AA148" s="115"/>
      <c r="AB148" s="116"/>
      <c r="AC148" s="114"/>
      <c r="AD148" s="114"/>
      <c r="AE148" s="114"/>
      <c r="AF148" s="114"/>
      <c r="AG148" s="114"/>
      <c r="AH148" s="67"/>
      <c r="AI148" s="67"/>
      <c r="AJ148" s="67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  <c r="BI148" s="67"/>
      <c r="BJ148" s="67"/>
      <c r="BK148" s="67"/>
      <c r="BL148" s="67"/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A148" s="67"/>
      <c r="CB148" s="67"/>
      <c r="CC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  <c r="CR148" s="67"/>
      <c r="CS148" s="67"/>
      <c r="CT148" s="67"/>
      <c r="CU148" s="67"/>
      <c r="CV148" s="67"/>
      <c r="CW148" s="67"/>
      <c r="CX148" s="67"/>
      <c r="CY148" s="67"/>
      <c r="CZ148" s="67"/>
      <c r="DA148" s="67"/>
      <c r="DB148" s="67"/>
      <c r="DC148" s="67"/>
      <c r="DD148" s="67"/>
      <c r="DE148" s="67"/>
      <c r="DF148" s="67"/>
      <c r="DG148" s="67"/>
      <c r="DH148" s="67"/>
      <c r="DI148" s="67"/>
      <c r="DJ148" s="67"/>
      <c r="DK148" s="67"/>
      <c r="DL148" s="67"/>
      <c r="DM148" s="67"/>
      <c r="DN148" s="67"/>
      <c r="DO148" s="67"/>
      <c r="DP148" s="67"/>
      <c r="DQ148" s="67"/>
      <c r="DR148" s="67"/>
      <c r="DS148" s="67"/>
      <c r="DT148" s="67"/>
      <c r="DU148" s="67"/>
      <c r="DV148" s="67"/>
      <c r="DW148" s="67"/>
      <c r="DX148" s="67"/>
      <c r="DY148" s="67"/>
      <c r="DZ148" s="67"/>
      <c r="EA148" s="67"/>
      <c r="EB148" s="67"/>
      <c r="EC148" s="67"/>
      <c r="ED148" s="67"/>
      <c r="EE148" s="67"/>
      <c r="EF148" s="67"/>
      <c r="EG148" s="67"/>
      <c r="EH148" s="67"/>
      <c r="EI148" s="67"/>
      <c r="EJ148" s="67"/>
      <c r="EK148" s="67"/>
      <c r="EL148" s="67"/>
      <c r="EM148" s="67"/>
      <c r="EN148" s="67"/>
      <c r="EO148" s="67"/>
      <c r="EP148" s="67"/>
      <c r="EQ148" s="67"/>
      <c r="ER148" s="67"/>
      <c r="ES148" s="67"/>
      <c r="ET148" s="67"/>
      <c r="EU148" s="67"/>
      <c r="EV148" s="67"/>
      <c r="EW148" s="67"/>
      <c r="EX148" s="67"/>
      <c r="EY148" s="67"/>
      <c r="EZ148" s="67"/>
      <c r="FA148" s="67"/>
      <c r="FB148" s="67"/>
      <c r="FC148" s="67"/>
      <c r="FD148" s="67"/>
      <c r="FE148" s="67"/>
      <c r="FF148" s="67"/>
      <c r="FG148" s="67"/>
      <c r="FH148" s="67"/>
      <c r="FI148" s="67"/>
      <c r="FJ148" s="67"/>
      <c r="FK148" s="67"/>
      <c r="FL148" s="67"/>
      <c r="FM148" s="67"/>
      <c r="FN148" s="67"/>
      <c r="FO148" s="67"/>
      <c r="FP148" s="67"/>
      <c r="FQ148" s="67"/>
      <c r="FR148" s="67"/>
      <c r="FS148" s="67"/>
      <c r="FT148" s="67"/>
      <c r="FU148" s="67"/>
      <c r="FV148" s="67"/>
      <c r="FW148" s="67"/>
      <c r="FX148" s="67"/>
      <c r="FY148" s="67"/>
      <c r="FZ148" s="67"/>
      <c r="GA148" s="67"/>
      <c r="GB148" s="67"/>
      <c r="GC148" s="67"/>
      <c r="GD148" s="67"/>
      <c r="GE148" s="67"/>
      <c r="GF148" s="67"/>
      <c r="GG148" s="67"/>
      <c r="GH148" s="67"/>
      <c r="GI148" s="67"/>
      <c r="GJ148" s="67"/>
      <c r="GK148" s="67"/>
      <c r="GL148" s="67"/>
      <c r="GM148" s="67"/>
      <c r="GN148" s="67"/>
      <c r="GO148" s="67"/>
      <c r="GP148" s="67"/>
      <c r="GQ148" s="67"/>
      <c r="GR148" s="67"/>
      <c r="GS148" s="67"/>
      <c r="GT148" s="67"/>
      <c r="GU148" s="67"/>
      <c r="GV148" s="67"/>
      <c r="GW148" s="67"/>
      <c r="GX148" s="67"/>
      <c r="GY148" s="67"/>
      <c r="GZ148" s="67"/>
      <c r="HA148" s="67"/>
      <c r="HB148" s="67"/>
      <c r="HC148" s="67"/>
      <c r="HD148" s="67"/>
      <c r="HE148" s="67"/>
      <c r="HF148" s="67"/>
      <c r="HG148" s="67"/>
      <c r="HH148" s="67"/>
      <c r="HI148" s="67"/>
      <c r="HJ148" s="67"/>
      <c r="HK148" s="67"/>
      <c r="HL148" s="67"/>
      <c r="HM148" s="67"/>
      <c r="HN148" s="67"/>
      <c r="HO148" s="67"/>
      <c r="HP148" s="67"/>
      <c r="HQ148" s="67"/>
      <c r="HR148" s="67"/>
      <c r="HS148" s="67"/>
      <c r="HT148" s="67"/>
      <c r="HU148" s="67"/>
      <c r="HV148" s="67"/>
      <c r="HW148" s="67"/>
      <c r="HX148" s="67"/>
      <c r="HY148" s="67"/>
      <c r="HZ148" s="67"/>
      <c r="IA148" s="67"/>
      <c r="IB148" s="67"/>
      <c r="IC148" s="67"/>
      <c r="ID148" s="67"/>
      <c r="IE148" s="67"/>
      <c r="IF148" s="67"/>
      <c r="IG148" s="67"/>
      <c r="IH148" s="67"/>
      <c r="II148" s="67"/>
      <c r="IJ148" s="67"/>
      <c r="IK148" s="67"/>
      <c r="IL148" s="67"/>
      <c r="IM148" s="67"/>
      <c r="IN148" s="67"/>
      <c r="IO148" s="67"/>
      <c r="IP148" s="67"/>
      <c r="IQ148" s="67"/>
      <c r="IR148" s="67"/>
      <c r="IS148" s="67"/>
      <c r="IT148" s="67"/>
      <c r="IU148" s="67"/>
      <c r="IV148" s="67"/>
      <c r="IW148" s="67"/>
    </row>
    <row r="149" spans="3:257" s="4" customFormat="1" x14ac:dyDescent="0.2">
      <c r="C149" s="73"/>
      <c r="Z149" s="104"/>
      <c r="AA149" s="115"/>
      <c r="AB149" s="116"/>
      <c r="AC149" s="114"/>
      <c r="AD149" s="114"/>
      <c r="AE149" s="114"/>
      <c r="AF149" s="114"/>
      <c r="AG149" s="114"/>
      <c r="AH149" s="67"/>
      <c r="AI149" s="67"/>
      <c r="AJ149" s="67"/>
      <c r="AK149" s="67"/>
      <c r="AL149" s="67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  <c r="BI149" s="67"/>
      <c r="BJ149" s="67"/>
      <c r="BK149" s="67"/>
      <c r="BL149" s="67"/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A149" s="67"/>
      <c r="CB149" s="67"/>
      <c r="CC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  <c r="CR149" s="67"/>
      <c r="CS149" s="67"/>
      <c r="CT149" s="67"/>
      <c r="CU149" s="67"/>
      <c r="CV149" s="67"/>
      <c r="CW149" s="67"/>
      <c r="CX149" s="67"/>
      <c r="CY149" s="67"/>
      <c r="CZ149" s="67"/>
      <c r="DA149" s="67"/>
      <c r="DB149" s="67"/>
      <c r="DC149" s="67"/>
      <c r="DD149" s="67"/>
      <c r="DE149" s="67"/>
      <c r="DF149" s="67"/>
      <c r="DG149" s="67"/>
      <c r="DH149" s="67"/>
      <c r="DI149" s="67"/>
      <c r="DJ149" s="67"/>
      <c r="DK149" s="67"/>
      <c r="DL149" s="67"/>
      <c r="DM149" s="67"/>
      <c r="DN149" s="67"/>
      <c r="DO149" s="67"/>
      <c r="DP149" s="67"/>
      <c r="DQ149" s="67"/>
      <c r="DR149" s="67"/>
      <c r="DS149" s="67"/>
      <c r="DT149" s="67"/>
      <c r="DU149" s="67"/>
      <c r="DV149" s="67"/>
      <c r="DW149" s="67"/>
      <c r="DX149" s="67"/>
      <c r="DY149" s="67"/>
      <c r="DZ149" s="67"/>
      <c r="EA149" s="67"/>
      <c r="EB149" s="67"/>
      <c r="EC149" s="67"/>
      <c r="ED149" s="67"/>
      <c r="EE149" s="67"/>
      <c r="EF149" s="67"/>
      <c r="EG149" s="67"/>
      <c r="EH149" s="67"/>
      <c r="EI149" s="67"/>
      <c r="EJ149" s="67"/>
      <c r="EK149" s="67"/>
      <c r="EL149" s="67"/>
      <c r="EM149" s="67"/>
      <c r="EN149" s="67"/>
      <c r="EO149" s="67"/>
      <c r="EP149" s="67"/>
      <c r="EQ149" s="67"/>
      <c r="ER149" s="67"/>
      <c r="ES149" s="67"/>
      <c r="ET149" s="67"/>
      <c r="EU149" s="67"/>
      <c r="EV149" s="67"/>
      <c r="EW149" s="67"/>
      <c r="EX149" s="67"/>
      <c r="EY149" s="67"/>
      <c r="EZ149" s="67"/>
      <c r="FA149" s="67"/>
      <c r="FB149" s="67"/>
      <c r="FC149" s="67"/>
      <c r="FD149" s="67"/>
      <c r="FE149" s="67"/>
      <c r="FF149" s="67"/>
      <c r="FG149" s="67"/>
      <c r="FH149" s="67"/>
      <c r="FI149" s="67"/>
      <c r="FJ149" s="67"/>
      <c r="FK149" s="67"/>
      <c r="FL149" s="67"/>
      <c r="FM149" s="67"/>
      <c r="FN149" s="67"/>
      <c r="FO149" s="67"/>
      <c r="FP149" s="67"/>
      <c r="FQ149" s="67"/>
      <c r="FR149" s="67"/>
      <c r="FS149" s="67"/>
      <c r="FT149" s="67"/>
      <c r="FU149" s="67"/>
      <c r="FV149" s="67"/>
      <c r="FW149" s="67"/>
      <c r="FX149" s="67"/>
      <c r="FY149" s="67"/>
      <c r="FZ149" s="67"/>
      <c r="GA149" s="67"/>
      <c r="GB149" s="67"/>
      <c r="GC149" s="67"/>
      <c r="GD149" s="67"/>
      <c r="GE149" s="67"/>
      <c r="GF149" s="67"/>
      <c r="GG149" s="67"/>
      <c r="GH149" s="67"/>
      <c r="GI149" s="67"/>
      <c r="GJ149" s="67"/>
      <c r="GK149" s="67"/>
      <c r="GL149" s="67"/>
      <c r="GM149" s="67"/>
      <c r="GN149" s="67"/>
      <c r="GO149" s="67"/>
      <c r="GP149" s="67"/>
      <c r="GQ149" s="67"/>
      <c r="GR149" s="67"/>
      <c r="GS149" s="67"/>
      <c r="GT149" s="67"/>
      <c r="GU149" s="67"/>
      <c r="GV149" s="67"/>
      <c r="GW149" s="67"/>
      <c r="GX149" s="67"/>
      <c r="GY149" s="67"/>
      <c r="GZ149" s="67"/>
      <c r="HA149" s="67"/>
      <c r="HB149" s="67"/>
      <c r="HC149" s="67"/>
      <c r="HD149" s="67"/>
      <c r="HE149" s="67"/>
      <c r="HF149" s="67"/>
      <c r="HG149" s="67"/>
      <c r="HH149" s="67"/>
      <c r="HI149" s="67"/>
      <c r="HJ149" s="67"/>
      <c r="HK149" s="67"/>
      <c r="HL149" s="67"/>
      <c r="HM149" s="67"/>
      <c r="HN149" s="67"/>
      <c r="HO149" s="67"/>
      <c r="HP149" s="67"/>
      <c r="HQ149" s="67"/>
      <c r="HR149" s="67"/>
      <c r="HS149" s="67"/>
      <c r="HT149" s="67"/>
      <c r="HU149" s="67"/>
      <c r="HV149" s="67"/>
      <c r="HW149" s="67"/>
      <c r="HX149" s="67"/>
      <c r="HY149" s="67"/>
      <c r="HZ149" s="67"/>
      <c r="IA149" s="67"/>
      <c r="IB149" s="67"/>
      <c r="IC149" s="67"/>
      <c r="ID149" s="67"/>
      <c r="IE149" s="67"/>
      <c r="IF149" s="67"/>
      <c r="IG149" s="67"/>
      <c r="IH149" s="67"/>
      <c r="II149" s="67"/>
      <c r="IJ149" s="67"/>
      <c r="IK149" s="67"/>
      <c r="IL149" s="67"/>
      <c r="IM149" s="67"/>
      <c r="IN149" s="67"/>
      <c r="IO149" s="67"/>
      <c r="IP149" s="67"/>
      <c r="IQ149" s="67"/>
      <c r="IR149" s="67"/>
      <c r="IS149" s="67"/>
      <c r="IT149" s="67"/>
      <c r="IU149" s="67"/>
      <c r="IV149" s="67"/>
      <c r="IW149" s="67"/>
    </row>
    <row r="150" spans="3:257" s="4" customFormat="1" x14ac:dyDescent="0.2">
      <c r="C150" s="73"/>
      <c r="Z150" s="104"/>
      <c r="AA150" s="115"/>
      <c r="AB150" s="116"/>
      <c r="AC150" s="114"/>
      <c r="AD150" s="114"/>
      <c r="AE150" s="114"/>
      <c r="AF150" s="114"/>
      <c r="AG150" s="114"/>
      <c r="AH150" s="67"/>
      <c r="AI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A150" s="67"/>
      <c r="CB150" s="67"/>
      <c r="CC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  <c r="CR150" s="67"/>
      <c r="CS150" s="67"/>
      <c r="CT150" s="67"/>
      <c r="CU150" s="67"/>
      <c r="CV150" s="67"/>
      <c r="CW150" s="67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/>
      <c r="DS150" s="67"/>
      <c r="DT150" s="67"/>
      <c r="DU150" s="67"/>
      <c r="DV150" s="67"/>
      <c r="DW150" s="67"/>
      <c r="DX150" s="67"/>
      <c r="DY150" s="67"/>
      <c r="DZ150" s="67"/>
      <c r="EA150" s="67"/>
      <c r="EB150" s="67"/>
      <c r="EC150" s="67"/>
      <c r="ED150" s="67"/>
      <c r="EE150" s="67"/>
      <c r="EF150" s="67"/>
      <c r="EG150" s="67"/>
      <c r="EH150" s="67"/>
      <c r="EI150" s="67"/>
      <c r="EJ150" s="67"/>
      <c r="EK150" s="67"/>
      <c r="EL150" s="67"/>
      <c r="EM150" s="67"/>
      <c r="EN150" s="67"/>
      <c r="EO150" s="67"/>
      <c r="EP150" s="67"/>
      <c r="EQ150" s="67"/>
      <c r="ER150" s="67"/>
      <c r="ES150" s="67"/>
      <c r="ET150" s="67"/>
      <c r="EU150" s="67"/>
      <c r="EV150" s="67"/>
      <c r="EW150" s="67"/>
      <c r="EX150" s="67"/>
      <c r="EY150" s="67"/>
      <c r="EZ150" s="67"/>
      <c r="FA150" s="67"/>
      <c r="FB150" s="67"/>
      <c r="FC150" s="67"/>
      <c r="FD150" s="67"/>
      <c r="FE150" s="67"/>
      <c r="FF150" s="67"/>
      <c r="FG150" s="67"/>
      <c r="FH150" s="67"/>
      <c r="FI150" s="67"/>
      <c r="FJ150" s="67"/>
      <c r="FK150" s="67"/>
      <c r="FL150" s="67"/>
      <c r="FM150" s="67"/>
      <c r="FN150" s="67"/>
      <c r="FO150" s="67"/>
      <c r="FP150" s="67"/>
      <c r="FQ150" s="67"/>
      <c r="FR150" s="67"/>
      <c r="FS150" s="67"/>
      <c r="FT150" s="67"/>
      <c r="FU150" s="67"/>
      <c r="FV150" s="67"/>
      <c r="FW150" s="67"/>
      <c r="FX150" s="67"/>
      <c r="FY150" s="67"/>
      <c r="FZ150" s="67"/>
      <c r="GA150" s="67"/>
      <c r="GB150" s="67"/>
      <c r="GC150" s="67"/>
      <c r="GD150" s="67"/>
      <c r="GE150" s="67"/>
      <c r="GF150" s="67"/>
      <c r="GG150" s="67"/>
      <c r="GH150" s="67"/>
      <c r="GI150" s="67"/>
      <c r="GJ150" s="67"/>
      <c r="GK150" s="67"/>
      <c r="GL150" s="67"/>
      <c r="GM150" s="67"/>
      <c r="GN150" s="67"/>
      <c r="GO150" s="67"/>
      <c r="GP150" s="67"/>
      <c r="GQ150" s="67"/>
      <c r="GR150" s="67"/>
      <c r="GS150" s="67"/>
      <c r="GT150" s="67"/>
      <c r="GU150" s="67"/>
      <c r="GV150" s="67"/>
      <c r="GW150" s="67"/>
      <c r="GX150" s="67"/>
      <c r="GY150" s="67"/>
      <c r="GZ150" s="67"/>
      <c r="HA150" s="67"/>
      <c r="HB150" s="67"/>
      <c r="HC150" s="67"/>
      <c r="HD150" s="67"/>
      <c r="HE150" s="67"/>
      <c r="HF150" s="67"/>
      <c r="HG150" s="67"/>
      <c r="HH150" s="67"/>
      <c r="HI150" s="67"/>
      <c r="HJ150" s="67"/>
      <c r="HK150" s="67"/>
      <c r="HL150" s="67"/>
      <c r="HM150" s="67"/>
      <c r="HN150" s="67"/>
      <c r="HO150" s="67"/>
      <c r="HP150" s="67"/>
      <c r="HQ150" s="67"/>
      <c r="HR150" s="67"/>
      <c r="HS150" s="67"/>
      <c r="HT150" s="67"/>
      <c r="HU150" s="67"/>
      <c r="HV150" s="67"/>
      <c r="HW150" s="67"/>
      <c r="HX150" s="67"/>
      <c r="HY150" s="67"/>
      <c r="HZ150" s="67"/>
      <c r="IA150" s="67"/>
      <c r="IB150" s="67"/>
      <c r="IC150" s="67"/>
      <c r="ID150" s="67"/>
      <c r="IE150" s="67"/>
      <c r="IF150" s="67"/>
      <c r="IG150" s="67"/>
      <c r="IH150" s="67"/>
      <c r="II150" s="67"/>
      <c r="IJ150" s="67"/>
      <c r="IK150" s="67"/>
      <c r="IL150" s="67"/>
      <c r="IM150" s="67"/>
      <c r="IN150" s="67"/>
      <c r="IO150" s="67"/>
      <c r="IP150" s="67"/>
      <c r="IQ150" s="67"/>
      <c r="IR150" s="67"/>
      <c r="IS150" s="67"/>
      <c r="IT150" s="67"/>
      <c r="IU150" s="67"/>
      <c r="IV150" s="67"/>
      <c r="IW150" s="67"/>
    </row>
    <row r="151" spans="3:257" s="4" customFormat="1" x14ac:dyDescent="0.2">
      <c r="C151" s="73"/>
      <c r="Z151" s="104"/>
      <c r="AA151" s="115"/>
      <c r="AB151" s="116"/>
      <c r="AC151" s="114"/>
      <c r="AD151" s="114"/>
      <c r="AE151" s="114"/>
      <c r="AF151" s="114"/>
      <c r="AG151" s="114"/>
      <c r="AH151" s="67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  <c r="CR151" s="67"/>
      <c r="CS151" s="67"/>
      <c r="CT151" s="67"/>
      <c r="CU151" s="67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7"/>
      <c r="DT151" s="67"/>
      <c r="DU151" s="67"/>
      <c r="DV151" s="67"/>
      <c r="DW151" s="67"/>
      <c r="DX151" s="67"/>
      <c r="DY151" s="67"/>
      <c r="DZ151" s="67"/>
      <c r="EA151" s="67"/>
      <c r="EB151" s="67"/>
      <c r="EC151" s="67"/>
      <c r="ED151" s="67"/>
      <c r="EE151" s="67"/>
      <c r="EF151" s="67"/>
      <c r="EG151" s="67"/>
      <c r="EH151" s="67"/>
      <c r="EI151" s="67"/>
      <c r="EJ151" s="67"/>
      <c r="EK151" s="67"/>
      <c r="EL151" s="67"/>
      <c r="EM151" s="67"/>
      <c r="EN151" s="67"/>
      <c r="EO151" s="67"/>
      <c r="EP151" s="67"/>
      <c r="EQ151" s="67"/>
      <c r="ER151" s="67"/>
      <c r="ES151" s="67"/>
      <c r="ET151" s="67"/>
      <c r="EU151" s="67"/>
      <c r="EV151" s="67"/>
      <c r="EW151" s="67"/>
      <c r="EX151" s="67"/>
      <c r="EY151" s="67"/>
      <c r="EZ151" s="67"/>
      <c r="FA151" s="67"/>
      <c r="FB151" s="67"/>
      <c r="FC151" s="67"/>
      <c r="FD151" s="67"/>
      <c r="FE151" s="67"/>
      <c r="FF151" s="67"/>
      <c r="FG151" s="67"/>
      <c r="FH151" s="67"/>
      <c r="FI151" s="67"/>
      <c r="FJ151" s="67"/>
      <c r="FK151" s="67"/>
      <c r="FL151" s="67"/>
      <c r="FM151" s="67"/>
      <c r="FN151" s="67"/>
      <c r="FO151" s="67"/>
      <c r="FP151" s="67"/>
      <c r="FQ151" s="67"/>
      <c r="FR151" s="67"/>
      <c r="FS151" s="67"/>
      <c r="FT151" s="67"/>
      <c r="FU151" s="67"/>
      <c r="FV151" s="67"/>
      <c r="FW151" s="67"/>
      <c r="FX151" s="67"/>
      <c r="FY151" s="67"/>
      <c r="FZ151" s="67"/>
      <c r="GA151" s="67"/>
      <c r="GB151" s="67"/>
      <c r="GC151" s="67"/>
      <c r="GD151" s="67"/>
      <c r="GE151" s="67"/>
      <c r="GF151" s="67"/>
      <c r="GG151" s="67"/>
      <c r="GH151" s="67"/>
      <c r="GI151" s="67"/>
      <c r="GJ151" s="67"/>
      <c r="GK151" s="67"/>
      <c r="GL151" s="67"/>
      <c r="GM151" s="67"/>
      <c r="GN151" s="67"/>
      <c r="GO151" s="67"/>
      <c r="GP151" s="67"/>
      <c r="GQ151" s="67"/>
      <c r="GR151" s="67"/>
      <c r="GS151" s="67"/>
      <c r="GT151" s="67"/>
      <c r="GU151" s="67"/>
      <c r="GV151" s="67"/>
      <c r="GW151" s="67"/>
      <c r="GX151" s="67"/>
      <c r="GY151" s="67"/>
      <c r="GZ151" s="67"/>
      <c r="HA151" s="67"/>
      <c r="HB151" s="67"/>
      <c r="HC151" s="67"/>
      <c r="HD151" s="67"/>
      <c r="HE151" s="67"/>
      <c r="HF151" s="67"/>
      <c r="HG151" s="67"/>
      <c r="HH151" s="67"/>
      <c r="HI151" s="67"/>
      <c r="HJ151" s="67"/>
      <c r="HK151" s="67"/>
      <c r="HL151" s="67"/>
      <c r="HM151" s="67"/>
      <c r="HN151" s="67"/>
      <c r="HO151" s="67"/>
      <c r="HP151" s="67"/>
      <c r="HQ151" s="67"/>
      <c r="HR151" s="67"/>
      <c r="HS151" s="67"/>
      <c r="HT151" s="67"/>
      <c r="HU151" s="67"/>
      <c r="HV151" s="67"/>
      <c r="HW151" s="67"/>
      <c r="HX151" s="67"/>
      <c r="HY151" s="67"/>
      <c r="HZ151" s="67"/>
      <c r="IA151" s="67"/>
      <c r="IB151" s="67"/>
      <c r="IC151" s="67"/>
      <c r="ID151" s="67"/>
      <c r="IE151" s="67"/>
      <c r="IF151" s="67"/>
      <c r="IG151" s="67"/>
      <c r="IH151" s="67"/>
      <c r="II151" s="67"/>
      <c r="IJ151" s="67"/>
      <c r="IK151" s="67"/>
      <c r="IL151" s="67"/>
      <c r="IM151" s="67"/>
      <c r="IN151" s="67"/>
      <c r="IO151" s="67"/>
      <c r="IP151" s="67"/>
      <c r="IQ151" s="67"/>
      <c r="IR151" s="67"/>
      <c r="IS151" s="67"/>
      <c r="IT151" s="67"/>
      <c r="IU151" s="67"/>
      <c r="IV151" s="67"/>
      <c r="IW151" s="67"/>
    </row>
    <row r="152" spans="3:257" s="4" customFormat="1" x14ac:dyDescent="0.2">
      <c r="C152" s="73"/>
      <c r="Z152" s="104"/>
      <c r="AA152" s="115"/>
      <c r="AB152" s="116"/>
      <c r="AC152" s="112"/>
      <c r="AD152" s="112"/>
      <c r="AE152" s="112"/>
      <c r="AF152" s="112"/>
      <c r="AG152" s="112"/>
      <c r="AH152" s="65"/>
      <c r="AI152" s="65"/>
      <c r="AJ152" s="65"/>
      <c r="AK152" s="65"/>
      <c r="AL152" s="65"/>
      <c r="AM152" s="65"/>
      <c r="AN152" s="65"/>
      <c r="AO152" s="65"/>
      <c r="AP152" s="65"/>
      <c r="AQ152" s="65"/>
      <c r="AR152" s="65"/>
      <c r="AS152" s="65"/>
      <c r="AT152" s="65"/>
      <c r="AU152" s="65"/>
      <c r="AV152" s="65"/>
      <c r="AW152" s="65"/>
      <c r="AX152" s="65"/>
      <c r="AY152" s="65"/>
      <c r="AZ152" s="65"/>
      <c r="BA152" s="65"/>
      <c r="BB152" s="65"/>
      <c r="BC152" s="65"/>
      <c r="BD152" s="65"/>
      <c r="BE152" s="65"/>
      <c r="BF152" s="65"/>
      <c r="BG152" s="65"/>
      <c r="BH152" s="65"/>
      <c r="BI152" s="65"/>
      <c r="BJ152" s="65"/>
      <c r="BK152" s="65"/>
      <c r="BL152" s="65"/>
      <c r="BM152" s="65"/>
      <c r="BN152" s="65"/>
      <c r="BO152" s="65"/>
      <c r="BP152" s="65"/>
      <c r="BQ152" s="65"/>
      <c r="BR152" s="65"/>
      <c r="BS152" s="65"/>
      <c r="BT152" s="65"/>
      <c r="BU152" s="65"/>
      <c r="BV152" s="65"/>
      <c r="BW152" s="65"/>
      <c r="BX152" s="65"/>
      <c r="BY152" s="65"/>
      <c r="BZ152" s="65"/>
      <c r="CA152" s="65"/>
      <c r="CB152" s="65"/>
      <c r="CC152" s="65"/>
      <c r="CD152" s="65"/>
      <c r="CE152" s="65"/>
      <c r="CF152" s="65"/>
      <c r="CG152" s="65"/>
      <c r="CH152" s="65"/>
      <c r="CI152" s="65"/>
      <c r="CJ152" s="65"/>
      <c r="CK152" s="65"/>
      <c r="CL152" s="65"/>
      <c r="CM152" s="65"/>
      <c r="CN152" s="65"/>
      <c r="CO152" s="65"/>
      <c r="CP152" s="65"/>
      <c r="CQ152" s="65"/>
      <c r="CR152" s="65"/>
      <c r="CS152" s="65"/>
      <c r="CT152" s="65"/>
      <c r="CU152" s="65"/>
      <c r="CV152" s="65"/>
      <c r="CW152" s="65"/>
      <c r="CX152" s="65"/>
      <c r="CY152" s="65"/>
      <c r="CZ152" s="65"/>
      <c r="DA152" s="65"/>
      <c r="DB152" s="65"/>
      <c r="DC152" s="65"/>
      <c r="DD152" s="65"/>
      <c r="DE152" s="65"/>
      <c r="DF152" s="65"/>
      <c r="DG152" s="65"/>
      <c r="DH152" s="65"/>
      <c r="DI152" s="65"/>
      <c r="DJ152" s="65"/>
      <c r="DK152" s="65"/>
      <c r="DL152" s="65"/>
      <c r="DM152" s="65"/>
      <c r="DN152" s="65"/>
      <c r="DO152" s="65"/>
      <c r="DP152" s="65"/>
      <c r="DQ152" s="65"/>
      <c r="DR152" s="65"/>
      <c r="DS152" s="65"/>
      <c r="DT152" s="65"/>
      <c r="DU152" s="65"/>
      <c r="DV152" s="65"/>
      <c r="DW152" s="65"/>
      <c r="DX152" s="65"/>
      <c r="DY152" s="65"/>
      <c r="DZ152" s="65"/>
      <c r="EA152" s="65"/>
      <c r="EB152" s="65"/>
      <c r="EC152" s="65"/>
      <c r="ED152" s="65"/>
      <c r="EE152" s="65"/>
      <c r="EF152" s="65"/>
      <c r="EG152" s="65"/>
      <c r="EH152" s="65"/>
      <c r="EI152" s="65"/>
      <c r="EJ152" s="65"/>
      <c r="EK152" s="65"/>
      <c r="EL152" s="65"/>
      <c r="EM152" s="65"/>
      <c r="EN152" s="65"/>
      <c r="EO152" s="65"/>
      <c r="EP152" s="65"/>
      <c r="EQ152" s="65"/>
      <c r="ER152" s="65"/>
      <c r="ES152" s="65"/>
      <c r="ET152" s="65"/>
      <c r="EU152" s="65"/>
      <c r="EV152" s="65"/>
      <c r="EW152" s="65"/>
      <c r="EX152" s="65"/>
      <c r="EY152" s="65"/>
      <c r="EZ152" s="65"/>
      <c r="FA152" s="65"/>
      <c r="FB152" s="65"/>
      <c r="FC152" s="65"/>
      <c r="FD152" s="65"/>
      <c r="FE152" s="65"/>
      <c r="FF152" s="65"/>
      <c r="FG152" s="65"/>
      <c r="FH152" s="65"/>
      <c r="FI152" s="65"/>
      <c r="FJ152" s="65"/>
      <c r="FK152" s="65"/>
      <c r="FL152" s="65"/>
      <c r="FM152" s="65"/>
      <c r="FN152" s="65"/>
      <c r="FO152" s="65"/>
      <c r="FP152" s="65"/>
      <c r="FQ152" s="65"/>
      <c r="FR152" s="65"/>
      <c r="FS152" s="65"/>
      <c r="FT152" s="65"/>
      <c r="FU152" s="65"/>
      <c r="FV152" s="65"/>
      <c r="FW152" s="65"/>
      <c r="FX152" s="65"/>
      <c r="FY152" s="65"/>
      <c r="FZ152" s="65"/>
      <c r="GA152" s="65"/>
      <c r="GB152" s="65"/>
      <c r="GC152" s="65"/>
      <c r="GD152" s="65"/>
      <c r="GE152" s="65"/>
      <c r="GF152" s="65"/>
      <c r="GG152" s="65"/>
      <c r="GH152" s="65"/>
      <c r="GI152" s="65"/>
      <c r="GJ152" s="65"/>
      <c r="GK152" s="65"/>
      <c r="GL152" s="65"/>
      <c r="GM152" s="65"/>
      <c r="GN152" s="65"/>
      <c r="GO152" s="65"/>
      <c r="GP152" s="65"/>
      <c r="GQ152" s="65"/>
      <c r="GR152" s="65"/>
      <c r="GS152" s="65"/>
      <c r="GT152" s="65"/>
      <c r="GU152" s="65"/>
      <c r="GV152" s="65"/>
      <c r="GW152" s="65"/>
      <c r="GX152" s="65"/>
      <c r="GY152" s="65"/>
      <c r="GZ152" s="65"/>
      <c r="HA152" s="65"/>
      <c r="HB152" s="65"/>
      <c r="HC152" s="65"/>
      <c r="HD152" s="65"/>
      <c r="HE152" s="65"/>
      <c r="HF152" s="65"/>
      <c r="HG152" s="65"/>
      <c r="HH152" s="65"/>
      <c r="HI152" s="65"/>
      <c r="HJ152" s="65"/>
      <c r="HK152" s="65"/>
      <c r="HL152" s="65"/>
      <c r="HM152" s="65"/>
      <c r="HN152" s="65"/>
      <c r="HO152" s="65"/>
      <c r="HP152" s="65"/>
      <c r="HQ152" s="65"/>
      <c r="HR152" s="65"/>
      <c r="HS152" s="65"/>
      <c r="HT152" s="65"/>
      <c r="HU152" s="65"/>
      <c r="HV152" s="65"/>
      <c r="HW152" s="65"/>
      <c r="HX152" s="65"/>
      <c r="HY152" s="65"/>
      <c r="HZ152" s="65"/>
      <c r="IA152" s="65"/>
      <c r="IB152" s="65"/>
      <c r="IC152" s="65"/>
      <c r="ID152" s="65"/>
      <c r="IE152" s="65"/>
      <c r="IF152" s="65"/>
      <c r="IG152" s="65"/>
      <c r="IH152" s="65"/>
      <c r="II152" s="65"/>
      <c r="IJ152" s="65"/>
      <c r="IK152" s="65"/>
      <c r="IL152" s="65"/>
      <c r="IM152" s="65"/>
      <c r="IN152" s="65"/>
      <c r="IO152" s="65"/>
      <c r="IP152" s="65"/>
      <c r="IQ152" s="65"/>
      <c r="IR152" s="65"/>
      <c r="IS152" s="65"/>
      <c r="IT152" s="65"/>
      <c r="IU152" s="65"/>
      <c r="IV152" s="65"/>
      <c r="IW152" s="65"/>
    </row>
  </sheetData>
  <sheetProtection password="CD43" sheet="1" objects="1" scenarios="1" formatRows="0" autoFilter="0"/>
  <mergeCells count="253">
    <mergeCell ref="B97:C97"/>
    <mergeCell ref="B98:C98"/>
    <mergeCell ref="B99:C99"/>
    <mergeCell ref="B100:C100"/>
    <mergeCell ref="B102:C102"/>
    <mergeCell ref="AE83:AE86"/>
    <mergeCell ref="AE87:AE90"/>
    <mergeCell ref="AC83:AC86"/>
    <mergeCell ref="AD83:AD86"/>
    <mergeCell ref="AC87:AC90"/>
    <mergeCell ref="AD87:AD90"/>
    <mergeCell ref="AB87:AB90"/>
    <mergeCell ref="AA87:AA90"/>
    <mergeCell ref="AB83:AB86"/>
    <mergeCell ref="AA83:AA86"/>
    <mergeCell ref="AE3:AE6"/>
    <mergeCell ref="AE7:AE10"/>
    <mergeCell ref="AE11:AE14"/>
    <mergeCell ref="AE15:AE18"/>
    <mergeCell ref="AE19:AE22"/>
    <mergeCell ref="AE23:AE26"/>
    <mergeCell ref="AE27:AE30"/>
    <mergeCell ref="AE31:AE34"/>
    <mergeCell ref="AE35:AE38"/>
    <mergeCell ref="AE39:AE42"/>
    <mergeCell ref="AE43:AE46"/>
    <mergeCell ref="AE47:AE50"/>
    <mergeCell ref="AE51:AE54"/>
    <mergeCell ref="AE55:AE58"/>
    <mergeCell ref="AE59:AE62"/>
    <mergeCell ref="AE63:AE66"/>
    <mergeCell ref="AE67:AE70"/>
    <mergeCell ref="AE71:AE74"/>
    <mergeCell ref="AE79:AE82"/>
    <mergeCell ref="AC63:AC66"/>
    <mergeCell ref="AD63:AD66"/>
    <mergeCell ref="AC67:AC70"/>
    <mergeCell ref="AD67:AD70"/>
    <mergeCell ref="AC71:AC74"/>
    <mergeCell ref="AD71:AD74"/>
    <mergeCell ref="AC75:AC78"/>
    <mergeCell ref="AD75:AD78"/>
    <mergeCell ref="AC79:AC82"/>
    <mergeCell ref="AD79:AD82"/>
    <mergeCell ref="AC47:AC50"/>
    <mergeCell ref="AD47:AD50"/>
    <mergeCell ref="AC51:AC54"/>
    <mergeCell ref="AD51:AD54"/>
    <mergeCell ref="AC55:AC58"/>
    <mergeCell ref="AD55:AD58"/>
    <mergeCell ref="AC59:AC62"/>
    <mergeCell ref="AD59:AD62"/>
    <mergeCell ref="AE75:AE78"/>
    <mergeCell ref="AC27:AC30"/>
    <mergeCell ref="AD27:AD30"/>
    <mergeCell ref="AC31:AC34"/>
    <mergeCell ref="AD31:AD34"/>
    <mergeCell ref="AC35:AC38"/>
    <mergeCell ref="AD35:AD38"/>
    <mergeCell ref="AC39:AC42"/>
    <mergeCell ref="AD39:AD42"/>
    <mergeCell ref="AD43:AD46"/>
    <mergeCell ref="C60:C62"/>
    <mergeCell ref="C64:C66"/>
    <mergeCell ref="C68:C70"/>
    <mergeCell ref="C72:C74"/>
    <mergeCell ref="C76:C78"/>
    <mergeCell ref="C80:C82"/>
    <mergeCell ref="C84:C86"/>
    <mergeCell ref="C88:C90"/>
    <mergeCell ref="AC3:AC6"/>
    <mergeCell ref="AC23:AC26"/>
    <mergeCell ref="AC43:AC46"/>
    <mergeCell ref="AB75:AB78"/>
    <mergeCell ref="AA75:AA78"/>
    <mergeCell ref="AB35:AB38"/>
    <mergeCell ref="AA35:AA38"/>
    <mergeCell ref="AB39:AB42"/>
    <mergeCell ref="AA39:AA42"/>
    <mergeCell ref="N55:N58"/>
    <mergeCell ref="N51:N54"/>
    <mergeCell ref="AA43:AA46"/>
    <mergeCell ref="AA31:AA34"/>
    <mergeCell ref="AB27:AB30"/>
    <mergeCell ref="AA27:AA30"/>
    <mergeCell ref="AB23:AB26"/>
    <mergeCell ref="N47:N50"/>
    <mergeCell ref="N27:N30"/>
    <mergeCell ref="C24:C26"/>
    <mergeCell ref="C28:C30"/>
    <mergeCell ref="C32:C34"/>
    <mergeCell ref="C36:C38"/>
    <mergeCell ref="C40:C42"/>
    <mergeCell ref="C44:C46"/>
    <mergeCell ref="C48:C50"/>
    <mergeCell ref="A1:M1"/>
    <mergeCell ref="AB59:AB62"/>
    <mergeCell ref="AA59:AA62"/>
    <mergeCell ref="AB71:AB74"/>
    <mergeCell ref="AA71:AA74"/>
    <mergeCell ref="AB67:AB70"/>
    <mergeCell ref="AA67:AA70"/>
    <mergeCell ref="AB63:AB66"/>
    <mergeCell ref="AA63:AA66"/>
    <mergeCell ref="AB43:AB46"/>
    <mergeCell ref="AB55:AB58"/>
    <mergeCell ref="AA55:AA58"/>
    <mergeCell ref="AB51:AB54"/>
    <mergeCell ref="AA51:AA54"/>
    <mergeCell ref="AB47:AB50"/>
    <mergeCell ref="AA47:AA50"/>
    <mergeCell ref="A51:A54"/>
    <mergeCell ref="B51:B54"/>
    <mergeCell ref="C51:D51"/>
    <mergeCell ref="C23:D23"/>
    <mergeCell ref="N23:N26"/>
    <mergeCell ref="N31:N34"/>
    <mergeCell ref="A27:A30"/>
    <mergeCell ref="AB31:AB34"/>
    <mergeCell ref="B27:B30"/>
    <mergeCell ref="C27:D27"/>
    <mergeCell ref="A23:A26"/>
    <mergeCell ref="B23:B26"/>
    <mergeCell ref="A31:A34"/>
    <mergeCell ref="B31:B34"/>
    <mergeCell ref="C31:D31"/>
    <mergeCell ref="A15:A18"/>
    <mergeCell ref="B15:B18"/>
    <mergeCell ref="C15:D15"/>
    <mergeCell ref="A19:A22"/>
    <mergeCell ref="B19:B22"/>
    <mergeCell ref="C19:D19"/>
    <mergeCell ref="C16:C18"/>
    <mergeCell ref="C20:C22"/>
    <mergeCell ref="B3:B6"/>
    <mergeCell ref="A3:A6"/>
    <mergeCell ref="A11:A14"/>
    <mergeCell ref="C11:D11"/>
    <mergeCell ref="C2:D2"/>
    <mergeCell ref="C3:D3"/>
    <mergeCell ref="A7:A10"/>
    <mergeCell ref="B7:B10"/>
    <mergeCell ref="C7:D7"/>
    <mergeCell ref="B11:B14"/>
    <mergeCell ref="C4:C6"/>
    <mergeCell ref="C8:C10"/>
    <mergeCell ref="C12:C14"/>
    <mergeCell ref="AA2:AB2"/>
    <mergeCell ref="N3:N6"/>
    <mergeCell ref="N11:N14"/>
    <mergeCell ref="N7:N10"/>
    <mergeCell ref="AA3:AA6"/>
    <mergeCell ref="AB3:AB6"/>
    <mergeCell ref="AB19:AB22"/>
    <mergeCell ref="AA19:AA22"/>
    <mergeCell ref="AB15:AB18"/>
    <mergeCell ref="AA15:AA18"/>
    <mergeCell ref="AB11:AB14"/>
    <mergeCell ref="AA11:AA14"/>
    <mergeCell ref="AB7:AB10"/>
    <mergeCell ref="AA7:AA10"/>
    <mergeCell ref="N15:N18"/>
    <mergeCell ref="N19:N22"/>
    <mergeCell ref="A71:A74"/>
    <mergeCell ref="B71:B74"/>
    <mergeCell ref="C71:D71"/>
    <mergeCell ref="N71:N74"/>
    <mergeCell ref="A35:A38"/>
    <mergeCell ref="B35:B38"/>
    <mergeCell ref="C35:D35"/>
    <mergeCell ref="N35:N38"/>
    <mergeCell ref="A63:A66"/>
    <mergeCell ref="B63:B66"/>
    <mergeCell ref="C63:D63"/>
    <mergeCell ref="N63:N66"/>
    <mergeCell ref="A67:A70"/>
    <mergeCell ref="B67:B70"/>
    <mergeCell ref="C67:D67"/>
    <mergeCell ref="N67:N70"/>
    <mergeCell ref="A59:A62"/>
    <mergeCell ref="B59:B62"/>
    <mergeCell ref="C59:D59"/>
    <mergeCell ref="N59:N62"/>
    <mergeCell ref="N39:N42"/>
    <mergeCell ref="B43:B46"/>
    <mergeCell ref="C43:D43"/>
    <mergeCell ref="N43:N46"/>
    <mergeCell ref="A43:A46"/>
    <mergeCell ref="A55:A58"/>
    <mergeCell ref="B55:B58"/>
    <mergeCell ref="C55:D55"/>
    <mergeCell ref="A39:A42"/>
    <mergeCell ref="B39:B42"/>
    <mergeCell ref="C39:D39"/>
    <mergeCell ref="A47:A50"/>
    <mergeCell ref="B47:B50"/>
    <mergeCell ref="C47:D47"/>
    <mergeCell ref="C52:C54"/>
    <mergeCell ref="C56:C58"/>
    <mergeCell ref="A75:A78"/>
    <mergeCell ref="B75:B78"/>
    <mergeCell ref="C75:D75"/>
    <mergeCell ref="N75:N78"/>
    <mergeCell ref="A91:B94"/>
    <mergeCell ref="C91:D91"/>
    <mergeCell ref="A83:A86"/>
    <mergeCell ref="B83:B86"/>
    <mergeCell ref="C83:D83"/>
    <mergeCell ref="N83:N86"/>
    <mergeCell ref="A87:A90"/>
    <mergeCell ref="B87:B90"/>
    <mergeCell ref="C87:D87"/>
    <mergeCell ref="N87:N90"/>
    <mergeCell ref="C92:C94"/>
    <mergeCell ref="A79:A82"/>
    <mergeCell ref="B79:B82"/>
    <mergeCell ref="C79:D79"/>
    <mergeCell ref="N79:N82"/>
    <mergeCell ref="AB79:AB82"/>
    <mergeCell ref="AA79:AA82"/>
    <mergeCell ref="AF3:AF6"/>
    <mergeCell ref="AF7:AF10"/>
    <mergeCell ref="AF11:AF14"/>
    <mergeCell ref="AF15:AF18"/>
    <mergeCell ref="AF19:AF22"/>
    <mergeCell ref="AF23:AF26"/>
    <mergeCell ref="AF27:AF30"/>
    <mergeCell ref="AF31:AF34"/>
    <mergeCell ref="AF35:AF38"/>
    <mergeCell ref="AF75:AF78"/>
    <mergeCell ref="AF79:AF82"/>
    <mergeCell ref="AA23:AA26"/>
    <mergeCell ref="AD3:AD6"/>
    <mergeCell ref="AC7:AC10"/>
    <mergeCell ref="AD7:AD10"/>
    <mergeCell ref="AC11:AC14"/>
    <mergeCell ref="AD11:AD14"/>
    <mergeCell ref="AC15:AC18"/>
    <mergeCell ref="AD15:AD18"/>
    <mergeCell ref="AC19:AC22"/>
    <mergeCell ref="AD19:AD22"/>
    <mergeCell ref="AD23:AD26"/>
    <mergeCell ref="AF83:AF86"/>
    <mergeCell ref="AF87:AF90"/>
    <mergeCell ref="AF39:AF42"/>
    <mergeCell ref="AF43:AF46"/>
    <mergeCell ref="AF47:AF50"/>
    <mergeCell ref="AF51:AF54"/>
    <mergeCell ref="AF55:AF58"/>
    <mergeCell ref="AF59:AF62"/>
    <mergeCell ref="AF63:AF66"/>
    <mergeCell ref="AF67:AF70"/>
    <mergeCell ref="AF71:AF74"/>
  </mergeCells>
  <phoneticPr fontId="3" type="noConversion"/>
  <printOptions horizontalCentered="1" verticalCentered="1"/>
  <pageMargins left="0.2" right="0.2" top="0.65" bottom="0.25" header="0.3" footer="0.3"/>
  <pageSetup scale="66" fitToHeight="30" orientation="landscape" r:id="rId1"/>
  <rowBreaks count="1" manualBreakCount="1">
    <brk id="102" max="12" man="1"/>
  </rowBreaks>
  <drawing r:id="rId2"/>
  <legacyDrawing r:id="rId3"/>
  <controls>
    <mc:AlternateContent xmlns:mc="http://schemas.openxmlformats.org/markup-compatibility/2006">
      <mc:Choice Requires="x14">
        <control shapeId="158730" r:id="rId4" name="resetMarks">
          <controlPr defaultSize="0" autoLine="0" r:id="rId5">
            <anchor moveWithCells="1">
              <from>
                <xdr:col>1</xdr:col>
                <xdr:colOff>0</xdr:colOff>
                <xdr:row>101</xdr:row>
                <xdr:rowOff>0</xdr:rowOff>
              </from>
              <to>
                <xdr:col>3</xdr:col>
                <xdr:colOff>0</xdr:colOff>
                <xdr:row>102</xdr:row>
                <xdr:rowOff>0</xdr:rowOff>
              </to>
            </anchor>
          </controlPr>
        </control>
      </mc:Choice>
      <mc:Fallback>
        <control shapeId="158730" r:id="rId4" name="resetMarks"/>
      </mc:Fallback>
    </mc:AlternateContent>
    <mc:AlternateContent xmlns:mc="http://schemas.openxmlformats.org/markup-compatibility/2006">
      <mc:Choice Requires="x14">
        <control shapeId="158729" r:id="rId6" name="hvyMarks">
          <controlPr defaultSize="0" autoLine="0" r:id="rId5">
            <anchor moveWithCells="1">
              <from>
                <xdr:col>1</xdr:col>
                <xdr:colOff>0</xdr:colOff>
                <xdr:row>99</xdr:row>
                <xdr:rowOff>0</xdr:rowOff>
              </from>
              <to>
                <xdr:col>3</xdr:col>
                <xdr:colOff>0</xdr:colOff>
                <xdr:row>100</xdr:row>
                <xdr:rowOff>0</xdr:rowOff>
              </to>
            </anchor>
          </controlPr>
        </control>
      </mc:Choice>
      <mc:Fallback>
        <control shapeId="158729" r:id="rId6" name="hvyMarks"/>
      </mc:Fallback>
    </mc:AlternateContent>
    <mc:AlternateContent xmlns:mc="http://schemas.openxmlformats.org/markup-compatibility/2006">
      <mc:Choice Requires="x14">
        <control shapeId="158728" r:id="rId7" name="medHvyMarks">
          <controlPr defaultSize="0" autoLine="0" r:id="rId8">
            <anchor moveWithCells="1">
              <from>
                <xdr:col>1</xdr:col>
                <xdr:colOff>9525</xdr:colOff>
                <xdr:row>98</xdr:row>
                <xdr:rowOff>0</xdr:rowOff>
              </from>
              <to>
                <xdr:col>3</xdr:col>
                <xdr:colOff>0</xdr:colOff>
                <xdr:row>99</xdr:row>
                <xdr:rowOff>0</xdr:rowOff>
              </to>
            </anchor>
          </controlPr>
        </control>
      </mc:Choice>
      <mc:Fallback>
        <control shapeId="158728" r:id="rId7" name="medHvyMarks"/>
      </mc:Fallback>
    </mc:AlternateContent>
    <mc:AlternateContent xmlns:mc="http://schemas.openxmlformats.org/markup-compatibility/2006">
      <mc:Choice Requires="x14">
        <control shapeId="158727" r:id="rId9" name="medMarks">
          <controlPr defaultSize="0" autoLine="0" r:id="rId8">
            <anchor moveWithCells="1">
              <from>
                <xdr:col>1</xdr:col>
                <xdr:colOff>9525</xdr:colOff>
                <xdr:row>97</xdr:row>
                <xdr:rowOff>0</xdr:rowOff>
              </from>
              <to>
                <xdr:col>3</xdr:col>
                <xdr:colOff>0</xdr:colOff>
                <xdr:row>98</xdr:row>
                <xdr:rowOff>0</xdr:rowOff>
              </to>
            </anchor>
          </controlPr>
        </control>
      </mc:Choice>
      <mc:Fallback>
        <control shapeId="158727" r:id="rId9" name="medMarks"/>
      </mc:Fallback>
    </mc:AlternateContent>
    <mc:AlternateContent xmlns:mc="http://schemas.openxmlformats.org/markup-compatibility/2006">
      <mc:Choice Requires="x14">
        <control shapeId="158726" r:id="rId10" name="liteMarks">
          <controlPr defaultSize="0" autoLine="0" r:id="rId11">
            <anchor moveWithCells="1">
              <from>
                <xdr:col>1</xdr:col>
                <xdr:colOff>9525</xdr:colOff>
                <xdr:row>96</xdr:row>
                <xdr:rowOff>9525</xdr:rowOff>
              </from>
              <to>
                <xdr:col>3</xdr:col>
                <xdr:colOff>0</xdr:colOff>
                <xdr:row>97</xdr:row>
                <xdr:rowOff>0</xdr:rowOff>
              </to>
            </anchor>
          </controlPr>
        </control>
      </mc:Choice>
      <mc:Fallback>
        <control shapeId="158726" r:id="rId10" name="liteMarks"/>
      </mc:Fallback>
    </mc:AlternateContent>
    <mc:AlternateContent xmlns:mc="http://schemas.openxmlformats.org/markup-compatibility/2006">
      <mc:Choice Requires="x14">
        <control shapeId="158723" r:id="rId12" name="instructions">
          <controlPr defaultSize="0" print="0" autoLine="0" r:id="rId13">
            <anchor moveWithCells="1" sizeWithCells="1">
              <from>
                <xdr:col>6</xdr:col>
                <xdr:colOff>0</xdr:colOff>
                <xdr:row>91</xdr:row>
                <xdr:rowOff>9525</xdr:rowOff>
              </from>
              <to>
                <xdr:col>8</xdr:col>
                <xdr:colOff>0</xdr:colOff>
                <xdr:row>94</xdr:row>
                <xdr:rowOff>0</xdr:rowOff>
              </to>
            </anchor>
          </controlPr>
        </control>
      </mc:Choice>
      <mc:Fallback>
        <control shapeId="158723" r:id="rId12" name="instructions"/>
      </mc:Fallback>
    </mc:AlternateContent>
    <mc:AlternateContent xmlns:mc="http://schemas.openxmlformats.org/markup-compatibility/2006">
      <mc:Choice Requires="x14">
        <control shapeId="158722" r:id="rId14" name="print2CADD">
          <controlPr defaultSize="0" print="0" autoLine="0" r:id="rId15">
            <anchor moveWithCells="1">
              <from>
                <xdr:col>13</xdr:col>
                <xdr:colOff>38100</xdr:colOff>
                <xdr:row>0</xdr:row>
                <xdr:rowOff>57150</xdr:rowOff>
              </from>
              <to>
                <xdr:col>13</xdr:col>
                <xdr:colOff>1257300</xdr:colOff>
                <xdr:row>0</xdr:row>
                <xdr:rowOff>361950</xdr:rowOff>
              </to>
            </anchor>
          </controlPr>
        </control>
      </mc:Choice>
      <mc:Fallback>
        <control shapeId="158722" r:id="rId14" name="print2CAD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C491"/>
  <sheetViews>
    <sheetView topLeftCell="B1" zoomScale="60" zoomScaleNormal="60" zoomScalePageLayoutView="40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M8" sqref="M8"/>
    </sheetView>
  </sheetViews>
  <sheetFormatPr defaultColWidth="9.140625" defaultRowHeight="15" x14ac:dyDescent="0.2"/>
  <cols>
    <col min="1" max="1" width="9.140625" style="8" hidden="1" customWidth="1"/>
    <col min="2" max="2" width="28.5703125" style="20" customWidth="1"/>
    <col min="3" max="3" width="28.140625" style="21" hidden="1" customWidth="1"/>
    <col min="4" max="4" width="58" style="22" customWidth="1"/>
    <col min="5" max="5" width="10.7109375" style="22" customWidth="1"/>
    <col min="6" max="6" width="8.5703125" style="22" customWidth="1"/>
    <col min="7" max="7" width="10.28515625" style="23" customWidth="1"/>
    <col min="8" max="8" width="11" style="24" customWidth="1"/>
    <col min="9" max="9" width="10.7109375" style="24" customWidth="1"/>
    <col min="10" max="10" width="9.28515625" style="26" customWidth="1"/>
    <col min="11" max="11" width="10.28515625" style="26" customWidth="1"/>
    <col min="12" max="12" width="11" style="26" customWidth="1"/>
    <col min="13" max="13" width="10.7109375" style="24" customWidth="1"/>
    <col min="14" max="14" width="10.42578125" style="25" customWidth="1"/>
    <col min="15" max="15" width="11.28515625" style="25" customWidth="1"/>
    <col min="16" max="16" width="11" style="25" customWidth="1"/>
    <col min="17" max="17" width="10.42578125" style="25" customWidth="1"/>
    <col min="18" max="18" width="9.42578125" style="25" customWidth="1"/>
    <col min="19" max="19" width="11.7109375" style="25" customWidth="1"/>
    <col min="20" max="20" width="11" style="25" customWidth="1"/>
    <col min="21" max="21" width="9.85546875" style="25" customWidth="1"/>
    <col min="22" max="22" width="7.7109375" style="26" customWidth="1"/>
    <col min="23" max="23" width="11" style="25" customWidth="1"/>
    <col min="24" max="24" width="10.140625" style="26" customWidth="1"/>
    <col min="25" max="25" width="9.140625" style="26" customWidth="1"/>
    <col min="26" max="26" width="11.42578125" style="26" customWidth="1"/>
    <col min="27" max="27" width="33.85546875" style="25" customWidth="1"/>
    <col min="28" max="28" width="8.85546875" style="25" customWidth="1"/>
    <col min="29" max="29" width="7.7109375" style="25" customWidth="1"/>
    <col min="30" max="30" width="33.28515625" style="25" customWidth="1"/>
    <col min="31" max="31" width="8.7109375" style="25" customWidth="1"/>
    <col min="32" max="33" width="10" style="25" customWidth="1"/>
    <col min="34" max="35" width="18" style="7" customWidth="1"/>
    <col min="36" max="36" width="24.140625" style="7" customWidth="1"/>
    <col min="37" max="37" width="52" style="7" bestFit="1" customWidth="1"/>
    <col min="38" max="38" width="9.28515625" style="7" bestFit="1" customWidth="1"/>
    <col min="39" max="39" width="9.140625" style="7"/>
    <col min="40" max="40" width="9.28515625" style="7" bestFit="1" customWidth="1"/>
    <col min="41" max="44" width="9.140625" style="7"/>
    <col min="45" max="46" width="9.140625" style="9"/>
    <col min="47" max="48" width="9.140625" style="7"/>
    <col min="49" max="52" width="9.140625" style="9"/>
    <col min="53" max="53" width="6.140625" style="9" customWidth="1"/>
    <col min="54" max="54" width="8.42578125" style="119" customWidth="1"/>
    <col min="55" max="56" width="9.140625" style="119"/>
    <col min="57" max="57" width="9" style="119" bestFit="1" customWidth="1"/>
    <col min="58" max="58" width="17.28515625" style="119" bestFit="1" customWidth="1"/>
    <col min="59" max="59" width="9.140625" style="119"/>
    <col min="60" max="62" width="31.7109375" style="120" customWidth="1"/>
    <col min="63" max="63" width="31.7109375" style="121" customWidth="1"/>
    <col min="64" max="64" width="5.140625" style="121" customWidth="1"/>
    <col min="65" max="65" width="5.42578125" style="122" customWidth="1"/>
    <col min="66" max="74" width="9.140625" style="122"/>
    <col min="75" max="81" width="9.140625" style="8"/>
    <col min="82" max="82" width="9.140625" style="8" customWidth="1"/>
    <col min="83" max="106" width="9.140625" style="8"/>
    <col min="107" max="107" width="40.7109375" style="8" customWidth="1"/>
    <col min="108" max="130" width="9.140625" style="8"/>
    <col min="131" max="131" width="40.7109375" style="8" customWidth="1"/>
    <col min="132" max="155" width="9.140625" style="8"/>
    <col min="157" max="158" width="9.140625" style="8" hidden="1" customWidth="1"/>
    <col min="159" max="159" width="0" style="8" hidden="1" customWidth="1"/>
    <col min="160" max="16384" width="9.140625" style="8"/>
  </cols>
  <sheetData>
    <row r="1" spans="1:159" s="198" customFormat="1" ht="30" customHeight="1" x14ac:dyDescent="0.2">
      <c r="A1" s="186"/>
      <c r="B1" s="205"/>
      <c r="C1" s="190"/>
      <c r="D1" s="192"/>
      <c r="E1" s="263" t="s">
        <v>19</v>
      </c>
      <c r="F1" s="264"/>
      <c r="G1" s="264"/>
      <c r="H1" s="265"/>
      <c r="I1" s="263" t="s">
        <v>20</v>
      </c>
      <c r="J1" s="264"/>
      <c r="K1" s="264"/>
      <c r="L1" s="265"/>
      <c r="M1" s="263" t="s">
        <v>21</v>
      </c>
      <c r="N1" s="264"/>
      <c r="O1" s="264"/>
      <c r="P1" s="265"/>
      <c r="Q1" s="263" t="s">
        <v>22</v>
      </c>
      <c r="R1" s="264"/>
      <c r="S1" s="264"/>
      <c r="T1" s="265"/>
      <c r="U1" s="263" t="s">
        <v>23</v>
      </c>
      <c r="V1" s="264"/>
      <c r="W1" s="265"/>
      <c r="X1" s="278" t="s">
        <v>24</v>
      </c>
      <c r="Y1" s="276" t="s">
        <v>25</v>
      </c>
      <c r="Z1" s="276" t="s">
        <v>26</v>
      </c>
      <c r="AA1" s="261" t="s">
        <v>27</v>
      </c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5"/>
      <c r="AQ1" s="195"/>
      <c r="AR1" s="194"/>
      <c r="AS1" s="194"/>
      <c r="AT1" s="195"/>
      <c r="AU1" s="195"/>
      <c r="AV1" s="195"/>
      <c r="AW1" s="195"/>
      <c r="AX1" s="194"/>
      <c r="AY1" s="155"/>
      <c r="AZ1" s="155"/>
      <c r="BA1" s="156"/>
      <c r="BB1" s="155"/>
      <c r="BC1" s="155"/>
      <c r="BD1" s="155"/>
      <c r="BE1" s="206"/>
      <c r="BF1" s="206"/>
      <c r="BG1" s="206"/>
      <c r="BH1" s="207"/>
      <c r="BI1" s="207"/>
      <c r="BJ1" s="157"/>
      <c r="BK1" s="157"/>
      <c r="BL1" s="157"/>
      <c r="BM1" s="157"/>
      <c r="BN1" s="157"/>
      <c r="BO1" s="157"/>
      <c r="BP1" s="157"/>
      <c r="BQ1" s="157"/>
      <c r="BR1" s="157"/>
      <c r="BS1" s="157"/>
      <c r="EZ1" s="199"/>
    </row>
    <row r="2" spans="1:159" s="200" customFormat="1" ht="102" customHeight="1" x14ac:dyDescent="0.2">
      <c r="A2" s="187" t="s">
        <v>52</v>
      </c>
      <c r="B2" s="208" t="s">
        <v>17</v>
      </c>
      <c r="C2" s="191" t="s">
        <v>53</v>
      </c>
      <c r="D2" s="209" t="s">
        <v>18</v>
      </c>
      <c r="E2" s="210" t="s">
        <v>28</v>
      </c>
      <c r="F2" s="211" t="s">
        <v>29</v>
      </c>
      <c r="G2" s="212" t="s">
        <v>30</v>
      </c>
      <c r="H2" s="213" t="s">
        <v>54</v>
      </c>
      <c r="I2" s="210" t="s">
        <v>28</v>
      </c>
      <c r="J2" s="211" t="s">
        <v>29</v>
      </c>
      <c r="K2" s="214" t="s">
        <v>30</v>
      </c>
      <c r="L2" s="213" t="s">
        <v>54</v>
      </c>
      <c r="M2" s="210" t="s">
        <v>28</v>
      </c>
      <c r="N2" s="211" t="s">
        <v>29</v>
      </c>
      <c r="O2" s="212" t="s">
        <v>30</v>
      </c>
      <c r="P2" s="215" t="s">
        <v>54</v>
      </c>
      <c r="Q2" s="216" t="s">
        <v>28</v>
      </c>
      <c r="R2" s="217" t="s">
        <v>29</v>
      </c>
      <c r="S2" s="212" t="s">
        <v>30</v>
      </c>
      <c r="T2" s="213" t="s">
        <v>54</v>
      </c>
      <c r="U2" s="216" t="s">
        <v>28</v>
      </c>
      <c r="V2" s="217" t="s">
        <v>29</v>
      </c>
      <c r="W2" s="213" t="s">
        <v>54</v>
      </c>
      <c r="X2" s="279"/>
      <c r="Y2" s="277"/>
      <c r="Z2" s="277"/>
      <c r="AA2" s="262"/>
      <c r="AB2" s="195"/>
      <c r="AC2" s="195"/>
      <c r="AD2" s="195"/>
      <c r="AE2" s="195"/>
      <c r="AF2" s="195"/>
      <c r="AG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56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  <c r="BL2" s="167"/>
      <c r="BM2" s="167"/>
      <c r="BN2" s="167"/>
      <c r="BO2" s="167"/>
      <c r="BP2" s="167"/>
      <c r="BQ2" s="167"/>
      <c r="BR2" s="167"/>
      <c r="BS2" s="167"/>
    </row>
    <row r="3" spans="1:159" s="200" customFormat="1" ht="24.75" customHeight="1" x14ac:dyDescent="0.2">
      <c r="A3" s="137"/>
      <c r="B3" s="148"/>
      <c r="C3" s="151"/>
      <c r="D3" s="33"/>
      <c r="E3" s="220"/>
      <c r="F3" s="221"/>
      <c r="G3" s="221"/>
      <c r="H3" s="222"/>
      <c r="I3" s="220"/>
      <c r="J3" s="223"/>
      <c r="K3" s="221"/>
      <c r="L3" s="224"/>
      <c r="M3" s="220"/>
      <c r="N3" s="221"/>
      <c r="O3" s="221"/>
      <c r="P3" s="222"/>
      <c r="Q3" s="225"/>
      <c r="R3" s="226"/>
      <c r="S3" s="226"/>
      <c r="T3" s="226"/>
      <c r="U3" s="225"/>
      <c r="V3" s="226"/>
      <c r="W3" s="226"/>
      <c r="X3" s="227"/>
      <c r="Y3" s="168">
        <f>IF(ISBLANK(U3),IF(ISBLANK(Q3),IF(ISBLANK(M3),IF(ISBLANK(I3),IF(ISBLANK(E3),0,$E$142),$I$142),$M$142),$Q$142),$U$142)</f>
        <v>0</v>
      </c>
      <c r="Z3" s="168">
        <f t="shared" ref="Z3:Z40" si="0">IF(ISBLANK(X3),IF(ISBLANK(R3),IF(ISBLANK(N3),IF(ISBLANK(J3),IF(ISBLANK(F3),0,$F$142),$J$142),$N$142),$R$142),$X$142)</f>
        <v>0</v>
      </c>
      <c r="AA3" s="169"/>
      <c r="AB3" s="195"/>
      <c r="AC3" s="195"/>
      <c r="AD3" s="195"/>
      <c r="AE3" s="195"/>
      <c r="AF3" s="195"/>
      <c r="AG3" s="195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  <c r="BL3" s="167"/>
      <c r="BM3" s="167"/>
      <c r="BN3" s="167"/>
      <c r="BO3" s="167"/>
      <c r="BP3" s="167"/>
      <c r="BQ3" s="167"/>
      <c r="BR3" s="167"/>
      <c r="BS3" s="167"/>
      <c r="CZ3" s="198"/>
      <c r="FC3" s="200" t="str">
        <f t="shared" ref="FC3:FC34" si="1">IF(EY3="","I",EY3)</f>
        <v>I</v>
      </c>
    </row>
    <row r="4" spans="1:159" s="200" customFormat="1" ht="24.75" customHeight="1" x14ac:dyDescent="0.2">
      <c r="A4" s="136"/>
      <c r="B4" s="145"/>
      <c r="C4" s="151"/>
      <c r="D4" s="33"/>
      <c r="E4" s="220"/>
      <c r="F4" s="221"/>
      <c r="G4" s="221"/>
      <c r="H4" s="222"/>
      <c r="I4" s="220"/>
      <c r="J4" s="223"/>
      <c r="K4" s="221"/>
      <c r="L4" s="224"/>
      <c r="M4" s="220"/>
      <c r="N4" s="221"/>
      <c r="O4" s="221"/>
      <c r="P4" s="222"/>
      <c r="Q4" s="225"/>
      <c r="R4" s="226"/>
      <c r="S4" s="226"/>
      <c r="T4" s="226"/>
      <c r="U4" s="225"/>
      <c r="V4" s="226"/>
      <c r="W4" s="226"/>
      <c r="X4" s="227"/>
      <c r="Y4" s="168">
        <f>IF(ISBLANK(U4),IF(ISBLANK(Q4),IF(ISBLANK(M4),IF(ISBLANK(I4),IF(ISBLANK(E4),0,$E$142),$I$142),$M$142),$Q$142),$U$142)</f>
        <v>0</v>
      </c>
      <c r="Z4" s="168">
        <f t="shared" si="0"/>
        <v>0</v>
      </c>
      <c r="AA4" s="169"/>
      <c r="AB4" s="195"/>
      <c r="AC4" s="195"/>
      <c r="AD4" s="195"/>
      <c r="AE4" s="195"/>
      <c r="AF4" s="195"/>
      <c r="AG4" s="195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CZ4" s="198"/>
      <c r="FC4" s="200" t="str">
        <f t="shared" si="1"/>
        <v>I</v>
      </c>
    </row>
    <row r="5" spans="1:159" s="200" customFormat="1" ht="24.75" customHeight="1" x14ac:dyDescent="0.2">
      <c r="A5" s="136"/>
      <c r="B5" s="145"/>
      <c r="C5" s="151"/>
      <c r="D5" s="33"/>
      <c r="E5" s="220"/>
      <c r="F5" s="221"/>
      <c r="G5" s="221"/>
      <c r="H5" s="222"/>
      <c r="I5" s="220"/>
      <c r="J5" s="223"/>
      <c r="K5" s="221"/>
      <c r="L5" s="224"/>
      <c r="M5" s="220"/>
      <c r="N5" s="221"/>
      <c r="O5" s="221"/>
      <c r="P5" s="222"/>
      <c r="Q5" s="225"/>
      <c r="R5" s="226"/>
      <c r="S5" s="226"/>
      <c r="T5" s="226"/>
      <c r="U5" s="225"/>
      <c r="V5" s="226"/>
      <c r="W5" s="226"/>
      <c r="X5" s="227"/>
      <c r="Y5" s="168">
        <f>IF(ISBLANK(U5),IF(ISBLANK(Q5),IF(ISBLANK(M5),IF(ISBLANK(I5),IF(ISBLANK(E5),0,$E$142),$I$142),$M$142),$Q$142),$U$142)</f>
        <v>0</v>
      </c>
      <c r="Z5" s="168">
        <f t="shared" si="0"/>
        <v>0</v>
      </c>
      <c r="AA5" s="169"/>
      <c r="AB5" s="218"/>
      <c r="AC5" s="195"/>
      <c r="AD5" s="195"/>
      <c r="AE5" s="195"/>
      <c r="AF5" s="195"/>
      <c r="AG5" s="195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7"/>
      <c r="BL5" s="167"/>
      <c r="BM5" s="167"/>
      <c r="BN5" s="167"/>
      <c r="BO5" s="167"/>
      <c r="BP5" s="167"/>
      <c r="BQ5" s="167"/>
      <c r="BR5" s="167"/>
      <c r="BS5" s="167"/>
      <c r="CZ5" s="198"/>
      <c r="FC5" s="200" t="str">
        <f t="shared" si="1"/>
        <v>I</v>
      </c>
    </row>
    <row r="6" spans="1:159" s="200" customFormat="1" ht="24.75" customHeight="1" x14ac:dyDescent="0.2">
      <c r="A6" s="136"/>
      <c r="B6" s="145"/>
      <c r="C6" s="151"/>
      <c r="D6" s="33"/>
      <c r="E6" s="220"/>
      <c r="F6" s="221"/>
      <c r="G6" s="221"/>
      <c r="H6" s="222"/>
      <c r="I6" s="220"/>
      <c r="J6" s="223"/>
      <c r="K6" s="221"/>
      <c r="L6" s="224"/>
      <c r="M6" s="220"/>
      <c r="N6" s="221"/>
      <c r="O6" s="221"/>
      <c r="P6" s="222"/>
      <c r="Q6" s="225"/>
      <c r="R6" s="226"/>
      <c r="S6" s="226"/>
      <c r="T6" s="226"/>
      <c r="U6" s="225"/>
      <c r="V6" s="226"/>
      <c r="W6" s="226"/>
      <c r="X6" s="227"/>
      <c r="Y6" s="168">
        <f>IF(ISBLANK(U6),IF(ISBLANK(Q6),IF(ISBLANK(M6),IF(ISBLANK(I6),IF(ISBLANK(E6),0,$E$142),$I$142),$M$142),$Q$142),$U$142)</f>
        <v>0</v>
      </c>
      <c r="Z6" s="168">
        <f t="shared" si="0"/>
        <v>0</v>
      </c>
      <c r="AA6" s="169"/>
      <c r="AB6" s="218"/>
      <c r="AC6" s="195"/>
      <c r="AD6" s="195"/>
      <c r="AE6" s="195"/>
      <c r="AF6" s="195"/>
      <c r="AG6" s="195"/>
      <c r="AY6" s="167"/>
      <c r="AZ6" s="167"/>
      <c r="BA6" s="167"/>
      <c r="BB6" s="167"/>
      <c r="BC6" s="167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CZ6" s="198"/>
      <c r="FC6" s="200" t="str">
        <f t="shared" si="1"/>
        <v>I</v>
      </c>
    </row>
    <row r="7" spans="1:159" s="200" customFormat="1" ht="24.75" customHeight="1" x14ac:dyDescent="0.2">
      <c r="A7" s="136"/>
      <c r="B7" s="145"/>
      <c r="C7" s="151"/>
      <c r="D7" s="33"/>
      <c r="E7" s="220"/>
      <c r="F7" s="221"/>
      <c r="G7" s="221"/>
      <c r="H7" s="222"/>
      <c r="I7" s="220"/>
      <c r="J7" s="223"/>
      <c r="K7" s="221"/>
      <c r="L7" s="224"/>
      <c r="M7" s="220"/>
      <c r="N7" s="221"/>
      <c r="O7" s="221"/>
      <c r="P7" s="222"/>
      <c r="Q7" s="225"/>
      <c r="R7" s="226"/>
      <c r="S7" s="226"/>
      <c r="T7" s="226"/>
      <c r="U7" s="225"/>
      <c r="V7" s="226"/>
      <c r="W7" s="226"/>
      <c r="X7" s="227"/>
      <c r="Y7" s="168">
        <f>IF(ISBLANK(W7),IF(ISBLANK(Q7),IF(ISBLANK(M7),IF(ISBLANK(I7),IF(ISBLANK(E7),0,$F$142),$J$142),$N$142),$R$142),$X$142)</f>
        <v>0</v>
      </c>
      <c r="Z7" s="168">
        <f t="shared" si="0"/>
        <v>0</v>
      </c>
      <c r="AA7" s="169"/>
      <c r="AB7" s="218"/>
      <c r="AC7" s="195"/>
      <c r="AD7" s="195"/>
      <c r="AE7" s="195"/>
      <c r="AF7" s="195"/>
      <c r="AG7" s="195"/>
      <c r="AY7" s="167"/>
      <c r="AZ7" s="167"/>
      <c r="BA7" s="167"/>
      <c r="BB7" s="167"/>
      <c r="BC7" s="167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CZ7" s="198"/>
      <c r="FC7" s="200" t="str">
        <f t="shared" si="1"/>
        <v>I</v>
      </c>
    </row>
    <row r="8" spans="1:159" s="200" customFormat="1" ht="24.75" customHeight="1" x14ac:dyDescent="0.2">
      <c r="A8" s="136"/>
      <c r="B8" s="145"/>
      <c r="C8" s="151"/>
      <c r="D8" s="33"/>
      <c r="E8" s="220"/>
      <c r="F8" s="221"/>
      <c r="G8" s="221"/>
      <c r="H8" s="222"/>
      <c r="I8" s="220"/>
      <c r="J8" s="223"/>
      <c r="K8" s="221"/>
      <c r="L8" s="224"/>
      <c r="M8" s="220"/>
      <c r="N8" s="221"/>
      <c r="O8" s="221"/>
      <c r="P8" s="222"/>
      <c r="Q8" s="225"/>
      <c r="R8" s="226"/>
      <c r="S8" s="226"/>
      <c r="T8" s="226"/>
      <c r="U8" s="225"/>
      <c r="V8" s="226"/>
      <c r="W8" s="226"/>
      <c r="X8" s="227"/>
      <c r="Y8" s="168">
        <f>IF(ISBLANK(W8),IF(ISBLANK(Q8),IF(ISBLANK(M8),IF(ISBLANK(I8),IF(ISBLANK(E8),0,$F$142),$J$142),$N$142),$R$142),$X$142)</f>
        <v>0</v>
      </c>
      <c r="Z8" s="168">
        <f t="shared" si="0"/>
        <v>0</v>
      </c>
      <c r="AA8" s="169"/>
      <c r="AB8" s="218"/>
      <c r="AC8" s="195"/>
      <c r="AD8" s="195"/>
      <c r="AE8" s="195"/>
      <c r="AF8" s="195"/>
      <c r="AG8" s="195"/>
      <c r="AY8" s="167"/>
      <c r="AZ8" s="167"/>
      <c r="BA8" s="167"/>
      <c r="BB8" s="167"/>
      <c r="BC8" s="167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CZ8" s="198"/>
      <c r="FC8" s="200" t="str">
        <f t="shared" si="1"/>
        <v>I</v>
      </c>
    </row>
    <row r="9" spans="1:159" s="200" customFormat="1" ht="24.75" customHeight="1" x14ac:dyDescent="0.2">
      <c r="A9" s="136"/>
      <c r="B9" s="145"/>
      <c r="C9" s="151"/>
      <c r="D9" s="33"/>
      <c r="E9" s="220"/>
      <c r="F9" s="221"/>
      <c r="G9" s="221"/>
      <c r="H9" s="222"/>
      <c r="I9" s="220"/>
      <c r="J9" s="223"/>
      <c r="K9" s="221"/>
      <c r="L9" s="224"/>
      <c r="M9" s="220"/>
      <c r="N9" s="221"/>
      <c r="O9" s="221"/>
      <c r="P9" s="222"/>
      <c r="Q9" s="225"/>
      <c r="R9" s="226"/>
      <c r="S9" s="226"/>
      <c r="T9" s="226"/>
      <c r="U9" s="225"/>
      <c r="V9" s="226"/>
      <c r="W9" s="226"/>
      <c r="X9" s="227"/>
      <c r="Y9" s="168">
        <f>IF(ISBLANK(W9),IF(ISBLANK(Q9),IF(ISBLANK(M9),IF(ISBLANK(I9),IF(ISBLANK(E9),0,$F$142),$J$142),$N$142),$R$142),$X$142)</f>
        <v>0</v>
      </c>
      <c r="Z9" s="168">
        <f t="shared" si="0"/>
        <v>0</v>
      </c>
      <c r="AA9" s="169"/>
      <c r="AB9" s="218"/>
      <c r="AC9" s="195"/>
      <c r="AD9" s="195"/>
      <c r="AE9" s="195"/>
      <c r="AF9" s="195"/>
      <c r="AG9" s="195"/>
      <c r="AY9" s="167"/>
      <c r="AZ9" s="167"/>
      <c r="BA9" s="167"/>
      <c r="BB9" s="167"/>
      <c r="BC9" s="167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CZ9" s="198"/>
      <c r="FC9" s="200" t="str">
        <f t="shared" si="1"/>
        <v>I</v>
      </c>
    </row>
    <row r="10" spans="1:159" s="200" customFormat="1" ht="24.75" customHeight="1" x14ac:dyDescent="0.2">
      <c r="A10" s="136"/>
      <c r="B10" s="145"/>
      <c r="C10" s="151"/>
      <c r="D10" s="33"/>
      <c r="E10" s="220"/>
      <c r="F10" s="221"/>
      <c r="G10" s="221"/>
      <c r="H10" s="222"/>
      <c r="I10" s="220"/>
      <c r="J10" s="223"/>
      <c r="K10" s="221"/>
      <c r="L10" s="224"/>
      <c r="M10" s="220"/>
      <c r="N10" s="221"/>
      <c r="O10" s="221"/>
      <c r="P10" s="222"/>
      <c r="Q10" s="225"/>
      <c r="R10" s="226"/>
      <c r="S10" s="226"/>
      <c r="T10" s="226"/>
      <c r="U10" s="225"/>
      <c r="V10" s="226"/>
      <c r="W10" s="226"/>
      <c r="X10" s="227"/>
      <c r="Y10" s="168">
        <f>IF(ISBLANK(W10),IF(ISBLANK(Q10),IF(ISBLANK(M10),IF(ISBLANK(I10),IF(ISBLANK(E10),0,$F$142),$J$142),$N$142),$R$142),$X$142)</f>
        <v>0</v>
      </c>
      <c r="Z10" s="168">
        <f t="shared" si="0"/>
        <v>0</v>
      </c>
      <c r="AA10" s="169"/>
      <c r="AB10" s="218"/>
      <c r="AC10" s="195"/>
      <c r="AD10" s="195"/>
      <c r="AE10" s="195"/>
      <c r="AF10" s="195"/>
      <c r="AG10" s="195"/>
      <c r="AY10" s="167"/>
      <c r="AZ10" s="167"/>
      <c r="BA10" s="167"/>
      <c r="BB10" s="167"/>
      <c r="BC10" s="167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CZ10" s="198"/>
      <c r="FC10" s="200" t="str">
        <f t="shared" si="1"/>
        <v>I</v>
      </c>
    </row>
    <row r="11" spans="1:159" s="200" customFormat="1" ht="24.75" customHeight="1" x14ac:dyDescent="0.2">
      <c r="A11" s="136"/>
      <c r="B11" s="145"/>
      <c r="C11" s="151"/>
      <c r="D11" s="33"/>
      <c r="E11" s="220"/>
      <c r="F11" s="221"/>
      <c r="G11" s="221"/>
      <c r="H11" s="222"/>
      <c r="I11" s="220"/>
      <c r="J11" s="223"/>
      <c r="K11" s="221"/>
      <c r="L11" s="224"/>
      <c r="M11" s="220"/>
      <c r="N11" s="221"/>
      <c r="O11" s="221"/>
      <c r="P11" s="222"/>
      <c r="Q11" s="225"/>
      <c r="R11" s="226"/>
      <c r="S11" s="226"/>
      <c r="T11" s="226"/>
      <c r="U11" s="225"/>
      <c r="V11" s="226"/>
      <c r="W11" s="226"/>
      <c r="X11" s="227"/>
      <c r="Y11" s="168">
        <f>IF(ISBLANK(W11),IF(ISBLANK(Q11),IF(ISBLANK(M11),IF(ISBLANK(I11),IF(ISBLANK(E11),0,$F$142),$J$142),$N$142),$R$142),$X$142)</f>
        <v>0</v>
      </c>
      <c r="Z11" s="168">
        <f t="shared" si="0"/>
        <v>0</v>
      </c>
      <c r="AA11" s="169"/>
      <c r="AB11" s="218"/>
      <c r="AC11" s="195"/>
      <c r="AD11" s="195"/>
      <c r="AE11" s="195"/>
      <c r="AF11" s="195"/>
      <c r="AG11" s="195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CZ11" s="198"/>
      <c r="FC11" s="200" t="str">
        <f t="shared" si="1"/>
        <v>I</v>
      </c>
    </row>
    <row r="12" spans="1:159" s="200" customFormat="1" ht="24.75" customHeight="1" x14ac:dyDescent="0.2">
      <c r="A12" s="136"/>
      <c r="B12" s="145"/>
      <c r="C12" s="151"/>
      <c r="D12" s="33"/>
      <c r="E12" s="220"/>
      <c r="F12" s="221"/>
      <c r="G12" s="221"/>
      <c r="H12" s="222"/>
      <c r="I12" s="220"/>
      <c r="J12" s="223"/>
      <c r="K12" s="221"/>
      <c r="L12" s="224"/>
      <c r="M12" s="220"/>
      <c r="N12" s="221"/>
      <c r="O12" s="221"/>
      <c r="P12" s="222"/>
      <c r="Q12" s="225"/>
      <c r="R12" s="226"/>
      <c r="S12" s="226"/>
      <c r="T12" s="226"/>
      <c r="U12" s="225"/>
      <c r="V12" s="226"/>
      <c r="W12" s="226"/>
      <c r="X12" s="227"/>
      <c r="Y12" s="168">
        <f t="shared" ref="Y12:Y43" si="2">IF(ISBLANK(U12),IF(ISBLANK(Q12),IF(ISBLANK(M12),IF(ISBLANK(I12),IF(ISBLANK(E12),0,$E$142),$I$142),$M$142),$Q$142),$U$142)</f>
        <v>0</v>
      </c>
      <c r="Z12" s="168">
        <f t="shared" si="0"/>
        <v>0</v>
      </c>
      <c r="AA12" s="169"/>
      <c r="AB12" s="218"/>
      <c r="AC12" s="195"/>
      <c r="AD12" s="195"/>
      <c r="AE12" s="195"/>
      <c r="AF12" s="195"/>
      <c r="AG12" s="195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CZ12" s="198"/>
      <c r="FC12" s="200" t="str">
        <f t="shared" si="1"/>
        <v>I</v>
      </c>
    </row>
    <row r="13" spans="1:159" s="200" customFormat="1" ht="24.75" customHeight="1" x14ac:dyDescent="0.2">
      <c r="A13" s="136"/>
      <c r="B13" s="145"/>
      <c r="C13" s="151"/>
      <c r="D13" s="33"/>
      <c r="E13" s="220"/>
      <c r="F13" s="221"/>
      <c r="G13" s="221"/>
      <c r="H13" s="222"/>
      <c r="I13" s="220"/>
      <c r="J13" s="223"/>
      <c r="K13" s="221"/>
      <c r="L13" s="224"/>
      <c r="M13" s="220"/>
      <c r="N13" s="221"/>
      <c r="O13" s="221"/>
      <c r="P13" s="222"/>
      <c r="Q13" s="225"/>
      <c r="R13" s="226"/>
      <c r="S13" s="226"/>
      <c r="T13" s="226"/>
      <c r="U13" s="225"/>
      <c r="V13" s="226"/>
      <c r="W13" s="226"/>
      <c r="X13" s="227"/>
      <c r="Y13" s="168">
        <f t="shared" si="2"/>
        <v>0</v>
      </c>
      <c r="Z13" s="168">
        <f t="shared" si="0"/>
        <v>0</v>
      </c>
      <c r="AA13" s="169"/>
      <c r="AB13" s="218"/>
      <c r="AC13" s="195"/>
      <c r="AD13" s="195"/>
      <c r="AE13" s="195"/>
      <c r="AF13" s="195"/>
      <c r="AG13" s="195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CZ13" s="198"/>
      <c r="FC13" s="200" t="str">
        <f t="shared" si="1"/>
        <v>I</v>
      </c>
    </row>
    <row r="14" spans="1:159" s="200" customFormat="1" ht="24.75" customHeight="1" x14ac:dyDescent="0.2">
      <c r="A14" s="136"/>
      <c r="B14" s="145"/>
      <c r="C14" s="151"/>
      <c r="D14" s="33"/>
      <c r="E14" s="220"/>
      <c r="F14" s="221"/>
      <c r="G14" s="221"/>
      <c r="H14" s="222"/>
      <c r="I14" s="220"/>
      <c r="J14" s="223"/>
      <c r="K14" s="221"/>
      <c r="L14" s="224"/>
      <c r="M14" s="220"/>
      <c r="N14" s="221"/>
      <c r="O14" s="221"/>
      <c r="P14" s="222"/>
      <c r="Q14" s="225"/>
      <c r="R14" s="226"/>
      <c r="S14" s="226"/>
      <c r="T14" s="226"/>
      <c r="U14" s="225"/>
      <c r="V14" s="226"/>
      <c r="W14" s="226"/>
      <c r="X14" s="227"/>
      <c r="Y14" s="168">
        <f t="shared" si="2"/>
        <v>0</v>
      </c>
      <c r="Z14" s="168">
        <f t="shared" si="0"/>
        <v>0</v>
      </c>
      <c r="AA14" s="169"/>
      <c r="AB14" s="218"/>
      <c r="AC14" s="195"/>
      <c r="AD14" s="195"/>
      <c r="AE14" s="195"/>
      <c r="AF14" s="195"/>
      <c r="AG14" s="195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CZ14" s="198"/>
      <c r="FC14" s="200" t="str">
        <f t="shared" si="1"/>
        <v>I</v>
      </c>
    </row>
    <row r="15" spans="1:159" s="200" customFormat="1" ht="24.75" customHeight="1" x14ac:dyDescent="0.2">
      <c r="A15" s="136"/>
      <c r="B15" s="145"/>
      <c r="C15" s="151"/>
      <c r="D15" s="33"/>
      <c r="E15" s="220"/>
      <c r="F15" s="221"/>
      <c r="G15" s="221"/>
      <c r="H15" s="222"/>
      <c r="I15" s="220"/>
      <c r="J15" s="223"/>
      <c r="K15" s="221"/>
      <c r="L15" s="224"/>
      <c r="M15" s="220"/>
      <c r="N15" s="221"/>
      <c r="O15" s="221"/>
      <c r="P15" s="222"/>
      <c r="Q15" s="225"/>
      <c r="R15" s="226"/>
      <c r="S15" s="226"/>
      <c r="T15" s="226"/>
      <c r="U15" s="225"/>
      <c r="V15" s="226"/>
      <c r="W15" s="226"/>
      <c r="X15" s="227"/>
      <c r="Y15" s="168">
        <f t="shared" si="2"/>
        <v>0</v>
      </c>
      <c r="Z15" s="168">
        <f t="shared" si="0"/>
        <v>0</v>
      </c>
      <c r="AA15" s="169"/>
      <c r="AB15" s="218"/>
      <c r="AC15" s="195"/>
      <c r="AD15" s="195"/>
      <c r="AE15" s="195"/>
      <c r="AF15" s="195"/>
      <c r="AG15" s="195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CZ15" s="198"/>
      <c r="FC15" s="200" t="str">
        <f t="shared" si="1"/>
        <v>I</v>
      </c>
    </row>
    <row r="16" spans="1:159" s="200" customFormat="1" ht="24.75" customHeight="1" x14ac:dyDescent="0.2">
      <c r="A16" s="136"/>
      <c r="B16" s="145"/>
      <c r="C16" s="151"/>
      <c r="D16" s="33"/>
      <c r="E16" s="220"/>
      <c r="F16" s="221"/>
      <c r="G16" s="221"/>
      <c r="H16" s="222"/>
      <c r="I16" s="220"/>
      <c r="J16" s="223"/>
      <c r="K16" s="221"/>
      <c r="L16" s="224"/>
      <c r="M16" s="220"/>
      <c r="N16" s="221"/>
      <c r="O16" s="221"/>
      <c r="P16" s="222"/>
      <c r="Q16" s="225"/>
      <c r="R16" s="226"/>
      <c r="S16" s="226"/>
      <c r="T16" s="226"/>
      <c r="U16" s="225"/>
      <c r="V16" s="226"/>
      <c r="W16" s="226"/>
      <c r="X16" s="227"/>
      <c r="Y16" s="168">
        <f t="shared" si="2"/>
        <v>0</v>
      </c>
      <c r="Z16" s="168">
        <f t="shared" si="0"/>
        <v>0</v>
      </c>
      <c r="AA16" s="169"/>
      <c r="AB16" s="218"/>
      <c r="AC16" s="195"/>
      <c r="AD16" s="195"/>
      <c r="AE16" s="195"/>
      <c r="AF16" s="195"/>
      <c r="AG16" s="195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CZ16" s="198"/>
      <c r="FC16" s="200" t="str">
        <f t="shared" si="1"/>
        <v>I</v>
      </c>
    </row>
    <row r="17" spans="1:159" s="200" customFormat="1" ht="24.75" customHeight="1" x14ac:dyDescent="0.2">
      <c r="A17" s="136"/>
      <c r="B17" s="145"/>
      <c r="C17" s="151"/>
      <c r="D17" s="33"/>
      <c r="E17" s="220"/>
      <c r="F17" s="221"/>
      <c r="G17" s="221"/>
      <c r="H17" s="222"/>
      <c r="I17" s="220"/>
      <c r="J17" s="223"/>
      <c r="K17" s="221"/>
      <c r="L17" s="224"/>
      <c r="M17" s="220"/>
      <c r="N17" s="221"/>
      <c r="O17" s="221"/>
      <c r="P17" s="222"/>
      <c r="Q17" s="225"/>
      <c r="R17" s="226"/>
      <c r="S17" s="226"/>
      <c r="T17" s="226"/>
      <c r="U17" s="225"/>
      <c r="V17" s="226"/>
      <c r="W17" s="226"/>
      <c r="X17" s="227"/>
      <c r="Y17" s="168">
        <f t="shared" si="2"/>
        <v>0</v>
      </c>
      <c r="Z17" s="168">
        <f t="shared" si="0"/>
        <v>0</v>
      </c>
      <c r="AA17" s="169"/>
      <c r="AB17" s="218"/>
      <c r="AC17" s="195"/>
      <c r="AD17" s="195"/>
      <c r="AE17" s="195"/>
      <c r="AF17" s="195"/>
      <c r="AG17" s="195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CZ17" s="198"/>
      <c r="FC17" s="200" t="str">
        <f t="shared" si="1"/>
        <v>I</v>
      </c>
    </row>
    <row r="18" spans="1:159" s="200" customFormat="1" ht="24.75" customHeight="1" x14ac:dyDescent="0.2">
      <c r="A18" s="136"/>
      <c r="B18" s="145"/>
      <c r="C18" s="151"/>
      <c r="D18" s="33"/>
      <c r="E18" s="220"/>
      <c r="F18" s="221"/>
      <c r="G18" s="221"/>
      <c r="H18" s="222"/>
      <c r="I18" s="220"/>
      <c r="J18" s="223"/>
      <c r="K18" s="221"/>
      <c r="L18" s="224"/>
      <c r="M18" s="220"/>
      <c r="N18" s="221"/>
      <c r="O18" s="221"/>
      <c r="P18" s="222"/>
      <c r="Q18" s="225"/>
      <c r="R18" s="226"/>
      <c r="S18" s="226"/>
      <c r="T18" s="226"/>
      <c r="U18" s="225"/>
      <c r="V18" s="226"/>
      <c r="W18" s="226"/>
      <c r="X18" s="227"/>
      <c r="Y18" s="168">
        <f t="shared" si="2"/>
        <v>0</v>
      </c>
      <c r="Z18" s="168">
        <f t="shared" si="0"/>
        <v>0</v>
      </c>
      <c r="AA18" s="169"/>
      <c r="AB18" s="218"/>
      <c r="AC18" s="195"/>
      <c r="AD18" s="195"/>
      <c r="AE18" s="195"/>
      <c r="AF18" s="195"/>
      <c r="AG18" s="195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CZ18" s="198"/>
      <c r="FC18" s="200" t="str">
        <f t="shared" si="1"/>
        <v>I</v>
      </c>
    </row>
    <row r="19" spans="1:159" s="200" customFormat="1" ht="24.75" customHeight="1" x14ac:dyDescent="0.2">
      <c r="A19" s="136"/>
      <c r="B19" s="145"/>
      <c r="C19" s="151"/>
      <c r="D19" s="33"/>
      <c r="E19" s="220"/>
      <c r="F19" s="221"/>
      <c r="G19" s="221"/>
      <c r="H19" s="222"/>
      <c r="I19" s="220"/>
      <c r="J19" s="223"/>
      <c r="K19" s="221"/>
      <c r="L19" s="224"/>
      <c r="M19" s="220"/>
      <c r="N19" s="221"/>
      <c r="O19" s="221"/>
      <c r="P19" s="222"/>
      <c r="Q19" s="225"/>
      <c r="R19" s="226"/>
      <c r="S19" s="226"/>
      <c r="T19" s="226"/>
      <c r="U19" s="225"/>
      <c r="V19" s="226"/>
      <c r="W19" s="226"/>
      <c r="X19" s="227"/>
      <c r="Y19" s="168">
        <f t="shared" si="2"/>
        <v>0</v>
      </c>
      <c r="Z19" s="168">
        <f t="shared" si="0"/>
        <v>0</v>
      </c>
      <c r="AA19" s="169"/>
      <c r="AB19" s="218"/>
      <c r="AC19" s="195"/>
      <c r="AD19" s="195"/>
      <c r="AE19" s="195"/>
      <c r="AF19" s="195"/>
      <c r="AG19" s="195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CZ19" s="198"/>
      <c r="FC19" s="200" t="str">
        <f t="shared" si="1"/>
        <v>I</v>
      </c>
    </row>
    <row r="20" spans="1:159" s="200" customFormat="1" ht="24.75" customHeight="1" x14ac:dyDescent="0.2">
      <c r="A20" s="136"/>
      <c r="B20" s="145"/>
      <c r="C20" s="151"/>
      <c r="D20" s="33"/>
      <c r="E20" s="220"/>
      <c r="F20" s="221"/>
      <c r="G20" s="221"/>
      <c r="H20" s="222"/>
      <c r="I20" s="220"/>
      <c r="J20" s="223"/>
      <c r="K20" s="221"/>
      <c r="L20" s="224"/>
      <c r="M20" s="220"/>
      <c r="N20" s="221"/>
      <c r="O20" s="221"/>
      <c r="P20" s="222"/>
      <c r="Q20" s="225"/>
      <c r="R20" s="226"/>
      <c r="S20" s="226"/>
      <c r="T20" s="226"/>
      <c r="U20" s="225"/>
      <c r="V20" s="226"/>
      <c r="W20" s="226"/>
      <c r="X20" s="227"/>
      <c r="Y20" s="168">
        <f t="shared" si="2"/>
        <v>0</v>
      </c>
      <c r="Z20" s="168">
        <f t="shared" si="0"/>
        <v>0</v>
      </c>
      <c r="AA20" s="169"/>
      <c r="AB20" s="218"/>
      <c r="AC20" s="195"/>
      <c r="AD20" s="195"/>
      <c r="AE20" s="195"/>
      <c r="AF20" s="195"/>
      <c r="AG20" s="195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CZ20" s="198"/>
      <c r="FC20" s="200" t="str">
        <f t="shared" si="1"/>
        <v>I</v>
      </c>
    </row>
    <row r="21" spans="1:159" s="200" customFormat="1" ht="24.75" customHeight="1" x14ac:dyDescent="0.2">
      <c r="A21" s="136"/>
      <c r="B21" s="145"/>
      <c r="C21" s="151"/>
      <c r="D21" s="33"/>
      <c r="E21" s="220"/>
      <c r="F21" s="221"/>
      <c r="G21" s="221"/>
      <c r="H21" s="222"/>
      <c r="I21" s="220"/>
      <c r="J21" s="223"/>
      <c r="K21" s="221"/>
      <c r="L21" s="224"/>
      <c r="M21" s="220"/>
      <c r="N21" s="221"/>
      <c r="O21" s="221"/>
      <c r="P21" s="222"/>
      <c r="Q21" s="225"/>
      <c r="R21" s="226"/>
      <c r="S21" s="226"/>
      <c r="T21" s="226"/>
      <c r="U21" s="225"/>
      <c r="V21" s="226"/>
      <c r="W21" s="226"/>
      <c r="X21" s="227"/>
      <c r="Y21" s="168">
        <f t="shared" si="2"/>
        <v>0</v>
      </c>
      <c r="Z21" s="168">
        <f t="shared" si="0"/>
        <v>0</v>
      </c>
      <c r="AA21" s="169"/>
      <c r="AB21" s="218"/>
      <c r="AC21" s="195"/>
      <c r="AD21" s="195"/>
      <c r="AE21" s="195"/>
      <c r="AF21" s="195"/>
      <c r="AG21" s="195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CZ21" s="198"/>
      <c r="FC21" s="200" t="str">
        <f t="shared" si="1"/>
        <v>I</v>
      </c>
    </row>
    <row r="22" spans="1:159" s="200" customFormat="1" ht="24.75" customHeight="1" x14ac:dyDescent="0.2">
      <c r="A22" s="136"/>
      <c r="B22" s="145"/>
      <c r="C22" s="151"/>
      <c r="D22" s="33"/>
      <c r="E22" s="220"/>
      <c r="F22" s="221"/>
      <c r="G22" s="221"/>
      <c r="H22" s="222"/>
      <c r="I22" s="220"/>
      <c r="J22" s="223"/>
      <c r="K22" s="221"/>
      <c r="L22" s="224"/>
      <c r="M22" s="220"/>
      <c r="N22" s="221"/>
      <c r="O22" s="221"/>
      <c r="P22" s="222"/>
      <c r="Q22" s="225"/>
      <c r="R22" s="226"/>
      <c r="S22" s="226"/>
      <c r="T22" s="226"/>
      <c r="U22" s="225"/>
      <c r="V22" s="226"/>
      <c r="W22" s="226"/>
      <c r="X22" s="227"/>
      <c r="Y22" s="168">
        <f t="shared" si="2"/>
        <v>0</v>
      </c>
      <c r="Z22" s="168">
        <f t="shared" si="0"/>
        <v>0</v>
      </c>
      <c r="AA22" s="169"/>
      <c r="AB22" s="195"/>
      <c r="AC22" s="195"/>
      <c r="AD22" s="195"/>
      <c r="AE22" s="195"/>
      <c r="AF22" s="195"/>
      <c r="AG22" s="195"/>
      <c r="AO22" s="219"/>
      <c r="AR22" s="219"/>
      <c r="AT22" s="219"/>
      <c r="AV22" s="219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CZ22" s="198"/>
      <c r="FC22" s="200" t="str">
        <f t="shared" si="1"/>
        <v>I</v>
      </c>
    </row>
    <row r="23" spans="1:159" s="200" customFormat="1" ht="24.75" customHeight="1" x14ac:dyDescent="0.2">
      <c r="A23" s="136"/>
      <c r="B23" s="145"/>
      <c r="C23" s="151"/>
      <c r="D23" s="33"/>
      <c r="E23" s="220"/>
      <c r="F23" s="221"/>
      <c r="G23" s="221"/>
      <c r="H23" s="222"/>
      <c r="I23" s="220"/>
      <c r="J23" s="223"/>
      <c r="K23" s="221"/>
      <c r="L23" s="224"/>
      <c r="M23" s="220"/>
      <c r="N23" s="221"/>
      <c r="O23" s="221"/>
      <c r="P23" s="222"/>
      <c r="Q23" s="225"/>
      <c r="R23" s="226"/>
      <c r="S23" s="226"/>
      <c r="T23" s="226"/>
      <c r="U23" s="225"/>
      <c r="V23" s="226"/>
      <c r="W23" s="226"/>
      <c r="X23" s="227"/>
      <c r="Y23" s="168">
        <f t="shared" si="2"/>
        <v>0</v>
      </c>
      <c r="Z23" s="168">
        <f t="shared" si="0"/>
        <v>0</v>
      </c>
      <c r="AA23" s="169"/>
      <c r="AB23" s="195"/>
      <c r="AC23" s="195"/>
      <c r="AD23" s="195"/>
      <c r="AE23" s="195"/>
      <c r="AF23" s="195"/>
      <c r="AG23" s="195"/>
      <c r="AO23" s="219"/>
      <c r="AR23" s="219"/>
      <c r="AT23" s="219"/>
      <c r="AV23" s="219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CZ23" s="198"/>
      <c r="FC23" s="200" t="str">
        <f t="shared" si="1"/>
        <v>I</v>
      </c>
    </row>
    <row r="24" spans="1:159" s="200" customFormat="1" ht="24.75" customHeight="1" x14ac:dyDescent="0.2">
      <c r="A24" s="136"/>
      <c r="B24" s="145"/>
      <c r="C24" s="151"/>
      <c r="D24" s="33"/>
      <c r="E24" s="220"/>
      <c r="F24" s="221"/>
      <c r="G24" s="221"/>
      <c r="H24" s="222"/>
      <c r="I24" s="220"/>
      <c r="J24" s="223"/>
      <c r="K24" s="221"/>
      <c r="L24" s="224"/>
      <c r="M24" s="220"/>
      <c r="N24" s="221"/>
      <c r="O24" s="221"/>
      <c r="P24" s="222"/>
      <c r="Q24" s="225"/>
      <c r="R24" s="226"/>
      <c r="S24" s="226"/>
      <c r="T24" s="226"/>
      <c r="U24" s="225"/>
      <c r="V24" s="226"/>
      <c r="W24" s="226"/>
      <c r="X24" s="227"/>
      <c r="Y24" s="168">
        <f t="shared" si="2"/>
        <v>0</v>
      </c>
      <c r="Z24" s="168">
        <f t="shared" si="0"/>
        <v>0</v>
      </c>
      <c r="AA24" s="169"/>
      <c r="AB24" s="195"/>
      <c r="AC24" s="195"/>
      <c r="AD24" s="195"/>
      <c r="AE24" s="195"/>
      <c r="AF24" s="195"/>
      <c r="AG24" s="195"/>
      <c r="AO24" s="219"/>
      <c r="AR24" s="219"/>
      <c r="AT24" s="219"/>
      <c r="AV24" s="219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CZ24" s="198"/>
      <c r="FC24" s="200" t="str">
        <f t="shared" si="1"/>
        <v>I</v>
      </c>
    </row>
    <row r="25" spans="1:159" s="200" customFormat="1" ht="24.75" customHeight="1" x14ac:dyDescent="0.2">
      <c r="A25" s="136"/>
      <c r="B25" s="145"/>
      <c r="C25" s="151"/>
      <c r="D25" s="33"/>
      <c r="E25" s="220"/>
      <c r="F25" s="221"/>
      <c r="G25" s="221"/>
      <c r="H25" s="222"/>
      <c r="I25" s="220"/>
      <c r="J25" s="223"/>
      <c r="K25" s="221"/>
      <c r="L25" s="224"/>
      <c r="M25" s="220"/>
      <c r="N25" s="221"/>
      <c r="O25" s="221"/>
      <c r="P25" s="222"/>
      <c r="Q25" s="225"/>
      <c r="R25" s="226"/>
      <c r="S25" s="226"/>
      <c r="T25" s="226"/>
      <c r="U25" s="225"/>
      <c r="V25" s="226"/>
      <c r="W25" s="226"/>
      <c r="X25" s="227"/>
      <c r="Y25" s="168">
        <f t="shared" si="2"/>
        <v>0</v>
      </c>
      <c r="Z25" s="168">
        <f t="shared" si="0"/>
        <v>0</v>
      </c>
      <c r="AA25" s="169"/>
      <c r="AB25" s="195"/>
      <c r="AC25" s="195"/>
      <c r="AD25" s="195"/>
      <c r="AE25" s="195"/>
      <c r="AF25" s="195"/>
      <c r="AG25" s="195"/>
      <c r="AO25" s="219"/>
      <c r="AR25" s="219"/>
      <c r="AT25" s="219"/>
      <c r="AV25" s="219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CZ25" s="198"/>
      <c r="FC25" s="200" t="str">
        <f t="shared" si="1"/>
        <v>I</v>
      </c>
    </row>
    <row r="26" spans="1:159" s="200" customFormat="1" ht="24.75" customHeight="1" x14ac:dyDescent="0.2">
      <c r="A26" s="136"/>
      <c r="B26" s="145"/>
      <c r="C26" s="151"/>
      <c r="D26" s="33"/>
      <c r="E26" s="220"/>
      <c r="F26" s="221"/>
      <c r="G26" s="221"/>
      <c r="H26" s="222"/>
      <c r="I26" s="220"/>
      <c r="J26" s="223"/>
      <c r="K26" s="221"/>
      <c r="L26" s="224"/>
      <c r="M26" s="220"/>
      <c r="N26" s="221"/>
      <c r="O26" s="221"/>
      <c r="P26" s="222"/>
      <c r="Q26" s="225"/>
      <c r="R26" s="226"/>
      <c r="S26" s="226"/>
      <c r="T26" s="226"/>
      <c r="U26" s="225"/>
      <c r="V26" s="226"/>
      <c r="W26" s="226"/>
      <c r="X26" s="227"/>
      <c r="Y26" s="168">
        <f t="shared" si="2"/>
        <v>0</v>
      </c>
      <c r="Z26" s="168">
        <f t="shared" si="0"/>
        <v>0</v>
      </c>
      <c r="AA26" s="169"/>
      <c r="AB26" s="195"/>
      <c r="AC26" s="195"/>
      <c r="AD26" s="195"/>
      <c r="AE26" s="195"/>
      <c r="AF26" s="195"/>
      <c r="AG26" s="195"/>
      <c r="AO26" s="219"/>
      <c r="AR26" s="219"/>
      <c r="AT26" s="219"/>
      <c r="AV26" s="219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CZ26" s="198"/>
      <c r="FC26" s="200" t="str">
        <f t="shared" si="1"/>
        <v>I</v>
      </c>
    </row>
    <row r="27" spans="1:159" s="200" customFormat="1" ht="24.75" customHeight="1" x14ac:dyDescent="0.2">
      <c r="A27" s="136"/>
      <c r="B27" s="145"/>
      <c r="C27" s="151"/>
      <c r="D27" s="34"/>
      <c r="E27" s="220"/>
      <c r="F27" s="221"/>
      <c r="G27" s="221"/>
      <c r="H27" s="222"/>
      <c r="I27" s="220"/>
      <c r="J27" s="223"/>
      <c r="K27" s="221"/>
      <c r="L27" s="224"/>
      <c r="M27" s="220"/>
      <c r="N27" s="221"/>
      <c r="O27" s="221"/>
      <c r="P27" s="222"/>
      <c r="Q27" s="225"/>
      <c r="R27" s="226"/>
      <c r="S27" s="226"/>
      <c r="T27" s="226"/>
      <c r="U27" s="225"/>
      <c r="V27" s="226"/>
      <c r="W27" s="226"/>
      <c r="X27" s="227"/>
      <c r="Y27" s="168">
        <f t="shared" si="2"/>
        <v>0</v>
      </c>
      <c r="Z27" s="168">
        <f t="shared" si="0"/>
        <v>0</v>
      </c>
      <c r="AA27" s="169"/>
      <c r="AB27" s="195"/>
      <c r="AC27" s="195"/>
      <c r="AD27" s="195"/>
      <c r="AE27" s="195"/>
      <c r="AF27" s="195"/>
      <c r="AG27" s="195"/>
      <c r="AO27" s="219"/>
      <c r="AR27" s="219"/>
      <c r="AT27" s="219"/>
      <c r="AV27" s="219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CZ27" s="198"/>
      <c r="FC27" s="200" t="str">
        <f t="shared" si="1"/>
        <v>I</v>
      </c>
    </row>
    <row r="28" spans="1:159" s="200" customFormat="1" ht="24.75" customHeight="1" x14ac:dyDescent="0.2">
      <c r="A28" s="136"/>
      <c r="B28" s="145"/>
      <c r="C28" s="151"/>
      <c r="D28" s="34"/>
      <c r="E28" s="220"/>
      <c r="F28" s="221"/>
      <c r="G28" s="221"/>
      <c r="H28" s="222"/>
      <c r="I28" s="220"/>
      <c r="J28" s="223"/>
      <c r="K28" s="221"/>
      <c r="L28" s="224"/>
      <c r="M28" s="220"/>
      <c r="N28" s="221"/>
      <c r="O28" s="221"/>
      <c r="P28" s="222"/>
      <c r="Q28" s="225"/>
      <c r="R28" s="226"/>
      <c r="S28" s="226"/>
      <c r="T28" s="226"/>
      <c r="U28" s="225"/>
      <c r="V28" s="226"/>
      <c r="W28" s="226"/>
      <c r="X28" s="227"/>
      <c r="Y28" s="168">
        <f t="shared" si="2"/>
        <v>0</v>
      </c>
      <c r="Z28" s="168">
        <f t="shared" si="0"/>
        <v>0</v>
      </c>
      <c r="AA28" s="169"/>
      <c r="AB28" s="195"/>
      <c r="AC28" s="195"/>
      <c r="AD28" s="195"/>
      <c r="AE28" s="195"/>
      <c r="AF28" s="195"/>
      <c r="AG28" s="195"/>
      <c r="AO28" s="219"/>
      <c r="AR28" s="219"/>
      <c r="AT28" s="219"/>
      <c r="AV28" s="219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7"/>
      <c r="BK28" s="167"/>
      <c r="BL28" s="167"/>
      <c r="BM28" s="167"/>
      <c r="BN28" s="167"/>
      <c r="BO28" s="167"/>
      <c r="BP28" s="167"/>
      <c r="BQ28" s="167"/>
      <c r="BR28" s="167"/>
      <c r="BS28" s="167"/>
      <c r="CZ28" s="198"/>
      <c r="FC28" s="200" t="str">
        <f t="shared" si="1"/>
        <v>I</v>
      </c>
    </row>
    <row r="29" spans="1:159" s="200" customFormat="1" ht="24.75" customHeight="1" x14ac:dyDescent="0.2">
      <c r="A29" s="136"/>
      <c r="B29" s="145"/>
      <c r="C29" s="151"/>
      <c r="D29" s="34"/>
      <c r="E29" s="220"/>
      <c r="F29" s="221"/>
      <c r="G29" s="221"/>
      <c r="H29" s="222"/>
      <c r="I29" s="220"/>
      <c r="J29" s="223"/>
      <c r="K29" s="221"/>
      <c r="L29" s="224"/>
      <c r="M29" s="220"/>
      <c r="N29" s="221"/>
      <c r="O29" s="221"/>
      <c r="P29" s="222"/>
      <c r="Q29" s="225"/>
      <c r="R29" s="226"/>
      <c r="S29" s="226"/>
      <c r="T29" s="226"/>
      <c r="U29" s="225"/>
      <c r="V29" s="226"/>
      <c r="W29" s="226"/>
      <c r="X29" s="227"/>
      <c r="Y29" s="168">
        <f t="shared" si="2"/>
        <v>0</v>
      </c>
      <c r="Z29" s="168">
        <f t="shared" si="0"/>
        <v>0</v>
      </c>
      <c r="AA29" s="169"/>
      <c r="AB29" s="195"/>
      <c r="AC29" s="195"/>
      <c r="AD29" s="195"/>
      <c r="AE29" s="195"/>
      <c r="AF29" s="195"/>
      <c r="AG29" s="195"/>
      <c r="AO29" s="219"/>
      <c r="AR29" s="219"/>
      <c r="AT29" s="219"/>
      <c r="AV29" s="219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7"/>
      <c r="BK29" s="167"/>
      <c r="BL29" s="167"/>
      <c r="BM29" s="167"/>
      <c r="BN29" s="167"/>
      <c r="BO29" s="167"/>
      <c r="BP29" s="167"/>
      <c r="BQ29" s="167"/>
      <c r="BR29" s="167"/>
      <c r="BS29" s="167"/>
      <c r="CZ29" s="198"/>
      <c r="FC29" s="200" t="str">
        <f t="shared" si="1"/>
        <v>I</v>
      </c>
    </row>
    <row r="30" spans="1:159" s="200" customFormat="1" ht="24.75" customHeight="1" x14ac:dyDescent="0.2">
      <c r="A30" s="136"/>
      <c r="B30" s="145"/>
      <c r="C30" s="151"/>
      <c r="D30" s="33"/>
      <c r="E30" s="220"/>
      <c r="F30" s="221"/>
      <c r="G30" s="221"/>
      <c r="H30" s="222"/>
      <c r="I30" s="220"/>
      <c r="J30" s="223"/>
      <c r="K30" s="221"/>
      <c r="L30" s="224"/>
      <c r="M30" s="220"/>
      <c r="N30" s="221"/>
      <c r="O30" s="221"/>
      <c r="P30" s="222"/>
      <c r="Q30" s="225"/>
      <c r="R30" s="226"/>
      <c r="S30" s="226"/>
      <c r="T30" s="226"/>
      <c r="U30" s="225"/>
      <c r="V30" s="226"/>
      <c r="W30" s="226"/>
      <c r="X30" s="227"/>
      <c r="Y30" s="168">
        <f t="shared" si="2"/>
        <v>0</v>
      </c>
      <c r="Z30" s="168">
        <f t="shared" si="0"/>
        <v>0</v>
      </c>
      <c r="AA30" s="169"/>
      <c r="AB30" s="195"/>
      <c r="AC30" s="195"/>
      <c r="AD30" s="195"/>
      <c r="AE30" s="195"/>
      <c r="AF30" s="195"/>
      <c r="AG30" s="195"/>
      <c r="AO30" s="219"/>
      <c r="AR30" s="219"/>
      <c r="AT30" s="219"/>
      <c r="AV30" s="219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7"/>
      <c r="BK30" s="167"/>
      <c r="BL30" s="167"/>
      <c r="BM30" s="167"/>
      <c r="BN30" s="167"/>
      <c r="BO30" s="167"/>
      <c r="BP30" s="167"/>
      <c r="BQ30" s="167"/>
      <c r="BR30" s="167"/>
      <c r="BS30" s="167"/>
      <c r="CZ30" s="198"/>
      <c r="FC30" s="200" t="str">
        <f t="shared" si="1"/>
        <v>I</v>
      </c>
    </row>
    <row r="31" spans="1:159" s="200" customFormat="1" ht="24.75" customHeight="1" x14ac:dyDescent="0.2">
      <c r="A31" s="136"/>
      <c r="B31" s="145"/>
      <c r="C31" s="151"/>
      <c r="D31" s="34"/>
      <c r="E31" s="220"/>
      <c r="F31" s="221"/>
      <c r="G31" s="221"/>
      <c r="H31" s="222"/>
      <c r="I31" s="220"/>
      <c r="J31" s="223"/>
      <c r="K31" s="221"/>
      <c r="L31" s="224"/>
      <c r="M31" s="220"/>
      <c r="N31" s="221"/>
      <c r="O31" s="221"/>
      <c r="P31" s="222"/>
      <c r="Q31" s="225"/>
      <c r="R31" s="226"/>
      <c r="S31" s="226"/>
      <c r="T31" s="226"/>
      <c r="U31" s="225"/>
      <c r="V31" s="226"/>
      <c r="W31" s="226"/>
      <c r="X31" s="227"/>
      <c r="Y31" s="168">
        <f t="shared" si="2"/>
        <v>0</v>
      </c>
      <c r="Z31" s="168">
        <f t="shared" si="0"/>
        <v>0</v>
      </c>
      <c r="AA31" s="169"/>
      <c r="AB31" s="195"/>
      <c r="AC31" s="195"/>
      <c r="AD31" s="195"/>
      <c r="AE31" s="195"/>
      <c r="AF31" s="195"/>
      <c r="AG31" s="195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7"/>
      <c r="BK31" s="167"/>
      <c r="BL31" s="167"/>
      <c r="BM31" s="167"/>
      <c r="BN31" s="167"/>
      <c r="BO31" s="167"/>
      <c r="BP31" s="167"/>
      <c r="BQ31" s="167"/>
      <c r="BR31" s="167"/>
      <c r="BS31" s="167"/>
      <c r="CZ31" s="198"/>
      <c r="FC31" s="200" t="str">
        <f t="shared" si="1"/>
        <v>I</v>
      </c>
    </row>
    <row r="32" spans="1:159" s="200" customFormat="1" ht="24.75" hidden="1" customHeight="1" x14ac:dyDescent="0.2">
      <c r="A32" s="136"/>
      <c r="B32" s="145"/>
      <c r="C32" s="151"/>
      <c r="D32" s="33"/>
      <c r="E32" s="220"/>
      <c r="F32" s="221"/>
      <c r="G32" s="221"/>
      <c r="H32" s="222"/>
      <c r="I32" s="220"/>
      <c r="J32" s="223"/>
      <c r="K32" s="221"/>
      <c r="L32" s="224"/>
      <c r="M32" s="220"/>
      <c r="N32" s="221"/>
      <c r="O32" s="221"/>
      <c r="P32" s="222"/>
      <c r="Q32" s="225"/>
      <c r="R32" s="226"/>
      <c r="S32" s="226"/>
      <c r="T32" s="226"/>
      <c r="U32" s="225"/>
      <c r="V32" s="226"/>
      <c r="W32" s="226"/>
      <c r="X32" s="227"/>
      <c r="Y32" s="168">
        <f t="shared" si="2"/>
        <v>0</v>
      </c>
      <c r="Z32" s="168">
        <f t="shared" si="0"/>
        <v>0</v>
      </c>
      <c r="AA32" s="169"/>
      <c r="AB32" s="195"/>
      <c r="AC32" s="195"/>
      <c r="AD32" s="195"/>
      <c r="AE32" s="195"/>
      <c r="AF32" s="195"/>
      <c r="AG32" s="195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7"/>
      <c r="BK32" s="167"/>
      <c r="BL32" s="167"/>
      <c r="BM32" s="167"/>
      <c r="BN32" s="167"/>
      <c r="BO32" s="167"/>
      <c r="BP32" s="167"/>
      <c r="BQ32" s="167"/>
      <c r="BR32" s="167"/>
      <c r="BS32" s="167"/>
      <c r="CZ32" s="198"/>
      <c r="FC32" s="200" t="str">
        <f t="shared" si="1"/>
        <v>I</v>
      </c>
    </row>
    <row r="33" spans="1:159" s="200" customFormat="1" ht="24.75" hidden="1" customHeight="1" x14ac:dyDescent="0.2">
      <c r="A33" s="136"/>
      <c r="B33" s="145"/>
      <c r="C33" s="151"/>
      <c r="D33" s="34"/>
      <c r="E33" s="220"/>
      <c r="F33" s="221"/>
      <c r="G33" s="221"/>
      <c r="H33" s="222"/>
      <c r="I33" s="220"/>
      <c r="J33" s="223"/>
      <c r="K33" s="221"/>
      <c r="L33" s="224"/>
      <c r="M33" s="220"/>
      <c r="N33" s="221"/>
      <c r="O33" s="221"/>
      <c r="P33" s="222"/>
      <c r="Q33" s="225"/>
      <c r="R33" s="226"/>
      <c r="S33" s="226"/>
      <c r="T33" s="226"/>
      <c r="U33" s="225"/>
      <c r="V33" s="226"/>
      <c r="W33" s="226"/>
      <c r="X33" s="227"/>
      <c r="Y33" s="168">
        <f t="shared" si="2"/>
        <v>0</v>
      </c>
      <c r="Z33" s="168">
        <f t="shared" si="0"/>
        <v>0</v>
      </c>
      <c r="AA33" s="169"/>
      <c r="AB33" s="195"/>
      <c r="AC33" s="195"/>
      <c r="AD33" s="195"/>
      <c r="AE33" s="195"/>
      <c r="AF33" s="195"/>
      <c r="AG33" s="195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7"/>
      <c r="BK33" s="167"/>
      <c r="BL33" s="167"/>
      <c r="BM33" s="167"/>
      <c r="BN33" s="167"/>
      <c r="BO33" s="167"/>
      <c r="BP33" s="167"/>
      <c r="BQ33" s="167"/>
      <c r="BR33" s="167"/>
      <c r="BS33" s="167"/>
      <c r="CZ33" s="198"/>
      <c r="FC33" s="200" t="str">
        <f t="shared" si="1"/>
        <v>I</v>
      </c>
    </row>
    <row r="34" spans="1:159" s="200" customFormat="1" ht="24.75" hidden="1" customHeight="1" x14ac:dyDescent="0.2">
      <c r="A34" s="136"/>
      <c r="B34" s="145"/>
      <c r="C34" s="151"/>
      <c r="D34" s="33"/>
      <c r="E34" s="220"/>
      <c r="F34" s="221"/>
      <c r="G34" s="221"/>
      <c r="H34" s="222"/>
      <c r="I34" s="220"/>
      <c r="J34" s="223"/>
      <c r="K34" s="221"/>
      <c r="L34" s="224"/>
      <c r="M34" s="220"/>
      <c r="N34" s="221"/>
      <c r="O34" s="221"/>
      <c r="P34" s="222"/>
      <c r="Q34" s="225"/>
      <c r="R34" s="226"/>
      <c r="S34" s="226"/>
      <c r="T34" s="226"/>
      <c r="U34" s="225"/>
      <c r="V34" s="226"/>
      <c r="W34" s="226"/>
      <c r="X34" s="227"/>
      <c r="Y34" s="168">
        <f t="shared" si="2"/>
        <v>0</v>
      </c>
      <c r="Z34" s="168">
        <f t="shared" si="0"/>
        <v>0</v>
      </c>
      <c r="AA34" s="169"/>
      <c r="AB34" s="195"/>
      <c r="AC34" s="195"/>
      <c r="AD34" s="195"/>
      <c r="AE34" s="195"/>
      <c r="AF34" s="195"/>
      <c r="AG34" s="195"/>
      <c r="AY34" s="167"/>
      <c r="AZ34" s="167"/>
      <c r="BA34" s="167"/>
      <c r="BB34" s="167"/>
      <c r="BC34" s="167"/>
      <c r="BD34" s="167"/>
      <c r="BE34" s="167"/>
      <c r="BF34" s="167"/>
      <c r="BG34" s="167"/>
      <c r="BH34" s="167"/>
      <c r="BI34" s="167"/>
      <c r="BJ34" s="167"/>
      <c r="BK34" s="167"/>
      <c r="BL34" s="167"/>
      <c r="BM34" s="167"/>
      <c r="BN34" s="167"/>
      <c r="BO34" s="167"/>
      <c r="BP34" s="167"/>
      <c r="BQ34" s="167"/>
      <c r="BR34" s="167"/>
      <c r="BS34" s="167"/>
      <c r="CZ34" s="198"/>
      <c r="FC34" s="200" t="str">
        <f t="shared" si="1"/>
        <v>I</v>
      </c>
    </row>
    <row r="35" spans="1:159" s="200" customFormat="1" ht="24.75" hidden="1" customHeight="1" x14ac:dyDescent="0.2">
      <c r="A35" s="136"/>
      <c r="B35" s="145"/>
      <c r="C35" s="151"/>
      <c r="D35" s="34"/>
      <c r="E35" s="220"/>
      <c r="F35" s="221"/>
      <c r="G35" s="221"/>
      <c r="H35" s="222"/>
      <c r="I35" s="220"/>
      <c r="J35" s="223"/>
      <c r="K35" s="221"/>
      <c r="L35" s="224"/>
      <c r="M35" s="220"/>
      <c r="N35" s="221"/>
      <c r="O35" s="221"/>
      <c r="P35" s="222"/>
      <c r="Q35" s="225"/>
      <c r="R35" s="226"/>
      <c r="S35" s="226"/>
      <c r="T35" s="226"/>
      <c r="U35" s="225"/>
      <c r="V35" s="226"/>
      <c r="W35" s="226"/>
      <c r="X35" s="227"/>
      <c r="Y35" s="168">
        <f t="shared" si="2"/>
        <v>0</v>
      </c>
      <c r="Z35" s="168">
        <f t="shared" si="0"/>
        <v>0</v>
      </c>
      <c r="AA35" s="169"/>
      <c r="AB35" s="195"/>
      <c r="AC35" s="195"/>
      <c r="AD35" s="195"/>
      <c r="AE35" s="195"/>
      <c r="AF35" s="195"/>
      <c r="AG35" s="195"/>
      <c r="AY35" s="167"/>
      <c r="AZ35" s="167"/>
      <c r="BA35" s="167"/>
      <c r="BB35" s="167"/>
      <c r="BC35" s="167"/>
      <c r="BD35" s="167"/>
      <c r="BE35" s="167"/>
      <c r="BF35" s="167"/>
      <c r="BG35" s="167"/>
      <c r="BH35" s="167"/>
      <c r="BI35" s="167"/>
      <c r="BJ35" s="167"/>
      <c r="BK35" s="167"/>
      <c r="BL35" s="167"/>
      <c r="BM35" s="167"/>
      <c r="BN35" s="167"/>
      <c r="BO35" s="167"/>
      <c r="BP35" s="167"/>
      <c r="BQ35" s="167"/>
      <c r="BR35" s="167"/>
      <c r="BS35" s="167"/>
      <c r="CZ35" s="198"/>
      <c r="FC35" s="200" t="str">
        <f t="shared" ref="FC35:FC66" si="3">IF(EY35="","I",EY35)</f>
        <v>I</v>
      </c>
    </row>
    <row r="36" spans="1:159" s="200" customFormat="1" ht="24.75" hidden="1" customHeight="1" x14ac:dyDescent="0.2">
      <c r="A36" s="136"/>
      <c r="B36" s="145"/>
      <c r="C36" s="151"/>
      <c r="D36" s="33"/>
      <c r="E36" s="220"/>
      <c r="F36" s="221"/>
      <c r="G36" s="221"/>
      <c r="H36" s="222"/>
      <c r="I36" s="220"/>
      <c r="J36" s="223"/>
      <c r="K36" s="221"/>
      <c r="L36" s="224"/>
      <c r="M36" s="220"/>
      <c r="N36" s="221"/>
      <c r="O36" s="221"/>
      <c r="P36" s="222"/>
      <c r="Q36" s="225"/>
      <c r="R36" s="226"/>
      <c r="S36" s="226"/>
      <c r="T36" s="226"/>
      <c r="U36" s="225"/>
      <c r="V36" s="226"/>
      <c r="W36" s="226"/>
      <c r="X36" s="227"/>
      <c r="Y36" s="168">
        <f t="shared" si="2"/>
        <v>0</v>
      </c>
      <c r="Z36" s="168">
        <f t="shared" si="0"/>
        <v>0</v>
      </c>
      <c r="AA36" s="169"/>
      <c r="AB36" s="195"/>
      <c r="AC36" s="195"/>
      <c r="AD36" s="195"/>
      <c r="AE36" s="195"/>
      <c r="AF36" s="195"/>
      <c r="AG36" s="195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CZ36" s="198"/>
      <c r="FC36" s="200" t="str">
        <f t="shared" si="3"/>
        <v>I</v>
      </c>
    </row>
    <row r="37" spans="1:159" s="200" customFormat="1" ht="24.75" hidden="1" customHeight="1" x14ac:dyDescent="0.2">
      <c r="A37" s="136"/>
      <c r="B37" s="145"/>
      <c r="C37" s="151"/>
      <c r="D37" s="33"/>
      <c r="E37" s="220"/>
      <c r="F37" s="221"/>
      <c r="G37" s="221"/>
      <c r="H37" s="222"/>
      <c r="I37" s="220"/>
      <c r="J37" s="223"/>
      <c r="K37" s="221"/>
      <c r="L37" s="224"/>
      <c r="M37" s="220"/>
      <c r="N37" s="221"/>
      <c r="O37" s="221"/>
      <c r="P37" s="222"/>
      <c r="Q37" s="225"/>
      <c r="R37" s="226"/>
      <c r="S37" s="226"/>
      <c r="T37" s="226"/>
      <c r="U37" s="225"/>
      <c r="V37" s="226"/>
      <c r="W37" s="226"/>
      <c r="X37" s="227"/>
      <c r="Y37" s="168">
        <f t="shared" si="2"/>
        <v>0</v>
      </c>
      <c r="Z37" s="168">
        <f t="shared" si="0"/>
        <v>0</v>
      </c>
      <c r="AA37" s="169"/>
      <c r="AB37" s="195"/>
      <c r="AC37" s="195"/>
      <c r="AD37" s="195"/>
      <c r="AE37" s="195"/>
      <c r="AF37" s="195"/>
      <c r="AG37" s="195"/>
      <c r="AY37" s="167"/>
      <c r="AZ37" s="167"/>
      <c r="BA37" s="167"/>
      <c r="BB37" s="167"/>
      <c r="BC37" s="167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CZ37" s="198"/>
      <c r="FC37" s="200" t="str">
        <f t="shared" si="3"/>
        <v>I</v>
      </c>
    </row>
    <row r="38" spans="1:159" s="200" customFormat="1" ht="24.75" hidden="1" customHeight="1" x14ac:dyDescent="0.2">
      <c r="A38" s="136"/>
      <c r="B38" s="145"/>
      <c r="C38" s="151"/>
      <c r="D38" s="33"/>
      <c r="E38" s="220"/>
      <c r="F38" s="221"/>
      <c r="G38" s="221"/>
      <c r="H38" s="222"/>
      <c r="I38" s="220"/>
      <c r="J38" s="223"/>
      <c r="K38" s="221"/>
      <c r="L38" s="224"/>
      <c r="M38" s="220"/>
      <c r="N38" s="221"/>
      <c r="O38" s="221"/>
      <c r="P38" s="222"/>
      <c r="Q38" s="225"/>
      <c r="R38" s="226"/>
      <c r="S38" s="226"/>
      <c r="T38" s="226"/>
      <c r="U38" s="225"/>
      <c r="V38" s="226"/>
      <c r="W38" s="226"/>
      <c r="X38" s="227"/>
      <c r="Y38" s="168">
        <f t="shared" si="2"/>
        <v>0</v>
      </c>
      <c r="Z38" s="168">
        <f t="shared" si="0"/>
        <v>0</v>
      </c>
      <c r="AA38" s="169"/>
      <c r="AB38" s="195"/>
      <c r="AC38" s="195"/>
      <c r="AD38" s="195"/>
      <c r="AE38" s="195"/>
      <c r="AF38" s="195"/>
      <c r="AG38" s="195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CZ38" s="198"/>
      <c r="FC38" s="200" t="str">
        <f t="shared" si="3"/>
        <v>I</v>
      </c>
    </row>
    <row r="39" spans="1:159" s="200" customFormat="1" ht="24.75" hidden="1" customHeight="1" x14ac:dyDescent="0.2">
      <c r="A39" s="136"/>
      <c r="B39" s="145"/>
      <c r="C39" s="151"/>
      <c r="D39" s="33"/>
      <c r="E39" s="220"/>
      <c r="F39" s="221"/>
      <c r="G39" s="221"/>
      <c r="H39" s="222"/>
      <c r="I39" s="220"/>
      <c r="J39" s="223"/>
      <c r="K39" s="221"/>
      <c r="L39" s="224"/>
      <c r="M39" s="220"/>
      <c r="N39" s="221"/>
      <c r="O39" s="221"/>
      <c r="P39" s="222"/>
      <c r="Q39" s="225"/>
      <c r="R39" s="226"/>
      <c r="S39" s="226"/>
      <c r="T39" s="226"/>
      <c r="U39" s="225"/>
      <c r="V39" s="226"/>
      <c r="W39" s="226"/>
      <c r="X39" s="227"/>
      <c r="Y39" s="168">
        <f t="shared" si="2"/>
        <v>0</v>
      </c>
      <c r="Z39" s="168">
        <f t="shared" si="0"/>
        <v>0</v>
      </c>
      <c r="AA39" s="169"/>
      <c r="AB39" s="195"/>
      <c r="AC39" s="195"/>
      <c r="AD39" s="195"/>
      <c r="AE39" s="195"/>
      <c r="AF39" s="195"/>
      <c r="AG39" s="195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CZ39" s="198"/>
      <c r="FC39" s="200" t="str">
        <f t="shared" si="3"/>
        <v>I</v>
      </c>
    </row>
    <row r="40" spans="1:159" s="200" customFormat="1" ht="24.75" hidden="1" customHeight="1" x14ac:dyDescent="0.2">
      <c r="A40" s="136"/>
      <c r="B40" s="145"/>
      <c r="C40" s="151"/>
      <c r="D40" s="33"/>
      <c r="E40" s="220"/>
      <c r="F40" s="221"/>
      <c r="G40" s="221"/>
      <c r="H40" s="222"/>
      <c r="I40" s="220"/>
      <c r="J40" s="223"/>
      <c r="K40" s="221"/>
      <c r="L40" s="224"/>
      <c r="M40" s="220"/>
      <c r="N40" s="221"/>
      <c r="O40" s="221"/>
      <c r="P40" s="222"/>
      <c r="Q40" s="225"/>
      <c r="R40" s="226"/>
      <c r="S40" s="226"/>
      <c r="T40" s="226"/>
      <c r="U40" s="225"/>
      <c r="V40" s="226"/>
      <c r="W40" s="226"/>
      <c r="X40" s="227"/>
      <c r="Y40" s="168">
        <f t="shared" si="2"/>
        <v>0</v>
      </c>
      <c r="Z40" s="168">
        <f t="shared" si="0"/>
        <v>0</v>
      </c>
      <c r="AA40" s="169"/>
      <c r="AB40" s="195"/>
      <c r="AC40" s="195"/>
      <c r="AD40" s="195"/>
      <c r="AE40" s="195"/>
      <c r="AF40" s="195"/>
      <c r="AG40" s="195"/>
      <c r="AY40" s="167"/>
      <c r="AZ40" s="167"/>
      <c r="BA40" s="167"/>
      <c r="BB40" s="167"/>
      <c r="BC40" s="167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CZ40" s="198"/>
      <c r="FC40" s="200" t="str">
        <f t="shared" si="3"/>
        <v>I</v>
      </c>
    </row>
    <row r="41" spans="1:159" s="200" customFormat="1" ht="24.75" hidden="1" customHeight="1" x14ac:dyDescent="0.2">
      <c r="A41" s="136"/>
      <c r="B41" s="145"/>
      <c r="C41" s="151"/>
      <c r="D41" s="33"/>
      <c r="E41" s="220"/>
      <c r="F41" s="221"/>
      <c r="G41" s="221"/>
      <c r="H41" s="222"/>
      <c r="I41" s="220"/>
      <c r="J41" s="223"/>
      <c r="K41" s="221"/>
      <c r="L41" s="224"/>
      <c r="M41" s="220"/>
      <c r="N41" s="221"/>
      <c r="O41" s="221"/>
      <c r="P41" s="222"/>
      <c r="Q41" s="225"/>
      <c r="R41" s="226"/>
      <c r="S41" s="226"/>
      <c r="T41" s="226"/>
      <c r="U41" s="225"/>
      <c r="V41" s="226"/>
      <c r="W41" s="226"/>
      <c r="X41" s="227"/>
      <c r="Y41" s="168">
        <f t="shared" si="2"/>
        <v>0</v>
      </c>
      <c r="Z41" s="168">
        <f>IF(ISBLANK(X41),IF(ISBLANK(R41),IF(ISBLANK(N41),IF(ISBLANK(J41),IF(ISBLANK(F42),0,$F$142),$J$142),$N$142),$R$142),$X$142)</f>
        <v>0</v>
      </c>
      <c r="AA41" s="169"/>
      <c r="AB41" s="195"/>
      <c r="AC41" s="195"/>
      <c r="AD41" s="195"/>
      <c r="AE41" s="195"/>
      <c r="AF41" s="195"/>
      <c r="AG41" s="195"/>
      <c r="AY41" s="167"/>
      <c r="AZ41" s="167"/>
      <c r="BA41" s="167"/>
      <c r="BB41" s="167"/>
      <c r="BC41" s="167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CZ41" s="198"/>
      <c r="FC41" s="200" t="str">
        <f t="shared" si="3"/>
        <v>I</v>
      </c>
    </row>
    <row r="42" spans="1:159" s="200" customFormat="1" ht="24.75" hidden="1" customHeight="1" x14ac:dyDescent="0.2">
      <c r="A42" s="136"/>
      <c r="B42" s="145"/>
      <c r="C42" s="151"/>
      <c r="D42" s="33"/>
      <c r="E42" s="220"/>
      <c r="F42" s="221"/>
      <c r="G42" s="221"/>
      <c r="H42" s="222"/>
      <c r="I42" s="220"/>
      <c r="J42" s="223"/>
      <c r="K42" s="221"/>
      <c r="L42" s="224"/>
      <c r="M42" s="220"/>
      <c r="N42" s="221"/>
      <c r="O42" s="221"/>
      <c r="P42" s="222"/>
      <c r="Q42" s="225"/>
      <c r="R42" s="226"/>
      <c r="S42" s="226"/>
      <c r="T42" s="226"/>
      <c r="U42" s="225"/>
      <c r="V42" s="226"/>
      <c r="W42" s="226"/>
      <c r="X42" s="227"/>
      <c r="Y42" s="168">
        <f t="shared" si="2"/>
        <v>0</v>
      </c>
      <c r="Z42" s="168">
        <f t="shared" ref="Z42:Z73" si="4">IF(ISBLANK(X42),IF(ISBLANK(R42),IF(ISBLANK(N42),IF(ISBLANK(J42),IF(ISBLANK(F42),0,$F$142),$J$142),$N$142),$R$142),$X$142)</f>
        <v>0</v>
      </c>
      <c r="AA42" s="169"/>
      <c r="AB42" s="195"/>
      <c r="AC42" s="195"/>
      <c r="AD42" s="195"/>
      <c r="AE42" s="195"/>
      <c r="AF42" s="195"/>
      <c r="AG42" s="195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CZ42" s="198"/>
      <c r="FC42" s="200" t="str">
        <f t="shared" si="3"/>
        <v>I</v>
      </c>
    </row>
    <row r="43" spans="1:159" s="200" customFormat="1" ht="24.75" hidden="1" customHeight="1" x14ac:dyDescent="0.2">
      <c r="A43" s="136"/>
      <c r="B43" s="145"/>
      <c r="C43" s="151"/>
      <c r="D43" s="33"/>
      <c r="E43" s="220"/>
      <c r="F43" s="221"/>
      <c r="G43" s="221"/>
      <c r="H43" s="222"/>
      <c r="I43" s="220"/>
      <c r="J43" s="223"/>
      <c r="K43" s="221"/>
      <c r="L43" s="224"/>
      <c r="M43" s="220"/>
      <c r="N43" s="221"/>
      <c r="O43" s="221"/>
      <c r="P43" s="222"/>
      <c r="Q43" s="225"/>
      <c r="R43" s="226"/>
      <c r="S43" s="226"/>
      <c r="T43" s="226"/>
      <c r="U43" s="225"/>
      <c r="V43" s="226"/>
      <c r="W43" s="226"/>
      <c r="X43" s="227"/>
      <c r="Y43" s="168">
        <f t="shared" si="2"/>
        <v>0</v>
      </c>
      <c r="Z43" s="168">
        <f t="shared" si="4"/>
        <v>0</v>
      </c>
      <c r="AA43" s="169"/>
      <c r="AB43" s="195"/>
      <c r="AC43" s="195"/>
      <c r="AD43" s="195"/>
      <c r="AE43" s="195"/>
      <c r="AF43" s="195"/>
      <c r="AG43" s="195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CZ43" s="198"/>
      <c r="FC43" s="200" t="str">
        <f t="shared" si="3"/>
        <v>I</v>
      </c>
    </row>
    <row r="44" spans="1:159" s="200" customFormat="1" ht="24.75" hidden="1" customHeight="1" x14ac:dyDescent="0.2">
      <c r="A44" s="136"/>
      <c r="B44" s="145"/>
      <c r="C44" s="152"/>
      <c r="D44" s="35"/>
      <c r="E44" s="220"/>
      <c r="F44" s="221"/>
      <c r="G44" s="221"/>
      <c r="H44" s="222"/>
      <c r="I44" s="220"/>
      <c r="J44" s="223"/>
      <c r="K44" s="221"/>
      <c r="L44" s="224"/>
      <c r="M44" s="220"/>
      <c r="N44" s="221"/>
      <c r="O44" s="221"/>
      <c r="P44" s="222"/>
      <c r="Q44" s="225"/>
      <c r="R44" s="226"/>
      <c r="S44" s="226"/>
      <c r="T44" s="226"/>
      <c r="U44" s="225"/>
      <c r="V44" s="226"/>
      <c r="W44" s="226"/>
      <c r="X44" s="227"/>
      <c r="Y44" s="168">
        <f t="shared" ref="Y44:Y75" si="5">IF(ISBLANK(U44),IF(ISBLANK(Q44),IF(ISBLANK(M44),IF(ISBLANK(I44),IF(ISBLANK(E44),0,$E$142),$I$142),$M$142),$Q$142),$U$142)</f>
        <v>0</v>
      </c>
      <c r="Z44" s="168">
        <f t="shared" si="4"/>
        <v>0</v>
      </c>
      <c r="AA44" s="169"/>
      <c r="AB44" s="195"/>
      <c r="AC44" s="195"/>
      <c r="AD44" s="195"/>
      <c r="AE44" s="195"/>
      <c r="AF44" s="195"/>
      <c r="AG44" s="195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CZ44" s="198"/>
      <c r="FC44" s="200" t="str">
        <f t="shared" si="3"/>
        <v>I</v>
      </c>
    </row>
    <row r="45" spans="1:159" s="200" customFormat="1" ht="24.75" hidden="1" customHeight="1" x14ac:dyDescent="0.2">
      <c r="A45" s="136"/>
      <c r="B45" s="145"/>
      <c r="C45" s="152"/>
      <c r="D45" s="36"/>
      <c r="E45" s="220"/>
      <c r="F45" s="221"/>
      <c r="G45" s="221"/>
      <c r="H45" s="222"/>
      <c r="I45" s="220"/>
      <c r="J45" s="223"/>
      <c r="K45" s="221"/>
      <c r="L45" s="224"/>
      <c r="M45" s="220"/>
      <c r="N45" s="221"/>
      <c r="O45" s="221"/>
      <c r="P45" s="222"/>
      <c r="Q45" s="225"/>
      <c r="R45" s="226"/>
      <c r="S45" s="226"/>
      <c r="T45" s="226"/>
      <c r="U45" s="225"/>
      <c r="V45" s="226"/>
      <c r="W45" s="226"/>
      <c r="X45" s="227"/>
      <c r="Y45" s="168">
        <f t="shared" si="5"/>
        <v>0</v>
      </c>
      <c r="Z45" s="168">
        <f t="shared" si="4"/>
        <v>0</v>
      </c>
      <c r="AA45" s="169"/>
      <c r="AB45" s="195"/>
      <c r="AC45" s="195"/>
      <c r="AD45" s="195"/>
      <c r="AE45" s="195"/>
      <c r="AF45" s="195"/>
      <c r="AG45" s="195"/>
      <c r="AY45" s="167"/>
      <c r="AZ45" s="167"/>
      <c r="BA45" s="167"/>
      <c r="BB45" s="167"/>
      <c r="BC45" s="167"/>
      <c r="BD45" s="167"/>
      <c r="BE45" s="167"/>
      <c r="BF45" s="167"/>
      <c r="BG45" s="167"/>
      <c r="BH45" s="167"/>
      <c r="BI45" s="167"/>
      <c r="BJ45" s="167"/>
      <c r="BK45" s="167"/>
      <c r="BL45" s="167"/>
      <c r="BM45" s="167"/>
      <c r="BN45" s="167"/>
      <c r="BO45" s="167"/>
      <c r="BP45" s="167"/>
      <c r="BQ45" s="167"/>
      <c r="BR45" s="167"/>
      <c r="BS45" s="167"/>
      <c r="CZ45" s="198"/>
      <c r="FC45" s="200" t="str">
        <f t="shared" si="3"/>
        <v>I</v>
      </c>
    </row>
    <row r="46" spans="1:159" s="200" customFormat="1" ht="24.75" hidden="1" customHeight="1" x14ac:dyDescent="0.2">
      <c r="A46" s="136"/>
      <c r="B46" s="145"/>
      <c r="C46" s="152"/>
      <c r="D46" s="36"/>
      <c r="E46" s="220"/>
      <c r="F46" s="221"/>
      <c r="G46" s="221"/>
      <c r="H46" s="222"/>
      <c r="I46" s="220"/>
      <c r="J46" s="223"/>
      <c r="K46" s="221"/>
      <c r="L46" s="224"/>
      <c r="M46" s="220"/>
      <c r="N46" s="221"/>
      <c r="O46" s="221"/>
      <c r="P46" s="222"/>
      <c r="Q46" s="225"/>
      <c r="R46" s="226"/>
      <c r="S46" s="226"/>
      <c r="T46" s="226"/>
      <c r="U46" s="225"/>
      <c r="V46" s="226"/>
      <c r="W46" s="226"/>
      <c r="X46" s="227"/>
      <c r="Y46" s="168">
        <f t="shared" si="5"/>
        <v>0</v>
      </c>
      <c r="Z46" s="168">
        <f t="shared" si="4"/>
        <v>0</v>
      </c>
      <c r="AA46" s="169"/>
      <c r="AB46" s="195"/>
      <c r="AC46" s="195"/>
      <c r="AD46" s="195"/>
      <c r="AE46" s="195"/>
      <c r="AF46" s="195"/>
      <c r="AG46" s="195"/>
      <c r="AY46" s="167"/>
      <c r="AZ46" s="167"/>
      <c r="BA46" s="167"/>
      <c r="BB46" s="167"/>
      <c r="BC46" s="167"/>
      <c r="BD46" s="167"/>
      <c r="BE46" s="167"/>
      <c r="BF46" s="167"/>
      <c r="BG46" s="167"/>
      <c r="BH46" s="167"/>
      <c r="BI46" s="167"/>
      <c r="BJ46" s="167"/>
      <c r="BK46" s="167"/>
      <c r="BL46" s="167"/>
      <c r="BM46" s="167"/>
      <c r="BN46" s="167"/>
      <c r="BO46" s="167"/>
      <c r="BP46" s="167"/>
      <c r="BQ46" s="167"/>
      <c r="BR46" s="167"/>
      <c r="BS46" s="167"/>
      <c r="CZ46" s="198"/>
      <c r="FC46" s="200" t="str">
        <f t="shared" si="3"/>
        <v>I</v>
      </c>
    </row>
    <row r="47" spans="1:159" s="200" customFormat="1" ht="24.75" hidden="1" customHeight="1" x14ac:dyDescent="0.2">
      <c r="A47" s="136"/>
      <c r="B47" s="145"/>
      <c r="C47" s="152"/>
      <c r="D47" s="36"/>
      <c r="E47" s="220"/>
      <c r="F47" s="221"/>
      <c r="G47" s="221"/>
      <c r="H47" s="222"/>
      <c r="I47" s="220"/>
      <c r="J47" s="223"/>
      <c r="K47" s="221"/>
      <c r="L47" s="224"/>
      <c r="M47" s="220"/>
      <c r="N47" s="221"/>
      <c r="O47" s="221"/>
      <c r="P47" s="222"/>
      <c r="Q47" s="225"/>
      <c r="R47" s="226"/>
      <c r="S47" s="226"/>
      <c r="T47" s="226"/>
      <c r="U47" s="225"/>
      <c r="V47" s="226"/>
      <c r="W47" s="226"/>
      <c r="X47" s="227"/>
      <c r="Y47" s="168">
        <f t="shared" si="5"/>
        <v>0</v>
      </c>
      <c r="Z47" s="168">
        <f t="shared" si="4"/>
        <v>0</v>
      </c>
      <c r="AA47" s="169"/>
      <c r="AB47" s="195"/>
      <c r="AC47" s="195"/>
      <c r="AD47" s="195"/>
      <c r="AE47" s="195"/>
      <c r="AF47" s="195"/>
      <c r="AG47" s="195"/>
      <c r="AY47" s="167"/>
      <c r="AZ47" s="167"/>
      <c r="BA47" s="167"/>
      <c r="BB47" s="167"/>
      <c r="BC47" s="167"/>
      <c r="BD47" s="167"/>
      <c r="BE47" s="167"/>
      <c r="BF47" s="167"/>
      <c r="BG47" s="167"/>
      <c r="BH47" s="167"/>
      <c r="BI47" s="167"/>
      <c r="BJ47" s="167"/>
      <c r="BK47" s="167"/>
      <c r="BL47" s="167"/>
      <c r="BM47" s="167"/>
      <c r="BN47" s="167"/>
      <c r="BO47" s="167"/>
      <c r="BP47" s="167"/>
      <c r="BQ47" s="167"/>
      <c r="BR47" s="167"/>
      <c r="BS47" s="167"/>
      <c r="CZ47" s="198"/>
      <c r="FC47" s="200" t="str">
        <f t="shared" si="3"/>
        <v>I</v>
      </c>
    </row>
    <row r="48" spans="1:159" s="200" customFormat="1" ht="24.75" hidden="1" customHeight="1" x14ac:dyDescent="0.2">
      <c r="A48" s="136"/>
      <c r="B48" s="145"/>
      <c r="C48" s="152"/>
      <c r="D48" s="36"/>
      <c r="E48" s="220"/>
      <c r="F48" s="221"/>
      <c r="G48" s="221"/>
      <c r="H48" s="222"/>
      <c r="I48" s="220"/>
      <c r="J48" s="223"/>
      <c r="K48" s="221"/>
      <c r="L48" s="224"/>
      <c r="M48" s="220"/>
      <c r="N48" s="221"/>
      <c r="O48" s="221"/>
      <c r="P48" s="222"/>
      <c r="Q48" s="225"/>
      <c r="R48" s="226"/>
      <c r="S48" s="226"/>
      <c r="T48" s="226"/>
      <c r="U48" s="225"/>
      <c r="V48" s="226"/>
      <c r="W48" s="226"/>
      <c r="X48" s="227"/>
      <c r="Y48" s="168">
        <f t="shared" si="5"/>
        <v>0</v>
      </c>
      <c r="Z48" s="168">
        <f t="shared" si="4"/>
        <v>0</v>
      </c>
      <c r="AA48" s="169"/>
      <c r="AB48" s="195"/>
      <c r="AC48" s="195"/>
      <c r="AD48" s="195"/>
      <c r="AE48" s="195"/>
      <c r="AF48" s="195"/>
      <c r="AG48" s="195"/>
      <c r="AY48" s="167"/>
      <c r="AZ48" s="167"/>
      <c r="BA48" s="167"/>
      <c r="BB48" s="167"/>
      <c r="BC48" s="167"/>
      <c r="BD48" s="167"/>
      <c r="BE48" s="167"/>
      <c r="BF48" s="167"/>
      <c r="BG48" s="167"/>
      <c r="BH48" s="167"/>
      <c r="BI48" s="167"/>
      <c r="BJ48" s="167"/>
      <c r="BK48" s="167"/>
      <c r="BL48" s="167"/>
      <c r="BM48" s="167"/>
      <c r="BN48" s="167"/>
      <c r="BO48" s="167"/>
      <c r="BP48" s="167"/>
      <c r="BQ48" s="167"/>
      <c r="BR48" s="167"/>
      <c r="BS48" s="167"/>
      <c r="CZ48" s="198"/>
      <c r="FC48" s="200" t="str">
        <f t="shared" si="3"/>
        <v>I</v>
      </c>
    </row>
    <row r="49" spans="1:159" s="200" customFormat="1" ht="24.75" hidden="1" customHeight="1" x14ac:dyDescent="0.2">
      <c r="A49" s="136"/>
      <c r="B49" s="145"/>
      <c r="C49" s="152"/>
      <c r="D49" s="36"/>
      <c r="E49" s="220"/>
      <c r="F49" s="221"/>
      <c r="G49" s="221"/>
      <c r="H49" s="222"/>
      <c r="I49" s="220"/>
      <c r="J49" s="223"/>
      <c r="K49" s="221"/>
      <c r="L49" s="224"/>
      <c r="M49" s="220"/>
      <c r="N49" s="221"/>
      <c r="O49" s="221"/>
      <c r="P49" s="222"/>
      <c r="Q49" s="225"/>
      <c r="R49" s="226"/>
      <c r="S49" s="226"/>
      <c r="T49" s="226"/>
      <c r="U49" s="225"/>
      <c r="V49" s="226"/>
      <c r="W49" s="226"/>
      <c r="X49" s="227"/>
      <c r="Y49" s="168">
        <f t="shared" si="5"/>
        <v>0</v>
      </c>
      <c r="Z49" s="168">
        <f t="shared" si="4"/>
        <v>0</v>
      </c>
      <c r="AA49" s="169"/>
      <c r="AB49" s="195"/>
      <c r="AC49" s="195"/>
      <c r="AD49" s="195"/>
      <c r="AE49" s="195"/>
      <c r="AF49" s="195"/>
      <c r="AG49" s="195"/>
      <c r="AY49" s="167"/>
      <c r="AZ49" s="167"/>
      <c r="BA49" s="167"/>
      <c r="BB49" s="167"/>
      <c r="BC49" s="167"/>
      <c r="BD49" s="167"/>
      <c r="BE49" s="167"/>
      <c r="BF49" s="167"/>
      <c r="BG49" s="167"/>
      <c r="BH49" s="167"/>
      <c r="BI49" s="167"/>
      <c r="BJ49" s="167"/>
      <c r="BK49" s="167"/>
      <c r="BL49" s="167"/>
      <c r="BM49" s="167"/>
      <c r="BN49" s="167"/>
      <c r="BO49" s="167"/>
      <c r="BP49" s="167"/>
      <c r="BQ49" s="167"/>
      <c r="BR49" s="167"/>
      <c r="BS49" s="167"/>
      <c r="CZ49" s="198"/>
      <c r="FC49" s="200" t="str">
        <f t="shared" si="3"/>
        <v>I</v>
      </c>
    </row>
    <row r="50" spans="1:159" s="200" customFormat="1" ht="24.75" hidden="1" customHeight="1" x14ac:dyDescent="0.2">
      <c r="A50" s="136"/>
      <c r="B50" s="145"/>
      <c r="C50" s="152"/>
      <c r="D50" s="35"/>
      <c r="E50" s="220"/>
      <c r="F50" s="221"/>
      <c r="G50" s="221"/>
      <c r="H50" s="222"/>
      <c r="I50" s="220"/>
      <c r="J50" s="223"/>
      <c r="K50" s="221"/>
      <c r="L50" s="224"/>
      <c r="M50" s="220"/>
      <c r="N50" s="221"/>
      <c r="O50" s="221"/>
      <c r="P50" s="222"/>
      <c r="Q50" s="225"/>
      <c r="R50" s="226"/>
      <c r="S50" s="226"/>
      <c r="T50" s="226"/>
      <c r="U50" s="225"/>
      <c r="V50" s="226"/>
      <c r="W50" s="226"/>
      <c r="X50" s="227"/>
      <c r="Y50" s="168">
        <f t="shared" si="5"/>
        <v>0</v>
      </c>
      <c r="Z50" s="168">
        <f t="shared" si="4"/>
        <v>0</v>
      </c>
      <c r="AA50" s="169"/>
      <c r="AB50" s="195"/>
      <c r="AC50" s="195"/>
      <c r="AD50" s="195"/>
      <c r="AE50" s="195"/>
      <c r="AF50" s="195"/>
      <c r="AG50" s="195"/>
      <c r="AY50" s="167"/>
      <c r="AZ50" s="167"/>
      <c r="BA50" s="167"/>
      <c r="BB50" s="167"/>
      <c r="BC50" s="167"/>
      <c r="BD50" s="167"/>
      <c r="BE50" s="167"/>
      <c r="BF50" s="167"/>
      <c r="BG50" s="167"/>
      <c r="BH50" s="167"/>
      <c r="BI50" s="167"/>
      <c r="BJ50" s="167"/>
      <c r="BK50" s="167"/>
      <c r="BL50" s="167"/>
      <c r="BM50" s="167"/>
      <c r="BN50" s="167"/>
      <c r="BO50" s="167"/>
      <c r="BP50" s="167"/>
      <c r="BQ50" s="167"/>
      <c r="BR50" s="167"/>
      <c r="BS50" s="167"/>
      <c r="CZ50" s="198"/>
      <c r="FC50" s="200" t="str">
        <f t="shared" si="3"/>
        <v>I</v>
      </c>
    </row>
    <row r="51" spans="1:159" s="200" customFormat="1" ht="24.75" hidden="1" customHeight="1" x14ac:dyDescent="0.2">
      <c r="A51" s="136"/>
      <c r="B51" s="145"/>
      <c r="C51" s="152"/>
      <c r="D51" s="35"/>
      <c r="E51" s="220"/>
      <c r="F51" s="221"/>
      <c r="G51" s="221"/>
      <c r="H51" s="222"/>
      <c r="I51" s="220"/>
      <c r="J51" s="223"/>
      <c r="K51" s="221"/>
      <c r="L51" s="224"/>
      <c r="M51" s="220"/>
      <c r="N51" s="221"/>
      <c r="O51" s="221"/>
      <c r="P51" s="222"/>
      <c r="Q51" s="225"/>
      <c r="R51" s="226"/>
      <c r="S51" s="226"/>
      <c r="T51" s="226"/>
      <c r="U51" s="225"/>
      <c r="V51" s="226"/>
      <c r="W51" s="226"/>
      <c r="X51" s="227"/>
      <c r="Y51" s="168">
        <f t="shared" si="5"/>
        <v>0</v>
      </c>
      <c r="Z51" s="168">
        <f t="shared" si="4"/>
        <v>0</v>
      </c>
      <c r="AA51" s="169"/>
      <c r="AB51" s="195"/>
      <c r="AC51" s="195"/>
      <c r="AD51" s="195"/>
      <c r="AE51" s="195"/>
      <c r="AF51" s="195"/>
      <c r="AG51" s="195"/>
      <c r="AY51" s="167"/>
      <c r="AZ51" s="167"/>
      <c r="BA51" s="167"/>
      <c r="BB51" s="167"/>
      <c r="BC51" s="167"/>
      <c r="BD51" s="167"/>
      <c r="BE51" s="167"/>
      <c r="BF51" s="167"/>
      <c r="BG51" s="167"/>
      <c r="BH51" s="167"/>
      <c r="BI51" s="167"/>
      <c r="BJ51" s="167"/>
      <c r="BK51" s="167"/>
      <c r="BL51" s="167"/>
      <c r="BM51" s="167"/>
      <c r="BN51" s="167"/>
      <c r="BO51" s="167"/>
      <c r="BP51" s="167"/>
      <c r="BQ51" s="167"/>
      <c r="BR51" s="167"/>
      <c r="BS51" s="167"/>
      <c r="CZ51" s="198"/>
      <c r="FC51" s="200" t="str">
        <f t="shared" si="3"/>
        <v>I</v>
      </c>
    </row>
    <row r="52" spans="1:159" s="200" customFormat="1" ht="24.75" hidden="1" customHeight="1" x14ac:dyDescent="0.2">
      <c r="A52" s="136"/>
      <c r="B52" s="145"/>
      <c r="C52" s="152"/>
      <c r="D52" s="36"/>
      <c r="E52" s="220"/>
      <c r="F52" s="221"/>
      <c r="G52" s="221"/>
      <c r="H52" s="222"/>
      <c r="I52" s="220"/>
      <c r="J52" s="223"/>
      <c r="K52" s="221"/>
      <c r="L52" s="224"/>
      <c r="M52" s="220"/>
      <c r="N52" s="221"/>
      <c r="O52" s="221"/>
      <c r="P52" s="222"/>
      <c r="Q52" s="225"/>
      <c r="R52" s="226"/>
      <c r="S52" s="226"/>
      <c r="T52" s="226"/>
      <c r="U52" s="225"/>
      <c r="V52" s="226"/>
      <c r="W52" s="226"/>
      <c r="X52" s="227"/>
      <c r="Y52" s="168">
        <f t="shared" si="5"/>
        <v>0</v>
      </c>
      <c r="Z52" s="168">
        <f t="shared" si="4"/>
        <v>0</v>
      </c>
      <c r="AA52" s="169"/>
      <c r="AB52" s="195"/>
      <c r="AC52" s="195"/>
      <c r="AD52" s="195"/>
      <c r="AE52" s="195"/>
      <c r="AF52" s="195"/>
      <c r="AG52" s="195"/>
      <c r="AY52" s="167"/>
      <c r="AZ52" s="167"/>
      <c r="BA52" s="167"/>
      <c r="BB52" s="167"/>
      <c r="BC52" s="167"/>
      <c r="BD52" s="167"/>
      <c r="BE52" s="167"/>
      <c r="BF52" s="167"/>
      <c r="BG52" s="167"/>
      <c r="BH52" s="167"/>
      <c r="BI52" s="167"/>
      <c r="BJ52" s="167"/>
      <c r="BK52" s="167"/>
      <c r="BL52" s="167"/>
      <c r="BM52" s="167"/>
      <c r="BN52" s="167"/>
      <c r="BO52" s="167"/>
      <c r="BP52" s="167"/>
      <c r="BQ52" s="167"/>
      <c r="BR52" s="167"/>
      <c r="BS52" s="167"/>
      <c r="CZ52" s="198"/>
      <c r="FC52" s="200" t="str">
        <f t="shared" si="3"/>
        <v>I</v>
      </c>
    </row>
    <row r="53" spans="1:159" s="200" customFormat="1" ht="24.75" hidden="1" customHeight="1" x14ac:dyDescent="0.2">
      <c r="A53" s="136"/>
      <c r="B53" s="145"/>
      <c r="C53" s="152"/>
      <c r="D53" s="36"/>
      <c r="E53" s="220"/>
      <c r="F53" s="221"/>
      <c r="G53" s="221"/>
      <c r="H53" s="222"/>
      <c r="I53" s="220"/>
      <c r="J53" s="223"/>
      <c r="K53" s="221"/>
      <c r="L53" s="224"/>
      <c r="M53" s="220"/>
      <c r="N53" s="221"/>
      <c r="O53" s="221"/>
      <c r="P53" s="222"/>
      <c r="Q53" s="225"/>
      <c r="R53" s="226"/>
      <c r="S53" s="226"/>
      <c r="T53" s="226"/>
      <c r="U53" s="225"/>
      <c r="V53" s="226"/>
      <c r="W53" s="226"/>
      <c r="X53" s="227"/>
      <c r="Y53" s="168">
        <f t="shared" si="5"/>
        <v>0</v>
      </c>
      <c r="Z53" s="168">
        <f t="shared" si="4"/>
        <v>0</v>
      </c>
      <c r="AA53" s="169"/>
      <c r="AB53" s="195"/>
      <c r="AC53" s="195"/>
      <c r="AD53" s="195"/>
      <c r="AE53" s="195"/>
      <c r="AF53" s="195"/>
      <c r="AG53" s="195"/>
      <c r="AY53" s="167"/>
      <c r="AZ53" s="167"/>
      <c r="BA53" s="167"/>
      <c r="BB53" s="167"/>
      <c r="BC53" s="167"/>
      <c r="BD53" s="167"/>
      <c r="BE53" s="167"/>
      <c r="BF53" s="167"/>
      <c r="BG53" s="167"/>
      <c r="BH53" s="167"/>
      <c r="BI53" s="167"/>
      <c r="BJ53" s="167"/>
      <c r="BK53" s="167"/>
      <c r="BL53" s="167"/>
      <c r="BM53" s="167"/>
      <c r="BN53" s="167"/>
      <c r="BO53" s="167"/>
      <c r="BP53" s="167"/>
      <c r="BQ53" s="167"/>
      <c r="BR53" s="167"/>
      <c r="BS53" s="167"/>
      <c r="CZ53" s="198"/>
      <c r="FC53" s="200" t="str">
        <f t="shared" si="3"/>
        <v>I</v>
      </c>
    </row>
    <row r="54" spans="1:159" s="200" customFormat="1" ht="24.75" hidden="1" customHeight="1" x14ac:dyDescent="0.2">
      <c r="A54" s="136"/>
      <c r="B54" s="145"/>
      <c r="C54" s="152"/>
      <c r="D54" s="35"/>
      <c r="E54" s="220"/>
      <c r="F54" s="221"/>
      <c r="G54" s="221"/>
      <c r="H54" s="222"/>
      <c r="I54" s="220"/>
      <c r="J54" s="223"/>
      <c r="K54" s="221"/>
      <c r="L54" s="224"/>
      <c r="M54" s="220"/>
      <c r="N54" s="221"/>
      <c r="O54" s="221"/>
      <c r="P54" s="222"/>
      <c r="Q54" s="225"/>
      <c r="R54" s="226"/>
      <c r="S54" s="226"/>
      <c r="T54" s="226"/>
      <c r="U54" s="225"/>
      <c r="V54" s="226"/>
      <c r="W54" s="226"/>
      <c r="X54" s="227"/>
      <c r="Y54" s="168">
        <f t="shared" si="5"/>
        <v>0</v>
      </c>
      <c r="Z54" s="168">
        <f t="shared" si="4"/>
        <v>0</v>
      </c>
      <c r="AA54" s="169"/>
      <c r="AB54" s="195"/>
      <c r="AC54" s="195"/>
      <c r="AD54" s="195"/>
      <c r="AE54" s="195"/>
      <c r="AF54" s="195"/>
      <c r="AG54" s="195"/>
      <c r="AY54" s="167"/>
      <c r="AZ54" s="167"/>
      <c r="BA54" s="167"/>
      <c r="BB54" s="167"/>
      <c r="BC54" s="167"/>
      <c r="BD54" s="167"/>
      <c r="BE54" s="167"/>
      <c r="BF54" s="167"/>
      <c r="BG54" s="167"/>
      <c r="BH54" s="167"/>
      <c r="BI54" s="167"/>
      <c r="BJ54" s="167"/>
      <c r="BK54" s="167"/>
      <c r="BL54" s="167"/>
      <c r="BM54" s="167"/>
      <c r="BN54" s="167"/>
      <c r="BO54" s="167"/>
      <c r="BP54" s="167"/>
      <c r="BQ54" s="167"/>
      <c r="BR54" s="167"/>
      <c r="BS54" s="167"/>
      <c r="CZ54" s="198"/>
      <c r="FC54" s="200" t="str">
        <f t="shared" si="3"/>
        <v>I</v>
      </c>
    </row>
    <row r="55" spans="1:159" s="200" customFormat="1" ht="24.75" hidden="1" customHeight="1" x14ac:dyDescent="0.2">
      <c r="A55" s="136"/>
      <c r="B55" s="145"/>
      <c r="C55" s="152"/>
      <c r="D55" s="35"/>
      <c r="E55" s="220"/>
      <c r="F55" s="221"/>
      <c r="G55" s="221"/>
      <c r="H55" s="222"/>
      <c r="I55" s="220"/>
      <c r="J55" s="223"/>
      <c r="K55" s="221"/>
      <c r="L55" s="224"/>
      <c r="M55" s="220"/>
      <c r="N55" s="221"/>
      <c r="O55" s="221"/>
      <c r="P55" s="222"/>
      <c r="Q55" s="225"/>
      <c r="R55" s="226"/>
      <c r="S55" s="226"/>
      <c r="T55" s="226"/>
      <c r="U55" s="225"/>
      <c r="V55" s="226"/>
      <c r="W55" s="226"/>
      <c r="X55" s="227"/>
      <c r="Y55" s="168">
        <f t="shared" si="5"/>
        <v>0</v>
      </c>
      <c r="Z55" s="168">
        <f t="shared" si="4"/>
        <v>0</v>
      </c>
      <c r="AA55" s="169"/>
      <c r="AB55" s="195"/>
      <c r="AC55" s="195"/>
      <c r="AD55" s="195"/>
      <c r="AE55" s="195"/>
      <c r="AF55" s="195"/>
      <c r="AG55" s="195"/>
      <c r="AY55" s="167"/>
      <c r="AZ55" s="167"/>
      <c r="BA55" s="167"/>
      <c r="BB55" s="167"/>
      <c r="BC55" s="167"/>
      <c r="BD55" s="167"/>
      <c r="BE55" s="167"/>
      <c r="BF55" s="167"/>
      <c r="BG55" s="167"/>
      <c r="BH55" s="167"/>
      <c r="BI55" s="167"/>
      <c r="BJ55" s="167"/>
      <c r="BK55" s="167"/>
      <c r="BL55" s="167"/>
      <c r="BM55" s="167"/>
      <c r="BN55" s="167"/>
      <c r="BO55" s="167"/>
      <c r="BP55" s="167"/>
      <c r="BQ55" s="167"/>
      <c r="BR55" s="167"/>
      <c r="BS55" s="167"/>
      <c r="CZ55" s="198"/>
      <c r="FC55" s="200" t="str">
        <f t="shared" si="3"/>
        <v>I</v>
      </c>
    </row>
    <row r="56" spans="1:159" s="200" customFormat="1" ht="24.75" hidden="1" customHeight="1" x14ac:dyDescent="0.2">
      <c r="A56" s="136"/>
      <c r="B56" s="145"/>
      <c r="C56" s="152"/>
      <c r="D56" s="36"/>
      <c r="E56" s="220"/>
      <c r="F56" s="221"/>
      <c r="G56" s="221"/>
      <c r="H56" s="222"/>
      <c r="I56" s="220"/>
      <c r="J56" s="223"/>
      <c r="K56" s="221"/>
      <c r="L56" s="224"/>
      <c r="M56" s="220"/>
      <c r="N56" s="221"/>
      <c r="O56" s="221"/>
      <c r="P56" s="222"/>
      <c r="Q56" s="225"/>
      <c r="R56" s="226"/>
      <c r="S56" s="226"/>
      <c r="T56" s="226"/>
      <c r="U56" s="225"/>
      <c r="V56" s="226"/>
      <c r="W56" s="226"/>
      <c r="X56" s="227"/>
      <c r="Y56" s="168">
        <f t="shared" si="5"/>
        <v>0</v>
      </c>
      <c r="Z56" s="168">
        <f t="shared" si="4"/>
        <v>0</v>
      </c>
      <c r="AA56" s="169"/>
      <c r="AB56" s="195"/>
      <c r="AC56" s="195"/>
      <c r="AD56" s="195"/>
      <c r="AE56" s="195"/>
      <c r="AF56" s="195"/>
      <c r="AG56" s="195"/>
      <c r="AY56" s="167"/>
      <c r="AZ56" s="167"/>
      <c r="BA56" s="167"/>
      <c r="BB56" s="167"/>
      <c r="BC56" s="167"/>
      <c r="BD56" s="167"/>
      <c r="BE56" s="167"/>
      <c r="BF56" s="167"/>
      <c r="BG56" s="167"/>
      <c r="BH56" s="167"/>
      <c r="BI56" s="167"/>
      <c r="BJ56" s="167"/>
      <c r="BK56" s="167"/>
      <c r="BL56" s="167"/>
      <c r="BM56" s="167"/>
      <c r="BN56" s="167"/>
      <c r="BO56" s="167"/>
      <c r="BP56" s="167"/>
      <c r="BQ56" s="167"/>
      <c r="BR56" s="167"/>
      <c r="BS56" s="167"/>
      <c r="CZ56" s="198"/>
      <c r="FC56" s="200" t="str">
        <f t="shared" si="3"/>
        <v>I</v>
      </c>
    </row>
    <row r="57" spans="1:159" s="200" customFormat="1" ht="24.75" hidden="1" customHeight="1" x14ac:dyDescent="0.2">
      <c r="A57" s="136"/>
      <c r="B57" s="145"/>
      <c r="C57" s="152"/>
      <c r="D57" s="36"/>
      <c r="E57" s="220"/>
      <c r="F57" s="221"/>
      <c r="G57" s="221"/>
      <c r="H57" s="222"/>
      <c r="I57" s="220"/>
      <c r="J57" s="223"/>
      <c r="K57" s="221"/>
      <c r="L57" s="224"/>
      <c r="M57" s="220"/>
      <c r="N57" s="221"/>
      <c r="O57" s="221"/>
      <c r="P57" s="222"/>
      <c r="Q57" s="225"/>
      <c r="R57" s="226"/>
      <c r="S57" s="226"/>
      <c r="T57" s="226"/>
      <c r="U57" s="225"/>
      <c r="V57" s="226"/>
      <c r="W57" s="226"/>
      <c r="X57" s="227"/>
      <c r="Y57" s="168">
        <f t="shared" si="5"/>
        <v>0</v>
      </c>
      <c r="Z57" s="168">
        <f t="shared" si="4"/>
        <v>0</v>
      </c>
      <c r="AA57" s="169"/>
      <c r="AB57" s="195"/>
      <c r="AC57" s="195"/>
      <c r="AD57" s="195"/>
      <c r="AE57" s="195"/>
      <c r="AF57" s="195"/>
      <c r="AG57" s="195"/>
      <c r="AY57" s="167"/>
      <c r="AZ57" s="167"/>
      <c r="BA57" s="167"/>
      <c r="BB57" s="167"/>
      <c r="BC57" s="167"/>
      <c r="BD57" s="167"/>
      <c r="BE57" s="167"/>
      <c r="BF57" s="167"/>
      <c r="BG57" s="167"/>
      <c r="BH57" s="167"/>
      <c r="BI57" s="167"/>
      <c r="BJ57" s="167"/>
      <c r="BK57" s="167"/>
      <c r="BL57" s="167"/>
      <c r="BM57" s="167"/>
      <c r="BN57" s="167"/>
      <c r="BO57" s="167"/>
      <c r="BP57" s="167"/>
      <c r="BQ57" s="167"/>
      <c r="BR57" s="167"/>
      <c r="BS57" s="167"/>
      <c r="CZ57" s="198"/>
      <c r="FC57" s="200" t="str">
        <f t="shared" si="3"/>
        <v>I</v>
      </c>
    </row>
    <row r="58" spans="1:159" s="200" customFormat="1" ht="24.75" hidden="1" customHeight="1" x14ac:dyDescent="0.2">
      <c r="A58" s="136"/>
      <c r="B58" s="145"/>
      <c r="C58" s="152"/>
      <c r="D58" s="36"/>
      <c r="E58" s="220"/>
      <c r="F58" s="221"/>
      <c r="G58" s="221"/>
      <c r="H58" s="222"/>
      <c r="I58" s="220"/>
      <c r="J58" s="223"/>
      <c r="K58" s="221"/>
      <c r="L58" s="224"/>
      <c r="M58" s="220"/>
      <c r="N58" s="221"/>
      <c r="O58" s="221"/>
      <c r="P58" s="222"/>
      <c r="Q58" s="225"/>
      <c r="R58" s="226"/>
      <c r="S58" s="226"/>
      <c r="T58" s="226"/>
      <c r="U58" s="225"/>
      <c r="V58" s="226"/>
      <c r="W58" s="226"/>
      <c r="X58" s="227"/>
      <c r="Y58" s="168">
        <f t="shared" si="5"/>
        <v>0</v>
      </c>
      <c r="Z58" s="168">
        <f t="shared" si="4"/>
        <v>0</v>
      </c>
      <c r="AA58" s="169"/>
      <c r="AB58" s="195"/>
      <c r="AC58" s="195"/>
      <c r="AD58" s="195"/>
      <c r="AE58" s="195"/>
      <c r="AF58" s="195"/>
      <c r="AG58" s="195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167"/>
      <c r="BM58" s="167"/>
      <c r="BN58" s="167"/>
      <c r="BO58" s="167"/>
      <c r="BP58" s="167"/>
      <c r="BQ58" s="167"/>
      <c r="BR58" s="167"/>
      <c r="BS58" s="167"/>
      <c r="CZ58" s="198"/>
      <c r="FC58" s="200" t="str">
        <f t="shared" si="3"/>
        <v>I</v>
      </c>
    </row>
    <row r="59" spans="1:159" s="200" customFormat="1" ht="24.75" hidden="1" customHeight="1" x14ac:dyDescent="0.2">
      <c r="A59" s="136"/>
      <c r="B59" s="145"/>
      <c r="C59" s="152"/>
      <c r="D59" s="35"/>
      <c r="E59" s="220"/>
      <c r="F59" s="221"/>
      <c r="G59" s="221"/>
      <c r="H59" s="222"/>
      <c r="I59" s="220"/>
      <c r="J59" s="223"/>
      <c r="K59" s="221"/>
      <c r="L59" s="224"/>
      <c r="M59" s="220"/>
      <c r="N59" s="221"/>
      <c r="O59" s="221"/>
      <c r="P59" s="222"/>
      <c r="Q59" s="225"/>
      <c r="R59" s="226"/>
      <c r="S59" s="226"/>
      <c r="T59" s="226"/>
      <c r="U59" s="225"/>
      <c r="V59" s="226"/>
      <c r="W59" s="226"/>
      <c r="X59" s="227"/>
      <c r="Y59" s="168">
        <f t="shared" si="5"/>
        <v>0</v>
      </c>
      <c r="Z59" s="168">
        <f t="shared" si="4"/>
        <v>0</v>
      </c>
      <c r="AA59" s="169"/>
      <c r="AB59" s="195"/>
      <c r="AC59" s="195"/>
      <c r="AD59" s="195"/>
      <c r="AE59" s="195"/>
      <c r="AF59" s="195"/>
      <c r="AG59" s="195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CZ59" s="198"/>
      <c r="FC59" s="200" t="str">
        <f t="shared" si="3"/>
        <v>I</v>
      </c>
    </row>
    <row r="60" spans="1:159" s="200" customFormat="1" ht="24.75" hidden="1" customHeight="1" x14ac:dyDescent="0.2">
      <c r="A60" s="136"/>
      <c r="B60" s="145"/>
      <c r="C60" s="152"/>
      <c r="D60" s="35"/>
      <c r="E60" s="220"/>
      <c r="F60" s="221"/>
      <c r="G60" s="221"/>
      <c r="H60" s="222"/>
      <c r="I60" s="220"/>
      <c r="J60" s="223"/>
      <c r="K60" s="221"/>
      <c r="L60" s="224"/>
      <c r="M60" s="220"/>
      <c r="N60" s="221"/>
      <c r="O60" s="221"/>
      <c r="P60" s="222"/>
      <c r="Q60" s="225"/>
      <c r="R60" s="226"/>
      <c r="S60" s="226"/>
      <c r="T60" s="226"/>
      <c r="U60" s="225"/>
      <c r="V60" s="226"/>
      <c r="W60" s="226"/>
      <c r="X60" s="227"/>
      <c r="Y60" s="168">
        <f t="shared" si="5"/>
        <v>0</v>
      </c>
      <c r="Z60" s="168">
        <f t="shared" si="4"/>
        <v>0</v>
      </c>
      <c r="AA60" s="169"/>
      <c r="AB60" s="195"/>
      <c r="AC60" s="195"/>
      <c r="AD60" s="195"/>
      <c r="AE60" s="195"/>
      <c r="AF60" s="195"/>
      <c r="AG60" s="195"/>
      <c r="AY60" s="167"/>
      <c r="AZ60" s="167"/>
      <c r="BA60" s="167"/>
      <c r="BB60" s="167"/>
      <c r="BC60" s="167"/>
      <c r="BD60" s="167"/>
      <c r="BE60" s="167"/>
      <c r="BF60" s="167"/>
      <c r="BG60" s="167"/>
      <c r="BH60" s="167"/>
      <c r="BI60" s="167"/>
      <c r="BJ60" s="167"/>
      <c r="BK60" s="167"/>
      <c r="BL60" s="167"/>
      <c r="BM60" s="167"/>
      <c r="BN60" s="167"/>
      <c r="BO60" s="167"/>
      <c r="BP60" s="167"/>
      <c r="BQ60" s="167"/>
      <c r="BR60" s="167"/>
      <c r="BS60" s="167"/>
      <c r="CZ60" s="198"/>
      <c r="FC60" s="200" t="str">
        <f t="shared" si="3"/>
        <v>I</v>
      </c>
    </row>
    <row r="61" spans="1:159" s="200" customFormat="1" ht="24.75" hidden="1" customHeight="1" x14ac:dyDescent="0.2">
      <c r="A61" s="136"/>
      <c r="B61" s="145"/>
      <c r="C61" s="152"/>
      <c r="D61" s="35"/>
      <c r="E61" s="220"/>
      <c r="F61" s="221"/>
      <c r="G61" s="221"/>
      <c r="H61" s="222"/>
      <c r="I61" s="220"/>
      <c r="J61" s="223"/>
      <c r="K61" s="221"/>
      <c r="L61" s="224"/>
      <c r="M61" s="220"/>
      <c r="N61" s="221"/>
      <c r="O61" s="221"/>
      <c r="P61" s="222"/>
      <c r="Q61" s="225"/>
      <c r="R61" s="226"/>
      <c r="S61" s="226"/>
      <c r="T61" s="226"/>
      <c r="U61" s="225"/>
      <c r="V61" s="226"/>
      <c r="W61" s="226"/>
      <c r="X61" s="227"/>
      <c r="Y61" s="168">
        <f t="shared" si="5"/>
        <v>0</v>
      </c>
      <c r="Z61" s="168">
        <f t="shared" si="4"/>
        <v>0</v>
      </c>
      <c r="AA61" s="169"/>
      <c r="AB61" s="195"/>
      <c r="AC61" s="195"/>
      <c r="AD61" s="195"/>
      <c r="AE61" s="195"/>
      <c r="AF61" s="195"/>
      <c r="AG61" s="195"/>
      <c r="AY61" s="167"/>
      <c r="AZ61" s="167"/>
      <c r="BA61" s="167"/>
      <c r="BB61" s="167"/>
      <c r="BC61" s="167"/>
      <c r="BD61" s="167"/>
      <c r="BE61" s="167"/>
      <c r="BF61" s="167"/>
      <c r="BG61" s="167"/>
      <c r="BH61" s="167"/>
      <c r="BI61" s="167"/>
      <c r="BJ61" s="167"/>
      <c r="BK61" s="167"/>
      <c r="BL61" s="167"/>
      <c r="BM61" s="167"/>
      <c r="BN61" s="167"/>
      <c r="BO61" s="167"/>
      <c r="BP61" s="167"/>
      <c r="BQ61" s="167"/>
      <c r="BR61" s="167"/>
      <c r="BS61" s="167"/>
      <c r="CZ61" s="198"/>
      <c r="FC61" s="200" t="str">
        <f t="shared" si="3"/>
        <v>I</v>
      </c>
    </row>
    <row r="62" spans="1:159" s="200" customFormat="1" ht="24.75" hidden="1" customHeight="1" x14ac:dyDescent="0.2">
      <c r="A62" s="136"/>
      <c r="B62" s="145"/>
      <c r="C62" s="152"/>
      <c r="D62" s="35"/>
      <c r="E62" s="220"/>
      <c r="F62" s="221"/>
      <c r="G62" s="221"/>
      <c r="H62" s="222"/>
      <c r="I62" s="220"/>
      <c r="J62" s="223"/>
      <c r="K62" s="221"/>
      <c r="L62" s="224"/>
      <c r="M62" s="220"/>
      <c r="N62" s="221"/>
      <c r="O62" s="221"/>
      <c r="P62" s="222"/>
      <c r="Q62" s="225"/>
      <c r="R62" s="226"/>
      <c r="S62" s="226"/>
      <c r="T62" s="226"/>
      <c r="U62" s="225"/>
      <c r="V62" s="226"/>
      <c r="W62" s="226"/>
      <c r="X62" s="227"/>
      <c r="Y62" s="168">
        <f t="shared" si="5"/>
        <v>0</v>
      </c>
      <c r="Z62" s="168">
        <f t="shared" si="4"/>
        <v>0</v>
      </c>
      <c r="AA62" s="169"/>
      <c r="AB62" s="195"/>
      <c r="AC62" s="195"/>
      <c r="AD62" s="195"/>
      <c r="AE62" s="195"/>
      <c r="AF62" s="195"/>
      <c r="AG62" s="195"/>
      <c r="AY62" s="167"/>
      <c r="AZ62" s="167"/>
      <c r="BA62" s="167"/>
      <c r="BB62" s="167"/>
      <c r="BC62" s="167"/>
      <c r="BD62" s="167"/>
      <c r="BE62" s="167"/>
      <c r="BF62" s="167"/>
      <c r="BG62" s="167"/>
      <c r="BH62" s="167"/>
      <c r="BI62" s="167"/>
      <c r="BJ62" s="167"/>
      <c r="BK62" s="167"/>
      <c r="BL62" s="167"/>
      <c r="BM62" s="167"/>
      <c r="BN62" s="167"/>
      <c r="BO62" s="167"/>
      <c r="BP62" s="167"/>
      <c r="BQ62" s="167"/>
      <c r="BR62" s="167"/>
      <c r="BS62" s="167"/>
      <c r="CZ62" s="198"/>
      <c r="FC62" s="200" t="str">
        <f t="shared" si="3"/>
        <v>I</v>
      </c>
    </row>
    <row r="63" spans="1:159" s="200" customFormat="1" ht="24.75" hidden="1" customHeight="1" x14ac:dyDescent="0.2">
      <c r="A63" s="136"/>
      <c r="B63" s="145"/>
      <c r="C63" s="152"/>
      <c r="D63" s="36"/>
      <c r="E63" s="220"/>
      <c r="F63" s="221"/>
      <c r="G63" s="221"/>
      <c r="H63" s="222"/>
      <c r="I63" s="220"/>
      <c r="J63" s="223"/>
      <c r="K63" s="221"/>
      <c r="L63" s="224"/>
      <c r="M63" s="220"/>
      <c r="N63" s="221"/>
      <c r="O63" s="221"/>
      <c r="P63" s="222"/>
      <c r="Q63" s="225"/>
      <c r="R63" s="226"/>
      <c r="S63" s="226"/>
      <c r="T63" s="226"/>
      <c r="U63" s="225"/>
      <c r="V63" s="226"/>
      <c r="W63" s="226"/>
      <c r="X63" s="227"/>
      <c r="Y63" s="168">
        <f t="shared" si="5"/>
        <v>0</v>
      </c>
      <c r="Z63" s="168">
        <f t="shared" si="4"/>
        <v>0</v>
      </c>
      <c r="AA63" s="169"/>
      <c r="AB63" s="195"/>
      <c r="AC63" s="195"/>
      <c r="AD63" s="195"/>
      <c r="AE63" s="195"/>
      <c r="AF63" s="195"/>
      <c r="AG63" s="195"/>
      <c r="AY63" s="167"/>
      <c r="AZ63" s="167"/>
      <c r="BA63" s="167"/>
      <c r="BB63" s="167"/>
      <c r="BC63" s="167"/>
      <c r="BD63" s="167"/>
      <c r="BE63" s="167"/>
      <c r="BF63" s="167"/>
      <c r="BG63" s="167"/>
      <c r="BH63" s="167"/>
      <c r="BI63" s="167"/>
      <c r="BJ63" s="167"/>
      <c r="BK63" s="167"/>
      <c r="BL63" s="167"/>
      <c r="BM63" s="167"/>
      <c r="BN63" s="167"/>
      <c r="BO63" s="167"/>
      <c r="BP63" s="167"/>
      <c r="BQ63" s="167"/>
      <c r="BR63" s="167"/>
      <c r="BS63" s="167"/>
      <c r="CZ63" s="198"/>
      <c r="FC63" s="200" t="str">
        <f t="shared" si="3"/>
        <v>I</v>
      </c>
    </row>
    <row r="64" spans="1:159" s="200" customFormat="1" ht="24.75" hidden="1" customHeight="1" x14ac:dyDescent="0.2">
      <c r="A64" s="136"/>
      <c r="B64" s="145"/>
      <c r="C64" s="152"/>
      <c r="D64" s="36"/>
      <c r="E64" s="220"/>
      <c r="F64" s="221"/>
      <c r="G64" s="221"/>
      <c r="H64" s="222"/>
      <c r="I64" s="220"/>
      <c r="J64" s="223"/>
      <c r="K64" s="221"/>
      <c r="L64" s="224"/>
      <c r="M64" s="220"/>
      <c r="N64" s="221"/>
      <c r="O64" s="221"/>
      <c r="P64" s="222"/>
      <c r="Q64" s="225"/>
      <c r="R64" s="226"/>
      <c r="S64" s="226"/>
      <c r="T64" s="226"/>
      <c r="U64" s="225"/>
      <c r="V64" s="226"/>
      <c r="W64" s="226"/>
      <c r="X64" s="227"/>
      <c r="Y64" s="168">
        <f t="shared" si="5"/>
        <v>0</v>
      </c>
      <c r="Z64" s="168">
        <f t="shared" si="4"/>
        <v>0</v>
      </c>
      <c r="AA64" s="169"/>
      <c r="AB64" s="195"/>
      <c r="AC64" s="195"/>
      <c r="AD64" s="195"/>
      <c r="AE64" s="195"/>
      <c r="AF64" s="195"/>
      <c r="AG64" s="195"/>
      <c r="AY64" s="167"/>
      <c r="AZ64" s="167"/>
      <c r="BA64" s="167"/>
      <c r="BB64" s="167"/>
      <c r="BC64" s="167"/>
      <c r="BD64" s="167"/>
      <c r="BE64" s="167"/>
      <c r="BF64" s="167"/>
      <c r="BG64" s="167"/>
      <c r="BH64" s="167"/>
      <c r="BI64" s="167"/>
      <c r="BJ64" s="167"/>
      <c r="BK64" s="167"/>
      <c r="BL64" s="167"/>
      <c r="BM64" s="167"/>
      <c r="BN64" s="167"/>
      <c r="BO64" s="167"/>
      <c r="BP64" s="167"/>
      <c r="BQ64" s="167"/>
      <c r="BR64" s="167"/>
      <c r="BS64" s="167"/>
      <c r="CZ64" s="198"/>
      <c r="FC64" s="200" t="str">
        <f t="shared" si="3"/>
        <v>I</v>
      </c>
    </row>
    <row r="65" spans="1:159" s="200" customFormat="1" ht="24.75" hidden="1" customHeight="1" x14ac:dyDescent="0.2">
      <c r="A65" s="136"/>
      <c r="B65" s="145"/>
      <c r="C65" s="152"/>
      <c r="D65" s="36"/>
      <c r="E65" s="220"/>
      <c r="F65" s="221"/>
      <c r="G65" s="221"/>
      <c r="H65" s="222"/>
      <c r="I65" s="220"/>
      <c r="J65" s="223"/>
      <c r="K65" s="221"/>
      <c r="L65" s="224"/>
      <c r="M65" s="220"/>
      <c r="N65" s="221"/>
      <c r="O65" s="221"/>
      <c r="P65" s="222"/>
      <c r="Q65" s="225"/>
      <c r="R65" s="226"/>
      <c r="S65" s="226"/>
      <c r="T65" s="226"/>
      <c r="U65" s="225"/>
      <c r="V65" s="226"/>
      <c r="W65" s="226"/>
      <c r="X65" s="227"/>
      <c r="Y65" s="168">
        <f t="shared" si="5"/>
        <v>0</v>
      </c>
      <c r="Z65" s="168">
        <f t="shared" si="4"/>
        <v>0</v>
      </c>
      <c r="AA65" s="169"/>
      <c r="AB65" s="195"/>
      <c r="AC65" s="195"/>
      <c r="AD65" s="195"/>
      <c r="AE65" s="195"/>
      <c r="AF65" s="195"/>
      <c r="AG65" s="195"/>
      <c r="AY65" s="167"/>
      <c r="AZ65" s="167"/>
      <c r="BA65" s="167"/>
      <c r="BB65" s="167"/>
      <c r="BC65" s="167"/>
      <c r="BD65" s="167"/>
      <c r="BE65" s="167"/>
      <c r="BF65" s="167"/>
      <c r="BG65" s="167"/>
      <c r="BH65" s="167"/>
      <c r="BI65" s="167"/>
      <c r="BJ65" s="167"/>
      <c r="BK65" s="167"/>
      <c r="BL65" s="167"/>
      <c r="BM65" s="167"/>
      <c r="BN65" s="167"/>
      <c r="BO65" s="167"/>
      <c r="BP65" s="167"/>
      <c r="BQ65" s="167"/>
      <c r="BR65" s="167"/>
      <c r="BS65" s="167"/>
      <c r="CZ65" s="198"/>
      <c r="FC65" s="200" t="str">
        <f t="shared" si="3"/>
        <v>I</v>
      </c>
    </row>
    <row r="66" spans="1:159" s="200" customFormat="1" ht="24.75" hidden="1" customHeight="1" x14ac:dyDescent="0.2">
      <c r="A66" s="136"/>
      <c r="B66" s="145"/>
      <c r="C66" s="152"/>
      <c r="D66" s="36"/>
      <c r="E66" s="220"/>
      <c r="F66" s="221"/>
      <c r="G66" s="221"/>
      <c r="H66" s="222"/>
      <c r="I66" s="220"/>
      <c r="J66" s="223"/>
      <c r="K66" s="221"/>
      <c r="L66" s="224"/>
      <c r="M66" s="220"/>
      <c r="N66" s="221"/>
      <c r="O66" s="221"/>
      <c r="P66" s="222"/>
      <c r="Q66" s="225"/>
      <c r="R66" s="226"/>
      <c r="S66" s="226"/>
      <c r="T66" s="226"/>
      <c r="U66" s="225"/>
      <c r="V66" s="226"/>
      <c r="W66" s="226"/>
      <c r="X66" s="227"/>
      <c r="Y66" s="168">
        <f t="shared" si="5"/>
        <v>0</v>
      </c>
      <c r="Z66" s="168">
        <f t="shared" si="4"/>
        <v>0</v>
      </c>
      <c r="AA66" s="169"/>
      <c r="AB66" s="195"/>
      <c r="AC66" s="195"/>
      <c r="AD66" s="195"/>
      <c r="AE66" s="195"/>
      <c r="AF66" s="195"/>
      <c r="AG66" s="195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CZ66" s="198"/>
      <c r="FC66" s="200" t="str">
        <f t="shared" si="3"/>
        <v>I</v>
      </c>
    </row>
    <row r="67" spans="1:159" s="200" customFormat="1" ht="24.75" hidden="1" customHeight="1" x14ac:dyDescent="0.2">
      <c r="A67" s="136"/>
      <c r="B67" s="145"/>
      <c r="C67" s="152"/>
      <c r="D67" s="36"/>
      <c r="E67" s="220"/>
      <c r="F67" s="221"/>
      <c r="G67" s="221"/>
      <c r="H67" s="222"/>
      <c r="I67" s="220"/>
      <c r="J67" s="223"/>
      <c r="K67" s="221"/>
      <c r="L67" s="224"/>
      <c r="M67" s="220"/>
      <c r="N67" s="221"/>
      <c r="O67" s="221"/>
      <c r="P67" s="222"/>
      <c r="Q67" s="225"/>
      <c r="R67" s="226"/>
      <c r="S67" s="226"/>
      <c r="T67" s="226"/>
      <c r="U67" s="225"/>
      <c r="V67" s="226"/>
      <c r="W67" s="226"/>
      <c r="X67" s="227"/>
      <c r="Y67" s="168">
        <f t="shared" si="5"/>
        <v>0</v>
      </c>
      <c r="Z67" s="168">
        <f t="shared" si="4"/>
        <v>0</v>
      </c>
      <c r="AA67" s="169"/>
      <c r="AB67" s="195"/>
      <c r="AC67" s="195"/>
      <c r="AD67" s="195"/>
      <c r="AE67" s="195"/>
      <c r="AF67" s="195"/>
      <c r="AG67" s="195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CZ67" s="198"/>
      <c r="FC67" s="200" t="str">
        <f t="shared" ref="FC67:FC98" si="6">IF(EY67="","I",EY67)</f>
        <v>I</v>
      </c>
    </row>
    <row r="68" spans="1:159" s="200" customFormat="1" ht="24.75" hidden="1" customHeight="1" x14ac:dyDescent="0.2">
      <c r="A68" s="136"/>
      <c r="B68" s="145"/>
      <c r="C68" s="152"/>
      <c r="D68" s="36"/>
      <c r="E68" s="220"/>
      <c r="F68" s="221"/>
      <c r="G68" s="221"/>
      <c r="H68" s="222"/>
      <c r="I68" s="220"/>
      <c r="J68" s="223"/>
      <c r="K68" s="221"/>
      <c r="L68" s="224"/>
      <c r="M68" s="220"/>
      <c r="N68" s="221"/>
      <c r="O68" s="221"/>
      <c r="P68" s="222"/>
      <c r="Q68" s="225"/>
      <c r="R68" s="226"/>
      <c r="S68" s="226"/>
      <c r="T68" s="226"/>
      <c r="U68" s="225"/>
      <c r="V68" s="226"/>
      <c r="W68" s="226"/>
      <c r="X68" s="227"/>
      <c r="Y68" s="168">
        <f t="shared" si="5"/>
        <v>0</v>
      </c>
      <c r="Z68" s="168">
        <f t="shared" si="4"/>
        <v>0</v>
      </c>
      <c r="AA68" s="169"/>
      <c r="AB68" s="195"/>
      <c r="AC68" s="195"/>
      <c r="AD68" s="195"/>
      <c r="AE68" s="195"/>
      <c r="AF68" s="195"/>
      <c r="AG68" s="195"/>
      <c r="AY68" s="167"/>
      <c r="AZ68" s="167"/>
      <c r="BA68" s="167"/>
      <c r="BB68" s="167"/>
      <c r="BC68" s="167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CZ68" s="198"/>
      <c r="FC68" s="200" t="str">
        <f t="shared" si="6"/>
        <v>I</v>
      </c>
    </row>
    <row r="69" spans="1:159" s="200" customFormat="1" ht="24.75" hidden="1" customHeight="1" x14ac:dyDescent="0.2">
      <c r="A69" s="136"/>
      <c r="B69" s="145"/>
      <c r="C69" s="152"/>
      <c r="D69" s="36"/>
      <c r="E69" s="220"/>
      <c r="F69" s="221"/>
      <c r="G69" s="221"/>
      <c r="H69" s="222"/>
      <c r="I69" s="220"/>
      <c r="J69" s="223"/>
      <c r="K69" s="221"/>
      <c r="L69" s="224"/>
      <c r="M69" s="220"/>
      <c r="N69" s="221"/>
      <c r="O69" s="221"/>
      <c r="P69" s="222"/>
      <c r="Q69" s="225"/>
      <c r="R69" s="226"/>
      <c r="S69" s="226"/>
      <c r="T69" s="226"/>
      <c r="U69" s="225"/>
      <c r="V69" s="226"/>
      <c r="W69" s="226"/>
      <c r="X69" s="227"/>
      <c r="Y69" s="168">
        <f t="shared" si="5"/>
        <v>0</v>
      </c>
      <c r="Z69" s="168">
        <f t="shared" si="4"/>
        <v>0</v>
      </c>
      <c r="AA69" s="169"/>
      <c r="AB69" s="195"/>
      <c r="AC69" s="195"/>
      <c r="AD69" s="195"/>
      <c r="AE69" s="195"/>
      <c r="AF69" s="195"/>
      <c r="AG69" s="195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CZ69" s="198"/>
      <c r="FC69" s="200" t="str">
        <f t="shared" si="6"/>
        <v>I</v>
      </c>
    </row>
    <row r="70" spans="1:159" s="200" customFormat="1" ht="24.75" hidden="1" customHeight="1" x14ac:dyDescent="0.2">
      <c r="A70" s="136"/>
      <c r="B70" s="145"/>
      <c r="C70" s="152"/>
      <c r="D70" s="36"/>
      <c r="E70" s="220"/>
      <c r="F70" s="221"/>
      <c r="G70" s="221"/>
      <c r="H70" s="222"/>
      <c r="I70" s="220"/>
      <c r="J70" s="223"/>
      <c r="K70" s="221"/>
      <c r="L70" s="224"/>
      <c r="M70" s="220"/>
      <c r="N70" s="221"/>
      <c r="O70" s="221"/>
      <c r="P70" s="222"/>
      <c r="Q70" s="225"/>
      <c r="R70" s="226"/>
      <c r="S70" s="226"/>
      <c r="T70" s="226"/>
      <c r="U70" s="225"/>
      <c r="V70" s="226"/>
      <c r="W70" s="226"/>
      <c r="X70" s="227"/>
      <c r="Y70" s="168">
        <f t="shared" si="5"/>
        <v>0</v>
      </c>
      <c r="Z70" s="168">
        <f t="shared" si="4"/>
        <v>0</v>
      </c>
      <c r="AA70" s="169"/>
      <c r="AB70" s="195"/>
      <c r="AC70" s="195"/>
      <c r="AD70" s="195"/>
      <c r="AE70" s="195"/>
      <c r="AF70" s="195"/>
      <c r="AG70" s="195"/>
      <c r="AY70" s="167"/>
      <c r="AZ70" s="167"/>
      <c r="BA70" s="167"/>
      <c r="BB70" s="167"/>
      <c r="BC70" s="167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CZ70" s="198"/>
      <c r="FC70" s="200" t="str">
        <f t="shared" si="6"/>
        <v>I</v>
      </c>
    </row>
    <row r="71" spans="1:159" s="200" customFormat="1" ht="24.75" hidden="1" customHeight="1" x14ac:dyDescent="0.2">
      <c r="A71" s="136"/>
      <c r="B71" s="145"/>
      <c r="C71" s="152"/>
      <c r="D71" s="36"/>
      <c r="E71" s="220"/>
      <c r="F71" s="221"/>
      <c r="G71" s="221"/>
      <c r="H71" s="222"/>
      <c r="I71" s="220"/>
      <c r="J71" s="223"/>
      <c r="K71" s="221"/>
      <c r="L71" s="224"/>
      <c r="M71" s="220"/>
      <c r="N71" s="221"/>
      <c r="O71" s="221"/>
      <c r="P71" s="222"/>
      <c r="Q71" s="225"/>
      <c r="R71" s="226"/>
      <c r="S71" s="226"/>
      <c r="T71" s="226"/>
      <c r="U71" s="225"/>
      <c r="V71" s="226"/>
      <c r="W71" s="226"/>
      <c r="X71" s="227"/>
      <c r="Y71" s="168">
        <f t="shared" si="5"/>
        <v>0</v>
      </c>
      <c r="Z71" s="168">
        <f t="shared" si="4"/>
        <v>0</v>
      </c>
      <c r="AA71" s="169"/>
      <c r="AB71" s="195"/>
      <c r="AC71" s="195"/>
      <c r="AD71" s="195"/>
      <c r="AE71" s="195"/>
      <c r="AF71" s="195"/>
      <c r="AG71" s="195"/>
      <c r="AY71" s="167"/>
      <c r="AZ71" s="167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P71" s="167"/>
      <c r="BQ71" s="167"/>
      <c r="BR71" s="167"/>
      <c r="BS71" s="167"/>
      <c r="CZ71" s="198"/>
      <c r="FC71" s="200" t="str">
        <f t="shared" si="6"/>
        <v>I</v>
      </c>
    </row>
    <row r="72" spans="1:159" s="200" customFormat="1" ht="24.75" hidden="1" customHeight="1" x14ac:dyDescent="0.2">
      <c r="A72" s="136"/>
      <c r="B72" s="145"/>
      <c r="C72" s="152"/>
      <c r="D72" s="36"/>
      <c r="E72" s="220"/>
      <c r="F72" s="221"/>
      <c r="G72" s="221"/>
      <c r="H72" s="222"/>
      <c r="I72" s="220"/>
      <c r="J72" s="223"/>
      <c r="K72" s="221"/>
      <c r="L72" s="224"/>
      <c r="M72" s="220"/>
      <c r="N72" s="221"/>
      <c r="O72" s="221"/>
      <c r="P72" s="222"/>
      <c r="Q72" s="225"/>
      <c r="R72" s="226"/>
      <c r="S72" s="226"/>
      <c r="T72" s="226"/>
      <c r="U72" s="225"/>
      <c r="V72" s="226"/>
      <c r="W72" s="226"/>
      <c r="X72" s="227"/>
      <c r="Y72" s="168">
        <f t="shared" si="5"/>
        <v>0</v>
      </c>
      <c r="Z72" s="168">
        <f t="shared" si="4"/>
        <v>0</v>
      </c>
      <c r="AA72" s="169"/>
      <c r="AB72" s="195"/>
      <c r="AC72" s="195"/>
      <c r="AD72" s="195"/>
      <c r="AE72" s="195"/>
      <c r="AF72" s="195"/>
      <c r="AG72" s="195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CZ72" s="198"/>
      <c r="FC72" s="200" t="str">
        <f t="shared" si="6"/>
        <v>I</v>
      </c>
    </row>
    <row r="73" spans="1:159" s="200" customFormat="1" ht="24.75" hidden="1" customHeight="1" x14ac:dyDescent="0.2">
      <c r="A73" s="136"/>
      <c r="B73" s="145"/>
      <c r="C73" s="152"/>
      <c r="D73" s="36"/>
      <c r="E73" s="220"/>
      <c r="F73" s="221"/>
      <c r="G73" s="221"/>
      <c r="H73" s="222"/>
      <c r="I73" s="220"/>
      <c r="J73" s="223"/>
      <c r="K73" s="221"/>
      <c r="L73" s="224"/>
      <c r="M73" s="220"/>
      <c r="N73" s="221"/>
      <c r="O73" s="221"/>
      <c r="P73" s="222"/>
      <c r="Q73" s="225"/>
      <c r="R73" s="226"/>
      <c r="S73" s="226"/>
      <c r="T73" s="226"/>
      <c r="U73" s="225"/>
      <c r="V73" s="226"/>
      <c r="W73" s="226"/>
      <c r="X73" s="227"/>
      <c r="Y73" s="168">
        <f t="shared" si="5"/>
        <v>0</v>
      </c>
      <c r="Z73" s="168">
        <f t="shared" si="4"/>
        <v>0</v>
      </c>
      <c r="AA73" s="169"/>
      <c r="AB73" s="195"/>
      <c r="AC73" s="195"/>
      <c r="AD73" s="195"/>
      <c r="AE73" s="195"/>
      <c r="AF73" s="195"/>
      <c r="AG73" s="195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CZ73" s="198"/>
      <c r="FC73" s="200" t="str">
        <f t="shared" si="6"/>
        <v>I</v>
      </c>
    </row>
    <row r="74" spans="1:159" s="200" customFormat="1" ht="24.75" hidden="1" customHeight="1" x14ac:dyDescent="0.2">
      <c r="A74" s="136"/>
      <c r="B74" s="145"/>
      <c r="C74" s="152"/>
      <c r="D74" s="36"/>
      <c r="E74" s="220"/>
      <c r="F74" s="221"/>
      <c r="G74" s="221"/>
      <c r="H74" s="222"/>
      <c r="I74" s="220"/>
      <c r="J74" s="223"/>
      <c r="K74" s="221"/>
      <c r="L74" s="224"/>
      <c r="M74" s="220"/>
      <c r="N74" s="221"/>
      <c r="O74" s="221"/>
      <c r="P74" s="222"/>
      <c r="Q74" s="225"/>
      <c r="R74" s="226"/>
      <c r="S74" s="226"/>
      <c r="T74" s="226"/>
      <c r="U74" s="225"/>
      <c r="V74" s="226"/>
      <c r="W74" s="226"/>
      <c r="X74" s="227"/>
      <c r="Y74" s="168">
        <f t="shared" si="5"/>
        <v>0</v>
      </c>
      <c r="Z74" s="168">
        <f t="shared" ref="Z74:Z105" si="7">IF(ISBLANK(X74),IF(ISBLANK(R74),IF(ISBLANK(N74),IF(ISBLANK(J74),IF(ISBLANK(F74),0,$F$142),$J$142),$N$142),$R$142),$X$142)</f>
        <v>0</v>
      </c>
      <c r="AA74" s="169"/>
      <c r="AB74" s="195"/>
      <c r="AC74" s="195"/>
      <c r="AD74" s="195"/>
      <c r="AE74" s="195"/>
      <c r="AF74" s="195"/>
      <c r="AG74" s="195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CZ74" s="198"/>
      <c r="FC74" s="200" t="str">
        <f t="shared" si="6"/>
        <v>I</v>
      </c>
    </row>
    <row r="75" spans="1:159" s="200" customFormat="1" ht="24.75" hidden="1" customHeight="1" x14ac:dyDescent="0.2">
      <c r="A75" s="136"/>
      <c r="B75" s="145"/>
      <c r="C75" s="152"/>
      <c r="D75" s="36"/>
      <c r="E75" s="220"/>
      <c r="F75" s="221"/>
      <c r="G75" s="221"/>
      <c r="H75" s="222"/>
      <c r="I75" s="220"/>
      <c r="J75" s="223"/>
      <c r="K75" s="221"/>
      <c r="L75" s="224"/>
      <c r="M75" s="220"/>
      <c r="N75" s="221"/>
      <c r="O75" s="221"/>
      <c r="P75" s="222"/>
      <c r="Q75" s="225"/>
      <c r="R75" s="226"/>
      <c r="S75" s="226"/>
      <c r="T75" s="226"/>
      <c r="U75" s="225"/>
      <c r="V75" s="226"/>
      <c r="W75" s="226"/>
      <c r="X75" s="227"/>
      <c r="Y75" s="168">
        <f t="shared" si="5"/>
        <v>0</v>
      </c>
      <c r="Z75" s="168">
        <f t="shared" si="7"/>
        <v>0</v>
      </c>
      <c r="AA75" s="169"/>
      <c r="AB75" s="195"/>
      <c r="AC75" s="195"/>
      <c r="AD75" s="195"/>
      <c r="AE75" s="195"/>
      <c r="AF75" s="195"/>
      <c r="AG75" s="195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CZ75" s="198"/>
      <c r="FC75" s="200" t="str">
        <f t="shared" si="6"/>
        <v>I</v>
      </c>
    </row>
    <row r="76" spans="1:159" s="200" customFormat="1" ht="24.75" hidden="1" customHeight="1" x14ac:dyDescent="0.2">
      <c r="A76" s="136"/>
      <c r="B76" s="145"/>
      <c r="C76" s="152"/>
      <c r="D76" s="36"/>
      <c r="E76" s="220"/>
      <c r="F76" s="221"/>
      <c r="G76" s="221"/>
      <c r="H76" s="222"/>
      <c r="I76" s="220"/>
      <c r="J76" s="223"/>
      <c r="K76" s="221"/>
      <c r="L76" s="224"/>
      <c r="M76" s="220"/>
      <c r="N76" s="221"/>
      <c r="O76" s="221"/>
      <c r="P76" s="222"/>
      <c r="Q76" s="225"/>
      <c r="R76" s="226"/>
      <c r="S76" s="226"/>
      <c r="T76" s="226"/>
      <c r="U76" s="225"/>
      <c r="V76" s="226"/>
      <c r="W76" s="226"/>
      <c r="X76" s="227"/>
      <c r="Y76" s="168">
        <f t="shared" ref="Y76:Y107" si="8">IF(ISBLANK(U76),IF(ISBLANK(Q76),IF(ISBLANK(M76),IF(ISBLANK(I76),IF(ISBLANK(E76),0,$E$142),$I$142),$M$142),$Q$142),$U$142)</f>
        <v>0</v>
      </c>
      <c r="Z76" s="168">
        <f t="shared" si="7"/>
        <v>0</v>
      </c>
      <c r="AA76" s="169"/>
      <c r="AB76" s="195"/>
      <c r="AC76" s="195"/>
      <c r="AD76" s="195"/>
      <c r="AE76" s="195"/>
      <c r="AF76" s="195"/>
      <c r="AG76" s="195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CZ76" s="198"/>
      <c r="FC76" s="200" t="str">
        <f t="shared" si="6"/>
        <v>I</v>
      </c>
    </row>
    <row r="77" spans="1:159" s="200" customFormat="1" ht="24.75" hidden="1" customHeight="1" x14ac:dyDescent="0.2">
      <c r="A77" s="136"/>
      <c r="B77" s="145"/>
      <c r="C77" s="152"/>
      <c r="D77" s="36"/>
      <c r="E77" s="220"/>
      <c r="F77" s="221"/>
      <c r="G77" s="221"/>
      <c r="H77" s="222"/>
      <c r="I77" s="220"/>
      <c r="J77" s="223"/>
      <c r="K77" s="221"/>
      <c r="L77" s="224"/>
      <c r="M77" s="220"/>
      <c r="N77" s="221"/>
      <c r="O77" s="221"/>
      <c r="P77" s="222"/>
      <c r="Q77" s="225"/>
      <c r="R77" s="226"/>
      <c r="S77" s="226"/>
      <c r="T77" s="226"/>
      <c r="U77" s="225"/>
      <c r="V77" s="226"/>
      <c r="W77" s="226"/>
      <c r="X77" s="227"/>
      <c r="Y77" s="168">
        <f t="shared" si="8"/>
        <v>0</v>
      </c>
      <c r="Z77" s="168">
        <f t="shared" si="7"/>
        <v>0</v>
      </c>
      <c r="AA77" s="169"/>
      <c r="AB77" s="195"/>
      <c r="AC77" s="195"/>
      <c r="AD77" s="195"/>
      <c r="AE77" s="195"/>
      <c r="AF77" s="195"/>
      <c r="AG77" s="195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CZ77" s="198"/>
      <c r="FC77" s="200" t="str">
        <f t="shared" si="6"/>
        <v>I</v>
      </c>
    </row>
    <row r="78" spans="1:159" s="200" customFormat="1" ht="24.75" hidden="1" customHeight="1" x14ac:dyDescent="0.2">
      <c r="A78" s="136"/>
      <c r="B78" s="145"/>
      <c r="C78" s="152"/>
      <c r="D78" s="36"/>
      <c r="E78" s="220"/>
      <c r="F78" s="221"/>
      <c r="G78" s="221"/>
      <c r="H78" s="222"/>
      <c r="I78" s="220"/>
      <c r="J78" s="223"/>
      <c r="K78" s="221"/>
      <c r="L78" s="224"/>
      <c r="M78" s="220"/>
      <c r="N78" s="221"/>
      <c r="O78" s="221"/>
      <c r="P78" s="222"/>
      <c r="Q78" s="225"/>
      <c r="R78" s="226"/>
      <c r="S78" s="226"/>
      <c r="T78" s="226"/>
      <c r="U78" s="225"/>
      <c r="V78" s="226"/>
      <c r="W78" s="226"/>
      <c r="X78" s="227"/>
      <c r="Y78" s="168">
        <f t="shared" si="8"/>
        <v>0</v>
      </c>
      <c r="Z78" s="168">
        <f t="shared" si="7"/>
        <v>0</v>
      </c>
      <c r="AA78" s="169"/>
      <c r="AB78" s="195"/>
      <c r="AC78" s="195"/>
      <c r="AD78" s="195"/>
      <c r="AE78" s="195"/>
      <c r="AF78" s="195"/>
      <c r="AG78" s="195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CZ78" s="198"/>
      <c r="FC78" s="200" t="str">
        <f t="shared" si="6"/>
        <v>I</v>
      </c>
    </row>
    <row r="79" spans="1:159" s="200" customFormat="1" ht="24.75" hidden="1" customHeight="1" x14ac:dyDescent="0.2">
      <c r="A79" s="136"/>
      <c r="B79" s="145"/>
      <c r="C79" s="152"/>
      <c r="D79" s="35"/>
      <c r="E79" s="220"/>
      <c r="F79" s="221"/>
      <c r="G79" s="221"/>
      <c r="H79" s="222"/>
      <c r="I79" s="220"/>
      <c r="J79" s="223"/>
      <c r="K79" s="221"/>
      <c r="L79" s="224"/>
      <c r="M79" s="220"/>
      <c r="N79" s="221"/>
      <c r="O79" s="221"/>
      <c r="P79" s="222"/>
      <c r="Q79" s="225"/>
      <c r="R79" s="226"/>
      <c r="S79" s="226"/>
      <c r="T79" s="226"/>
      <c r="U79" s="225"/>
      <c r="V79" s="226"/>
      <c r="W79" s="226"/>
      <c r="X79" s="227"/>
      <c r="Y79" s="168">
        <f t="shared" si="8"/>
        <v>0</v>
      </c>
      <c r="Z79" s="168">
        <f t="shared" si="7"/>
        <v>0</v>
      </c>
      <c r="AA79" s="169"/>
      <c r="AB79" s="195"/>
      <c r="AC79" s="195"/>
      <c r="AD79" s="195"/>
      <c r="AE79" s="195"/>
      <c r="AF79" s="195"/>
      <c r="AG79" s="195"/>
      <c r="AY79" s="167"/>
      <c r="AZ79" s="167"/>
      <c r="BA79" s="167"/>
      <c r="BB79" s="167"/>
      <c r="BC79" s="167"/>
      <c r="BD79" s="167"/>
      <c r="BE79" s="167"/>
      <c r="BF79" s="167"/>
      <c r="BG79" s="167"/>
      <c r="BH79" s="167"/>
      <c r="BI79" s="167"/>
      <c r="BJ79" s="167"/>
      <c r="BK79" s="167"/>
      <c r="BL79" s="167"/>
      <c r="BM79" s="167"/>
      <c r="BN79" s="167"/>
      <c r="BO79" s="167"/>
      <c r="BP79" s="167"/>
      <c r="BQ79" s="167"/>
      <c r="BR79" s="167"/>
      <c r="BS79" s="167"/>
      <c r="CZ79" s="198"/>
      <c r="FC79" s="200" t="str">
        <f t="shared" si="6"/>
        <v>I</v>
      </c>
    </row>
    <row r="80" spans="1:159" s="200" customFormat="1" ht="24.75" hidden="1" customHeight="1" x14ac:dyDescent="0.2">
      <c r="A80" s="136"/>
      <c r="B80" s="145"/>
      <c r="C80" s="152"/>
      <c r="D80" s="36"/>
      <c r="E80" s="220"/>
      <c r="F80" s="221"/>
      <c r="G80" s="221"/>
      <c r="H80" s="222"/>
      <c r="I80" s="220"/>
      <c r="J80" s="223"/>
      <c r="K80" s="221"/>
      <c r="L80" s="224"/>
      <c r="M80" s="220"/>
      <c r="N80" s="221"/>
      <c r="O80" s="221"/>
      <c r="P80" s="222"/>
      <c r="Q80" s="225"/>
      <c r="R80" s="226"/>
      <c r="S80" s="226"/>
      <c r="T80" s="226"/>
      <c r="U80" s="225"/>
      <c r="V80" s="226"/>
      <c r="W80" s="226"/>
      <c r="X80" s="227"/>
      <c r="Y80" s="168">
        <f t="shared" si="8"/>
        <v>0</v>
      </c>
      <c r="Z80" s="168">
        <f t="shared" si="7"/>
        <v>0</v>
      </c>
      <c r="AA80" s="169"/>
      <c r="AB80" s="195"/>
      <c r="AC80" s="195"/>
      <c r="AD80" s="195"/>
      <c r="AE80" s="195"/>
      <c r="AF80" s="195"/>
      <c r="AG80" s="195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P80" s="167"/>
      <c r="BQ80" s="167"/>
      <c r="BR80" s="167"/>
      <c r="BS80" s="167"/>
      <c r="CZ80" s="198"/>
      <c r="FC80" s="200" t="str">
        <f t="shared" si="6"/>
        <v>I</v>
      </c>
    </row>
    <row r="81" spans="1:159" s="200" customFormat="1" ht="24.75" hidden="1" customHeight="1" x14ac:dyDescent="0.2">
      <c r="A81" s="136"/>
      <c r="B81" s="145"/>
      <c r="C81" s="152"/>
      <c r="D81" s="36"/>
      <c r="E81" s="220"/>
      <c r="F81" s="221"/>
      <c r="G81" s="221"/>
      <c r="H81" s="222"/>
      <c r="I81" s="220"/>
      <c r="J81" s="223"/>
      <c r="K81" s="221"/>
      <c r="L81" s="224"/>
      <c r="M81" s="220"/>
      <c r="N81" s="221"/>
      <c r="O81" s="221"/>
      <c r="P81" s="222"/>
      <c r="Q81" s="225"/>
      <c r="R81" s="226"/>
      <c r="S81" s="226"/>
      <c r="T81" s="226"/>
      <c r="U81" s="225"/>
      <c r="V81" s="226"/>
      <c r="W81" s="226"/>
      <c r="X81" s="227"/>
      <c r="Y81" s="168">
        <f t="shared" si="8"/>
        <v>0</v>
      </c>
      <c r="Z81" s="168">
        <f t="shared" si="7"/>
        <v>0</v>
      </c>
      <c r="AA81" s="169"/>
      <c r="AB81" s="195"/>
      <c r="AC81" s="195"/>
      <c r="AD81" s="195"/>
      <c r="AE81" s="195"/>
      <c r="AF81" s="195"/>
      <c r="AG81" s="195"/>
      <c r="AY81" s="167"/>
      <c r="AZ81" s="167"/>
      <c r="BA81" s="167"/>
      <c r="BB81" s="167"/>
      <c r="BC81" s="167"/>
      <c r="BD81" s="167"/>
      <c r="BE81" s="167"/>
      <c r="BF81" s="167"/>
      <c r="BG81" s="167"/>
      <c r="BH81" s="167"/>
      <c r="BI81" s="167"/>
      <c r="BJ81" s="167"/>
      <c r="BK81" s="167"/>
      <c r="BL81" s="167"/>
      <c r="BM81" s="167"/>
      <c r="BN81" s="167"/>
      <c r="BO81" s="167"/>
      <c r="BP81" s="167"/>
      <c r="BQ81" s="167"/>
      <c r="BR81" s="167"/>
      <c r="BS81" s="167"/>
      <c r="CZ81" s="198"/>
      <c r="FC81" s="200" t="str">
        <f t="shared" si="6"/>
        <v>I</v>
      </c>
    </row>
    <row r="82" spans="1:159" s="200" customFormat="1" ht="24.75" hidden="1" customHeight="1" x14ac:dyDescent="0.2">
      <c r="A82" s="136"/>
      <c r="B82" s="145"/>
      <c r="C82" s="152"/>
      <c r="D82" s="36"/>
      <c r="E82" s="220"/>
      <c r="F82" s="221"/>
      <c r="G82" s="221"/>
      <c r="H82" s="222"/>
      <c r="I82" s="220"/>
      <c r="J82" s="223"/>
      <c r="K82" s="221"/>
      <c r="L82" s="224"/>
      <c r="M82" s="220"/>
      <c r="N82" s="221"/>
      <c r="O82" s="221"/>
      <c r="P82" s="222"/>
      <c r="Q82" s="225"/>
      <c r="R82" s="226"/>
      <c r="S82" s="226"/>
      <c r="T82" s="226"/>
      <c r="U82" s="225"/>
      <c r="V82" s="226"/>
      <c r="W82" s="226"/>
      <c r="X82" s="227"/>
      <c r="Y82" s="168">
        <f t="shared" si="8"/>
        <v>0</v>
      </c>
      <c r="Z82" s="168">
        <f t="shared" si="7"/>
        <v>0</v>
      </c>
      <c r="AA82" s="169"/>
      <c r="AB82" s="195"/>
      <c r="AC82" s="195"/>
      <c r="AD82" s="195"/>
      <c r="AE82" s="195"/>
      <c r="AF82" s="195"/>
      <c r="AG82" s="195"/>
      <c r="AY82" s="167"/>
      <c r="AZ82" s="167"/>
      <c r="BA82" s="167"/>
      <c r="BB82" s="167"/>
      <c r="BC82" s="167"/>
      <c r="BD82" s="167"/>
      <c r="BE82" s="167"/>
      <c r="BF82" s="167"/>
      <c r="BG82" s="167"/>
      <c r="BH82" s="167"/>
      <c r="BI82" s="167"/>
      <c r="BJ82" s="167"/>
      <c r="BK82" s="167"/>
      <c r="BL82" s="167"/>
      <c r="BM82" s="167"/>
      <c r="BN82" s="167"/>
      <c r="BO82" s="167"/>
      <c r="BP82" s="167"/>
      <c r="BQ82" s="167"/>
      <c r="BR82" s="167"/>
      <c r="BS82" s="167"/>
      <c r="CZ82" s="198"/>
      <c r="FC82" s="200" t="str">
        <f t="shared" si="6"/>
        <v>I</v>
      </c>
    </row>
    <row r="83" spans="1:159" s="200" customFormat="1" ht="24.75" hidden="1" customHeight="1" x14ac:dyDescent="0.2">
      <c r="A83" s="136"/>
      <c r="B83" s="145"/>
      <c r="C83" s="152"/>
      <c r="D83" s="36"/>
      <c r="E83" s="220"/>
      <c r="F83" s="221"/>
      <c r="G83" s="221"/>
      <c r="H83" s="222"/>
      <c r="I83" s="220"/>
      <c r="J83" s="223"/>
      <c r="K83" s="221"/>
      <c r="L83" s="224"/>
      <c r="M83" s="220"/>
      <c r="N83" s="221"/>
      <c r="O83" s="221"/>
      <c r="P83" s="222"/>
      <c r="Q83" s="225"/>
      <c r="R83" s="226"/>
      <c r="S83" s="226"/>
      <c r="T83" s="226"/>
      <c r="U83" s="225"/>
      <c r="V83" s="226"/>
      <c r="W83" s="226"/>
      <c r="X83" s="227"/>
      <c r="Y83" s="168">
        <f t="shared" si="8"/>
        <v>0</v>
      </c>
      <c r="Z83" s="168">
        <f t="shared" si="7"/>
        <v>0</v>
      </c>
      <c r="AA83" s="169"/>
      <c r="AB83" s="195"/>
      <c r="AC83" s="195"/>
      <c r="AD83" s="195"/>
      <c r="AE83" s="195"/>
      <c r="AF83" s="195"/>
      <c r="AG83" s="195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CZ83" s="198"/>
      <c r="FC83" s="200" t="str">
        <f t="shared" si="6"/>
        <v>I</v>
      </c>
    </row>
    <row r="84" spans="1:159" s="200" customFormat="1" ht="24.75" hidden="1" customHeight="1" x14ac:dyDescent="0.2">
      <c r="A84" s="136"/>
      <c r="B84" s="145"/>
      <c r="C84" s="152"/>
      <c r="D84" s="36"/>
      <c r="E84" s="220"/>
      <c r="F84" s="221"/>
      <c r="G84" s="221"/>
      <c r="H84" s="222"/>
      <c r="I84" s="220"/>
      <c r="J84" s="223"/>
      <c r="K84" s="221"/>
      <c r="L84" s="224"/>
      <c r="M84" s="220"/>
      <c r="N84" s="221"/>
      <c r="O84" s="221"/>
      <c r="P84" s="222"/>
      <c r="Q84" s="225"/>
      <c r="R84" s="226"/>
      <c r="S84" s="226"/>
      <c r="T84" s="226"/>
      <c r="U84" s="225"/>
      <c r="V84" s="226"/>
      <c r="W84" s="226"/>
      <c r="X84" s="227"/>
      <c r="Y84" s="168">
        <f t="shared" si="8"/>
        <v>0</v>
      </c>
      <c r="Z84" s="168">
        <f t="shared" si="7"/>
        <v>0</v>
      </c>
      <c r="AA84" s="169"/>
      <c r="AB84" s="195"/>
      <c r="AC84" s="195"/>
      <c r="AD84" s="195"/>
      <c r="AE84" s="195"/>
      <c r="AF84" s="195"/>
      <c r="AG84" s="195"/>
      <c r="AY84" s="167"/>
      <c r="AZ84" s="167"/>
      <c r="BA84" s="167"/>
      <c r="BB84" s="167"/>
      <c r="BC84" s="167"/>
      <c r="BD84" s="167"/>
      <c r="BE84" s="167"/>
      <c r="BF84" s="167"/>
      <c r="BG84" s="167"/>
      <c r="BH84" s="167"/>
      <c r="BI84" s="167"/>
      <c r="BJ84" s="167"/>
      <c r="BK84" s="167"/>
      <c r="BL84" s="167"/>
      <c r="BM84" s="167"/>
      <c r="BN84" s="167"/>
      <c r="BO84" s="167"/>
      <c r="BP84" s="167"/>
      <c r="BQ84" s="167"/>
      <c r="BR84" s="167"/>
      <c r="BS84" s="167"/>
      <c r="CZ84" s="198"/>
      <c r="FC84" s="200" t="str">
        <f t="shared" si="6"/>
        <v>I</v>
      </c>
    </row>
    <row r="85" spans="1:159" s="200" customFormat="1" ht="24.75" hidden="1" customHeight="1" x14ac:dyDescent="0.2">
      <c r="A85" s="136"/>
      <c r="B85" s="145"/>
      <c r="C85" s="152"/>
      <c r="D85" s="36"/>
      <c r="E85" s="220"/>
      <c r="F85" s="221"/>
      <c r="G85" s="221"/>
      <c r="H85" s="222"/>
      <c r="I85" s="220"/>
      <c r="J85" s="223"/>
      <c r="K85" s="221"/>
      <c r="L85" s="224"/>
      <c r="M85" s="220"/>
      <c r="N85" s="221"/>
      <c r="O85" s="221"/>
      <c r="P85" s="222"/>
      <c r="Q85" s="225"/>
      <c r="R85" s="226"/>
      <c r="S85" s="226"/>
      <c r="T85" s="226"/>
      <c r="U85" s="225"/>
      <c r="V85" s="226"/>
      <c r="W85" s="226"/>
      <c r="X85" s="227"/>
      <c r="Y85" s="168">
        <f t="shared" si="8"/>
        <v>0</v>
      </c>
      <c r="Z85" s="168">
        <f t="shared" si="7"/>
        <v>0</v>
      </c>
      <c r="AA85" s="169"/>
      <c r="AB85" s="195"/>
      <c r="AC85" s="195"/>
      <c r="AD85" s="195"/>
      <c r="AE85" s="195"/>
      <c r="AF85" s="195"/>
      <c r="AG85" s="195"/>
      <c r="AY85" s="167"/>
      <c r="AZ85" s="167"/>
      <c r="BA85" s="167"/>
      <c r="BB85" s="167"/>
      <c r="BC85" s="167"/>
      <c r="BD85" s="167"/>
      <c r="BE85" s="167"/>
      <c r="BF85" s="167"/>
      <c r="BG85" s="167"/>
      <c r="BH85" s="167"/>
      <c r="BI85" s="167"/>
      <c r="BJ85" s="167"/>
      <c r="BK85" s="167"/>
      <c r="BL85" s="167"/>
      <c r="BM85" s="167"/>
      <c r="BN85" s="167"/>
      <c r="BO85" s="167"/>
      <c r="BP85" s="167"/>
      <c r="BQ85" s="167"/>
      <c r="BR85" s="167"/>
      <c r="BS85" s="167"/>
      <c r="CZ85" s="198"/>
      <c r="FC85" s="200" t="str">
        <f t="shared" si="6"/>
        <v>I</v>
      </c>
    </row>
    <row r="86" spans="1:159" s="200" customFormat="1" ht="24.75" hidden="1" customHeight="1" x14ac:dyDescent="0.2">
      <c r="A86" s="136"/>
      <c r="B86" s="145"/>
      <c r="C86" s="152"/>
      <c r="D86" s="36"/>
      <c r="E86" s="220"/>
      <c r="F86" s="221"/>
      <c r="G86" s="221"/>
      <c r="H86" s="222"/>
      <c r="I86" s="220"/>
      <c r="J86" s="223"/>
      <c r="K86" s="221"/>
      <c r="L86" s="224"/>
      <c r="M86" s="220"/>
      <c r="N86" s="221"/>
      <c r="O86" s="221"/>
      <c r="P86" s="222"/>
      <c r="Q86" s="225"/>
      <c r="R86" s="226"/>
      <c r="S86" s="226"/>
      <c r="T86" s="226"/>
      <c r="U86" s="225"/>
      <c r="V86" s="226"/>
      <c r="W86" s="226"/>
      <c r="X86" s="227"/>
      <c r="Y86" s="168">
        <f t="shared" si="8"/>
        <v>0</v>
      </c>
      <c r="Z86" s="168">
        <f t="shared" si="7"/>
        <v>0</v>
      </c>
      <c r="AA86" s="169"/>
      <c r="AB86" s="195"/>
      <c r="AC86" s="195"/>
      <c r="AD86" s="195"/>
      <c r="AE86" s="195"/>
      <c r="AF86" s="195"/>
      <c r="AG86" s="195"/>
      <c r="AY86" s="167"/>
      <c r="AZ86" s="167"/>
      <c r="BA86" s="167"/>
      <c r="BB86" s="167"/>
      <c r="BC86" s="167"/>
      <c r="BD86" s="167"/>
      <c r="BE86" s="167"/>
      <c r="BF86" s="167"/>
      <c r="BG86" s="167"/>
      <c r="BH86" s="167"/>
      <c r="BI86" s="167"/>
      <c r="BJ86" s="167"/>
      <c r="BK86" s="167"/>
      <c r="BL86" s="167"/>
      <c r="BM86" s="167"/>
      <c r="BN86" s="167"/>
      <c r="BO86" s="167"/>
      <c r="BP86" s="167"/>
      <c r="BQ86" s="167"/>
      <c r="BR86" s="167"/>
      <c r="BS86" s="167"/>
      <c r="CZ86" s="198"/>
      <c r="FC86" s="200" t="str">
        <f t="shared" si="6"/>
        <v>I</v>
      </c>
    </row>
    <row r="87" spans="1:159" s="200" customFormat="1" ht="24.75" hidden="1" customHeight="1" x14ac:dyDescent="0.2">
      <c r="A87" s="136"/>
      <c r="B87" s="145"/>
      <c r="C87" s="152"/>
      <c r="D87" s="36"/>
      <c r="E87" s="220"/>
      <c r="F87" s="221"/>
      <c r="G87" s="221"/>
      <c r="H87" s="222"/>
      <c r="I87" s="220"/>
      <c r="J87" s="223"/>
      <c r="K87" s="221"/>
      <c r="L87" s="224"/>
      <c r="M87" s="220"/>
      <c r="N87" s="221"/>
      <c r="O87" s="221"/>
      <c r="P87" s="222"/>
      <c r="Q87" s="225"/>
      <c r="R87" s="226"/>
      <c r="S87" s="226"/>
      <c r="T87" s="226"/>
      <c r="U87" s="225"/>
      <c r="V87" s="226"/>
      <c r="W87" s="226"/>
      <c r="X87" s="227"/>
      <c r="Y87" s="168">
        <f t="shared" si="8"/>
        <v>0</v>
      </c>
      <c r="Z87" s="168">
        <f t="shared" si="7"/>
        <v>0</v>
      </c>
      <c r="AA87" s="169"/>
      <c r="AB87" s="195"/>
      <c r="AC87" s="195"/>
      <c r="AD87" s="195"/>
      <c r="AE87" s="195"/>
      <c r="AF87" s="195"/>
      <c r="AG87" s="195"/>
      <c r="AY87" s="167"/>
      <c r="AZ87" s="167"/>
      <c r="BA87" s="167"/>
      <c r="BB87" s="167"/>
      <c r="BC87" s="167"/>
      <c r="BD87" s="167"/>
      <c r="BE87" s="167"/>
      <c r="BF87" s="167"/>
      <c r="BG87" s="167"/>
      <c r="BH87" s="167"/>
      <c r="BI87" s="167"/>
      <c r="BJ87" s="167"/>
      <c r="BK87" s="167"/>
      <c r="BL87" s="167"/>
      <c r="BM87" s="167"/>
      <c r="BN87" s="167"/>
      <c r="BO87" s="167"/>
      <c r="BP87" s="167"/>
      <c r="BQ87" s="167"/>
      <c r="BR87" s="167"/>
      <c r="BS87" s="167"/>
      <c r="CZ87" s="198"/>
      <c r="FC87" s="200" t="str">
        <f t="shared" si="6"/>
        <v>I</v>
      </c>
    </row>
    <row r="88" spans="1:159" s="200" customFormat="1" ht="24.75" hidden="1" customHeight="1" x14ac:dyDescent="0.2">
      <c r="A88" s="136"/>
      <c r="B88" s="145"/>
      <c r="C88" s="152"/>
      <c r="D88" s="36"/>
      <c r="E88" s="220"/>
      <c r="F88" s="221"/>
      <c r="G88" s="221"/>
      <c r="H88" s="222"/>
      <c r="I88" s="220"/>
      <c r="J88" s="223"/>
      <c r="K88" s="221"/>
      <c r="L88" s="224"/>
      <c r="M88" s="220"/>
      <c r="N88" s="221"/>
      <c r="O88" s="221"/>
      <c r="P88" s="222"/>
      <c r="Q88" s="225"/>
      <c r="R88" s="226"/>
      <c r="S88" s="226"/>
      <c r="T88" s="226"/>
      <c r="U88" s="225"/>
      <c r="V88" s="226"/>
      <c r="W88" s="226"/>
      <c r="X88" s="227"/>
      <c r="Y88" s="168">
        <f t="shared" si="8"/>
        <v>0</v>
      </c>
      <c r="Z88" s="168">
        <f t="shared" si="7"/>
        <v>0</v>
      </c>
      <c r="AA88" s="169"/>
      <c r="AB88" s="195"/>
      <c r="AC88" s="195"/>
      <c r="AD88" s="195"/>
      <c r="AE88" s="195"/>
      <c r="AF88" s="195"/>
      <c r="AG88" s="195"/>
      <c r="AY88" s="167"/>
      <c r="AZ88" s="167"/>
      <c r="BA88" s="167"/>
      <c r="BB88" s="167"/>
      <c r="BC88" s="167"/>
      <c r="BD88" s="167"/>
      <c r="BE88" s="167"/>
      <c r="BF88" s="167"/>
      <c r="BG88" s="167"/>
      <c r="BH88" s="167"/>
      <c r="BI88" s="167"/>
      <c r="BJ88" s="167"/>
      <c r="BK88" s="167"/>
      <c r="BL88" s="167"/>
      <c r="BM88" s="167"/>
      <c r="BN88" s="167"/>
      <c r="BO88" s="167"/>
      <c r="BP88" s="167"/>
      <c r="BQ88" s="167"/>
      <c r="BR88" s="167"/>
      <c r="BS88" s="167"/>
      <c r="CZ88" s="198"/>
      <c r="FC88" s="200" t="str">
        <f t="shared" si="6"/>
        <v>I</v>
      </c>
    </row>
    <row r="89" spans="1:159" s="200" customFormat="1" ht="24.75" hidden="1" customHeight="1" x14ac:dyDescent="0.2">
      <c r="A89" s="136"/>
      <c r="B89" s="145"/>
      <c r="C89" s="152"/>
      <c r="D89" s="36"/>
      <c r="E89" s="220"/>
      <c r="F89" s="221"/>
      <c r="G89" s="221"/>
      <c r="H89" s="222"/>
      <c r="I89" s="220"/>
      <c r="J89" s="223"/>
      <c r="K89" s="221"/>
      <c r="L89" s="224"/>
      <c r="M89" s="220"/>
      <c r="N89" s="221"/>
      <c r="O89" s="221"/>
      <c r="P89" s="222"/>
      <c r="Q89" s="225"/>
      <c r="R89" s="226"/>
      <c r="S89" s="226"/>
      <c r="T89" s="226"/>
      <c r="U89" s="225"/>
      <c r="V89" s="226"/>
      <c r="W89" s="226"/>
      <c r="X89" s="227"/>
      <c r="Y89" s="168">
        <f t="shared" si="8"/>
        <v>0</v>
      </c>
      <c r="Z89" s="168">
        <f t="shared" si="7"/>
        <v>0</v>
      </c>
      <c r="AA89" s="169"/>
      <c r="AB89" s="195"/>
      <c r="AC89" s="195"/>
      <c r="AD89" s="195"/>
      <c r="AE89" s="195"/>
      <c r="AF89" s="195"/>
      <c r="AG89" s="195"/>
      <c r="AY89" s="167"/>
      <c r="AZ89" s="167"/>
      <c r="BA89" s="167"/>
      <c r="BB89" s="167"/>
      <c r="BC89" s="167"/>
      <c r="BD89" s="167"/>
      <c r="BE89" s="167"/>
      <c r="BF89" s="167"/>
      <c r="BG89" s="167"/>
      <c r="BH89" s="167"/>
      <c r="BI89" s="167"/>
      <c r="BJ89" s="167"/>
      <c r="BK89" s="167"/>
      <c r="BL89" s="167"/>
      <c r="BM89" s="167"/>
      <c r="BN89" s="167"/>
      <c r="BO89" s="167"/>
      <c r="BP89" s="167"/>
      <c r="BQ89" s="167"/>
      <c r="BR89" s="167"/>
      <c r="BS89" s="167"/>
      <c r="CZ89" s="198"/>
      <c r="FC89" s="200" t="str">
        <f t="shared" si="6"/>
        <v>I</v>
      </c>
    </row>
    <row r="90" spans="1:159" s="200" customFormat="1" ht="24.75" hidden="1" customHeight="1" x14ac:dyDescent="0.2">
      <c r="A90" s="136"/>
      <c r="B90" s="145"/>
      <c r="C90" s="152"/>
      <c r="D90" s="36"/>
      <c r="E90" s="220"/>
      <c r="F90" s="221"/>
      <c r="G90" s="221"/>
      <c r="H90" s="222"/>
      <c r="I90" s="220"/>
      <c r="J90" s="223"/>
      <c r="K90" s="221"/>
      <c r="L90" s="224"/>
      <c r="M90" s="220"/>
      <c r="N90" s="221"/>
      <c r="O90" s="221"/>
      <c r="P90" s="222"/>
      <c r="Q90" s="225"/>
      <c r="R90" s="226"/>
      <c r="S90" s="226"/>
      <c r="T90" s="226"/>
      <c r="U90" s="225"/>
      <c r="V90" s="226"/>
      <c r="W90" s="226"/>
      <c r="X90" s="227"/>
      <c r="Y90" s="168">
        <f t="shared" si="8"/>
        <v>0</v>
      </c>
      <c r="Z90" s="168">
        <f t="shared" si="7"/>
        <v>0</v>
      </c>
      <c r="AA90" s="169"/>
      <c r="AB90" s="195"/>
      <c r="AC90" s="195"/>
      <c r="AD90" s="195"/>
      <c r="AE90" s="195"/>
      <c r="AF90" s="195"/>
      <c r="AG90" s="195"/>
      <c r="AY90" s="167"/>
      <c r="AZ90" s="167"/>
      <c r="BA90" s="167"/>
      <c r="BB90" s="167"/>
      <c r="BC90" s="167"/>
      <c r="BD90" s="167"/>
      <c r="BE90" s="167"/>
      <c r="BF90" s="167"/>
      <c r="BG90" s="167"/>
      <c r="BH90" s="167"/>
      <c r="BI90" s="167"/>
      <c r="BJ90" s="167"/>
      <c r="BK90" s="167"/>
      <c r="BL90" s="167"/>
      <c r="BM90" s="167"/>
      <c r="BN90" s="167"/>
      <c r="BO90" s="167"/>
      <c r="BP90" s="167"/>
      <c r="BQ90" s="167"/>
      <c r="BR90" s="167"/>
      <c r="BS90" s="167"/>
      <c r="CZ90" s="198"/>
      <c r="FC90" s="200" t="str">
        <f t="shared" si="6"/>
        <v>I</v>
      </c>
    </row>
    <row r="91" spans="1:159" s="200" customFormat="1" ht="24.75" hidden="1" customHeight="1" x14ac:dyDescent="0.2">
      <c r="A91" s="136"/>
      <c r="B91" s="145"/>
      <c r="C91" s="152"/>
      <c r="D91" s="36"/>
      <c r="E91" s="220"/>
      <c r="F91" s="221"/>
      <c r="G91" s="221"/>
      <c r="H91" s="222"/>
      <c r="I91" s="220"/>
      <c r="J91" s="223"/>
      <c r="K91" s="221"/>
      <c r="L91" s="224"/>
      <c r="M91" s="220"/>
      <c r="N91" s="221"/>
      <c r="O91" s="221"/>
      <c r="P91" s="222"/>
      <c r="Q91" s="225"/>
      <c r="R91" s="226"/>
      <c r="S91" s="226"/>
      <c r="T91" s="226"/>
      <c r="U91" s="225"/>
      <c r="V91" s="226"/>
      <c r="W91" s="226"/>
      <c r="X91" s="227"/>
      <c r="Y91" s="168">
        <f t="shared" si="8"/>
        <v>0</v>
      </c>
      <c r="Z91" s="168">
        <f t="shared" si="7"/>
        <v>0</v>
      </c>
      <c r="AA91" s="169"/>
      <c r="AB91" s="195"/>
      <c r="AC91" s="195"/>
      <c r="AD91" s="195"/>
      <c r="AE91" s="195"/>
      <c r="AF91" s="195"/>
      <c r="AG91" s="195"/>
      <c r="AY91" s="167"/>
      <c r="AZ91" s="167"/>
      <c r="BA91" s="167"/>
      <c r="BB91" s="167"/>
      <c r="BC91" s="167"/>
      <c r="BD91" s="167"/>
      <c r="BE91" s="167"/>
      <c r="BF91" s="167"/>
      <c r="BG91" s="167"/>
      <c r="BH91" s="167"/>
      <c r="BI91" s="167"/>
      <c r="BJ91" s="167"/>
      <c r="BK91" s="167"/>
      <c r="BL91" s="167"/>
      <c r="BM91" s="167"/>
      <c r="BN91" s="167"/>
      <c r="BO91" s="167"/>
      <c r="BP91" s="167"/>
      <c r="BQ91" s="167"/>
      <c r="BR91" s="167"/>
      <c r="BS91" s="167"/>
      <c r="CZ91" s="198"/>
      <c r="FC91" s="200" t="str">
        <f t="shared" si="6"/>
        <v>I</v>
      </c>
    </row>
    <row r="92" spans="1:159" s="200" customFormat="1" ht="24.75" hidden="1" customHeight="1" x14ac:dyDescent="0.2">
      <c r="A92" s="136"/>
      <c r="B92" s="145"/>
      <c r="C92" s="152"/>
      <c r="D92" s="36"/>
      <c r="E92" s="220"/>
      <c r="F92" s="221"/>
      <c r="G92" s="221"/>
      <c r="H92" s="222"/>
      <c r="I92" s="220"/>
      <c r="J92" s="223"/>
      <c r="K92" s="221"/>
      <c r="L92" s="224"/>
      <c r="M92" s="220"/>
      <c r="N92" s="221"/>
      <c r="O92" s="221"/>
      <c r="P92" s="222"/>
      <c r="Q92" s="225"/>
      <c r="R92" s="226"/>
      <c r="S92" s="226"/>
      <c r="T92" s="226"/>
      <c r="U92" s="225"/>
      <c r="V92" s="226"/>
      <c r="W92" s="226"/>
      <c r="X92" s="227"/>
      <c r="Y92" s="168">
        <f t="shared" si="8"/>
        <v>0</v>
      </c>
      <c r="Z92" s="168">
        <f t="shared" si="7"/>
        <v>0</v>
      </c>
      <c r="AA92" s="169"/>
      <c r="AB92" s="195"/>
      <c r="AC92" s="195"/>
      <c r="AD92" s="195"/>
      <c r="AE92" s="195"/>
      <c r="AF92" s="195"/>
      <c r="AG92" s="195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CZ92" s="198"/>
      <c r="FC92" s="200" t="str">
        <f t="shared" si="6"/>
        <v>I</v>
      </c>
    </row>
    <row r="93" spans="1:159" s="202" customFormat="1" ht="24.75" hidden="1" customHeight="1" x14ac:dyDescent="0.2">
      <c r="A93" s="136"/>
      <c r="B93" s="145"/>
      <c r="C93" s="152"/>
      <c r="D93" s="36"/>
      <c r="E93" s="220"/>
      <c r="F93" s="221"/>
      <c r="G93" s="221"/>
      <c r="H93" s="222"/>
      <c r="I93" s="220"/>
      <c r="J93" s="223"/>
      <c r="K93" s="221"/>
      <c r="L93" s="224"/>
      <c r="M93" s="220"/>
      <c r="N93" s="221"/>
      <c r="O93" s="221"/>
      <c r="P93" s="222"/>
      <c r="Q93" s="225"/>
      <c r="R93" s="226"/>
      <c r="S93" s="226"/>
      <c r="T93" s="226"/>
      <c r="U93" s="225"/>
      <c r="V93" s="226"/>
      <c r="W93" s="226"/>
      <c r="X93" s="227"/>
      <c r="Y93" s="168">
        <f t="shared" si="8"/>
        <v>0</v>
      </c>
      <c r="Z93" s="168">
        <f t="shared" si="7"/>
        <v>0</v>
      </c>
      <c r="AA93" s="169"/>
      <c r="AB93" s="195"/>
      <c r="AC93" s="195"/>
      <c r="AD93" s="195"/>
      <c r="AE93" s="195"/>
      <c r="AF93" s="195"/>
      <c r="AG93" s="195"/>
      <c r="AH93" s="200"/>
      <c r="AP93" s="200"/>
      <c r="AQ93" s="200"/>
      <c r="AS93" s="200"/>
      <c r="AU93" s="200"/>
      <c r="AW93" s="200"/>
      <c r="AX93" s="200"/>
      <c r="AY93" s="170"/>
      <c r="AZ93" s="170"/>
      <c r="BA93" s="170"/>
      <c r="BB93" s="170"/>
      <c r="BC93" s="170"/>
      <c r="BD93" s="170"/>
      <c r="BE93" s="170"/>
      <c r="BF93" s="170"/>
      <c r="BG93" s="170"/>
      <c r="BH93" s="170"/>
      <c r="BI93" s="170"/>
      <c r="BJ93" s="170"/>
      <c r="BK93" s="170"/>
      <c r="BL93" s="170"/>
      <c r="BM93" s="170"/>
      <c r="BN93" s="170"/>
      <c r="BO93" s="170"/>
      <c r="BP93" s="170"/>
      <c r="BQ93" s="170"/>
      <c r="BR93" s="170"/>
      <c r="BS93" s="171"/>
      <c r="BT93" s="204"/>
      <c r="BU93" s="204"/>
      <c r="BV93" s="204"/>
      <c r="BW93" s="204"/>
      <c r="BX93" s="204"/>
      <c r="BY93" s="204"/>
      <c r="BZ93" s="204"/>
      <c r="CA93" s="204"/>
      <c r="CB93" s="204"/>
      <c r="CC93" s="204"/>
      <c r="CD93" s="204"/>
      <c r="CE93" s="204"/>
      <c r="CF93" s="204"/>
      <c r="CG93" s="204"/>
      <c r="CH93" s="204"/>
      <c r="CI93" s="204"/>
      <c r="CJ93" s="204"/>
      <c r="CK93" s="204"/>
      <c r="CL93" s="204"/>
      <c r="CM93" s="204"/>
      <c r="CN93" s="204"/>
      <c r="CO93" s="204"/>
      <c r="CP93" s="204"/>
      <c r="CQ93" s="204"/>
      <c r="CR93" s="204"/>
      <c r="CS93" s="204"/>
      <c r="CT93" s="204"/>
      <c r="CU93" s="204"/>
      <c r="CV93" s="204"/>
      <c r="CW93" s="204"/>
      <c r="CX93" s="204"/>
      <c r="CY93" s="204"/>
      <c r="CZ93" s="198"/>
      <c r="DA93" s="204"/>
      <c r="DB93" s="204"/>
      <c r="DC93" s="204"/>
      <c r="DD93" s="204"/>
      <c r="DE93" s="204"/>
      <c r="DF93" s="204"/>
      <c r="DG93" s="204"/>
      <c r="DH93" s="204"/>
      <c r="FC93" s="200" t="str">
        <f t="shared" si="6"/>
        <v>I</v>
      </c>
    </row>
    <row r="94" spans="1:159" s="202" customFormat="1" ht="24.75" hidden="1" customHeight="1" x14ac:dyDescent="0.2">
      <c r="A94" s="136"/>
      <c r="B94" s="145"/>
      <c r="C94" s="152"/>
      <c r="D94" s="36"/>
      <c r="E94" s="220"/>
      <c r="F94" s="221"/>
      <c r="G94" s="221"/>
      <c r="H94" s="222"/>
      <c r="I94" s="220"/>
      <c r="J94" s="223"/>
      <c r="K94" s="221"/>
      <c r="L94" s="224"/>
      <c r="M94" s="220"/>
      <c r="N94" s="221"/>
      <c r="O94" s="221"/>
      <c r="P94" s="222"/>
      <c r="Q94" s="225"/>
      <c r="R94" s="226"/>
      <c r="S94" s="226"/>
      <c r="T94" s="226"/>
      <c r="U94" s="225"/>
      <c r="V94" s="226"/>
      <c r="W94" s="226"/>
      <c r="X94" s="227"/>
      <c r="Y94" s="168">
        <f t="shared" si="8"/>
        <v>0</v>
      </c>
      <c r="Z94" s="168">
        <f t="shared" si="7"/>
        <v>0</v>
      </c>
      <c r="AA94" s="169"/>
      <c r="AB94" s="195"/>
      <c r="AC94" s="195"/>
      <c r="AD94" s="195"/>
      <c r="AE94" s="195"/>
      <c r="AF94" s="195"/>
      <c r="AG94" s="195"/>
      <c r="AH94" s="200"/>
      <c r="AP94" s="200"/>
      <c r="AQ94" s="200"/>
      <c r="AS94" s="200"/>
      <c r="AU94" s="200"/>
      <c r="AW94" s="200"/>
      <c r="AX94" s="200"/>
      <c r="AY94" s="170"/>
      <c r="AZ94" s="170"/>
      <c r="BA94" s="170"/>
      <c r="BB94" s="170"/>
      <c r="BC94" s="170"/>
      <c r="BD94" s="170"/>
      <c r="BE94" s="170"/>
      <c r="BF94" s="170"/>
      <c r="BG94" s="170"/>
      <c r="BH94" s="170"/>
      <c r="BI94" s="170"/>
      <c r="BJ94" s="170"/>
      <c r="BK94" s="170"/>
      <c r="BL94" s="170"/>
      <c r="BM94" s="170"/>
      <c r="BN94" s="170"/>
      <c r="BO94" s="170"/>
      <c r="BP94" s="170"/>
      <c r="BQ94" s="170"/>
      <c r="BR94" s="170"/>
      <c r="BS94" s="171"/>
      <c r="BT94" s="204"/>
      <c r="BU94" s="204"/>
      <c r="BV94" s="204"/>
      <c r="BW94" s="204"/>
      <c r="BX94" s="204"/>
      <c r="BY94" s="204"/>
      <c r="BZ94" s="204"/>
      <c r="CA94" s="204"/>
      <c r="CB94" s="204"/>
      <c r="CC94" s="204"/>
      <c r="CD94" s="204"/>
      <c r="CE94" s="204"/>
      <c r="CF94" s="204"/>
      <c r="CG94" s="204"/>
      <c r="CH94" s="204"/>
      <c r="CI94" s="204"/>
      <c r="CJ94" s="204"/>
      <c r="CK94" s="204"/>
      <c r="CL94" s="204"/>
      <c r="CM94" s="204"/>
      <c r="CN94" s="204"/>
      <c r="CO94" s="204"/>
      <c r="CP94" s="204"/>
      <c r="CQ94" s="204"/>
      <c r="CR94" s="204"/>
      <c r="CS94" s="204"/>
      <c r="CT94" s="204"/>
      <c r="CU94" s="204"/>
      <c r="CV94" s="204"/>
      <c r="CW94" s="204"/>
      <c r="CX94" s="204"/>
      <c r="CY94" s="204"/>
      <c r="CZ94" s="198"/>
      <c r="DA94" s="204"/>
      <c r="DB94" s="204"/>
      <c r="DC94" s="204"/>
      <c r="DD94" s="204"/>
      <c r="DE94" s="204"/>
      <c r="DF94" s="204"/>
      <c r="DG94" s="204"/>
      <c r="DH94" s="204"/>
      <c r="FC94" s="200" t="str">
        <f t="shared" si="6"/>
        <v>I</v>
      </c>
    </row>
    <row r="95" spans="1:159" s="202" customFormat="1" ht="24.75" hidden="1" customHeight="1" x14ac:dyDescent="0.2">
      <c r="A95" s="136"/>
      <c r="B95" s="145"/>
      <c r="C95" s="152"/>
      <c r="D95" s="37"/>
      <c r="E95" s="220"/>
      <c r="F95" s="221"/>
      <c r="G95" s="221"/>
      <c r="H95" s="222"/>
      <c r="I95" s="220"/>
      <c r="J95" s="223"/>
      <c r="K95" s="221"/>
      <c r="L95" s="224"/>
      <c r="M95" s="220"/>
      <c r="N95" s="221"/>
      <c r="O95" s="221"/>
      <c r="P95" s="222"/>
      <c r="Q95" s="225"/>
      <c r="R95" s="226"/>
      <c r="S95" s="226"/>
      <c r="T95" s="226"/>
      <c r="U95" s="225"/>
      <c r="V95" s="226"/>
      <c r="W95" s="226"/>
      <c r="X95" s="227"/>
      <c r="Y95" s="168">
        <f t="shared" si="8"/>
        <v>0</v>
      </c>
      <c r="Z95" s="168">
        <f t="shared" si="7"/>
        <v>0</v>
      </c>
      <c r="AA95" s="169"/>
      <c r="AB95" s="195"/>
      <c r="AC95" s="195"/>
      <c r="AD95" s="195"/>
      <c r="AE95" s="195"/>
      <c r="AF95" s="195"/>
      <c r="AG95" s="195"/>
      <c r="AH95" s="200"/>
      <c r="AP95" s="200"/>
      <c r="AQ95" s="200"/>
      <c r="AS95" s="200"/>
      <c r="AU95" s="200"/>
      <c r="AW95" s="200"/>
      <c r="AX95" s="200"/>
      <c r="AY95" s="170"/>
      <c r="AZ95" s="170"/>
      <c r="BA95" s="170"/>
      <c r="BB95" s="170"/>
      <c r="BC95" s="170"/>
      <c r="BD95" s="170"/>
      <c r="BE95" s="170"/>
      <c r="BF95" s="170"/>
      <c r="BG95" s="170"/>
      <c r="BH95" s="170"/>
      <c r="BI95" s="170"/>
      <c r="BJ95" s="170"/>
      <c r="BK95" s="170"/>
      <c r="BL95" s="170"/>
      <c r="BM95" s="170"/>
      <c r="BN95" s="170"/>
      <c r="BO95" s="170"/>
      <c r="BP95" s="170"/>
      <c r="BQ95" s="170"/>
      <c r="BR95" s="170"/>
      <c r="BS95" s="171"/>
      <c r="BT95" s="204"/>
      <c r="BU95" s="204"/>
      <c r="BV95" s="204"/>
      <c r="BW95" s="204"/>
      <c r="BX95" s="204"/>
      <c r="BY95" s="204"/>
      <c r="BZ95" s="204"/>
      <c r="CA95" s="204"/>
      <c r="CB95" s="204"/>
      <c r="CC95" s="204"/>
      <c r="CD95" s="204"/>
      <c r="CE95" s="204"/>
      <c r="CF95" s="204"/>
      <c r="CG95" s="204"/>
      <c r="CH95" s="204"/>
      <c r="CI95" s="204"/>
      <c r="CJ95" s="204"/>
      <c r="CK95" s="204"/>
      <c r="CL95" s="204"/>
      <c r="CM95" s="204"/>
      <c r="CN95" s="204"/>
      <c r="CO95" s="204"/>
      <c r="CP95" s="204"/>
      <c r="CQ95" s="204"/>
      <c r="CR95" s="204"/>
      <c r="CS95" s="204"/>
      <c r="CT95" s="204"/>
      <c r="CU95" s="204"/>
      <c r="CV95" s="204"/>
      <c r="CW95" s="204"/>
      <c r="CX95" s="204"/>
      <c r="CY95" s="204"/>
      <c r="CZ95" s="198"/>
      <c r="DA95" s="204"/>
      <c r="DB95" s="204"/>
      <c r="DC95" s="204"/>
      <c r="DD95" s="204"/>
      <c r="DE95" s="204"/>
      <c r="DF95" s="204"/>
      <c r="DG95" s="204"/>
      <c r="DH95" s="204"/>
      <c r="FC95" s="200" t="str">
        <f t="shared" si="6"/>
        <v>I</v>
      </c>
    </row>
    <row r="96" spans="1:159" s="202" customFormat="1" ht="24.75" hidden="1" customHeight="1" x14ac:dyDescent="0.2">
      <c r="A96" s="136"/>
      <c r="B96" s="145"/>
      <c r="C96" s="152"/>
      <c r="D96" s="36"/>
      <c r="E96" s="220"/>
      <c r="F96" s="221"/>
      <c r="G96" s="221"/>
      <c r="H96" s="222"/>
      <c r="I96" s="220"/>
      <c r="J96" s="223"/>
      <c r="K96" s="221"/>
      <c r="L96" s="224"/>
      <c r="M96" s="220"/>
      <c r="N96" s="221"/>
      <c r="O96" s="221"/>
      <c r="P96" s="222"/>
      <c r="Q96" s="225"/>
      <c r="R96" s="226"/>
      <c r="S96" s="226"/>
      <c r="T96" s="226"/>
      <c r="U96" s="225"/>
      <c r="V96" s="226"/>
      <c r="W96" s="226"/>
      <c r="X96" s="227"/>
      <c r="Y96" s="168">
        <f t="shared" si="8"/>
        <v>0</v>
      </c>
      <c r="Z96" s="168">
        <f t="shared" si="7"/>
        <v>0</v>
      </c>
      <c r="AA96" s="169"/>
      <c r="AB96" s="195"/>
      <c r="AC96" s="195"/>
      <c r="AD96" s="195"/>
      <c r="AE96" s="195"/>
      <c r="AF96" s="195"/>
      <c r="AG96" s="195"/>
      <c r="AH96" s="200"/>
      <c r="AP96" s="200"/>
      <c r="AQ96" s="200"/>
      <c r="AS96" s="200"/>
      <c r="AU96" s="200"/>
      <c r="AW96" s="200"/>
      <c r="AX96" s="200"/>
      <c r="AY96" s="170"/>
      <c r="AZ96" s="170"/>
      <c r="BA96" s="170"/>
      <c r="BB96" s="170"/>
      <c r="BC96" s="170"/>
      <c r="BD96" s="170"/>
      <c r="BE96" s="170"/>
      <c r="BF96" s="170"/>
      <c r="BG96" s="170"/>
      <c r="BH96" s="170"/>
      <c r="BI96" s="170"/>
      <c r="BJ96" s="170"/>
      <c r="BK96" s="170"/>
      <c r="BL96" s="170"/>
      <c r="BM96" s="170"/>
      <c r="BN96" s="170"/>
      <c r="BO96" s="170"/>
      <c r="BP96" s="170"/>
      <c r="BQ96" s="170"/>
      <c r="BR96" s="170"/>
      <c r="BS96" s="171"/>
      <c r="BT96" s="204"/>
      <c r="BU96" s="204"/>
      <c r="BV96" s="204"/>
      <c r="BW96" s="204"/>
      <c r="BX96" s="204"/>
      <c r="BY96" s="204"/>
      <c r="BZ96" s="204"/>
      <c r="CA96" s="204"/>
      <c r="CB96" s="204"/>
      <c r="CC96" s="204"/>
      <c r="CD96" s="204"/>
      <c r="CE96" s="204"/>
      <c r="CF96" s="204"/>
      <c r="CG96" s="204"/>
      <c r="CH96" s="204"/>
      <c r="CI96" s="204"/>
      <c r="CJ96" s="204"/>
      <c r="CK96" s="204"/>
      <c r="CL96" s="204"/>
      <c r="CM96" s="204"/>
      <c r="CN96" s="204"/>
      <c r="CO96" s="204"/>
      <c r="CP96" s="204"/>
      <c r="CQ96" s="204"/>
      <c r="CR96" s="204"/>
      <c r="CS96" s="204"/>
      <c r="CT96" s="204"/>
      <c r="CU96" s="204"/>
      <c r="CV96" s="204"/>
      <c r="CW96" s="204"/>
      <c r="CX96" s="204"/>
      <c r="CY96" s="204"/>
      <c r="CZ96" s="198"/>
      <c r="DA96" s="204"/>
      <c r="DB96" s="204"/>
      <c r="DC96" s="204"/>
      <c r="DD96" s="204"/>
      <c r="DE96" s="204"/>
      <c r="DF96" s="204"/>
      <c r="DG96" s="204"/>
      <c r="DH96" s="204"/>
      <c r="FC96" s="200" t="str">
        <f t="shared" si="6"/>
        <v>I</v>
      </c>
    </row>
    <row r="97" spans="1:159" s="202" customFormat="1" ht="24.75" hidden="1" customHeight="1" x14ac:dyDescent="0.2">
      <c r="A97" s="136"/>
      <c r="B97" s="145"/>
      <c r="C97" s="152"/>
      <c r="D97" s="36"/>
      <c r="E97" s="220"/>
      <c r="F97" s="221"/>
      <c r="G97" s="221"/>
      <c r="H97" s="222"/>
      <c r="I97" s="220"/>
      <c r="J97" s="223"/>
      <c r="K97" s="221"/>
      <c r="L97" s="224"/>
      <c r="M97" s="220"/>
      <c r="N97" s="221"/>
      <c r="O97" s="221"/>
      <c r="P97" s="222"/>
      <c r="Q97" s="225"/>
      <c r="R97" s="226"/>
      <c r="S97" s="226"/>
      <c r="T97" s="226"/>
      <c r="U97" s="225"/>
      <c r="V97" s="226"/>
      <c r="W97" s="226"/>
      <c r="X97" s="227"/>
      <c r="Y97" s="168">
        <f t="shared" si="8"/>
        <v>0</v>
      </c>
      <c r="Z97" s="168">
        <f t="shared" si="7"/>
        <v>0</v>
      </c>
      <c r="AA97" s="169"/>
      <c r="AB97" s="195"/>
      <c r="AC97" s="195"/>
      <c r="AD97" s="195"/>
      <c r="AE97" s="195"/>
      <c r="AF97" s="195"/>
      <c r="AG97" s="195"/>
      <c r="AH97" s="200"/>
      <c r="AP97" s="200"/>
      <c r="AQ97" s="200"/>
      <c r="AS97" s="200"/>
      <c r="AU97" s="200"/>
      <c r="AW97" s="200"/>
      <c r="AX97" s="200"/>
      <c r="AY97" s="170"/>
      <c r="AZ97" s="170"/>
      <c r="BA97" s="170"/>
      <c r="BB97" s="170"/>
      <c r="BC97" s="170"/>
      <c r="BD97" s="170"/>
      <c r="BE97" s="170"/>
      <c r="BF97" s="170"/>
      <c r="BG97" s="170"/>
      <c r="BH97" s="170"/>
      <c r="BI97" s="170"/>
      <c r="BJ97" s="170"/>
      <c r="BK97" s="170"/>
      <c r="BL97" s="170"/>
      <c r="BM97" s="170"/>
      <c r="BN97" s="170"/>
      <c r="BO97" s="170"/>
      <c r="BP97" s="170"/>
      <c r="BQ97" s="170"/>
      <c r="BR97" s="170"/>
      <c r="BS97" s="171"/>
      <c r="BT97" s="204"/>
      <c r="BU97" s="204"/>
      <c r="BV97" s="204"/>
      <c r="BW97" s="204"/>
      <c r="BX97" s="204"/>
      <c r="BY97" s="204"/>
      <c r="BZ97" s="204"/>
      <c r="CA97" s="204"/>
      <c r="CB97" s="204"/>
      <c r="CC97" s="204"/>
      <c r="CD97" s="204"/>
      <c r="CE97" s="204"/>
      <c r="CF97" s="204"/>
      <c r="CG97" s="204"/>
      <c r="CH97" s="204"/>
      <c r="CI97" s="204"/>
      <c r="CJ97" s="204"/>
      <c r="CK97" s="204"/>
      <c r="CL97" s="204"/>
      <c r="CM97" s="204"/>
      <c r="CN97" s="204"/>
      <c r="CO97" s="204"/>
      <c r="CP97" s="204"/>
      <c r="CQ97" s="204"/>
      <c r="CR97" s="204"/>
      <c r="CS97" s="204"/>
      <c r="CT97" s="204"/>
      <c r="CU97" s="204"/>
      <c r="CV97" s="204"/>
      <c r="CW97" s="204"/>
      <c r="CX97" s="204"/>
      <c r="CY97" s="204"/>
      <c r="CZ97" s="198"/>
      <c r="DA97" s="204"/>
      <c r="DB97" s="204"/>
      <c r="DC97" s="204"/>
      <c r="DD97" s="204"/>
      <c r="DE97" s="204"/>
      <c r="DF97" s="204"/>
      <c r="DG97" s="204"/>
      <c r="DH97" s="204"/>
      <c r="FC97" s="200" t="str">
        <f t="shared" si="6"/>
        <v>I</v>
      </c>
    </row>
    <row r="98" spans="1:159" s="202" customFormat="1" ht="24.75" hidden="1" customHeight="1" x14ac:dyDescent="0.2">
      <c r="A98" s="136"/>
      <c r="B98" s="145"/>
      <c r="C98" s="153"/>
      <c r="D98" s="38"/>
      <c r="E98" s="220"/>
      <c r="F98" s="221"/>
      <c r="G98" s="221"/>
      <c r="H98" s="222"/>
      <c r="I98" s="220"/>
      <c r="J98" s="223"/>
      <c r="K98" s="221"/>
      <c r="L98" s="224"/>
      <c r="M98" s="220"/>
      <c r="N98" s="221"/>
      <c r="O98" s="221"/>
      <c r="P98" s="222"/>
      <c r="Q98" s="225"/>
      <c r="R98" s="226"/>
      <c r="S98" s="226"/>
      <c r="T98" s="226"/>
      <c r="U98" s="225"/>
      <c r="V98" s="226"/>
      <c r="W98" s="226"/>
      <c r="X98" s="227"/>
      <c r="Y98" s="168">
        <f t="shared" si="8"/>
        <v>0</v>
      </c>
      <c r="Z98" s="168">
        <f t="shared" si="7"/>
        <v>0</v>
      </c>
      <c r="AA98" s="169"/>
      <c r="AB98" s="195"/>
      <c r="AC98" s="195"/>
      <c r="AD98" s="195"/>
      <c r="AE98" s="195"/>
      <c r="AF98" s="195"/>
      <c r="AG98" s="195"/>
      <c r="AH98" s="200"/>
      <c r="AP98" s="200"/>
      <c r="AQ98" s="200"/>
      <c r="AS98" s="200"/>
      <c r="AU98" s="200"/>
      <c r="AW98" s="200"/>
      <c r="AX98" s="200"/>
      <c r="AY98" s="170"/>
      <c r="AZ98" s="170"/>
      <c r="BA98" s="170"/>
      <c r="BB98" s="170"/>
      <c r="BC98" s="170"/>
      <c r="BD98" s="170"/>
      <c r="BE98" s="170"/>
      <c r="BF98" s="170"/>
      <c r="BG98" s="170"/>
      <c r="BH98" s="170"/>
      <c r="BI98" s="170"/>
      <c r="BJ98" s="170"/>
      <c r="BK98" s="170"/>
      <c r="BL98" s="170"/>
      <c r="BM98" s="170"/>
      <c r="BN98" s="170"/>
      <c r="BO98" s="170"/>
      <c r="BP98" s="170"/>
      <c r="BQ98" s="170"/>
      <c r="BR98" s="170"/>
      <c r="BS98" s="171"/>
      <c r="BT98" s="204"/>
      <c r="BU98" s="204"/>
      <c r="BV98" s="204"/>
      <c r="BW98" s="204"/>
      <c r="BX98" s="204"/>
      <c r="BY98" s="204"/>
      <c r="BZ98" s="204"/>
      <c r="CA98" s="204"/>
      <c r="CB98" s="204"/>
      <c r="CC98" s="204"/>
      <c r="CD98" s="204"/>
      <c r="CE98" s="204"/>
      <c r="CF98" s="204"/>
      <c r="CG98" s="204"/>
      <c r="CH98" s="204"/>
      <c r="CI98" s="204"/>
      <c r="CJ98" s="204"/>
      <c r="CK98" s="204"/>
      <c r="CL98" s="204"/>
      <c r="CM98" s="204"/>
      <c r="CN98" s="204"/>
      <c r="CO98" s="204"/>
      <c r="CP98" s="204"/>
      <c r="CQ98" s="204"/>
      <c r="CR98" s="204"/>
      <c r="CS98" s="204"/>
      <c r="CT98" s="204"/>
      <c r="CU98" s="204"/>
      <c r="CV98" s="204"/>
      <c r="CW98" s="204"/>
      <c r="CX98" s="204"/>
      <c r="CY98" s="204"/>
      <c r="CZ98" s="198"/>
      <c r="DA98" s="204"/>
      <c r="DB98" s="204"/>
      <c r="DC98" s="204"/>
      <c r="DD98" s="204"/>
      <c r="DE98" s="204"/>
      <c r="DF98" s="204"/>
      <c r="DG98" s="204"/>
      <c r="DH98" s="204"/>
      <c r="FC98" s="200" t="str">
        <f t="shared" si="6"/>
        <v>I</v>
      </c>
    </row>
    <row r="99" spans="1:159" s="202" customFormat="1" ht="24.75" hidden="1" customHeight="1" x14ac:dyDescent="0.2">
      <c r="A99" s="136"/>
      <c r="B99" s="145"/>
      <c r="C99" s="153"/>
      <c r="D99" s="39"/>
      <c r="E99" s="220"/>
      <c r="F99" s="221"/>
      <c r="G99" s="221"/>
      <c r="H99" s="222"/>
      <c r="I99" s="220"/>
      <c r="J99" s="223"/>
      <c r="K99" s="221"/>
      <c r="L99" s="224"/>
      <c r="M99" s="220"/>
      <c r="N99" s="221"/>
      <c r="O99" s="221"/>
      <c r="P99" s="222"/>
      <c r="Q99" s="225"/>
      <c r="R99" s="226"/>
      <c r="S99" s="226"/>
      <c r="T99" s="226"/>
      <c r="U99" s="225"/>
      <c r="V99" s="226"/>
      <c r="W99" s="226"/>
      <c r="X99" s="227"/>
      <c r="Y99" s="168">
        <f t="shared" si="8"/>
        <v>0</v>
      </c>
      <c r="Z99" s="168">
        <f t="shared" si="7"/>
        <v>0</v>
      </c>
      <c r="AA99" s="169"/>
      <c r="AB99" s="195"/>
      <c r="AC99" s="195"/>
      <c r="AD99" s="195"/>
      <c r="AE99" s="195"/>
      <c r="AF99" s="195"/>
      <c r="AG99" s="195"/>
      <c r="AH99" s="200"/>
      <c r="AP99" s="200"/>
      <c r="AQ99" s="200"/>
      <c r="AS99" s="200"/>
      <c r="AU99" s="200"/>
      <c r="AW99" s="200"/>
      <c r="AX99" s="200"/>
      <c r="AY99" s="170"/>
      <c r="AZ99" s="170"/>
      <c r="BA99" s="170"/>
      <c r="BB99" s="170"/>
      <c r="BC99" s="170"/>
      <c r="BD99" s="170"/>
      <c r="BE99" s="170"/>
      <c r="BF99" s="170"/>
      <c r="BG99" s="170"/>
      <c r="BH99" s="170"/>
      <c r="BI99" s="170"/>
      <c r="BJ99" s="170"/>
      <c r="BK99" s="170"/>
      <c r="BL99" s="170"/>
      <c r="BM99" s="170"/>
      <c r="BN99" s="170"/>
      <c r="BO99" s="170"/>
      <c r="BP99" s="170"/>
      <c r="BQ99" s="170"/>
      <c r="BR99" s="170"/>
      <c r="BS99" s="171"/>
      <c r="BT99" s="204"/>
      <c r="BU99" s="204"/>
      <c r="BV99" s="204"/>
      <c r="BW99" s="204"/>
      <c r="BX99" s="204"/>
      <c r="BY99" s="204"/>
      <c r="BZ99" s="204"/>
      <c r="CA99" s="204"/>
      <c r="CB99" s="204"/>
      <c r="CC99" s="204"/>
      <c r="CD99" s="204"/>
      <c r="CE99" s="204"/>
      <c r="CF99" s="204"/>
      <c r="CG99" s="204"/>
      <c r="CH99" s="204"/>
      <c r="CI99" s="204"/>
      <c r="CJ99" s="204"/>
      <c r="CK99" s="204"/>
      <c r="CL99" s="204"/>
      <c r="CM99" s="204"/>
      <c r="CN99" s="204"/>
      <c r="CO99" s="204"/>
      <c r="CP99" s="204"/>
      <c r="CQ99" s="204"/>
      <c r="CR99" s="204"/>
      <c r="CS99" s="204"/>
      <c r="CT99" s="204"/>
      <c r="CU99" s="204"/>
      <c r="CV99" s="204"/>
      <c r="CW99" s="204"/>
      <c r="CX99" s="204"/>
      <c r="CY99" s="204"/>
      <c r="CZ99" s="198"/>
      <c r="DA99" s="204"/>
      <c r="DB99" s="204"/>
      <c r="DC99" s="204"/>
      <c r="DD99" s="204"/>
      <c r="DE99" s="204"/>
      <c r="DF99" s="204"/>
      <c r="DG99" s="204"/>
      <c r="DH99" s="204"/>
      <c r="FC99" s="200" t="str">
        <f t="shared" ref="FC99:FC130" si="9">IF(EY99="","I",EY99)</f>
        <v>I</v>
      </c>
    </row>
    <row r="100" spans="1:159" s="202" customFormat="1" ht="24.75" hidden="1" customHeight="1" x14ac:dyDescent="0.2">
      <c r="A100" s="136"/>
      <c r="B100" s="145"/>
      <c r="C100" s="153"/>
      <c r="D100" s="39"/>
      <c r="E100" s="220"/>
      <c r="F100" s="221"/>
      <c r="G100" s="221"/>
      <c r="H100" s="222"/>
      <c r="I100" s="220"/>
      <c r="J100" s="223"/>
      <c r="K100" s="221"/>
      <c r="L100" s="224"/>
      <c r="M100" s="220"/>
      <c r="N100" s="221"/>
      <c r="O100" s="221"/>
      <c r="P100" s="222"/>
      <c r="Q100" s="225"/>
      <c r="R100" s="226"/>
      <c r="S100" s="226"/>
      <c r="T100" s="226"/>
      <c r="U100" s="225"/>
      <c r="V100" s="226"/>
      <c r="W100" s="226"/>
      <c r="X100" s="227"/>
      <c r="Y100" s="168">
        <f t="shared" si="8"/>
        <v>0</v>
      </c>
      <c r="Z100" s="168">
        <f t="shared" si="7"/>
        <v>0</v>
      </c>
      <c r="AA100" s="169"/>
      <c r="AB100" s="195"/>
      <c r="AC100" s="195"/>
      <c r="AD100" s="195"/>
      <c r="AE100" s="195"/>
      <c r="AF100" s="195"/>
      <c r="AG100" s="195"/>
      <c r="AH100" s="200"/>
      <c r="AP100" s="200"/>
      <c r="AQ100" s="200"/>
      <c r="AS100" s="200"/>
      <c r="AU100" s="200"/>
      <c r="AW100" s="200"/>
      <c r="AX100" s="200"/>
      <c r="AY100" s="170"/>
      <c r="AZ100" s="170"/>
      <c r="BA100" s="170"/>
      <c r="BB100" s="170"/>
      <c r="BC100" s="170"/>
      <c r="BD100" s="170"/>
      <c r="BE100" s="170"/>
      <c r="BF100" s="170"/>
      <c r="BG100" s="170"/>
      <c r="BH100" s="170"/>
      <c r="BI100" s="170"/>
      <c r="BJ100" s="170"/>
      <c r="BK100" s="170"/>
      <c r="BL100" s="170"/>
      <c r="BM100" s="170"/>
      <c r="BN100" s="170"/>
      <c r="BO100" s="170"/>
      <c r="BP100" s="170"/>
      <c r="BQ100" s="170"/>
      <c r="BR100" s="170"/>
      <c r="BS100" s="171"/>
      <c r="BT100" s="204"/>
      <c r="BU100" s="204"/>
      <c r="BV100" s="204"/>
      <c r="BW100" s="204"/>
      <c r="BX100" s="204"/>
      <c r="BY100" s="204"/>
      <c r="BZ100" s="204"/>
      <c r="CA100" s="204"/>
      <c r="CB100" s="204"/>
      <c r="CC100" s="204"/>
      <c r="CD100" s="204"/>
      <c r="CE100" s="204"/>
      <c r="CF100" s="204"/>
      <c r="CG100" s="204"/>
      <c r="CH100" s="204"/>
      <c r="CI100" s="204"/>
      <c r="CJ100" s="204"/>
      <c r="CK100" s="204"/>
      <c r="CL100" s="204"/>
      <c r="CM100" s="204"/>
      <c r="CN100" s="204"/>
      <c r="CO100" s="204"/>
      <c r="CP100" s="204"/>
      <c r="CQ100" s="204"/>
      <c r="CR100" s="204"/>
      <c r="CS100" s="204"/>
      <c r="CT100" s="204"/>
      <c r="CU100" s="204"/>
      <c r="CV100" s="204"/>
      <c r="CW100" s="204"/>
      <c r="CX100" s="204"/>
      <c r="CY100" s="204"/>
      <c r="CZ100" s="198"/>
      <c r="DA100" s="204"/>
      <c r="DB100" s="204"/>
      <c r="DC100" s="204"/>
      <c r="DD100" s="204"/>
      <c r="DE100" s="204"/>
      <c r="DF100" s="204"/>
      <c r="DG100" s="204"/>
      <c r="DH100" s="204"/>
      <c r="FC100" s="200" t="str">
        <f t="shared" si="9"/>
        <v>I</v>
      </c>
    </row>
    <row r="101" spans="1:159" s="202" customFormat="1" ht="24.75" hidden="1" customHeight="1" x14ac:dyDescent="0.2">
      <c r="A101" s="136"/>
      <c r="B101" s="145"/>
      <c r="C101" s="153"/>
      <c r="D101" s="39"/>
      <c r="E101" s="220"/>
      <c r="F101" s="221"/>
      <c r="G101" s="221"/>
      <c r="H101" s="222"/>
      <c r="I101" s="220"/>
      <c r="J101" s="223"/>
      <c r="K101" s="221"/>
      <c r="L101" s="224"/>
      <c r="M101" s="220"/>
      <c r="N101" s="221"/>
      <c r="O101" s="221"/>
      <c r="P101" s="222"/>
      <c r="Q101" s="225"/>
      <c r="R101" s="226"/>
      <c r="S101" s="226"/>
      <c r="T101" s="226"/>
      <c r="U101" s="225"/>
      <c r="V101" s="226"/>
      <c r="W101" s="226"/>
      <c r="X101" s="227"/>
      <c r="Y101" s="168">
        <f t="shared" si="8"/>
        <v>0</v>
      </c>
      <c r="Z101" s="168">
        <f t="shared" si="7"/>
        <v>0</v>
      </c>
      <c r="AA101" s="169"/>
      <c r="AB101" s="195"/>
      <c r="AC101" s="195"/>
      <c r="AD101" s="195"/>
      <c r="AE101" s="195"/>
      <c r="AF101" s="195"/>
      <c r="AG101" s="195"/>
      <c r="AH101" s="200"/>
      <c r="AP101" s="200"/>
      <c r="AQ101" s="200"/>
      <c r="AS101" s="200"/>
      <c r="AU101" s="200"/>
      <c r="AW101" s="200"/>
      <c r="AX101" s="200"/>
      <c r="AY101" s="170"/>
      <c r="AZ101" s="170"/>
      <c r="BA101" s="170"/>
      <c r="BB101" s="170"/>
      <c r="BC101" s="170"/>
      <c r="BD101" s="170"/>
      <c r="BE101" s="170"/>
      <c r="BF101" s="170"/>
      <c r="BG101" s="170"/>
      <c r="BH101" s="170"/>
      <c r="BI101" s="170"/>
      <c r="BJ101" s="170"/>
      <c r="BK101" s="170"/>
      <c r="BL101" s="170"/>
      <c r="BM101" s="170"/>
      <c r="BN101" s="170"/>
      <c r="BO101" s="170"/>
      <c r="BP101" s="170"/>
      <c r="BQ101" s="170"/>
      <c r="BR101" s="170"/>
      <c r="BS101" s="171"/>
      <c r="BT101" s="204"/>
      <c r="BU101" s="204"/>
      <c r="BV101" s="204"/>
      <c r="BW101" s="204"/>
      <c r="BX101" s="204"/>
      <c r="BY101" s="204"/>
      <c r="BZ101" s="204"/>
      <c r="CA101" s="204"/>
      <c r="CB101" s="204"/>
      <c r="CC101" s="204"/>
      <c r="CD101" s="204"/>
      <c r="CE101" s="204"/>
      <c r="CF101" s="204"/>
      <c r="CG101" s="204"/>
      <c r="CH101" s="204"/>
      <c r="CI101" s="204"/>
      <c r="CJ101" s="204"/>
      <c r="CK101" s="204"/>
      <c r="CL101" s="204"/>
      <c r="CM101" s="204"/>
      <c r="CN101" s="204"/>
      <c r="CO101" s="204"/>
      <c r="CP101" s="204"/>
      <c r="CQ101" s="204"/>
      <c r="CR101" s="204"/>
      <c r="CS101" s="204"/>
      <c r="CT101" s="204"/>
      <c r="CU101" s="204"/>
      <c r="CV101" s="204"/>
      <c r="CW101" s="204"/>
      <c r="CX101" s="204"/>
      <c r="CY101" s="204"/>
      <c r="CZ101" s="198"/>
      <c r="DA101" s="204"/>
      <c r="DB101" s="204"/>
      <c r="DC101" s="204"/>
      <c r="DD101" s="204"/>
      <c r="DE101" s="204"/>
      <c r="DF101" s="204"/>
      <c r="DG101" s="204"/>
      <c r="DH101" s="204"/>
      <c r="FC101" s="200" t="str">
        <f t="shared" si="9"/>
        <v>I</v>
      </c>
    </row>
    <row r="102" spans="1:159" s="202" customFormat="1" ht="24.75" hidden="1" customHeight="1" x14ac:dyDescent="0.2">
      <c r="A102" s="136"/>
      <c r="B102" s="145"/>
      <c r="C102" s="153"/>
      <c r="D102" s="39"/>
      <c r="E102" s="220"/>
      <c r="F102" s="221"/>
      <c r="G102" s="221"/>
      <c r="H102" s="222"/>
      <c r="I102" s="220"/>
      <c r="J102" s="223"/>
      <c r="K102" s="221"/>
      <c r="L102" s="224"/>
      <c r="M102" s="220"/>
      <c r="N102" s="221"/>
      <c r="O102" s="221"/>
      <c r="P102" s="222"/>
      <c r="Q102" s="225"/>
      <c r="R102" s="226"/>
      <c r="S102" s="226"/>
      <c r="T102" s="226"/>
      <c r="U102" s="225"/>
      <c r="V102" s="226"/>
      <c r="W102" s="226"/>
      <c r="X102" s="227"/>
      <c r="Y102" s="168">
        <f t="shared" si="8"/>
        <v>0</v>
      </c>
      <c r="Z102" s="168">
        <f t="shared" si="7"/>
        <v>0</v>
      </c>
      <c r="AA102" s="169"/>
      <c r="AB102" s="195"/>
      <c r="AC102" s="195"/>
      <c r="AD102" s="195"/>
      <c r="AE102" s="195"/>
      <c r="AF102" s="195"/>
      <c r="AG102" s="195"/>
      <c r="AH102" s="200"/>
      <c r="AP102" s="200"/>
      <c r="AQ102" s="200"/>
      <c r="AS102" s="200"/>
      <c r="AU102" s="200"/>
      <c r="AW102" s="200"/>
      <c r="AX102" s="200"/>
      <c r="AY102" s="170"/>
      <c r="AZ102" s="170"/>
      <c r="BA102" s="170"/>
      <c r="BB102" s="170"/>
      <c r="BC102" s="170"/>
      <c r="BD102" s="170"/>
      <c r="BE102" s="170"/>
      <c r="BF102" s="170"/>
      <c r="BG102" s="170"/>
      <c r="BH102" s="170"/>
      <c r="BI102" s="170"/>
      <c r="BJ102" s="170"/>
      <c r="BK102" s="170"/>
      <c r="BL102" s="170"/>
      <c r="BM102" s="170"/>
      <c r="BN102" s="170"/>
      <c r="BO102" s="170"/>
      <c r="BP102" s="170"/>
      <c r="BQ102" s="170"/>
      <c r="BR102" s="170"/>
      <c r="BS102" s="171"/>
      <c r="BT102" s="204"/>
      <c r="BU102" s="204"/>
      <c r="BV102" s="204"/>
      <c r="BW102" s="204"/>
      <c r="BX102" s="204"/>
      <c r="BY102" s="204"/>
      <c r="BZ102" s="204"/>
      <c r="CA102" s="204"/>
      <c r="CB102" s="204"/>
      <c r="CC102" s="204"/>
      <c r="CD102" s="204"/>
      <c r="CE102" s="204"/>
      <c r="CF102" s="204"/>
      <c r="CG102" s="204"/>
      <c r="CH102" s="204"/>
      <c r="CI102" s="204"/>
      <c r="CJ102" s="204"/>
      <c r="CK102" s="204"/>
      <c r="CL102" s="204"/>
      <c r="CM102" s="204"/>
      <c r="CN102" s="204"/>
      <c r="CO102" s="204"/>
      <c r="CP102" s="204"/>
      <c r="CQ102" s="204"/>
      <c r="CR102" s="204"/>
      <c r="CS102" s="204"/>
      <c r="CT102" s="204"/>
      <c r="CU102" s="204"/>
      <c r="CV102" s="204"/>
      <c r="CW102" s="204"/>
      <c r="CX102" s="204"/>
      <c r="CY102" s="204"/>
      <c r="CZ102" s="198"/>
      <c r="DA102" s="204"/>
      <c r="DB102" s="204"/>
      <c r="DC102" s="204"/>
      <c r="DD102" s="204"/>
      <c r="DE102" s="204"/>
      <c r="DF102" s="204"/>
      <c r="DG102" s="204"/>
      <c r="DH102" s="204"/>
      <c r="FC102" s="200" t="str">
        <f t="shared" si="9"/>
        <v>I</v>
      </c>
    </row>
    <row r="103" spans="1:159" s="202" customFormat="1" ht="24.75" hidden="1" customHeight="1" x14ac:dyDescent="0.2">
      <c r="A103" s="136"/>
      <c r="B103" s="145"/>
      <c r="C103" s="153"/>
      <c r="D103" s="39"/>
      <c r="E103" s="220"/>
      <c r="F103" s="221"/>
      <c r="G103" s="221"/>
      <c r="H103" s="222"/>
      <c r="I103" s="220"/>
      <c r="J103" s="223"/>
      <c r="K103" s="221"/>
      <c r="L103" s="224"/>
      <c r="M103" s="220"/>
      <c r="N103" s="221"/>
      <c r="O103" s="221"/>
      <c r="P103" s="222"/>
      <c r="Q103" s="225"/>
      <c r="R103" s="226"/>
      <c r="S103" s="226"/>
      <c r="T103" s="226"/>
      <c r="U103" s="225"/>
      <c r="V103" s="226"/>
      <c r="W103" s="226"/>
      <c r="X103" s="227"/>
      <c r="Y103" s="168">
        <f t="shared" si="8"/>
        <v>0</v>
      </c>
      <c r="Z103" s="168">
        <f t="shared" si="7"/>
        <v>0</v>
      </c>
      <c r="AA103" s="169"/>
      <c r="AB103" s="195"/>
      <c r="AC103" s="195"/>
      <c r="AD103" s="195"/>
      <c r="AE103" s="195"/>
      <c r="AF103" s="195"/>
      <c r="AG103" s="195"/>
      <c r="AH103" s="200"/>
      <c r="AP103" s="200"/>
      <c r="AQ103" s="200"/>
      <c r="AS103" s="200"/>
      <c r="AU103" s="200"/>
      <c r="AW103" s="200"/>
      <c r="AX103" s="200"/>
      <c r="AY103" s="170"/>
      <c r="AZ103" s="170"/>
      <c r="BA103" s="170"/>
      <c r="BB103" s="170"/>
      <c r="BC103" s="170"/>
      <c r="BD103" s="170"/>
      <c r="BE103" s="170"/>
      <c r="BF103" s="170"/>
      <c r="BG103" s="170"/>
      <c r="BH103" s="170"/>
      <c r="BI103" s="170"/>
      <c r="BJ103" s="170"/>
      <c r="BK103" s="170"/>
      <c r="BL103" s="170"/>
      <c r="BM103" s="170"/>
      <c r="BN103" s="170"/>
      <c r="BO103" s="170"/>
      <c r="BP103" s="170"/>
      <c r="BQ103" s="170"/>
      <c r="BR103" s="170"/>
      <c r="BS103" s="171"/>
      <c r="BT103" s="204"/>
      <c r="BU103" s="204"/>
      <c r="BV103" s="204"/>
      <c r="BW103" s="204"/>
      <c r="BX103" s="204"/>
      <c r="BY103" s="204"/>
      <c r="BZ103" s="204"/>
      <c r="CA103" s="204"/>
      <c r="CB103" s="204"/>
      <c r="CC103" s="204"/>
      <c r="CD103" s="204"/>
      <c r="CE103" s="204"/>
      <c r="CF103" s="204"/>
      <c r="CG103" s="204"/>
      <c r="CH103" s="204"/>
      <c r="CI103" s="204"/>
      <c r="CJ103" s="204"/>
      <c r="CK103" s="204"/>
      <c r="CL103" s="204"/>
      <c r="CM103" s="204"/>
      <c r="CN103" s="204"/>
      <c r="CO103" s="204"/>
      <c r="CP103" s="204"/>
      <c r="CQ103" s="204"/>
      <c r="CR103" s="204"/>
      <c r="CS103" s="204"/>
      <c r="CT103" s="204"/>
      <c r="CU103" s="204"/>
      <c r="CV103" s="204"/>
      <c r="CW103" s="204"/>
      <c r="CX103" s="204"/>
      <c r="CY103" s="204"/>
      <c r="CZ103" s="198"/>
      <c r="DA103" s="204"/>
      <c r="DB103" s="204"/>
      <c r="DC103" s="204"/>
      <c r="DD103" s="204"/>
      <c r="DE103" s="204"/>
      <c r="DF103" s="204"/>
      <c r="DG103" s="204"/>
      <c r="DH103" s="204"/>
      <c r="FC103" s="200" t="str">
        <f t="shared" si="9"/>
        <v>I</v>
      </c>
    </row>
    <row r="104" spans="1:159" s="202" customFormat="1" ht="24.75" hidden="1" customHeight="1" x14ac:dyDescent="0.2">
      <c r="A104" s="136"/>
      <c r="B104" s="145"/>
      <c r="C104" s="153"/>
      <c r="D104" s="39"/>
      <c r="E104" s="220"/>
      <c r="F104" s="221"/>
      <c r="G104" s="221"/>
      <c r="H104" s="222"/>
      <c r="I104" s="220"/>
      <c r="J104" s="223"/>
      <c r="K104" s="221"/>
      <c r="L104" s="224"/>
      <c r="M104" s="220"/>
      <c r="N104" s="221"/>
      <c r="O104" s="221"/>
      <c r="P104" s="222"/>
      <c r="Q104" s="225"/>
      <c r="R104" s="226"/>
      <c r="S104" s="226"/>
      <c r="T104" s="226"/>
      <c r="U104" s="225"/>
      <c r="V104" s="226"/>
      <c r="W104" s="226"/>
      <c r="X104" s="227"/>
      <c r="Y104" s="168">
        <f t="shared" si="8"/>
        <v>0</v>
      </c>
      <c r="Z104" s="168">
        <f t="shared" si="7"/>
        <v>0</v>
      </c>
      <c r="AA104" s="169"/>
      <c r="AB104" s="195"/>
      <c r="AC104" s="195"/>
      <c r="AD104" s="195"/>
      <c r="AE104" s="195"/>
      <c r="AF104" s="195"/>
      <c r="AG104" s="195"/>
      <c r="AH104" s="200"/>
      <c r="AP104" s="200"/>
      <c r="AQ104" s="200"/>
      <c r="AS104" s="200"/>
      <c r="AU104" s="200"/>
      <c r="AW104" s="200"/>
      <c r="AX104" s="200"/>
      <c r="AY104" s="170"/>
      <c r="AZ104" s="170"/>
      <c r="BA104" s="170"/>
      <c r="BB104" s="170"/>
      <c r="BC104" s="170"/>
      <c r="BD104" s="170"/>
      <c r="BE104" s="170"/>
      <c r="BF104" s="170"/>
      <c r="BG104" s="170"/>
      <c r="BH104" s="170"/>
      <c r="BI104" s="170"/>
      <c r="BJ104" s="170"/>
      <c r="BK104" s="170"/>
      <c r="BL104" s="170"/>
      <c r="BM104" s="170"/>
      <c r="BN104" s="170"/>
      <c r="BO104" s="170"/>
      <c r="BP104" s="170"/>
      <c r="BQ104" s="170"/>
      <c r="BR104" s="170"/>
      <c r="BS104" s="171"/>
      <c r="BT104" s="204"/>
      <c r="BU104" s="204"/>
      <c r="BV104" s="204"/>
      <c r="BW104" s="204"/>
      <c r="BX104" s="204"/>
      <c r="BY104" s="204"/>
      <c r="BZ104" s="204"/>
      <c r="CA104" s="204"/>
      <c r="CB104" s="204"/>
      <c r="CC104" s="204"/>
      <c r="CD104" s="204"/>
      <c r="CE104" s="204"/>
      <c r="CF104" s="204"/>
      <c r="CG104" s="204"/>
      <c r="CH104" s="204"/>
      <c r="CI104" s="204"/>
      <c r="CJ104" s="204"/>
      <c r="CK104" s="204"/>
      <c r="CL104" s="204"/>
      <c r="CM104" s="204"/>
      <c r="CN104" s="204"/>
      <c r="CO104" s="204"/>
      <c r="CP104" s="204"/>
      <c r="CQ104" s="204"/>
      <c r="CR104" s="204"/>
      <c r="CS104" s="204"/>
      <c r="CT104" s="204"/>
      <c r="CU104" s="204"/>
      <c r="CV104" s="204"/>
      <c r="CW104" s="204"/>
      <c r="CX104" s="204"/>
      <c r="CY104" s="204"/>
      <c r="CZ104" s="198"/>
      <c r="DA104" s="204"/>
      <c r="DB104" s="204"/>
      <c r="DC104" s="204"/>
      <c r="DD104" s="204"/>
      <c r="DE104" s="204"/>
      <c r="DF104" s="204"/>
      <c r="DG104" s="204"/>
      <c r="DH104" s="204"/>
      <c r="FC104" s="200" t="str">
        <f t="shared" si="9"/>
        <v>I</v>
      </c>
    </row>
    <row r="105" spans="1:159" s="202" customFormat="1" ht="24.75" hidden="1" customHeight="1" x14ac:dyDescent="0.2">
      <c r="A105" s="136"/>
      <c r="B105" s="145"/>
      <c r="C105" s="152"/>
      <c r="D105" s="36"/>
      <c r="E105" s="220"/>
      <c r="F105" s="221"/>
      <c r="G105" s="221"/>
      <c r="H105" s="222"/>
      <c r="I105" s="220"/>
      <c r="J105" s="223"/>
      <c r="K105" s="221"/>
      <c r="L105" s="224"/>
      <c r="M105" s="220"/>
      <c r="N105" s="221"/>
      <c r="O105" s="221"/>
      <c r="P105" s="222"/>
      <c r="Q105" s="225"/>
      <c r="R105" s="226"/>
      <c r="S105" s="226"/>
      <c r="T105" s="226"/>
      <c r="U105" s="225"/>
      <c r="V105" s="226"/>
      <c r="W105" s="226"/>
      <c r="X105" s="227"/>
      <c r="Y105" s="168">
        <f t="shared" si="8"/>
        <v>0</v>
      </c>
      <c r="Z105" s="168">
        <f t="shared" si="7"/>
        <v>0</v>
      </c>
      <c r="AA105" s="169"/>
      <c r="AB105" s="195"/>
      <c r="AC105" s="195"/>
      <c r="AD105" s="195"/>
      <c r="AE105" s="195"/>
      <c r="AF105" s="195"/>
      <c r="AG105" s="195"/>
      <c r="AH105" s="200"/>
      <c r="AP105" s="200"/>
      <c r="AQ105" s="200"/>
      <c r="AS105" s="200"/>
      <c r="AU105" s="200"/>
      <c r="AW105" s="200"/>
      <c r="AX105" s="200"/>
      <c r="AY105" s="170"/>
      <c r="AZ105" s="170"/>
      <c r="BA105" s="170"/>
      <c r="BB105" s="170"/>
      <c r="BC105" s="170"/>
      <c r="BD105" s="170"/>
      <c r="BE105" s="170"/>
      <c r="BF105" s="170"/>
      <c r="BG105" s="170"/>
      <c r="BH105" s="170"/>
      <c r="BI105" s="170"/>
      <c r="BJ105" s="170"/>
      <c r="BK105" s="170"/>
      <c r="BL105" s="170"/>
      <c r="BM105" s="170"/>
      <c r="BN105" s="170"/>
      <c r="BO105" s="170"/>
      <c r="BP105" s="170"/>
      <c r="BQ105" s="170"/>
      <c r="BR105" s="170"/>
      <c r="BS105" s="171"/>
      <c r="BT105" s="204"/>
      <c r="BU105" s="204"/>
      <c r="BV105" s="204"/>
      <c r="BW105" s="204"/>
      <c r="BX105" s="204"/>
      <c r="BY105" s="204"/>
      <c r="BZ105" s="204"/>
      <c r="CA105" s="204"/>
      <c r="CB105" s="204"/>
      <c r="CC105" s="204"/>
      <c r="CD105" s="204"/>
      <c r="CE105" s="204"/>
      <c r="CF105" s="204"/>
      <c r="CG105" s="204"/>
      <c r="CH105" s="204"/>
      <c r="CI105" s="204"/>
      <c r="CJ105" s="204"/>
      <c r="CK105" s="204"/>
      <c r="CL105" s="204"/>
      <c r="CM105" s="204"/>
      <c r="CN105" s="204"/>
      <c r="CO105" s="204"/>
      <c r="CP105" s="204"/>
      <c r="CQ105" s="204"/>
      <c r="CR105" s="204"/>
      <c r="CS105" s="204"/>
      <c r="CT105" s="204"/>
      <c r="CU105" s="204"/>
      <c r="CV105" s="204"/>
      <c r="CW105" s="204"/>
      <c r="CX105" s="204"/>
      <c r="CY105" s="204"/>
      <c r="CZ105" s="198"/>
      <c r="DA105" s="204"/>
      <c r="DB105" s="204"/>
      <c r="DC105" s="204"/>
      <c r="DD105" s="204"/>
      <c r="DE105" s="204"/>
      <c r="DF105" s="204"/>
      <c r="DG105" s="204"/>
      <c r="DH105" s="204"/>
      <c r="FC105" s="200" t="str">
        <f t="shared" si="9"/>
        <v>I</v>
      </c>
    </row>
    <row r="106" spans="1:159" s="202" customFormat="1" ht="24.75" hidden="1" customHeight="1" x14ac:dyDescent="0.2">
      <c r="A106" s="136"/>
      <c r="B106" s="145"/>
      <c r="C106" s="152"/>
      <c r="D106" s="36"/>
      <c r="E106" s="220"/>
      <c r="F106" s="221"/>
      <c r="G106" s="221"/>
      <c r="H106" s="222"/>
      <c r="I106" s="220"/>
      <c r="J106" s="223"/>
      <c r="K106" s="221"/>
      <c r="L106" s="224"/>
      <c r="M106" s="220"/>
      <c r="N106" s="221"/>
      <c r="O106" s="221"/>
      <c r="P106" s="222"/>
      <c r="Q106" s="225"/>
      <c r="R106" s="226"/>
      <c r="S106" s="226"/>
      <c r="T106" s="226"/>
      <c r="U106" s="225"/>
      <c r="V106" s="226"/>
      <c r="W106" s="226"/>
      <c r="X106" s="227"/>
      <c r="Y106" s="168">
        <f t="shared" si="8"/>
        <v>0</v>
      </c>
      <c r="Z106" s="168">
        <f t="shared" ref="Z106:Z140" si="10">IF(ISBLANK(X106),IF(ISBLANK(R106),IF(ISBLANK(N106),IF(ISBLANK(J106),IF(ISBLANK(F106),0,$F$142),$J$142),$N$142),$R$142),$X$142)</f>
        <v>0</v>
      </c>
      <c r="AA106" s="169"/>
      <c r="AB106" s="195"/>
      <c r="AC106" s="195"/>
      <c r="AD106" s="195"/>
      <c r="AE106" s="195"/>
      <c r="AF106" s="195"/>
      <c r="AG106" s="195"/>
      <c r="AH106" s="200"/>
      <c r="AP106" s="200"/>
      <c r="AQ106" s="200"/>
      <c r="AS106" s="200"/>
      <c r="AU106" s="200"/>
      <c r="AW106" s="200"/>
      <c r="AX106" s="200"/>
      <c r="AY106" s="170"/>
      <c r="AZ106" s="170"/>
      <c r="BA106" s="170"/>
      <c r="BB106" s="170"/>
      <c r="BC106" s="170"/>
      <c r="BD106" s="170"/>
      <c r="BE106" s="170"/>
      <c r="BF106" s="170"/>
      <c r="BG106" s="170"/>
      <c r="BH106" s="170"/>
      <c r="BI106" s="170"/>
      <c r="BJ106" s="170"/>
      <c r="BK106" s="170"/>
      <c r="BL106" s="170"/>
      <c r="BM106" s="170"/>
      <c r="BN106" s="170"/>
      <c r="BO106" s="170"/>
      <c r="BP106" s="170"/>
      <c r="BQ106" s="170"/>
      <c r="BR106" s="170"/>
      <c r="BS106" s="171"/>
      <c r="BT106" s="204"/>
      <c r="BU106" s="204"/>
      <c r="BV106" s="204"/>
      <c r="BW106" s="204"/>
      <c r="BX106" s="204"/>
      <c r="BY106" s="204"/>
      <c r="BZ106" s="204"/>
      <c r="CA106" s="204"/>
      <c r="CB106" s="204"/>
      <c r="CC106" s="204"/>
      <c r="CD106" s="204"/>
      <c r="CE106" s="204"/>
      <c r="CF106" s="204"/>
      <c r="CG106" s="204"/>
      <c r="CH106" s="204"/>
      <c r="CI106" s="204"/>
      <c r="CJ106" s="204"/>
      <c r="CK106" s="204"/>
      <c r="CL106" s="204"/>
      <c r="CM106" s="204"/>
      <c r="CN106" s="204"/>
      <c r="CO106" s="204"/>
      <c r="CP106" s="204"/>
      <c r="CQ106" s="204"/>
      <c r="CR106" s="204"/>
      <c r="CS106" s="204"/>
      <c r="CT106" s="204"/>
      <c r="CU106" s="204"/>
      <c r="CV106" s="204"/>
      <c r="CW106" s="204"/>
      <c r="CX106" s="204"/>
      <c r="CY106" s="204"/>
      <c r="CZ106" s="198"/>
      <c r="DA106" s="204"/>
      <c r="DB106" s="204"/>
      <c r="DC106" s="204"/>
      <c r="DD106" s="204"/>
      <c r="DE106" s="204"/>
      <c r="DF106" s="204"/>
      <c r="DG106" s="204"/>
      <c r="DH106" s="204"/>
      <c r="FC106" s="200" t="str">
        <f t="shared" si="9"/>
        <v>I</v>
      </c>
    </row>
    <row r="107" spans="1:159" s="202" customFormat="1" ht="24.75" hidden="1" customHeight="1" x14ac:dyDescent="0.2">
      <c r="A107" s="136"/>
      <c r="B107" s="145"/>
      <c r="C107" s="152"/>
      <c r="D107" s="36"/>
      <c r="E107" s="220"/>
      <c r="F107" s="221"/>
      <c r="G107" s="221"/>
      <c r="H107" s="222"/>
      <c r="I107" s="220"/>
      <c r="J107" s="223"/>
      <c r="K107" s="221"/>
      <c r="L107" s="224"/>
      <c r="M107" s="220"/>
      <c r="N107" s="221"/>
      <c r="O107" s="221"/>
      <c r="P107" s="222"/>
      <c r="Q107" s="225"/>
      <c r="R107" s="226"/>
      <c r="S107" s="226"/>
      <c r="T107" s="226"/>
      <c r="U107" s="225"/>
      <c r="V107" s="226"/>
      <c r="W107" s="226"/>
      <c r="X107" s="227"/>
      <c r="Y107" s="168">
        <f t="shared" si="8"/>
        <v>0</v>
      </c>
      <c r="Z107" s="168">
        <f t="shared" si="10"/>
        <v>0</v>
      </c>
      <c r="AA107" s="169"/>
      <c r="AB107" s="195"/>
      <c r="AC107" s="195"/>
      <c r="AD107" s="195"/>
      <c r="AE107" s="195"/>
      <c r="AF107" s="195"/>
      <c r="AG107" s="195"/>
      <c r="AH107" s="200"/>
      <c r="AP107" s="200"/>
      <c r="AQ107" s="200"/>
      <c r="AS107" s="200"/>
      <c r="AU107" s="200"/>
      <c r="AW107" s="200"/>
      <c r="AX107" s="200"/>
      <c r="AY107" s="170"/>
      <c r="AZ107" s="170"/>
      <c r="BA107" s="170"/>
      <c r="BB107" s="170"/>
      <c r="BC107" s="170"/>
      <c r="BD107" s="170"/>
      <c r="BE107" s="170"/>
      <c r="BF107" s="170"/>
      <c r="BG107" s="170"/>
      <c r="BH107" s="170"/>
      <c r="BI107" s="170"/>
      <c r="BJ107" s="170"/>
      <c r="BK107" s="170"/>
      <c r="BL107" s="170"/>
      <c r="BM107" s="170"/>
      <c r="BN107" s="170"/>
      <c r="BO107" s="170"/>
      <c r="BP107" s="170"/>
      <c r="BQ107" s="170"/>
      <c r="BR107" s="170"/>
      <c r="BS107" s="171"/>
      <c r="BT107" s="204"/>
      <c r="BU107" s="204"/>
      <c r="BV107" s="204"/>
      <c r="BW107" s="204"/>
      <c r="BX107" s="204"/>
      <c r="BY107" s="204"/>
      <c r="BZ107" s="204"/>
      <c r="CA107" s="204"/>
      <c r="CB107" s="204"/>
      <c r="CC107" s="204"/>
      <c r="CD107" s="204"/>
      <c r="CE107" s="204"/>
      <c r="CF107" s="204"/>
      <c r="CG107" s="204"/>
      <c r="CH107" s="204"/>
      <c r="CI107" s="204"/>
      <c r="CJ107" s="204"/>
      <c r="CK107" s="204"/>
      <c r="CL107" s="204"/>
      <c r="CM107" s="204"/>
      <c r="CN107" s="204"/>
      <c r="CO107" s="204"/>
      <c r="CP107" s="204"/>
      <c r="CQ107" s="204"/>
      <c r="CR107" s="204"/>
      <c r="CS107" s="204"/>
      <c r="CT107" s="204"/>
      <c r="CU107" s="204"/>
      <c r="CV107" s="204"/>
      <c r="CW107" s="204"/>
      <c r="CX107" s="204"/>
      <c r="CY107" s="204"/>
      <c r="CZ107" s="198"/>
      <c r="DA107" s="204"/>
      <c r="DB107" s="204"/>
      <c r="DC107" s="204"/>
      <c r="DD107" s="204"/>
      <c r="DE107" s="204"/>
      <c r="DF107" s="204"/>
      <c r="DG107" s="204"/>
      <c r="DH107" s="204"/>
      <c r="FC107" s="200" t="str">
        <f t="shared" si="9"/>
        <v>I</v>
      </c>
    </row>
    <row r="108" spans="1:159" s="202" customFormat="1" ht="24.75" hidden="1" customHeight="1" x14ac:dyDescent="0.2">
      <c r="A108" s="136"/>
      <c r="B108" s="145"/>
      <c r="C108" s="152"/>
      <c r="D108" s="36"/>
      <c r="E108" s="220"/>
      <c r="F108" s="221"/>
      <c r="G108" s="221"/>
      <c r="H108" s="222"/>
      <c r="I108" s="220"/>
      <c r="J108" s="223"/>
      <c r="K108" s="221"/>
      <c r="L108" s="224"/>
      <c r="M108" s="220"/>
      <c r="N108" s="221"/>
      <c r="O108" s="221"/>
      <c r="P108" s="222"/>
      <c r="Q108" s="225"/>
      <c r="R108" s="226"/>
      <c r="S108" s="226"/>
      <c r="T108" s="226"/>
      <c r="U108" s="225"/>
      <c r="V108" s="226"/>
      <c r="W108" s="226"/>
      <c r="X108" s="227"/>
      <c r="Y108" s="168">
        <f t="shared" ref="Y108:Y140" si="11">IF(ISBLANK(U108),IF(ISBLANK(Q108),IF(ISBLANK(M108),IF(ISBLANK(I108),IF(ISBLANK(E108),0,$E$142),$I$142),$M$142),$Q$142),$U$142)</f>
        <v>0</v>
      </c>
      <c r="Z108" s="168">
        <f t="shared" si="10"/>
        <v>0</v>
      </c>
      <c r="AA108" s="169"/>
      <c r="AB108" s="195"/>
      <c r="AC108" s="195"/>
      <c r="AD108" s="195"/>
      <c r="AE108" s="195"/>
      <c r="AF108" s="195"/>
      <c r="AG108" s="195"/>
      <c r="AH108" s="200"/>
      <c r="AP108" s="200"/>
      <c r="AQ108" s="200"/>
      <c r="AS108" s="200"/>
      <c r="AU108" s="200"/>
      <c r="AW108" s="200"/>
      <c r="AX108" s="200"/>
      <c r="AY108" s="170"/>
      <c r="AZ108" s="170"/>
      <c r="BA108" s="170"/>
      <c r="BB108" s="170"/>
      <c r="BC108" s="170"/>
      <c r="BD108" s="170"/>
      <c r="BE108" s="170"/>
      <c r="BF108" s="170"/>
      <c r="BG108" s="170"/>
      <c r="BH108" s="170"/>
      <c r="BI108" s="170"/>
      <c r="BJ108" s="170"/>
      <c r="BK108" s="170"/>
      <c r="BL108" s="170"/>
      <c r="BM108" s="170"/>
      <c r="BN108" s="170"/>
      <c r="BO108" s="170"/>
      <c r="BP108" s="170"/>
      <c r="BQ108" s="170"/>
      <c r="BR108" s="170"/>
      <c r="BS108" s="171"/>
      <c r="BT108" s="204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  <c r="CK108" s="204"/>
      <c r="CL108" s="204"/>
      <c r="CM108" s="204"/>
      <c r="CN108" s="204"/>
      <c r="CO108" s="204"/>
      <c r="CP108" s="204"/>
      <c r="CQ108" s="204"/>
      <c r="CR108" s="204"/>
      <c r="CS108" s="204"/>
      <c r="CT108" s="204"/>
      <c r="CU108" s="204"/>
      <c r="CV108" s="204"/>
      <c r="CW108" s="204"/>
      <c r="CX108" s="204"/>
      <c r="CY108" s="204"/>
      <c r="CZ108" s="198"/>
      <c r="DA108" s="204"/>
      <c r="DB108" s="204"/>
      <c r="DC108" s="204"/>
      <c r="DD108" s="204"/>
      <c r="DE108" s="204"/>
      <c r="DF108" s="204"/>
      <c r="DG108" s="204"/>
      <c r="DH108" s="204"/>
      <c r="FC108" s="200" t="str">
        <f t="shared" si="9"/>
        <v>I</v>
      </c>
    </row>
    <row r="109" spans="1:159" s="202" customFormat="1" ht="24.75" hidden="1" customHeight="1" x14ac:dyDescent="0.2">
      <c r="A109" s="136"/>
      <c r="B109" s="145"/>
      <c r="C109" s="152"/>
      <c r="D109" s="36"/>
      <c r="E109" s="220"/>
      <c r="F109" s="221"/>
      <c r="G109" s="221"/>
      <c r="H109" s="222"/>
      <c r="I109" s="220"/>
      <c r="J109" s="223"/>
      <c r="K109" s="221"/>
      <c r="L109" s="224"/>
      <c r="M109" s="220"/>
      <c r="N109" s="221"/>
      <c r="O109" s="221"/>
      <c r="P109" s="222"/>
      <c r="Q109" s="225"/>
      <c r="R109" s="226"/>
      <c r="S109" s="226"/>
      <c r="T109" s="226"/>
      <c r="U109" s="225"/>
      <c r="V109" s="226"/>
      <c r="W109" s="226"/>
      <c r="X109" s="227"/>
      <c r="Y109" s="168">
        <f t="shared" si="11"/>
        <v>0</v>
      </c>
      <c r="Z109" s="168">
        <f t="shared" si="10"/>
        <v>0</v>
      </c>
      <c r="AA109" s="169"/>
      <c r="AB109" s="195"/>
      <c r="AC109" s="195"/>
      <c r="AD109" s="195"/>
      <c r="AE109" s="195"/>
      <c r="AF109" s="195"/>
      <c r="AG109" s="195"/>
      <c r="AH109" s="200"/>
      <c r="AP109" s="200"/>
      <c r="AQ109" s="200"/>
      <c r="AS109" s="200"/>
      <c r="AU109" s="200"/>
      <c r="AW109" s="200"/>
      <c r="AX109" s="200"/>
      <c r="AY109" s="170"/>
      <c r="AZ109" s="170"/>
      <c r="BA109" s="170"/>
      <c r="BB109" s="170"/>
      <c r="BC109" s="170"/>
      <c r="BD109" s="170"/>
      <c r="BE109" s="170"/>
      <c r="BF109" s="170"/>
      <c r="BG109" s="170"/>
      <c r="BH109" s="170"/>
      <c r="BI109" s="170"/>
      <c r="BJ109" s="170"/>
      <c r="BK109" s="170"/>
      <c r="BL109" s="170"/>
      <c r="BM109" s="170"/>
      <c r="BN109" s="170"/>
      <c r="BO109" s="170"/>
      <c r="BP109" s="170"/>
      <c r="BQ109" s="170"/>
      <c r="BR109" s="170"/>
      <c r="BS109" s="171"/>
      <c r="BT109" s="204"/>
      <c r="BU109" s="204"/>
      <c r="BV109" s="204"/>
      <c r="BW109" s="204"/>
      <c r="BX109" s="204"/>
      <c r="BY109" s="204"/>
      <c r="BZ109" s="204"/>
      <c r="CA109" s="204"/>
      <c r="CB109" s="204"/>
      <c r="CC109" s="204"/>
      <c r="CD109" s="204"/>
      <c r="CE109" s="204"/>
      <c r="CF109" s="204"/>
      <c r="CG109" s="204"/>
      <c r="CH109" s="204"/>
      <c r="CI109" s="204"/>
      <c r="CJ109" s="204"/>
      <c r="CK109" s="204"/>
      <c r="CL109" s="204"/>
      <c r="CM109" s="204"/>
      <c r="CN109" s="204"/>
      <c r="CO109" s="204"/>
      <c r="CP109" s="204"/>
      <c r="CQ109" s="204"/>
      <c r="CR109" s="204"/>
      <c r="CS109" s="204"/>
      <c r="CT109" s="204"/>
      <c r="CU109" s="204"/>
      <c r="CV109" s="204"/>
      <c r="CW109" s="204"/>
      <c r="CX109" s="204"/>
      <c r="CY109" s="204"/>
      <c r="CZ109" s="198"/>
      <c r="DA109" s="204"/>
      <c r="DB109" s="204"/>
      <c r="DC109" s="204"/>
      <c r="DD109" s="204"/>
      <c r="DE109" s="204"/>
      <c r="DF109" s="204"/>
      <c r="DG109" s="204"/>
      <c r="DH109" s="204"/>
      <c r="FC109" s="200" t="str">
        <f t="shared" si="9"/>
        <v>I</v>
      </c>
    </row>
    <row r="110" spans="1:159" s="202" customFormat="1" ht="24.75" hidden="1" customHeight="1" x14ac:dyDescent="0.2">
      <c r="A110" s="136"/>
      <c r="B110" s="145"/>
      <c r="C110" s="152"/>
      <c r="D110" s="36"/>
      <c r="E110" s="220"/>
      <c r="F110" s="221"/>
      <c r="G110" s="221"/>
      <c r="H110" s="222"/>
      <c r="I110" s="220"/>
      <c r="J110" s="223"/>
      <c r="K110" s="221"/>
      <c r="L110" s="224"/>
      <c r="M110" s="220"/>
      <c r="N110" s="221"/>
      <c r="O110" s="221"/>
      <c r="P110" s="222"/>
      <c r="Q110" s="225"/>
      <c r="R110" s="226"/>
      <c r="S110" s="226"/>
      <c r="T110" s="226"/>
      <c r="U110" s="225"/>
      <c r="V110" s="226"/>
      <c r="W110" s="226"/>
      <c r="X110" s="227"/>
      <c r="Y110" s="168">
        <f t="shared" si="11"/>
        <v>0</v>
      </c>
      <c r="Z110" s="168">
        <f t="shared" si="10"/>
        <v>0</v>
      </c>
      <c r="AA110" s="169"/>
      <c r="AB110" s="195"/>
      <c r="AC110" s="195"/>
      <c r="AD110" s="195"/>
      <c r="AE110" s="195"/>
      <c r="AF110" s="195"/>
      <c r="AG110" s="195"/>
      <c r="AH110" s="200"/>
      <c r="AP110" s="200"/>
      <c r="AQ110" s="200"/>
      <c r="AS110" s="200"/>
      <c r="AU110" s="200"/>
      <c r="AW110" s="200"/>
      <c r="AX110" s="200"/>
      <c r="AY110" s="170"/>
      <c r="AZ110" s="170"/>
      <c r="BA110" s="170"/>
      <c r="BB110" s="170"/>
      <c r="BC110" s="170"/>
      <c r="BD110" s="170"/>
      <c r="BE110" s="170"/>
      <c r="BF110" s="170"/>
      <c r="BG110" s="170"/>
      <c r="BH110" s="170"/>
      <c r="BI110" s="170"/>
      <c r="BJ110" s="170"/>
      <c r="BK110" s="170"/>
      <c r="BL110" s="170"/>
      <c r="BM110" s="170"/>
      <c r="BN110" s="170"/>
      <c r="BO110" s="170"/>
      <c r="BP110" s="170"/>
      <c r="BQ110" s="170"/>
      <c r="BR110" s="170"/>
      <c r="BS110" s="171"/>
      <c r="BT110" s="204"/>
      <c r="BU110" s="204"/>
      <c r="BV110" s="204"/>
      <c r="BW110" s="204"/>
      <c r="BX110" s="204"/>
      <c r="BY110" s="204"/>
      <c r="BZ110" s="204"/>
      <c r="CA110" s="204"/>
      <c r="CB110" s="204"/>
      <c r="CC110" s="204"/>
      <c r="CD110" s="204"/>
      <c r="CE110" s="204"/>
      <c r="CF110" s="204"/>
      <c r="CG110" s="204"/>
      <c r="CH110" s="204"/>
      <c r="CI110" s="204"/>
      <c r="CJ110" s="204"/>
      <c r="CK110" s="204"/>
      <c r="CL110" s="204"/>
      <c r="CM110" s="204"/>
      <c r="CN110" s="204"/>
      <c r="CO110" s="204"/>
      <c r="CP110" s="204"/>
      <c r="CQ110" s="204"/>
      <c r="CR110" s="204"/>
      <c r="CS110" s="204"/>
      <c r="CT110" s="204"/>
      <c r="CU110" s="204"/>
      <c r="CV110" s="204"/>
      <c r="CW110" s="204"/>
      <c r="CX110" s="204"/>
      <c r="CY110" s="204"/>
      <c r="CZ110" s="198"/>
      <c r="DA110" s="204"/>
      <c r="DB110" s="204"/>
      <c r="DC110" s="204"/>
      <c r="DD110" s="204"/>
      <c r="DE110" s="204"/>
      <c r="DF110" s="204"/>
      <c r="DG110" s="204"/>
      <c r="DH110" s="204"/>
      <c r="FC110" s="200" t="str">
        <f t="shared" si="9"/>
        <v>I</v>
      </c>
    </row>
    <row r="111" spans="1:159" s="202" customFormat="1" ht="24.75" hidden="1" customHeight="1" x14ac:dyDescent="0.2">
      <c r="A111" s="136"/>
      <c r="B111" s="145"/>
      <c r="C111" s="152"/>
      <c r="D111" s="36"/>
      <c r="E111" s="220"/>
      <c r="F111" s="221"/>
      <c r="G111" s="221"/>
      <c r="H111" s="222"/>
      <c r="I111" s="220"/>
      <c r="J111" s="223"/>
      <c r="K111" s="221"/>
      <c r="L111" s="224"/>
      <c r="M111" s="220"/>
      <c r="N111" s="221"/>
      <c r="O111" s="221"/>
      <c r="P111" s="222"/>
      <c r="Q111" s="225"/>
      <c r="R111" s="226"/>
      <c r="S111" s="226"/>
      <c r="T111" s="226"/>
      <c r="U111" s="225"/>
      <c r="V111" s="226"/>
      <c r="W111" s="226"/>
      <c r="X111" s="227"/>
      <c r="Y111" s="168">
        <f t="shared" si="11"/>
        <v>0</v>
      </c>
      <c r="Z111" s="168">
        <f t="shared" si="10"/>
        <v>0</v>
      </c>
      <c r="AA111" s="169"/>
      <c r="AB111" s="195"/>
      <c r="AC111" s="195"/>
      <c r="AD111" s="195"/>
      <c r="AE111" s="195"/>
      <c r="AF111" s="195"/>
      <c r="AG111" s="195"/>
      <c r="AH111" s="200"/>
      <c r="AP111" s="200"/>
      <c r="AQ111" s="200"/>
      <c r="AS111" s="200"/>
      <c r="AU111" s="200"/>
      <c r="AW111" s="200"/>
      <c r="AX111" s="200"/>
      <c r="AY111" s="170"/>
      <c r="AZ111" s="170"/>
      <c r="BA111" s="170"/>
      <c r="BB111" s="170"/>
      <c r="BC111" s="170"/>
      <c r="BD111" s="170"/>
      <c r="BE111" s="170"/>
      <c r="BF111" s="170"/>
      <c r="BG111" s="170"/>
      <c r="BH111" s="170"/>
      <c r="BI111" s="170"/>
      <c r="BJ111" s="170"/>
      <c r="BK111" s="170"/>
      <c r="BL111" s="170"/>
      <c r="BM111" s="170"/>
      <c r="BN111" s="170"/>
      <c r="BO111" s="170"/>
      <c r="BP111" s="170"/>
      <c r="BQ111" s="170"/>
      <c r="BR111" s="170"/>
      <c r="BS111" s="171"/>
      <c r="BT111" s="204"/>
      <c r="BU111" s="204"/>
      <c r="BV111" s="204"/>
      <c r="BW111" s="204"/>
      <c r="BX111" s="204"/>
      <c r="BY111" s="204"/>
      <c r="BZ111" s="204"/>
      <c r="CA111" s="204"/>
      <c r="CB111" s="204"/>
      <c r="CC111" s="204"/>
      <c r="CD111" s="204"/>
      <c r="CE111" s="204"/>
      <c r="CF111" s="204"/>
      <c r="CG111" s="204"/>
      <c r="CH111" s="204"/>
      <c r="CI111" s="204"/>
      <c r="CJ111" s="204"/>
      <c r="CK111" s="204"/>
      <c r="CL111" s="204"/>
      <c r="CM111" s="204"/>
      <c r="CN111" s="204"/>
      <c r="CO111" s="204"/>
      <c r="CP111" s="204"/>
      <c r="CQ111" s="204"/>
      <c r="CR111" s="204"/>
      <c r="CS111" s="204"/>
      <c r="CT111" s="204"/>
      <c r="CU111" s="204"/>
      <c r="CV111" s="204"/>
      <c r="CW111" s="204"/>
      <c r="CX111" s="204"/>
      <c r="CY111" s="204"/>
      <c r="CZ111" s="198"/>
      <c r="DA111" s="204"/>
      <c r="DB111" s="204"/>
      <c r="DC111" s="204"/>
      <c r="DD111" s="204"/>
      <c r="DE111" s="204"/>
      <c r="DF111" s="204"/>
      <c r="DG111" s="204"/>
      <c r="DH111" s="204"/>
      <c r="FC111" s="200" t="str">
        <f t="shared" si="9"/>
        <v>I</v>
      </c>
    </row>
    <row r="112" spans="1:159" s="202" customFormat="1" ht="24.75" hidden="1" customHeight="1" x14ac:dyDescent="0.2">
      <c r="A112" s="136"/>
      <c r="B112" s="145"/>
      <c r="C112" s="152"/>
      <c r="D112" s="36"/>
      <c r="E112" s="220"/>
      <c r="F112" s="221"/>
      <c r="G112" s="221"/>
      <c r="H112" s="222"/>
      <c r="I112" s="220"/>
      <c r="J112" s="223"/>
      <c r="K112" s="221"/>
      <c r="L112" s="224"/>
      <c r="M112" s="220"/>
      <c r="N112" s="221"/>
      <c r="O112" s="221"/>
      <c r="P112" s="222"/>
      <c r="Q112" s="225"/>
      <c r="R112" s="226"/>
      <c r="S112" s="226"/>
      <c r="T112" s="226"/>
      <c r="U112" s="225"/>
      <c r="V112" s="226"/>
      <c r="W112" s="226"/>
      <c r="X112" s="227"/>
      <c r="Y112" s="168">
        <f t="shared" si="11"/>
        <v>0</v>
      </c>
      <c r="Z112" s="168">
        <f t="shared" si="10"/>
        <v>0</v>
      </c>
      <c r="AA112" s="169"/>
      <c r="AB112" s="195"/>
      <c r="AC112" s="195"/>
      <c r="AD112" s="195"/>
      <c r="AE112" s="195"/>
      <c r="AF112" s="195"/>
      <c r="AG112" s="195"/>
      <c r="AH112" s="200"/>
      <c r="AP112" s="200"/>
      <c r="AQ112" s="200"/>
      <c r="AS112" s="200"/>
      <c r="AU112" s="200"/>
      <c r="AW112" s="200"/>
      <c r="AX112" s="200"/>
      <c r="AY112" s="170"/>
      <c r="AZ112" s="170"/>
      <c r="BA112" s="170"/>
      <c r="BB112" s="170"/>
      <c r="BC112" s="170"/>
      <c r="BD112" s="170"/>
      <c r="BE112" s="170"/>
      <c r="BF112" s="170"/>
      <c r="BG112" s="170"/>
      <c r="BH112" s="170"/>
      <c r="BI112" s="170"/>
      <c r="BJ112" s="170"/>
      <c r="BK112" s="170"/>
      <c r="BL112" s="170"/>
      <c r="BM112" s="170"/>
      <c r="BN112" s="170"/>
      <c r="BO112" s="170"/>
      <c r="BP112" s="170"/>
      <c r="BQ112" s="170"/>
      <c r="BR112" s="170"/>
      <c r="BS112" s="171"/>
      <c r="BT112" s="204"/>
      <c r="BU112" s="204"/>
      <c r="BV112" s="204"/>
      <c r="BW112" s="204"/>
      <c r="BX112" s="204"/>
      <c r="BY112" s="204"/>
      <c r="BZ112" s="204"/>
      <c r="CA112" s="204"/>
      <c r="CB112" s="204"/>
      <c r="CC112" s="204"/>
      <c r="CD112" s="204"/>
      <c r="CE112" s="204"/>
      <c r="CF112" s="204"/>
      <c r="CG112" s="204"/>
      <c r="CH112" s="204"/>
      <c r="CI112" s="204"/>
      <c r="CJ112" s="204"/>
      <c r="CK112" s="204"/>
      <c r="CL112" s="204"/>
      <c r="CM112" s="204"/>
      <c r="CN112" s="204"/>
      <c r="CO112" s="204"/>
      <c r="CP112" s="204"/>
      <c r="CQ112" s="204"/>
      <c r="CR112" s="204"/>
      <c r="CS112" s="204"/>
      <c r="CT112" s="204"/>
      <c r="CU112" s="204"/>
      <c r="CV112" s="204"/>
      <c r="CW112" s="204"/>
      <c r="CX112" s="204"/>
      <c r="CY112" s="204"/>
      <c r="CZ112" s="198"/>
      <c r="DA112" s="204"/>
      <c r="DB112" s="204"/>
      <c r="DC112" s="204"/>
      <c r="DD112" s="204"/>
      <c r="DE112" s="204"/>
      <c r="DF112" s="204"/>
      <c r="DG112" s="204"/>
      <c r="DH112" s="204"/>
      <c r="FC112" s="200" t="str">
        <f t="shared" si="9"/>
        <v>I</v>
      </c>
    </row>
    <row r="113" spans="1:159" s="202" customFormat="1" ht="24.75" hidden="1" customHeight="1" x14ac:dyDescent="0.2">
      <c r="A113" s="136"/>
      <c r="B113" s="145"/>
      <c r="C113" s="152"/>
      <c r="D113" s="36"/>
      <c r="E113" s="220"/>
      <c r="F113" s="221"/>
      <c r="G113" s="221"/>
      <c r="H113" s="222"/>
      <c r="I113" s="220"/>
      <c r="J113" s="223"/>
      <c r="K113" s="221"/>
      <c r="L113" s="224"/>
      <c r="M113" s="220"/>
      <c r="N113" s="221"/>
      <c r="O113" s="221"/>
      <c r="P113" s="222"/>
      <c r="Q113" s="225"/>
      <c r="R113" s="226"/>
      <c r="S113" s="226"/>
      <c r="T113" s="226"/>
      <c r="U113" s="225"/>
      <c r="V113" s="226"/>
      <c r="W113" s="226"/>
      <c r="X113" s="220"/>
      <c r="Y113" s="168">
        <f t="shared" si="11"/>
        <v>0</v>
      </c>
      <c r="Z113" s="168">
        <f t="shared" si="10"/>
        <v>0</v>
      </c>
      <c r="AA113" s="169"/>
      <c r="AB113" s="195"/>
      <c r="AC113" s="195"/>
      <c r="AD113" s="195"/>
      <c r="AE113" s="195"/>
      <c r="AF113" s="195"/>
      <c r="AG113" s="195"/>
      <c r="AH113" s="200"/>
      <c r="AP113" s="200"/>
      <c r="AQ113" s="200"/>
      <c r="AS113" s="200"/>
      <c r="AU113" s="200"/>
      <c r="AW113" s="200"/>
      <c r="AX113" s="200"/>
      <c r="AY113" s="170"/>
      <c r="AZ113" s="170"/>
      <c r="BA113" s="170"/>
      <c r="BB113" s="170"/>
      <c r="BC113" s="170"/>
      <c r="BD113" s="170"/>
      <c r="BE113" s="170"/>
      <c r="BF113" s="170"/>
      <c r="BG113" s="170"/>
      <c r="BH113" s="170"/>
      <c r="BI113" s="170"/>
      <c r="BJ113" s="170"/>
      <c r="BK113" s="170"/>
      <c r="BL113" s="170"/>
      <c r="BM113" s="170"/>
      <c r="BN113" s="170"/>
      <c r="BO113" s="170"/>
      <c r="BP113" s="170"/>
      <c r="BQ113" s="170"/>
      <c r="BR113" s="170"/>
      <c r="BS113" s="171"/>
      <c r="BT113" s="204"/>
      <c r="BU113" s="204"/>
      <c r="BV113" s="204"/>
      <c r="BW113" s="204"/>
      <c r="BX113" s="204"/>
      <c r="BY113" s="204"/>
      <c r="BZ113" s="204"/>
      <c r="CA113" s="204"/>
      <c r="CB113" s="204"/>
      <c r="CC113" s="204"/>
      <c r="CD113" s="204"/>
      <c r="CE113" s="204"/>
      <c r="CF113" s="204"/>
      <c r="CG113" s="204"/>
      <c r="CH113" s="204"/>
      <c r="CI113" s="204"/>
      <c r="CJ113" s="204"/>
      <c r="CK113" s="204"/>
      <c r="CL113" s="204"/>
      <c r="CM113" s="204"/>
      <c r="CN113" s="204"/>
      <c r="CO113" s="204"/>
      <c r="CP113" s="204"/>
      <c r="CQ113" s="204"/>
      <c r="CR113" s="204"/>
      <c r="CS113" s="204"/>
      <c r="CT113" s="204"/>
      <c r="CU113" s="204"/>
      <c r="CV113" s="204"/>
      <c r="CW113" s="204"/>
      <c r="CX113" s="204"/>
      <c r="CY113" s="204"/>
      <c r="CZ113" s="198"/>
      <c r="DA113" s="204"/>
      <c r="DB113" s="204"/>
      <c r="DC113" s="204"/>
      <c r="DD113" s="204"/>
      <c r="DE113" s="204"/>
      <c r="DF113" s="204"/>
      <c r="DG113" s="204"/>
      <c r="DH113" s="204"/>
      <c r="FC113" s="200" t="str">
        <f t="shared" si="9"/>
        <v>I</v>
      </c>
    </row>
    <row r="114" spans="1:159" s="202" customFormat="1" ht="24.75" hidden="1" customHeight="1" x14ac:dyDescent="0.2">
      <c r="A114" s="136"/>
      <c r="B114" s="145"/>
      <c r="C114" s="152"/>
      <c r="D114" s="36"/>
      <c r="E114" s="220"/>
      <c r="F114" s="221"/>
      <c r="G114" s="221"/>
      <c r="H114" s="222"/>
      <c r="I114" s="220"/>
      <c r="J114" s="223"/>
      <c r="K114" s="221"/>
      <c r="L114" s="224"/>
      <c r="M114" s="220"/>
      <c r="N114" s="221"/>
      <c r="O114" s="221"/>
      <c r="P114" s="222"/>
      <c r="Q114" s="225"/>
      <c r="R114" s="226"/>
      <c r="S114" s="226"/>
      <c r="T114" s="226"/>
      <c r="U114" s="225"/>
      <c r="V114" s="226"/>
      <c r="W114" s="226"/>
      <c r="X114" s="220"/>
      <c r="Y114" s="168">
        <f t="shared" si="11"/>
        <v>0</v>
      </c>
      <c r="Z114" s="168">
        <f t="shared" si="10"/>
        <v>0</v>
      </c>
      <c r="AA114" s="169"/>
      <c r="AB114" s="195"/>
      <c r="AC114" s="195"/>
      <c r="AD114" s="195"/>
      <c r="AE114" s="203"/>
      <c r="AF114" s="203"/>
      <c r="AG114" s="195"/>
      <c r="AH114" s="200"/>
      <c r="AP114" s="200"/>
      <c r="AQ114" s="200"/>
      <c r="AS114" s="200"/>
      <c r="AU114" s="200"/>
      <c r="AW114" s="200"/>
      <c r="AX114" s="200"/>
      <c r="AY114" s="170"/>
      <c r="AZ114" s="170"/>
      <c r="BA114" s="170"/>
      <c r="BB114" s="170"/>
      <c r="BC114" s="170"/>
      <c r="BD114" s="170"/>
      <c r="BE114" s="170"/>
      <c r="BF114" s="170"/>
      <c r="BG114" s="170"/>
      <c r="BH114" s="170"/>
      <c r="BI114" s="170"/>
      <c r="BJ114" s="170"/>
      <c r="BK114" s="170"/>
      <c r="BL114" s="170"/>
      <c r="BM114" s="170"/>
      <c r="BN114" s="170"/>
      <c r="BO114" s="170"/>
      <c r="BP114" s="170"/>
      <c r="BQ114" s="170"/>
      <c r="BR114" s="170"/>
      <c r="BS114" s="171"/>
      <c r="BT114" s="204"/>
      <c r="BU114" s="204"/>
      <c r="BV114" s="204"/>
      <c r="BW114" s="204"/>
      <c r="BX114" s="204"/>
      <c r="BY114" s="204"/>
      <c r="BZ114" s="204"/>
      <c r="CA114" s="204"/>
      <c r="CB114" s="204"/>
      <c r="CC114" s="204"/>
      <c r="CD114" s="204"/>
      <c r="CE114" s="204"/>
      <c r="CF114" s="204"/>
      <c r="CG114" s="204"/>
      <c r="CH114" s="204"/>
      <c r="CI114" s="204"/>
      <c r="CJ114" s="204"/>
      <c r="CK114" s="204"/>
      <c r="CL114" s="204"/>
      <c r="CM114" s="204"/>
      <c r="CN114" s="204"/>
      <c r="CO114" s="204"/>
      <c r="CP114" s="204"/>
      <c r="CQ114" s="204"/>
      <c r="CR114" s="204"/>
      <c r="CS114" s="204"/>
      <c r="CT114" s="204"/>
      <c r="CU114" s="204"/>
      <c r="CV114" s="204"/>
      <c r="CW114" s="204"/>
      <c r="CX114" s="204"/>
      <c r="CY114" s="204"/>
      <c r="CZ114" s="198"/>
      <c r="DA114" s="204"/>
      <c r="DB114" s="204"/>
      <c r="DC114" s="204"/>
      <c r="DD114" s="204"/>
      <c r="DE114" s="204"/>
      <c r="DF114" s="204"/>
      <c r="DG114" s="204"/>
      <c r="DH114" s="204"/>
      <c r="FC114" s="200" t="str">
        <f t="shared" si="9"/>
        <v>I</v>
      </c>
    </row>
    <row r="115" spans="1:159" s="202" customFormat="1" ht="24.75" hidden="1" customHeight="1" x14ac:dyDescent="0.2">
      <c r="A115" s="136"/>
      <c r="B115" s="145"/>
      <c r="C115" s="151"/>
      <c r="D115" s="33"/>
      <c r="E115" s="220"/>
      <c r="F115" s="221"/>
      <c r="G115" s="221"/>
      <c r="H115" s="222"/>
      <c r="I115" s="220"/>
      <c r="J115" s="223"/>
      <c r="K115" s="221"/>
      <c r="L115" s="224"/>
      <c r="M115" s="220"/>
      <c r="N115" s="221"/>
      <c r="O115" s="221"/>
      <c r="P115" s="222"/>
      <c r="Q115" s="225"/>
      <c r="R115" s="226"/>
      <c r="S115" s="226"/>
      <c r="T115" s="226"/>
      <c r="U115" s="225"/>
      <c r="V115" s="226"/>
      <c r="W115" s="226"/>
      <c r="X115" s="227"/>
      <c r="Y115" s="168">
        <f t="shared" si="11"/>
        <v>0</v>
      </c>
      <c r="Z115" s="168">
        <f t="shared" si="10"/>
        <v>0</v>
      </c>
      <c r="AA115" s="169"/>
      <c r="AB115" s="195"/>
      <c r="AC115" s="195"/>
      <c r="AD115" s="195"/>
      <c r="AE115" s="203"/>
      <c r="AF115" s="203"/>
      <c r="AG115" s="195"/>
      <c r="AH115" s="200"/>
      <c r="AP115" s="200"/>
      <c r="AQ115" s="200"/>
      <c r="AS115" s="200"/>
      <c r="AU115" s="200"/>
      <c r="AW115" s="200"/>
      <c r="AX115" s="200"/>
      <c r="AY115" s="170"/>
      <c r="AZ115" s="170"/>
      <c r="BA115" s="170"/>
      <c r="BB115" s="170"/>
      <c r="BC115" s="170"/>
      <c r="BD115" s="170"/>
      <c r="BE115" s="170"/>
      <c r="BF115" s="170"/>
      <c r="BG115" s="170"/>
      <c r="BH115" s="170"/>
      <c r="BI115" s="170"/>
      <c r="BJ115" s="170"/>
      <c r="BK115" s="170"/>
      <c r="BL115" s="170"/>
      <c r="BM115" s="170"/>
      <c r="BN115" s="170"/>
      <c r="BO115" s="170"/>
      <c r="BP115" s="170"/>
      <c r="BQ115" s="170"/>
      <c r="BR115" s="170"/>
      <c r="BS115" s="171"/>
      <c r="BT115" s="204"/>
      <c r="BU115" s="204"/>
      <c r="BV115" s="204"/>
      <c r="BW115" s="204"/>
      <c r="BX115" s="204"/>
      <c r="BY115" s="204"/>
      <c r="BZ115" s="204"/>
      <c r="CA115" s="204"/>
      <c r="CB115" s="204"/>
      <c r="CC115" s="204"/>
      <c r="CD115" s="204"/>
      <c r="CE115" s="204"/>
      <c r="CF115" s="204"/>
      <c r="CG115" s="204"/>
      <c r="CH115" s="204"/>
      <c r="CI115" s="204"/>
      <c r="CJ115" s="204"/>
      <c r="CK115" s="204"/>
      <c r="CL115" s="204"/>
      <c r="CM115" s="204"/>
      <c r="CN115" s="204"/>
      <c r="CO115" s="204"/>
      <c r="CP115" s="204"/>
      <c r="CQ115" s="204"/>
      <c r="CR115" s="204"/>
      <c r="CS115" s="204"/>
      <c r="CT115" s="204"/>
      <c r="CU115" s="204"/>
      <c r="CV115" s="204"/>
      <c r="CW115" s="204"/>
      <c r="CX115" s="204"/>
      <c r="CY115" s="204"/>
      <c r="CZ115" s="198"/>
      <c r="DA115" s="204"/>
      <c r="DB115" s="204"/>
      <c r="DC115" s="204"/>
      <c r="DD115" s="204"/>
      <c r="DE115" s="204"/>
      <c r="DF115" s="204"/>
      <c r="DG115" s="204"/>
      <c r="DH115" s="204"/>
      <c r="FC115" s="200" t="str">
        <f t="shared" si="9"/>
        <v>I</v>
      </c>
    </row>
    <row r="116" spans="1:159" s="202" customFormat="1" ht="24.75" hidden="1" customHeight="1" x14ac:dyDescent="0.2">
      <c r="A116" s="136"/>
      <c r="B116" s="145"/>
      <c r="C116" s="151"/>
      <c r="D116" s="33"/>
      <c r="E116" s="220"/>
      <c r="F116" s="221"/>
      <c r="G116" s="221"/>
      <c r="H116" s="222"/>
      <c r="I116" s="220"/>
      <c r="J116" s="223"/>
      <c r="K116" s="221"/>
      <c r="L116" s="224"/>
      <c r="M116" s="220"/>
      <c r="N116" s="221"/>
      <c r="O116" s="221"/>
      <c r="P116" s="222"/>
      <c r="Q116" s="225"/>
      <c r="R116" s="226"/>
      <c r="S116" s="226"/>
      <c r="T116" s="226"/>
      <c r="U116" s="225"/>
      <c r="V116" s="226"/>
      <c r="W116" s="226"/>
      <c r="X116" s="227"/>
      <c r="Y116" s="168">
        <f t="shared" si="11"/>
        <v>0</v>
      </c>
      <c r="Z116" s="168">
        <f t="shared" si="10"/>
        <v>0</v>
      </c>
      <c r="AA116" s="169"/>
      <c r="AB116" s="195"/>
      <c r="AC116" s="195"/>
      <c r="AD116" s="195"/>
      <c r="AE116" s="203"/>
      <c r="AF116" s="203"/>
      <c r="AG116" s="195"/>
      <c r="AH116" s="200"/>
      <c r="AP116" s="200"/>
      <c r="AQ116" s="200"/>
      <c r="AS116" s="200"/>
      <c r="AU116" s="200"/>
      <c r="AW116" s="200"/>
      <c r="AX116" s="200"/>
      <c r="AY116" s="170"/>
      <c r="AZ116" s="170"/>
      <c r="BA116" s="170"/>
      <c r="BB116" s="170"/>
      <c r="BC116" s="170"/>
      <c r="BD116" s="170"/>
      <c r="BE116" s="170"/>
      <c r="BF116" s="170"/>
      <c r="BG116" s="170"/>
      <c r="BH116" s="170"/>
      <c r="BI116" s="170"/>
      <c r="BJ116" s="170"/>
      <c r="BK116" s="170"/>
      <c r="BL116" s="170"/>
      <c r="BM116" s="170"/>
      <c r="BN116" s="170"/>
      <c r="BO116" s="170"/>
      <c r="BP116" s="170"/>
      <c r="BQ116" s="170"/>
      <c r="BR116" s="170"/>
      <c r="BS116" s="171"/>
      <c r="BT116" s="204"/>
      <c r="BU116" s="204"/>
      <c r="BV116" s="204"/>
      <c r="BW116" s="204"/>
      <c r="BX116" s="204"/>
      <c r="BY116" s="204"/>
      <c r="BZ116" s="204"/>
      <c r="CA116" s="204"/>
      <c r="CB116" s="204"/>
      <c r="CC116" s="204"/>
      <c r="CD116" s="204"/>
      <c r="CE116" s="204"/>
      <c r="CF116" s="204"/>
      <c r="CG116" s="204"/>
      <c r="CH116" s="204"/>
      <c r="CI116" s="204"/>
      <c r="CJ116" s="204"/>
      <c r="CK116" s="204"/>
      <c r="CL116" s="204"/>
      <c r="CM116" s="204"/>
      <c r="CN116" s="204"/>
      <c r="CO116" s="204"/>
      <c r="CP116" s="204"/>
      <c r="CQ116" s="204"/>
      <c r="CR116" s="204"/>
      <c r="CS116" s="204"/>
      <c r="CT116" s="204"/>
      <c r="CU116" s="204"/>
      <c r="CV116" s="204"/>
      <c r="CW116" s="204"/>
      <c r="CX116" s="204"/>
      <c r="CY116" s="204"/>
      <c r="CZ116" s="198"/>
      <c r="DA116" s="204"/>
      <c r="DB116" s="204"/>
      <c r="DC116" s="204"/>
      <c r="DD116" s="204"/>
      <c r="DE116" s="204"/>
      <c r="DF116" s="204"/>
      <c r="DG116" s="204"/>
      <c r="DH116" s="204"/>
      <c r="FC116" s="200" t="str">
        <f t="shared" si="9"/>
        <v>I</v>
      </c>
    </row>
    <row r="117" spans="1:159" s="202" customFormat="1" ht="24.75" hidden="1" customHeight="1" x14ac:dyDescent="0.2">
      <c r="A117" s="136"/>
      <c r="B117" s="145"/>
      <c r="C117" s="151"/>
      <c r="D117" s="33"/>
      <c r="E117" s="220"/>
      <c r="F117" s="221"/>
      <c r="G117" s="221"/>
      <c r="H117" s="222"/>
      <c r="I117" s="220"/>
      <c r="J117" s="223"/>
      <c r="K117" s="221"/>
      <c r="L117" s="224"/>
      <c r="M117" s="220"/>
      <c r="N117" s="221"/>
      <c r="O117" s="221"/>
      <c r="P117" s="222"/>
      <c r="Q117" s="225"/>
      <c r="R117" s="226"/>
      <c r="S117" s="226"/>
      <c r="T117" s="226"/>
      <c r="U117" s="225"/>
      <c r="V117" s="226"/>
      <c r="W117" s="226"/>
      <c r="X117" s="227"/>
      <c r="Y117" s="168">
        <f t="shared" si="11"/>
        <v>0</v>
      </c>
      <c r="Z117" s="168">
        <f t="shared" si="10"/>
        <v>0</v>
      </c>
      <c r="AA117" s="169"/>
      <c r="AB117" s="195"/>
      <c r="AC117" s="195"/>
      <c r="AD117" s="195"/>
      <c r="AE117" s="203"/>
      <c r="AF117" s="203"/>
      <c r="AG117" s="195"/>
      <c r="AH117" s="200"/>
      <c r="AP117" s="200"/>
      <c r="AQ117" s="200"/>
      <c r="AS117" s="200"/>
      <c r="AU117" s="200"/>
      <c r="AW117" s="200"/>
      <c r="AX117" s="200"/>
      <c r="AY117" s="170"/>
      <c r="AZ117" s="170"/>
      <c r="BA117" s="170"/>
      <c r="BB117" s="170"/>
      <c r="BC117" s="170"/>
      <c r="BD117" s="170"/>
      <c r="BE117" s="170"/>
      <c r="BF117" s="170"/>
      <c r="BG117" s="170"/>
      <c r="BH117" s="170"/>
      <c r="BI117" s="170"/>
      <c r="BJ117" s="170"/>
      <c r="BK117" s="170"/>
      <c r="BL117" s="170"/>
      <c r="BM117" s="170"/>
      <c r="BN117" s="170"/>
      <c r="BO117" s="170"/>
      <c r="BP117" s="170"/>
      <c r="BQ117" s="170"/>
      <c r="BR117" s="170"/>
      <c r="BS117" s="171"/>
      <c r="BT117" s="204"/>
      <c r="BU117" s="204"/>
      <c r="BV117" s="204"/>
      <c r="BW117" s="204"/>
      <c r="BX117" s="204"/>
      <c r="BY117" s="204"/>
      <c r="BZ117" s="204"/>
      <c r="CA117" s="204"/>
      <c r="CB117" s="204"/>
      <c r="CC117" s="204"/>
      <c r="CD117" s="204"/>
      <c r="CE117" s="204"/>
      <c r="CF117" s="204"/>
      <c r="CG117" s="204"/>
      <c r="CH117" s="204"/>
      <c r="CI117" s="204"/>
      <c r="CJ117" s="204"/>
      <c r="CK117" s="204"/>
      <c r="CL117" s="204"/>
      <c r="CM117" s="204"/>
      <c r="CN117" s="204"/>
      <c r="CO117" s="204"/>
      <c r="CP117" s="204"/>
      <c r="CQ117" s="204"/>
      <c r="CR117" s="204"/>
      <c r="CS117" s="204"/>
      <c r="CT117" s="204"/>
      <c r="CU117" s="204"/>
      <c r="CV117" s="204"/>
      <c r="CW117" s="204"/>
      <c r="CX117" s="204"/>
      <c r="CY117" s="204"/>
      <c r="CZ117" s="198"/>
      <c r="DA117" s="204"/>
      <c r="DB117" s="204"/>
      <c r="DC117" s="204"/>
      <c r="DD117" s="204"/>
      <c r="DE117" s="204"/>
      <c r="DF117" s="204"/>
      <c r="DG117" s="204"/>
      <c r="DH117" s="204"/>
      <c r="FC117" s="200" t="str">
        <f t="shared" si="9"/>
        <v>I</v>
      </c>
    </row>
    <row r="118" spans="1:159" s="202" customFormat="1" ht="24.75" hidden="1" customHeight="1" x14ac:dyDescent="0.2">
      <c r="A118" s="136"/>
      <c r="B118" s="145"/>
      <c r="C118" s="151"/>
      <c r="D118" s="33"/>
      <c r="E118" s="220"/>
      <c r="F118" s="221"/>
      <c r="G118" s="221"/>
      <c r="H118" s="222"/>
      <c r="I118" s="220"/>
      <c r="J118" s="223"/>
      <c r="K118" s="221"/>
      <c r="L118" s="224"/>
      <c r="M118" s="220"/>
      <c r="N118" s="221"/>
      <c r="O118" s="221"/>
      <c r="P118" s="222"/>
      <c r="Q118" s="225"/>
      <c r="R118" s="226"/>
      <c r="S118" s="226"/>
      <c r="T118" s="226"/>
      <c r="U118" s="225"/>
      <c r="V118" s="226"/>
      <c r="W118" s="226"/>
      <c r="X118" s="227"/>
      <c r="Y118" s="168">
        <f t="shared" si="11"/>
        <v>0</v>
      </c>
      <c r="Z118" s="168">
        <f t="shared" si="10"/>
        <v>0</v>
      </c>
      <c r="AA118" s="169"/>
      <c r="AB118" s="195"/>
      <c r="AC118" s="195"/>
      <c r="AD118" s="195"/>
      <c r="AE118" s="203"/>
      <c r="AF118" s="203"/>
      <c r="AG118" s="195"/>
      <c r="AH118" s="200"/>
      <c r="AP118" s="200"/>
      <c r="AQ118" s="200"/>
      <c r="AS118" s="200"/>
      <c r="AU118" s="200"/>
      <c r="AW118" s="200"/>
      <c r="AX118" s="200"/>
      <c r="AY118" s="170"/>
      <c r="AZ118" s="170"/>
      <c r="BA118" s="170"/>
      <c r="BB118" s="170"/>
      <c r="BC118" s="170"/>
      <c r="BD118" s="170"/>
      <c r="BE118" s="170"/>
      <c r="BF118" s="170"/>
      <c r="BG118" s="170"/>
      <c r="BH118" s="170"/>
      <c r="BI118" s="170"/>
      <c r="BJ118" s="170"/>
      <c r="BK118" s="170"/>
      <c r="BL118" s="170"/>
      <c r="BM118" s="170"/>
      <c r="BN118" s="170"/>
      <c r="BO118" s="170"/>
      <c r="BP118" s="170"/>
      <c r="BQ118" s="170"/>
      <c r="BR118" s="170"/>
      <c r="BS118" s="171"/>
      <c r="BT118" s="204"/>
      <c r="BU118" s="204"/>
      <c r="BV118" s="204"/>
      <c r="BW118" s="204"/>
      <c r="BX118" s="204"/>
      <c r="BY118" s="204"/>
      <c r="BZ118" s="204"/>
      <c r="CA118" s="204"/>
      <c r="CB118" s="204"/>
      <c r="CC118" s="204"/>
      <c r="CD118" s="204"/>
      <c r="CE118" s="204"/>
      <c r="CF118" s="204"/>
      <c r="CG118" s="204"/>
      <c r="CH118" s="204"/>
      <c r="CI118" s="204"/>
      <c r="CJ118" s="204"/>
      <c r="CK118" s="204"/>
      <c r="CL118" s="204"/>
      <c r="CM118" s="204"/>
      <c r="CN118" s="204"/>
      <c r="CO118" s="204"/>
      <c r="CP118" s="204"/>
      <c r="CQ118" s="204"/>
      <c r="CR118" s="204"/>
      <c r="CS118" s="204"/>
      <c r="CT118" s="204"/>
      <c r="CU118" s="204"/>
      <c r="CV118" s="204"/>
      <c r="CW118" s="204"/>
      <c r="CX118" s="204"/>
      <c r="CY118" s="204"/>
      <c r="CZ118" s="198"/>
      <c r="DA118" s="204"/>
      <c r="DB118" s="204"/>
      <c r="DC118" s="204"/>
      <c r="DD118" s="204"/>
      <c r="DE118" s="204"/>
      <c r="DF118" s="204"/>
      <c r="DG118" s="204"/>
      <c r="DH118" s="204"/>
      <c r="FC118" s="200" t="str">
        <f t="shared" si="9"/>
        <v>I</v>
      </c>
    </row>
    <row r="119" spans="1:159" s="202" customFormat="1" ht="24.75" hidden="1" customHeight="1" x14ac:dyDescent="0.2">
      <c r="A119" s="136"/>
      <c r="B119" s="145"/>
      <c r="C119" s="151"/>
      <c r="D119" s="33"/>
      <c r="E119" s="220"/>
      <c r="F119" s="221"/>
      <c r="G119" s="221"/>
      <c r="H119" s="222"/>
      <c r="I119" s="220"/>
      <c r="J119" s="223"/>
      <c r="K119" s="221"/>
      <c r="L119" s="224"/>
      <c r="M119" s="220"/>
      <c r="N119" s="221"/>
      <c r="O119" s="221"/>
      <c r="P119" s="222"/>
      <c r="Q119" s="225"/>
      <c r="R119" s="226"/>
      <c r="S119" s="226"/>
      <c r="T119" s="226"/>
      <c r="U119" s="225"/>
      <c r="V119" s="226"/>
      <c r="W119" s="226"/>
      <c r="X119" s="227"/>
      <c r="Y119" s="168">
        <f t="shared" si="11"/>
        <v>0</v>
      </c>
      <c r="Z119" s="168">
        <f t="shared" si="10"/>
        <v>0</v>
      </c>
      <c r="AA119" s="169"/>
      <c r="AB119" s="195"/>
      <c r="AC119" s="195"/>
      <c r="AD119" s="195"/>
      <c r="AE119" s="203"/>
      <c r="AF119" s="203"/>
      <c r="AG119" s="195"/>
      <c r="AH119" s="200"/>
      <c r="AP119" s="200"/>
      <c r="AQ119" s="200"/>
      <c r="AS119" s="200"/>
      <c r="AU119" s="200"/>
      <c r="AW119" s="200"/>
      <c r="AX119" s="200"/>
      <c r="AY119" s="170"/>
      <c r="AZ119" s="170"/>
      <c r="BA119" s="170"/>
      <c r="BB119" s="170"/>
      <c r="BC119" s="170"/>
      <c r="BD119" s="170"/>
      <c r="BE119" s="170"/>
      <c r="BF119" s="170"/>
      <c r="BG119" s="170"/>
      <c r="BH119" s="170"/>
      <c r="BI119" s="170"/>
      <c r="BJ119" s="170"/>
      <c r="BK119" s="170"/>
      <c r="BL119" s="170"/>
      <c r="BM119" s="170"/>
      <c r="BN119" s="170"/>
      <c r="BO119" s="170"/>
      <c r="BP119" s="170"/>
      <c r="BQ119" s="170"/>
      <c r="BR119" s="170"/>
      <c r="BS119" s="171"/>
      <c r="BT119" s="204"/>
      <c r="BU119" s="204"/>
      <c r="BV119" s="204"/>
      <c r="BW119" s="204"/>
      <c r="BX119" s="204"/>
      <c r="BY119" s="204"/>
      <c r="BZ119" s="204"/>
      <c r="CA119" s="204"/>
      <c r="CB119" s="204"/>
      <c r="CC119" s="204"/>
      <c r="CD119" s="204"/>
      <c r="CE119" s="204"/>
      <c r="CF119" s="204"/>
      <c r="CG119" s="204"/>
      <c r="CH119" s="204"/>
      <c r="CI119" s="204"/>
      <c r="CJ119" s="204"/>
      <c r="CK119" s="204"/>
      <c r="CL119" s="204"/>
      <c r="CM119" s="204"/>
      <c r="CN119" s="204"/>
      <c r="CO119" s="204"/>
      <c r="CP119" s="204"/>
      <c r="CQ119" s="204"/>
      <c r="CR119" s="204"/>
      <c r="CS119" s="204"/>
      <c r="CT119" s="204"/>
      <c r="CU119" s="204"/>
      <c r="CV119" s="204"/>
      <c r="CW119" s="204"/>
      <c r="CX119" s="204"/>
      <c r="CY119" s="204"/>
      <c r="CZ119" s="198"/>
      <c r="DA119" s="204"/>
      <c r="DB119" s="204"/>
      <c r="DC119" s="204"/>
      <c r="DD119" s="204"/>
      <c r="DE119" s="204"/>
      <c r="DF119" s="204"/>
      <c r="DG119" s="204"/>
      <c r="DH119" s="204"/>
      <c r="FC119" s="200" t="str">
        <f t="shared" si="9"/>
        <v>I</v>
      </c>
    </row>
    <row r="120" spans="1:159" s="202" customFormat="1" ht="24.75" hidden="1" customHeight="1" x14ac:dyDescent="0.2">
      <c r="A120" s="136"/>
      <c r="B120" s="145"/>
      <c r="C120" s="151"/>
      <c r="D120" s="33"/>
      <c r="E120" s="220"/>
      <c r="F120" s="221"/>
      <c r="G120" s="221"/>
      <c r="H120" s="222"/>
      <c r="I120" s="220"/>
      <c r="J120" s="223"/>
      <c r="K120" s="221"/>
      <c r="L120" s="224"/>
      <c r="M120" s="220"/>
      <c r="N120" s="221"/>
      <c r="O120" s="221"/>
      <c r="P120" s="222"/>
      <c r="Q120" s="225"/>
      <c r="R120" s="226"/>
      <c r="S120" s="226"/>
      <c r="T120" s="226"/>
      <c r="U120" s="225"/>
      <c r="V120" s="226"/>
      <c r="W120" s="226"/>
      <c r="X120" s="227"/>
      <c r="Y120" s="168">
        <f t="shared" si="11"/>
        <v>0</v>
      </c>
      <c r="Z120" s="168">
        <f t="shared" si="10"/>
        <v>0</v>
      </c>
      <c r="AA120" s="169"/>
      <c r="AB120" s="195"/>
      <c r="AC120" s="195"/>
      <c r="AD120" s="195"/>
      <c r="AE120" s="203"/>
      <c r="AF120" s="203"/>
      <c r="AG120" s="195"/>
      <c r="AH120" s="200"/>
      <c r="AP120" s="200"/>
      <c r="AQ120" s="200"/>
      <c r="AS120" s="200"/>
      <c r="AU120" s="200"/>
      <c r="AW120" s="200"/>
      <c r="AX120" s="200"/>
      <c r="AY120" s="170"/>
      <c r="AZ120" s="170"/>
      <c r="BA120" s="170"/>
      <c r="BB120" s="170"/>
      <c r="BC120" s="170"/>
      <c r="BD120" s="170"/>
      <c r="BE120" s="170"/>
      <c r="BF120" s="170"/>
      <c r="BG120" s="170"/>
      <c r="BH120" s="170"/>
      <c r="BI120" s="170"/>
      <c r="BJ120" s="170"/>
      <c r="BK120" s="170"/>
      <c r="BL120" s="170"/>
      <c r="BM120" s="170"/>
      <c r="BN120" s="170"/>
      <c r="BO120" s="170"/>
      <c r="BP120" s="170"/>
      <c r="BQ120" s="170"/>
      <c r="BR120" s="170"/>
      <c r="BS120" s="171"/>
      <c r="BT120" s="204"/>
      <c r="BU120" s="204"/>
      <c r="BV120" s="204"/>
      <c r="BW120" s="204"/>
      <c r="BX120" s="204"/>
      <c r="BY120" s="204"/>
      <c r="BZ120" s="204"/>
      <c r="CA120" s="204"/>
      <c r="CB120" s="204"/>
      <c r="CC120" s="204"/>
      <c r="CD120" s="204"/>
      <c r="CE120" s="204"/>
      <c r="CF120" s="204"/>
      <c r="CG120" s="204"/>
      <c r="CH120" s="204"/>
      <c r="CI120" s="204"/>
      <c r="CJ120" s="204"/>
      <c r="CK120" s="204"/>
      <c r="CL120" s="204"/>
      <c r="CM120" s="204"/>
      <c r="CN120" s="204"/>
      <c r="CO120" s="204"/>
      <c r="CP120" s="204"/>
      <c r="CQ120" s="204"/>
      <c r="CR120" s="204"/>
      <c r="CS120" s="204"/>
      <c r="CT120" s="204"/>
      <c r="CU120" s="204"/>
      <c r="CV120" s="204"/>
      <c r="CW120" s="204"/>
      <c r="CX120" s="204"/>
      <c r="CY120" s="204"/>
      <c r="CZ120" s="198"/>
      <c r="DA120" s="204"/>
      <c r="DB120" s="204"/>
      <c r="DC120" s="204"/>
      <c r="DD120" s="204"/>
      <c r="DE120" s="204"/>
      <c r="DF120" s="204"/>
      <c r="DG120" s="204"/>
      <c r="DH120" s="204"/>
      <c r="FC120" s="200" t="str">
        <f t="shared" si="9"/>
        <v>I</v>
      </c>
    </row>
    <row r="121" spans="1:159" s="202" customFormat="1" ht="24.75" hidden="1" customHeight="1" x14ac:dyDescent="0.2">
      <c r="A121" s="136"/>
      <c r="B121" s="145"/>
      <c r="C121" s="152"/>
      <c r="D121" s="36"/>
      <c r="E121" s="220"/>
      <c r="F121" s="221"/>
      <c r="G121" s="221"/>
      <c r="H121" s="222"/>
      <c r="I121" s="220"/>
      <c r="J121" s="223"/>
      <c r="K121" s="221"/>
      <c r="L121" s="224"/>
      <c r="M121" s="220"/>
      <c r="N121" s="221"/>
      <c r="O121" s="221"/>
      <c r="P121" s="222"/>
      <c r="Q121" s="225"/>
      <c r="R121" s="226"/>
      <c r="S121" s="226"/>
      <c r="T121" s="226"/>
      <c r="U121" s="225"/>
      <c r="V121" s="226"/>
      <c r="W121" s="226"/>
      <c r="X121" s="227"/>
      <c r="Y121" s="168">
        <f t="shared" si="11"/>
        <v>0</v>
      </c>
      <c r="Z121" s="168">
        <f t="shared" si="10"/>
        <v>0</v>
      </c>
      <c r="AA121" s="169"/>
      <c r="AB121" s="195"/>
      <c r="AC121" s="195"/>
      <c r="AD121" s="195"/>
      <c r="AE121" s="203"/>
      <c r="AF121" s="203"/>
      <c r="AG121" s="195"/>
      <c r="AH121" s="200"/>
      <c r="AP121" s="200"/>
      <c r="AQ121" s="200"/>
      <c r="AS121" s="200"/>
      <c r="AU121" s="200"/>
      <c r="AW121" s="200"/>
      <c r="AX121" s="200"/>
      <c r="AY121" s="170"/>
      <c r="AZ121" s="170"/>
      <c r="BA121" s="170"/>
      <c r="BB121" s="170"/>
      <c r="BC121" s="170"/>
      <c r="BD121" s="170"/>
      <c r="BE121" s="170"/>
      <c r="BF121" s="170"/>
      <c r="BG121" s="170"/>
      <c r="BH121" s="170"/>
      <c r="BI121" s="170"/>
      <c r="BJ121" s="170"/>
      <c r="BK121" s="170"/>
      <c r="BL121" s="170"/>
      <c r="BM121" s="170"/>
      <c r="BN121" s="170"/>
      <c r="BO121" s="170"/>
      <c r="BP121" s="170"/>
      <c r="BQ121" s="170"/>
      <c r="BR121" s="170"/>
      <c r="BS121" s="171"/>
      <c r="BT121" s="204"/>
      <c r="BU121" s="204"/>
      <c r="BV121" s="204"/>
      <c r="BW121" s="204"/>
      <c r="BX121" s="204"/>
      <c r="BY121" s="204"/>
      <c r="BZ121" s="204"/>
      <c r="CA121" s="204"/>
      <c r="CB121" s="204"/>
      <c r="CC121" s="204"/>
      <c r="CD121" s="204"/>
      <c r="CE121" s="204"/>
      <c r="CF121" s="204"/>
      <c r="CG121" s="204"/>
      <c r="CH121" s="204"/>
      <c r="CI121" s="204"/>
      <c r="CJ121" s="204"/>
      <c r="CK121" s="204"/>
      <c r="CL121" s="204"/>
      <c r="CM121" s="204"/>
      <c r="CN121" s="204"/>
      <c r="CO121" s="204"/>
      <c r="CP121" s="204"/>
      <c r="CQ121" s="204"/>
      <c r="CR121" s="204"/>
      <c r="CS121" s="204"/>
      <c r="CT121" s="204"/>
      <c r="CU121" s="204"/>
      <c r="CV121" s="204"/>
      <c r="CW121" s="204"/>
      <c r="CX121" s="204"/>
      <c r="CY121" s="204"/>
      <c r="CZ121" s="198"/>
      <c r="DA121" s="204"/>
      <c r="DB121" s="204"/>
      <c r="DC121" s="204"/>
      <c r="DD121" s="204"/>
      <c r="DE121" s="204"/>
      <c r="DF121" s="204"/>
      <c r="DG121" s="204"/>
      <c r="DH121" s="204"/>
      <c r="FC121" s="200" t="str">
        <f t="shared" si="9"/>
        <v>I</v>
      </c>
    </row>
    <row r="122" spans="1:159" s="202" customFormat="1" ht="24.75" hidden="1" customHeight="1" x14ac:dyDescent="0.2">
      <c r="A122" s="136"/>
      <c r="B122" s="145"/>
      <c r="C122" s="152"/>
      <c r="D122" s="36"/>
      <c r="E122" s="220"/>
      <c r="F122" s="221"/>
      <c r="G122" s="221"/>
      <c r="H122" s="222"/>
      <c r="I122" s="220"/>
      <c r="J122" s="223"/>
      <c r="K122" s="221"/>
      <c r="L122" s="224"/>
      <c r="M122" s="220"/>
      <c r="N122" s="221"/>
      <c r="O122" s="221"/>
      <c r="P122" s="222"/>
      <c r="Q122" s="225"/>
      <c r="R122" s="226"/>
      <c r="S122" s="226"/>
      <c r="T122" s="226"/>
      <c r="U122" s="225"/>
      <c r="V122" s="226"/>
      <c r="W122" s="226"/>
      <c r="X122" s="227"/>
      <c r="Y122" s="168">
        <f t="shared" si="11"/>
        <v>0</v>
      </c>
      <c r="Z122" s="168">
        <f t="shared" si="10"/>
        <v>0</v>
      </c>
      <c r="AA122" s="169"/>
      <c r="AB122" s="195"/>
      <c r="AC122" s="195"/>
      <c r="AD122" s="195"/>
      <c r="AE122" s="203"/>
      <c r="AF122" s="203"/>
      <c r="AG122" s="195"/>
      <c r="AH122" s="200"/>
      <c r="AP122" s="200"/>
      <c r="AQ122" s="200"/>
      <c r="AS122" s="200"/>
      <c r="AU122" s="200"/>
      <c r="AW122" s="200"/>
      <c r="AX122" s="200"/>
      <c r="AY122" s="170"/>
      <c r="AZ122" s="170"/>
      <c r="BA122" s="170"/>
      <c r="BB122" s="170"/>
      <c r="BC122" s="170"/>
      <c r="BD122" s="170"/>
      <c r="BE122" s="170"/>
      <c r="BF122" s="170"/>
      <c r="BG122" s="170"/>
      <c r="BH122" s="170"/>
      <c r="BI122" s="170"/>
      <c r="BJ122" s="170"/>
      <c r="BK122" s="170"/>
      <c r="BL122" s="170"/>
      <c r="BM122" s="170"/>
      <c r="BN122" s="170"/>
      <c r="BO122" s="170"/>
      <c r="BP122" s="170"/>
      <c r="BQ122" s="170"/>
      <c r="BR122" s="170"/>
      <c r="BS122" s="171"/>
      <c r="BT122" s="204"/>
      <c r="BU122" s="204"/>
      <c r="BV122" s="204"/>
      <c r="BW122" s="204"/>
      <c r="BX122" s="204"/>
      <c r="BY122" s="204"/>
      <c r="BZ122" s="204"/>
      <c r="CA122" s="204"/>
      <c r="CB122" s="204"/>
      <c r="CC122" s="204"/>
      <c r="CD122" s="204"/>
      <c r="CE122" s="204"/>
      <c r="CF122" s="204"/>
      <c r="CG122" s="204"/>
      <c r="CH122" s="204"/>
      <c r="CI122" s="204"/>
      <c r="CJ122" s="204"/>
      <c r="CK122" s="204"/>
      <c r="CL122" s="204"/>
      <c r="CM122" s="204"/>
      <c r="CN122" s="204"/>
      <c r="CO122" s="204"/>
      <c r="CP122" s="204"/>
      <c r="CQ122" s="204"/>
      <c r="CR122" s="204"/>
      <c r="CS122" s="204"/>
      <c r="CT122" s="204"/>
      <c r="CU122" s="204"/>
      <c r="CV122" s="204"/>
      <c r="CW122" s="204"/>
      <c r="CX122" s="204"/>
      <c r="CY122" s="204"/>
      <c r="CZ122" s="198"/>
      <c r="DA122" s="204"/>
      <c r="DB122" s="204"/>
      <c r="DC122" s="204"/>
      <c r="DD122" s="204"/>
      <c r="DE122" s="204"/>
      <c r="DF122" s="204"/>
      <c r="DG122" s="204"/>
      <c r="DH122" s="204"/>
      <c r="FC122" s="200" t="str">
        <f t="shared" si="9"/>
        <v>I</v>
      </c>
    </row>
    <row r="123" spans="1:159" s="202" customFormat="1" ht="24.75" hidden="1" customHeight="1" x14ac:dyDescent="0.2">
      <c r="A123" s="136"/>
      <c r="B123" s="145"/>
      <c r="C123" s="152"/>
      <c r="D123" s="36"/>
      <c r="E123" s="220"/>
      <c r="F123" s="221"/>
      <c r="G123" s="221"/>
      <c r="H123" s="222"/>
      <c r="I123" s="220"/>
      <c r="J123" s="223"/>
      <c r="K123" s="221"/>
      <c r="L123" s="224"/>
      <c r="M123" s="220"/>
      <c r="N123" s="221"/>
      <c r="O123" s="221"/>
      <c r="P123" s="222"/>
      <c r="Q123" s="225"/>
      <c r="R123" s="226"/>
      <c r="S123" s="226"/>
      <c r="T123" s="226"/>
      <c r="U123" s="225"/>
      <c r="V123" s="226"/>
      <c r="W123" s="226"/>
      <c r="X123" s="227"/>
      <c r="Y123" s="168">
        <f t="shared" si="11"/>
        <v>0</v>
      </c>
      <c r="Z123" s="168">
        <f t="shared" si="10"/>
        <v>0</v>
      </c>
      <c r="AA123" s="169"/>
      <c r="AB123" s="195"/>
      <c r="AC123" s="195"/>
      <c r="AD123" s="195"/>
      <c r="AE123" s="203"/>
      <c r="AF123" s="203"/>
      <c r="AG123" s="195"/>
      <c r="AH123" s="200"/>
      <c r="AP123" s="200"/>
      <c r="AQ123" s="200"/>
      <c r="AS123" s="200"/>
      <c r="AU123" s="200"/>
      <c r="AW123" s="200"/>
      <c r="AX123" s="200"/>
      <c r="AY123" s="170"/>
      <c r="AZ123" s="170"/>
      <c r="BA123" s="170"/>
      <c r="BB123" s="170"/>
      <c r="BC123" s="170"/>
      <c r="BD123" s="170"/>
      <c r="BE123" s="170"/>
      <c r="BF123" s="170"/>
      <c r="BG123" s="170"/>
      <c r="BH123" s="170"/>
      <c r="BI123" s="170"/>
      <c r="BJ123" s="170"/>
      <c r="BK123" s="170"/>
      <c r="BL123" s="170"/>
      <c r="BM123" s="170"/>
      <c r="BN123" s="170"/>
      <c r="BO123" s="170"/>
      <c r="BP123" s="170"/>
      <c r="BQ123" s="170"/>
      <c r="BR123" s="170"/>
      <c r="BS123" s="171"/>
      <c r="BT123" s="204"/>
      <c r="BU123" s="204"/>
      <c r="BV123" s="204"/>
      <c r="BW123" s="204"/>
      <c r="BX123" s="204"/>
      <c r="BY123" s="204"/>
      <c r="BZ123" s="204"/>
      <c r="CA123" s="204"/>
      <c r="CB123" s="204"/>
      <c r="CC123" s="204"/>
      <c r="CD123" s="204"/>
      <c r="CE123" s="204"/>
      <c r="CF123" s="204"/>
      <c r="CG123" s="204"/>
      <c r="CH123" s="204"/>
      <c r="CI123" s="204"/>
      <c r="CJ123" s="204"/>
      <c r="CK123" s="204"/>
      <c r="CL123" s="204"/>
      <c r="CM123" s="204"/>
      <c r="CN123" s="204"/>
      <c r="CO123" s="204"/>
      <c r="CP123" s="204"/>
      <c r="CQ123" s="204"/>
      <c r="CR123" s="204"/>
      <c r="CS123" s="204"/>
      <c r="CT123" s="204"/>
      <c r="CU123" s="204"/>
      <c r="CV123" s="204"/>
      <c r="CW123" s="204"/>
      <c r="CX123" s="204"/>
      <c r="CY123" s="204"/>
      <c r="CZ123" s="198"/>
      <c r="DA123" s="204"/>
      <c r="DB123" s="204"/>
      <c r="DC123" s="204"/>
      <c r="DD123" s="204"/>
      <c r="DE123" s="204"/>
      <c r="DF123" s="204"/>
      <c r="DG123" s="204"/>
      <c r="DH123" s="204"/>
      <c r="FC123" s="200" t="str">
        <f t="shared" si="9"/>
        <v>I</v>
      </c>
    </row>
    <row r="124" spans="1:159" s="202" customFormat="1" ht="24.75" hidden="1" customHeight="1" x14ac:dyDescent="0.2">
      <c r="A124" s="136"/>
      <c r="B124" s="145"/>
      <c r="C124" s="152"/>
      <c r="D124" s="36"/>
      <c r="E124" s="220"/>
      <c r="F124" s="221"/>
      <c r="G124" s="221"/>
      <c r="H124" s="222"/>
      <c r="I124" s="220"/>
      <c r="J124" s="223"/>
      <c r="K124" s="221"/>
      <c r="L124" s="224"/>
      <c r="M124" s="220"/>
      <c r="N124" s="221"/>
      <c r="O124" s="221"/>
      <c r="P124" s="222"/>
      <c r="Q124" s="225"/>
      <c r="R124" s="226"/>
      <c r="S124" s="226"/>
      <c r="T124" s="226"/>
      <c r="U124" s="225"/>
      <c r="V124" s="226"/>
      <c r="W124" s="226"/>
      <c r="X124" s="227"/>
      <c r="Y124" s="168">
        <f t="shared" si="11"/>
        <v>0</v>
      </c>
      <c r="Z124" s="168">
        <f t="shared" si="10"/>
        <v>0</v>
      </c>
      <c r="AA124" s="169"/>
      <c r="AB124" s="195"/>
      <c r="AC124" s="195"/>
      <c r="AD124" s="195"/>
      <c r="AE124" s="203"/>
      <c r="AF124" s="203"/>
      <c r="AG124" s="195"/>
      <c r="AH124" s="200"/>
      <c r="AP124" s="200"/>
      <c r="AQ124" s="200"/>
      <c r="AS124" s="200"/>
      <c r="AU124" s="200"/>
      <c r="AW124" s="200"/>
      <c r="AX124" s="200"/>
      <c r="AY124" s="170"/>
      <c r="AZ124" s="170"/>
      <c r="BA124" s="170"/>
      <c r="BB124" s="170"/>
      <c r="BC124" s="170"/>
      <c r="BD124" s="170"/>
      <c r="BE124" s="170"/>
      <c r="BF124" s="170"/>
      <c r="BG124" s="170"/>
      <c r="BH124" s="170"/>
      <c r="BI124" s="170"/>
      <c r="BJ124" s="170"/>
      <c r="BK124" s="170"/>
      <c r="BL124" s="170"/>
      <c r="BM124" s="170"/>
      <c r="BN124" s="170"/>
      <c r="BO124" s="170"/>
      <c r="BP124" s="170"/>
      <c r="BQ124" s="170"/>
      <c r="BR124" s="170"/>
      <c r="BS124" s="171"/>
      <c r="BT124" s="204"/>
      <c r="BU124" s="204"/>
      <c r="BV124" s="204"/>
      <c r="BW124" s="204"/>
      <c r="BX124" s="204"/>
      <c r="BY124" s="204"/>
      <c r="BZ124" s="204"/>
      <c r="CA124" s="204"/>
      <c r="CB124" s="204"/>
      <c r="CC124" s="204"/>
      <c r="CD124" s="204"/>
      <c r="CE124" s="204"/>
      <c r="CF124" s="204"/>
      <c r="CG124" s="204"/>
      <c r="CH124" s="204"/>
      <c r="CI124" s="204"/>
      <c r="CJ124" s="204"/>
      <c r="CK124" s="204"/>
      <c r="CL124" s="204"/>
      <c r="CM124" s="204"/>
      <c r="CN124" s="204"/>
      <c r="CO124" s="204"/>
      <c r="CP124" s="204"/>
      <c r="CQ124" s="204"/>
      <c r="CR124" s="204"/>
      <c r="CS124" s="204"/>
      <c r="CT124" s="204"/>
      <c r="CU124" s="204"/>
      <c r="CV124" s="204"/>
      <c r="CW124" s="204"/>
      <c r="CX124" s="204"/>
      <c r="CY124" s="204"/>
      <c r="CZ124" s="198"/>
      <c r="DA124" s="204"/>
      <c r="DB124" s="204"/>
      <c r="DC124" s="204"/>
      <c r="DD124" s="204"/>
      <c r="DE124" s="204"/>
      <c r="DF124" s="204"/>
      <c r="DG124" s="204"/>
      <c r="DH124" s="204"/>
      <c r="FC124" s="200" t="str">
        <f t="shared" si="9"/>
        <v>I</v>
      </c>
    </row>
    <row r="125" spans="1:159" s="202" customFormat="1" ht="24.75" hidden="1" customHeight="1" x14ac:dyDescent="0.2">
      <c r="A125" s="136"/>
      <c r="B125" s="145"/>
      <c r="C125" s="152"/>
      <c r="D125" s="36"/>
      <c r="E125" s="220"/>
      <c r="F125" s="221"/>
      <c r="G125" s="221"/>
      <c r="H125" s="222"/>
      <c r="I125" s="220"/>
      <c r="J125" s="223"/>
      <c r="K125" s="221"/>
      <c r="L125" s="224"/>
      <c r="M125" s="220"/>
      <c r="N125" s="221"/>
      <c r="O125" s="221"/>
      <c r="P125" s="222"/>
      <c r="Q125" s="225"/>
      <c r="R125" s="226"/>
      <c r="S125" s="226"/>
      <c r="T125" s="226"/>
      <c r="U125" s="225"/>
      <c r="V125" s="226"/>
      <c r="W125" s="226"/>
      <c r="X125" s="227"/>
      <c r="Y125" s="168">
        <f t="shared" si="11"/>
        <v>0</v>
      </c>
      <c r="Z125" s="168">
        <f t="shared" si="10"/>
        <v>0</v>
      </c>
      <c r="AA125" s="169"/>
      <c r="AB125" s="195"/>
      <c r="AC125" s="195"/>
      <c r="AD125" s="195"/>
      <c r="AE125" s="203"/>
      <c r="AF125" s="203"/>
      <c r="AG125" s="195"/>
      <c r="AH125" s="200"/>
      <c r="AP125" s="200"/>
      <c r="AQ125" s="200"/>
      <c r="AS125" s="200"/>
      <c r="AU125" s="200"/>
      <c r="AW125" s="200"/>
      <c r="AX125" s="200"/>
      <c r="AY125" s="170"/>
      <c r="AZ125" s="170"/>
      <c r="BA125" s="170"/>
      <c r="BB125" s="170"/>
      <c r="BC125" s="170"/>
      <c r="BD125" s="170"/>
      <c r="BE125" s="170"/>
      <c r="BF125" s="170"/>
      <c r="BG125" s="170"/>
      <c r="BH125" s="170"/>
      <c r="BI125" s="170"/>
      <c r="BJ125" s="170"/>
      <c r="BK125" s="170"/>
      <c r="BL125" s="170"/>
      <c r="BM125" s="170"/>
      <c r="BN125" s="170"/>
      <c r="BO125" s="170"/>
      <c r="BP125" s="170"/>
      <c r="BQ125" s="170"/>
      <c r="BR125" s="170"/>
      <c r="BS125" s="171"/>
      <c r="BT125" s="204"/>
      <c r="BU125" s="204"/>
      <c r="BV125" s="204"/>
      <c r="BW125" s="204"/>
      <c r="BX125" s="204"/>
      <c r="BY125" s="204"/>
      <c r="BZ125" s="204"/>
      <c r="CA125" s="204"/>
      <c r="CB125" s="204"/>
      <c r="CC125" s="204"/>
      <c r="CD125" s="204"/>
      <c r="CE125" s="204"/>
      <c r="CF125" s="204"/>
      <c r="CG125" s="204"/>
      <c r="CH125" s="204"/>
      <c r="CI125" s="204"/>
      <c r="CJ125" s="204"/>
      <c r="CK125" s="204"/>
      <c r="CL125" s="204"/>
      <c r="CM125" s="204"/>
      <c r="CN125" s="204"/>
      <c r="CO125" s="204"/>
      <c r="CP125" s="204"/>
      <c r="CQ125" s="204"/>
      <c r="CR125" s="204"/>
      <c r="CS125" s="204"/>
      <c r="CT125" s="204"/>
      <c r="CU125" s="204"/>
      <c r="CV125" s="204"/>
      <c r="CW125" s="204"/>
      <c r="CX125" s="204"/>
      <c r="CY125" s="204"/>
      <c r="CZ125" s="198"/>
      <c r="DA125" s="204"/>
      <c r="DB125" s="204"/>
      <c r="DC125" s="204"/>
      <c r="DD125" s="204"/>
      <c r="DE125" s="204"/>
      <c r="DF125" s="204"/>
      <c r="DG125" s="204"/>
      <c r="DH125" s="204"/>
      <c r="FC125" s="200" t="str">
        <f t="shared" si="9"/>
        <v>I</v>
      </c>
    </row>
    <row r="126" spans="1:159" s="202" customFormat="1" ht="24.75" hidden="1" customHeight="1" x14ac:dyDescent="0.2">
      <c r="A126" s="136"/>
      <c r="B126" s="145"/>
      <c r="C126" s="152"/>
      <c r="D126" s="36"/>
      <c r="E126" s="220"/>
      <c r="F126" s="221"/>
      <c r="G126" s="221"/>
      <c r="H126" s="222"/>
      <c r="I126" s="220"/>
      <c r="J126" s="223"/>
      <c r="K126" s="221"/>
      <c r="L126" s="224"/>
      <c r="M126" s="220"/>
      <c r="N126" s="221"/>
      <c r="O126" s="221"/>
      <c r="P126" s="222"/>
      <c r="Q126" s="225"/>
      <c r="R126" s="226"/>
      <c r="S126" s="226"/>
      <c r="T126" s="226"/>
      <c r="U126" s="225"/>
      <c r="V126" s="226"/>
      <c r="W126" s="226"/>
      <c r="X126" s="227"/>
      <c r="Y126" s="168">
        <f t="shared" si="11"/>
        <v>0</v>
      </c>
      <c r="Z126" s="168">
        <f t="shared" si="10"/>
        <v>0</v>
      </c>
      <c r="AA126" s="169"/>
      <c r="AB126" s="195"/>
      <c r="AC126" s="195"/>
      <c r="AD126" s="195"/>
      <c r="AE126" s="203"/>
      <c r="AF126" s="203"/>
      <c r="AG126" s="195"/>
      <c r="AH126" s="200"/>
      <c r="AP126" s="200"/>
      <c r="AQ126" s="200"/>
      <c r="AS126" s="200"/>
      <c r="AU126" s="200"/>
      <c r="AW126" s="200"/>
      <c r="AX126" s="200"/>
      <c r="AY126" s="170"/>
      <c r="AZ126" s="170"/>
      <c r="BA126" s="170"/>
      <c r="BB126" s="170"/>
      <c r="BC126" s="170"/>
      <c r="BD126" s="170"/>
      <c r="BE126" s="170"/>
      <c r="BF126" s="170"/>
      <c r="BG126" s="170"/>
      <c r="BH126" s="170"/>
      <c r="BI126" s="170"/>
      <c r="BJ126" s="170"/>
      <c r="BK126" s="170"/>
      <c r="BL126" s="170"/>
      <c r="BM126" s="170"/>
      <c r="BN126" s="170"/>
      <c r="BO126" s="170"/>
      <c r="BP126" s="170"/>
      <c r="BQ126" s="170"/>
      <c r="BR126" s="170"/>
      <c r="BS126" s="171"/>
      <c r="BT126" s="204"/>
      <c r="BU126" s="204"/>
      <c r="BV126" s="204"/>
      <c r="BW126" s="204"/>
      <c r="BX126" s="204"/>
      <c r="BY126" s="204"/>
      <c r="BZ126" s="204"/>
      <c r="CA126" s="204"/>
      <c r="CB126" s="204"/>
      <c r="CC126" s="204"/>
      <c r="CD126" s="204"/>
      <c r="CE126" s="204"/>
      <c r="CF126" s="204"/>
      <c r="CG126" s="204"/>
      <c r="CH126" s="204"/>
      <c r="CI126" s="204"/>
      <c r="CJ126" s="204"/>
      <c r="CK126" s="204"/>
      <c r="CL126" s="204"/>
      <c r="CM126" s="204"/>
      <c r="CN126" s="204"/>
      <c r="CO126" s="204"/>
      <c r="CP126" s="204"/>
      <c r="CQ126" s="204"/>
      <c r="CR126" s="204"/>
      <c r="CS126" s="204"/>
      <c r="CT126" s="204"/>
      <c r="CU126" s="204"/>
      <c r="CV126" s="204"/>
      <c r="CW126" s="204"/>
      <c r="CX126" s="204"/>
      <c r="CY126" s="204"/>
      <c r="CZ126" s="198"/>
      <c r="DA126" s="204"/>
      <c r="DB126" s="204"/>
      <c r="DC126" s="204"/>
      <c r="DD126" s="204"/>
      <c r="DE126" s="204"/>
      <c r="DF126" s="204"/>
      <c r="DG126" s="204"/>
      <c r="DH126" s="204"/>
      <c r="FC126" s="200" t="str">
        <f t="shared" si="9"/>
        <v>I</v>
      </c>
    </row>
    <row r="127" spans="1:159" s="202" customFormat="1" ht="24.75" hidden="1" customHeight="1" x14ac:dyDescent="0.2">
      <c r="A127" s="136"/>
      <c r="B127" s="145"/>
      <c r="C127" s="152"/>
      <c r="D127" s="36"/>
      <c r="E127" s="220"/>
      <c r="F127" s="221"/>
      <c r="G127" s="221"/>
      <c r="H127" s="222"/>
      <c r="I127" s="220"/>
      <c r="J127" s="223"/>
      <c r="K127" s="221"/>
      <c r="L127" s="224"/>
      <c r="M127" s="220"/>
      <c r="N127" s="221"/>
      <c r="O127" s="221"/>
      <c r="P127" s="222"/>
      <c r="Q127" s="225"/>
      <c r="R127" s="226"/>
      <c r="S127" s="226"/>
      <c r="T127" s="226"/>
      <c r="U127" s="225"/>
      <c r="V127" s="226"/>
      <c r="W127" s="226"/>
      <c r="X127" s="227"/>
      <c r="Y127" s="168">
        <f t="shared" si="11"/>
        <v>0</v>
      </c>
      <c r="Z127" s="168">
        <f t="shared" si="10"/>
        <v>0</v>
      </c>
      <c r="AA127" s="169"/>
      <c r="AB127" s="195"/>
      <c r="AC127" s="195"/>
      <c r="AD127" s="195"/>
      <c r="AE127" s="203"/>
      <c r="AF127" s="203"/>
      <c r="AG127" s="195"/>
      <c r="AH127" s="200"/>
      <c r="AP127" s="200"/>
      <c r="AQ127" s="200"/>
      <c r="AS127" s="200"/>
      <c r="AU127" s="200"/>
      <c r="AW127" s="200"/>
      <c r="AX127" s="200"/>
      <c r="AY127" s="170"/>
      <c r="AZ127" s="170"/>
      <c r="BA127" s="170"/>
      <c r="BB127" s="170"/>
      <c r="BC127" s="170"/>
      <c r="BD127" s="170"/>
      <c r="BE127" s="170"/>
      <c r="BF127" s="170"/>
      <c r="BG127" s="170"/>
      <c r="BH127" s="170"/>
      <c r="BI127" s="170"/>
      <c r="BJ127" s="170"/>
      <c r="BK127" s="170"/>
      <c r="BL127" s="170"/>
      <c r="BM127" s="170"/>
      <c r="BN127" s="170"/>
      <c r="BO127" s="170"/>
      <c r="BP127" s="170"/>
      <c r="BQ127" s="170"/>
      <c r="BR127" s="170"/>
      <c r="BS127" s="171"/>
      <c r="BT127" s="204"/>
      <c r="BU127" s="204"/>
      <c r="BV127" s="204"/>
      <c r="BW127" s="204"/>
      <c r="BX127" s="204"/>
      <c r="BY127" s="204"/>
      <c r="BZ127" s="204"/>
      <c r="CA127" s="204"/>
      <c r="CB127" s="204"/>
      <c r="CC127" s="204"/>
      <c r="CD127" s="204"/>
      <c r="CE127" s="204"/>
      <c r="CF127" s="204"/>
      <c r="CG127" s="204"/>
      <c r="CH127" s="204"/>
      <c r="CI127" s="204"/>
      <c r="CJ127" s="204"/>
      <c r="CK127" s="204"/>
      <c r="CL127" s="204"/>
      <c r="CM127" s="204"/>
      <c r="CN127" s="204"/>
      <c r="CO127" s="204"/>
      <c r="CP127" s="204"/>
      <c r="CQ127" s="204"/>
      <c r="CR127" s="204"/>
      <c r="CS127" s="204"/>
      <c r="CT127" s="204"/>
      <c r="CU127" s="204"/>
      <c r="CV127" s="204"/>
      <c r="CW127" s="204"/>
      <c r="CX127" s="204"/>
      <c r="CY127" s="204"/>
      <c r="CZ127" s="198"/>
      <c r="DA127" s="204"/>
      <c r="DB127" s="204"/>
      <c r="DC127" s="204"/>
      <c r="DD127" s="204"/>
      <c r="DE127" s="204"/>
      <c r="DF127" s="204"/>
      <c r="DG127" s="204"/>
      <c r="DH127" s="204"/>
      <c r="FC127" s="200" t="str">
        <f t="shared" si="9"/>
        <v>I</v>
      </c>
    </row>
    <row r="128" spans="1:159" s="202" customFormat="1" ht="24.75" hidden="1" customHeight="1" x14ac:dyDescent="0.2">
      <c r="A128" s="136"/>
      <c r="B128" s="145"/>
      <c r="C128" s="152"/>
      <c r="D128" s="36"/>
      <c r="E128" s="220"/>
      <c r="F128" s="221"/>
      <c r="G128" s="221"/>
      <c r="H128" s="222"/>
      <c r="I128" s="220"/>
      <c r="J128" s="223"/>
      <c r="K128" s="221"/>
      <c r="L128" s="224"/>
      <c r="M128" s="220"/>
      <c r="N128" s="221"/>
      <c r="O128" s="221"/>
      <c r="P128" s="222"/>
      <c r="Q128" s="225"/>
      <c r="R128" s="226"/>
      <c r="S128" s="226"/>
      <c r="T128" s="226"/>
      <c r="U128" s="225"/>
      <c r="V128" s="226"/>
      <c r="W128" s="226"/>
      <c r="X128" s="227"/>
      <c r="Y128" s="168">
        <f t="shared" si="11"/>
        <v>0</v>
      </c>
      <c r="Z128" s="168">
        <f t="shared" si="10"/>
        <v>0</v>
      </c>
      <c r="AA128" s="169"/>
      <c r="AB128" s="195"/>
      <c r="AC128" s="195"/>
      <c r="AD128" s="195"/>
      <c r="AE128" s="203"/>
      <c r="AF128" s="203"/>
      <c r="AG128" s="195"/>
      <c r="AH128" s="200"/>
      <c r="AP128" s="200"/>
      <c r="AQ128" s="200"/>
      <c r="AS128" s="200"/>
      <c r="AU128" s="200"/>
      <c r="AW128" s="200"/>
      <c r="AX128" s="200"/>
      <c r="AY128" s="170"/>
      <c r="AZ128" s="170"/>
      <c r="BA128" s="170"/>
      <c r="BB128" s="170"/>
      <c r="BC128" s="170"/>
      <c r="BD128" s="170"/>
      <c r="BE128" s="170"/>
      <c r="BF128" s="170"/>
      <c r="BG128" s="170"/>
      <c r="BH128" s="170"/>
      <c r="BI128" s="170"/>
      <c r="BJ128" s="170"/>
      <c r="BK128" s="170"/>
      <c r="BL128" s="170"/>
      <c r="BM128" s="170"/>
      <c r="BN128" s="170"/>
      <c r="BO128" s="170"/>
      <c r="BP128" s="170"/>
      <c r="BQ128" s="170"/>
      <c r="BR128" s="170"/>
      <c r="BS128" s="171"/>
      <c r="BT128" s="204"/>
      <c r="BU128" s="204"/>
      <c r="BV128" s="204"/>
      <c r="BW128" s="204"/>
      <c r="BX128" s="204"/>
      <c r="BY128" s="204"/>
      <c r="BZ128" s="204"/>
      <c r="CA128" s="204"/>
      <c r="CB128" s="204"/>
      <c r="CC128" s="204"/>
      <c r="CD128" s="204"/>
      <c r="CE128" s="204"/>
      <c r="CF128" s="204"/>
      <c r="CG128" s="204"/>
      <c r="CH128" s="204"/>
      <c r="CI128" s="204"/>
      <c r="CJ128" s="204"/>
      <c r="CK128" s="204"/>
      <c r="CL128" s="204"/>
      <c r="CM128" s="204"/>
      <c r="CN128" s="204"/>
      <c r="CO128" s="204"/>
      <c r="CP128" s="204"/>
      <c r="CQ128" s="204"/>
      <c r="CR128" s="204"/>
      <c r="CS128" s="204"/>
      <c r="CT128" s="204"/>
      <c r="CU128" s="204"/>
      <c r="CV128" s="204"/>
      <c r="CW128" s="204"/>
      <c r="CX128" s="204"/>
      <c r="CY128" s="204"/>
      <c r="CZ128" s="198"/>
      <c r="DA128" s="204"/>
      <c r="DB128" s="204"/>
      <c r="DC128" s="204"/>
      <c r="DD128" s="204"/>
      <c r="DE128" s="204"/>
      <c r="DF128" s="204"/>
      <c r="DG128" s="204"/>
      <c r="DH128" s="204"/>
      <c r="FC128" s="200" t="str">
        <f t="shared" si="9"/>
        <v>I</v>
      </c>
    </row>
    <row r="129" spans="1:159" s="202" customFormat="1" ht="24.75" hidden="1" customHeight="1" x14ac:dyDescent="0.2">
      <c r="A129" s="136"/>
      <c r="B129" s="145"/>
      <c r="C129" s="152"/>
      <c r="D129" s="36"/>
      <c r="E129" s="220"/>
      <c r="F129" s="221"/>
      <c r="G129" s="221"/>
      <c r="H129" s="222"/>
      <c r="I129" s="220"/>
      <c r="J129" s="223"/>
      <c r="K129" s="221"/>
      <c r="L129" s="224"/>
      <c r="M129" s="220"/>
      <c r="N129" s="221"/>
      <c r="O129" s="221"/>
      <c r="P129" s="222"/>
      <c r="Q129" s="225"/>
      <c r="R129" s="226"/>
      <c r="S129" s="226"/>
      <c r="T129" s="226"/>
      <c r="U129" s="225"/>
      <c r="V129" s="226"/>
      <c r="W129" s="226"/>
      <c r="X129" s="227"/>
      <c r="Y129" s="168">
        <f t="shared" si="11"/>
        <v>0</v>
      </c>
      <c r="Z129" s="168">
        <f t="shared" si="10"/>
        <v>0</v>
      </c>
      <c r="AA129" s="169"/>
      <c r="AB129" s="195"/>
      <c r="AC129" s="195"/>
      <c r="AD129" s="195"/>
      <c r="AE129" s="203"/>
      <c r="AF129" s="203"/>
      <c r="AG129" s="195"/>
      <c r="AH129" s="200"/>
      <c r="AP129" s="200"/>
      <c r="AQ129" s="200"/>
      <c r="AS129" s="200"/>
      <c r="AU129" s="200"/>
      <c r="AW129" s="200"/>
      <c r="AX129" s="200"/>
      <c r="AY129" s="170"/>
      <c r="AZ129" s="170"/>
      <c r="BA129" s="170"/>
      <c r="BB129" s="170"/>
      <c r="BC129" s="170"/>
      <c r="BD129" s="170"/>
      <c r="BE129" s="170"/>
      <c r="BF129" s="170"/>
      <c r="BG129" s="170"/>
      <c r="BH129" s="170"/>
      <c r="BI129" s="170"/>
      <c r="BJ129" s="170"/>
      <c r="BK129" s="170"/>
      <c r="BL129" s="170"/>
      <c r="BM129" s="170"/>
      <c r="BN129" s="170"/>
      <c r="BO129" s="170"/>
      <c r="BP129" s="170"/>
      <c r="BQ129" s="170"/>
      <c r="BR129" s="170"/>
      <c r="BS129" s="171"/>
      <c r="BT129" s="204"/>
      <c r="BU129" s="204"/>
      <c r="BV129" s="204"/>
      <c r="BW129" s="204"/>
      <c r="BX129" s="204"/>
      <c r="BY129" s="204"/>
      <c r="BZ129" s="204"/>
      <c r="CA129" s="204"/>
      <c r="CB129" s="204"/>
      <c r="CC129" s="204"/>
      <c r="CD129" s="204"/>
      <c r="CE129" s="204"/>
      <c r="CF129" s="204"/>
      <c r="CG129" s="204"/>
      <c r="CH129" s="204"/>
      <c r="CI129" s="204"/>
      <c r="CJ129" s="204"/>
      <c r="CK129" s="204"/>
      <c r="CL129" s="204"/>
      <c r="CM129" s="204"/>
      <c r="CN129" s="204"/>
      <c r="CO129" s="204"/>
      <c r="CP129" s="204"/>
      <c r="CQ129" s="204"/>
      <c r="CR129" s="204"/>
      <c r="CS129" s="204"/>
      <c r="CT129" s="204"/>
      <c r="CU129" s="204"/>
      <c r="CV129" s="204"/>
      <c r="CW129" s="204"/>
      <c r="CX129" s="204"/>
      <c r="CY129" s="204"/>
      <c r="CZ129" s="198"/>
      <c r="DA129" s="204"/>
      <c r="DB129" s="204"/>
      <c r="DC129" s="204"/>
      <c r="DD129" s="204"/>
      <c r="DE129" s="204"/>
      <c r="DF129" s="204"/>
      <c r="DG129" s="204"/>
      <c r="DH129" s="204"/>
      <c r="FC129" s="200" t="str">
        <f t="shared" si="9"/>
        <v>I</v>
      </c>
    </row>
    <row r="130" spans="1:159" s="202" customFormat="1" ht="24.75" hidden="1" customHeight="1" x14ac:dyDescent="0.2">
      <c r="A130" s="136"/>
      <c r="B130" s="145"/>
      <c r="C130" s="152"/>
      <c r="D130" s="36"/>
      <c r="E130" s="220"/>
      <c r="F130" s="221"/>
      <c r="G130" s="221"/>
      <c r="H130" s="222"/>
      <c r="I130" s="220"/>
      <c r="J130" s="223"/>
      <c r="K130" s="221"/>
      <c r="L130" s="224"/>
      <c r="M130" s="220"/>
      <c r="N130" s="221"/>
      <c r="O130" s="221"/>
      <c r="P130" s="222"/>
      <c r="Q130" s="225"/>
      <c r="R130" s="226"/>
      <c r="S130" s="226"/>
      <c r="T130" s="226"/>
      <c r="U130" s="225"/>
      <c r="V130" s="226"/>
      <c r="W130" s="226"/>
      <c r="X130" s="227"/>
      <c r="Y130" s="168">
        <f t="shared" si="11"/>
        <v>0</v>
      </c>
      <c r="Z130" s="168">
        <f t="shared" si="10"/>
        <v>0</v>
      </c>
      <c r="AA130" s="169"/>
      <c r="AB130" s="195"/>
      <c r="AC130" s="195"/>
      <c r="AD130" s="195"/>
      <c r="AE130" s="203"/>
      <c r="AF130" s="203"/>
      <c r="AG130" s="195"/>
      <c r="AH130" s="200"/>
      <c r="AP130" s="200"/>
      <c r="AQ130" s="200"/>
      <c r="AS130" s="200"/>
      <c r="AU130" s="200"/>
      <c r="AW130" s="200"/>
      <c r="AX130" s="20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1"/>
      <c r="BT130" s="204"/>
      <c r="BU130" s="204"/>
      <c r="BV130" s="204"/>
      <c r="BW130" s="204"/>
      <c r="BX130" s="204"/>
      <c r="BY130" s="204"/>
      <c r="BZ130" s="204"/>
      <c r="CA130" s="204"/>
      <c r="CB130" s="204"/>
      <c r="CC130" s="204"/>
      <c r="CD130" s="204"/>
      <c r="CE130" s="204"/>
      <c r="CF130" s="204"/>
      <c r="CG130" s="204"/>
      <c r="CH130" s="204"/>
      <c r="CI130" s="204"/>
      <c r="CJ130" s="204"/>
      <c r="CK130" s="204"/>
      <c r="CL130" s="204"/>
      <c r="CM130" s="204"/>
      <c r="CN130" s="204"/>
      <c r="CO130" s="204"/>
      <c r="CP130" s="204"/>
      <c r="CQ130" s="204"/>
      <c r="CR130" s="204"/>
      <c r="CS130" s="204"/>
      <c r="CT130" s="204"/>
      <c r="CU130" s="204"/>
      <c r="CV130" s="204"/>
      <c r="CW130" s="204"/>
      <c r="CX130" s="204"/>
      <c r="CY130" s="204"/>
      <c r="CZ130" s="198"/>
      <c r="DA130" s="204"/>
      <c r="DB130" s="204"/>
      <c r="DC130" s="204"/>
      <c r="DD130" s="204"/>
      <c r="DE130" s="204"/>
      <c r="DF130" s="204"/>
      <c r="DG130" s="204"/>
      <c r="DH130" s="204"/>
      <c r="FC130" s="200" t="str">
        <f t="shared" si="9"/>
        <v>I</v>
      </c>
    </row>
    <row r="131" spans="1:159" s="202" customFormat="1" ht="24.75" hidden="1" customHeight="1" x14ac:dyDescent="0.2">
      <c r="A131" s="136"/>
      <c r="B131" s="145"/>
      <c r="C131" s="152"/>
      <c r="D131" s="36"/>
      <c r="E131" s="220"/>
      <c r="F131" s="221"/>
      <c r="G131" s="221"/>
      <c r="H131" s="222"/>
      <c r="I131" s="220"/>
      <c r="J131" s="223"/>
      <c r="K131" s="221"/>
      <c r="L131" s="224"/>
      <c r="M131" s="220"/>
      <c r="N131" s="221"/>
      <c r="O131" s="221"/>
      <c r="P131" s="222"/>
      <c r="Q131" s="225"/>
      <c r="R131" s="226"/>
      <c r="S131" s="226"/>
      <c r="T131" s="226"/>
      <c r="U131" s="225"/>
      <c r="V131" s="226"/>
      <c r="W131" s="226"/>
      <c r="X131" s="227"/>
      <c r="Y131" s="168">
        <f t="shared" si="11"/>
        <v>0</v>
      </c>
      <c r="Z131" s="168">
        <f t="shared" si="10"/>
        <v>0</v>
      </c>
      <c r="AA131" s="169"/>
      <c r="AB131" s="195"/>
      <c r="AC131" s="195"/>
      <c r="AD131" s="195"/>
      <c r="AE131" s="203"/>
      <c r="AF131" s="203"/>
      <c r="AG131" s="195"/>
      <c r="AH131" s="200"/>
      <c r="AP131" s="200"/>
      <c r="AQ131" s="200"/>
      <c r="AS131" s="200"/>
      <c r="AU131" s="200"/>
      <c r="AW131" s="200"/>
      <c r="AX131" s="200"/>
      <c r="AY131" s="170"/>
      <c r="AZ131" s="170"/>
      <c r="BA131" s="170"/>
      <c r="BB131" s="170"/>
      <c r="BC131" s="170"/>
      <c r="BD131" s="170"/>
      <c r="BE131" s="170"/>
      <c r="BF131" s="170"/>
      <c r="BG131" s="170"/>
      <c r="BH131" s="170"/>
      <c r="BI131" s="170"/>
      <c r="BJ131" s="170"/>
      <c r="BK131" s="170"/>
      <c r="BL131" s="170"/>
      <c r="BM131" s="170"/>
      <c r="BN131" s="170"/>
      <c r="BO131" s="170"/>
      <c r="BP131" s="170"/>
      <c r="BQ131" s="170"/>
      <c r="BR131" s="170"/>
      <c r="BS131" s="171"/>
      <c r="BT131" s="204"/>
      <c r="BU131" s="204"/>
      <c r="BV131" s="204"/>
      <c r="BW131" s="204"/>
      <c r="BX131" s="204"/>
      <c r="BY131" s="204"/>
      <c r="BZ131" s="204"/>
      <c r="CA131" s="204"/>
      <c r="CB131" s="204"/>
      <c r="CC131" s="204"/>
      <c r="CD131" s="204"/>
      <c r="CE131" s="204"/>
      <c r="CF131" s="204"/>
      <c r="CG131" s="204"/>
      <c r="CH131" s="204"/>
      <c r="CI131" s="204"/>
      <c r="CJ131" s="204"/>
      <c r="CK131" s="204"/>
      <c r="CL131" s="204"/>
      <c r="CM131" s="204"/>
      <c r="CN131" s="204"/>
      <c r="CO131" s="204"/>
      <c r="CP131" s="204"/>
      <c r="CQ131" s="204"/>
      <c r="CR131" s="204"/>
      <c r="CS131" s="204"/>
      <c r="CT131" s="204"/>
      <c r="CU131" s="204"/>
      <c r="CV131" s="204"/>
      <c r="CW131" s="204"/>
      <c r="CX131" s="204"/>
      <c r="CY131" s="204"/>
      <c r="CZ131" s="198"/>
      <c r="DA131" s="204"/>
      <c r="DB131" s="204"/>
      <c r="DC131" s="204"/>
      <c r="DD131" s="204"/>
      <c r="DE131" s="204"/>
      <c r="DF131" s="204"/>
      <c r="DG131" s="204"/>
      <c r="DH131" s="204"/>
      <c r="FC131" s="200" t="str">
        <f t="shared" ref="FC131:FC141" si="12">IF(EY131="","I",EY131)</f>
        <v>I</v>
      </c>
    </row>
    <row r="132" spans="1:159" s="202" customFormat="1" ht="24.75" hidden="1" customHeight="1" x14ac:dyDescent="0.2">
      <c r="A132" s="136"/>
      <c r="B132" s="145"/>
      <c r="C132" s="152"/>
      <c r="D132" s="36"/>
      <c r="E132" s="220"/>
      <c r="F132" s="221"/>
      <c r="G132" s="221"/>
      <c r="H132" s="222"/>
      <c r="I132" s="220"/>
      <c r="J132" s="223"/>
      <c r="K132" s="221"/>
      <c r="L132" s="224"/>
      <c r="M132" s="220"/>
      <c r="N132" s="221"/>
      <c r="O132" s="221"/>
      <c r="P132" s="222"/>
      <c r="Q132" s="225"/>
      <c r="R132" s="226"/>
      <c r="S132" s="226"/>
      <c r="T132" s="226"/>
      <c r="U132" s="225"/>
      <c r="V132" s="226"/>
      <c r="W132" s="226"/>
      <c r="X132" s="227"/>
      <c r="Y132" s="168">
        <f t="shared" si="11"/>
        <v>0</v>
      </c>
      <c r="Z132" s="168">
        <f t="shared" si="10"/>
        <v>0</v>
      </c>
      <c r="AA132" s="169"/>
      <c r="AB132" s="195"/>
      <c r="AC132" s="195"/>
      <c r="AD132" s="195"/>
      <c r="AE132" s="203"/>
      <c r="AF132" s="203"/>
      <c r="AG132" s="195"/>
      <c r="AH132" s="200"/>
      <c r="AP132" s="200"/>
      <c r="AQ132" s="200"/>
      <c r="AS132" s="200"/>
      <c r="AU132" s="200"/>
      <c r="AW132" s="200"/>
      <c r="AX132" s="200"/>
      <c r="AY132" s="170"/>
      <c r="AZ132" s="170"/>
      <c r="BA132" s="170"/>
      <c r="BB132" s="170"/>
      <c r="BC132" s="170"/>
      <c r="BD132" s="170"/>
      <c r="BE132" s="170"/>
      <c r="BF132" s="170"/>
      <c r="BG132" s="170"/>
      <c r="BH132" s="170"/>
      <c r="BI132" s="170"/>
      <c r="BJ132" s="170"/>
      <c r="BK132" s="170"/>
      <c r="BL132" s="170"/>
      <c r="BM132" s="170"/>
      <c r="BN132" s="170"/>
      <c r="BO132" s="170"/>
      <c r="BP132" s="170"/>
      <c r="BQ132" s="170"/>
      <c r="BR132" s="170"/>
      <c r="BS132" s="171"/>
      <c r="BT132" s="204"/>
      <c r="BU132" s="204"/>
      <c r="BV132" s="204"/>
      <c r="BW132" s="204"/>
      <c r="BX132" s="204"/>
      <c r="BY132" s="204"/>
      <c r="BZ132" s="204"/>
      <c r="CA132" s="204"/>
      <c r="CB132" s="204"/>
      <c r="CC132" s="204"/>
      <c r="CD132" s="204"/>
      <c r="CE132" s="204"/>
      <c r="CF132" s="204"/>
      <c r="CG132" s="204"/>
      <c r="CH132" s="204"/>
      <c r="CI132" s="204"/>
      <c r="CJ132" s="204"/>
      <c r="CK132" s="204"/>
      <c r="CL132" s="204"/>
      <c r="CM132" s="204"/>
      <c r="CN132" s="204"/>
      <c r="CO132" s="204"/>
      <c r="CP132" s="204"/>
      <c r="CQ132" s="204"/>
      <c r="CR132" s="204"/>
      <c r="CS132" s="204"/>
      <c r="CT132" s="204"/>
      <c r="CU132" s="204"/>
      <c r="CV132" s="204"/>
      <c r="CW132" s="204"/>
      <c r="CX132" s="204"/>
      <c r="CY132" s="204"/>
      <c r="CZ132" s="198"/>
      <c r="DA132" s="204"/>
      <c r="DB132" s="204"/>
      <c r="DC132" s="204"/>
      <c r="DD132" s="204"/>
      <c r="DE132" s="204"/>
      <c r="DF132" s="204"/>
      <c r="DG132" s="204"/>
      <c r="DH132" s="204"/>
      <c r="FC132" s="200" t="str">
        <f t="shared" si="12"/>
        <v>I</v>
      </c>
    </row>
    <row r="133" spans="1:159" s="202" customFormat="1" ht="24.75" hidden="1" customHeight="1" x14ac:dyDescent="0.2">
      <c r="A133" s="136"/>
      <c r="B133" s="145"/>
      <c r="C133" s="152"/>
      <c r="D133" s="36"/>
      <c r="E133" s="220"/>
      <c r="F133" s="221"/>
      <c r="G133" s="221"/>
      <c r="H133" s="222"/>
      <c r="I133" s="220"/>
      <c r="J133" s="223"/>
      <c r="K133" s="221"/>
      <c r="L133" s="224"/>
      <c r="M133" s="220"/>
      <c r="N133" s="221"/>
      <c r="O133" s="221"/>
      <c r="P133" s="222"/>
      <c r="Q133" s="225"/>
      <c r="R133" s="226"/>
      <c r="S133" s="226"/>
      <c r="T133" s="226"/>
      <c r="U133" s="225"/>
      <c r="V133" s="226"/>
      <c r="W133" s="226"/>
      <c r="X133" s="220"/>
      <c r="Y133" s="168">
        <f t="shared" si="11"/>
        <v>0</v>
      </c>
      <c r="Z133" s="168">
        <f t="shared" si="10"/>
        <v>0</v>
      </c>
      <c r="AA133" s="169"/>
      <c r="AB133" s="195"/>
      <c r="AC133" s="195"/>
      <c r="AD133" s="195"/>
      <c r="AE133" s="203"/>
      <c r="AF133" s="203"/>
      <c r="AG133" s="195"/>
      <c r="AH133" s="200"/>
      <c r="AP133" s="200"/>
      <c r="AQ133" s="200"/>
      <c r="AS133" s="200"/>
      <c r="AU133" s="200"/>
      <c r="AW133" s="200"/>
      <c r="AX133" s="200"/>
      <c r="AY133" s="170"/>
      <c r="AZ133" s="170"/>
      <c r="BA133" s="170"/>
      <c r="BB133" s="170"/>
      <c r="BC133" s="170"/>
      <c r="BD133" s="170"/>
      <c r="BE133" s="170"/>
      <c r="BF133" s="170"/>
      <c r="BG133" s="170"/>
      <c r="BH133" s="170"/>
      <c r="BI133" s="170"/>
      <c r="BJ133" s="170"/>
      <c r="BK133" s="170"/>
      <c r="BL133" s="170"/>
      <c r="BM133" s="170"/>
      <c r="BN133" s="170"/>
      <c r="BO133" s="170"/>
      <c r="BP133" s="170"/>
      <c r="BQ133" s="170"/>
      <c r="BR133" s="170"/>
      <c r="BS133" s="171"/>
      <c r="BT133" s="204"/>
      <c r="BU133" s="204"/>
      <c r="BV133" s="204"/>
      <c r="BW133" s="204"/>
      <c r="BX133" s="204"/>
      <c r="BY133" s="204"/>
      <c r="BZ133" s="204"/>
      <c r="CA133" s="204"/>
      <c r="CB133" s="204"/>
      <c r="CC133" s="204"/>
      <c r="CD133" s="204"/>
      <c r="CE133" s="204"/>
      <c r="CF133" s="204"/>
      <c r="CG133" s="204"/>
      <c r="CH133" s="204"/>
      <c r="CI133" s="204"/>
      <c r="CJ133" s="204"/>
      <c r="CK133" s="204"/>
      <c r="CL133" s="204"/>
      <c r="CM133" s="204"/>
      <c r="CN133" s="204"/>
      <c r="CO133" s="204"/>
      <c r="CP133" s="204"/>
      <c r="CQ133" s="204"/>
      <c r="CR133" s="204"/>
      <c r="CS133" s="204"/>
      <c r="CT133" s="204"/>
      <c r="CU133" s="204"/>
      <c r="CV133" s="204"/>
      <c r="CW133" s="204"/>
      <c r="CX133" s="204"/>
      <c r="CY133" s="204"/>
      <c r="CZ133" s="198"/>
      <c r="DA133" s="204"/>
      <c r="DB133" s="204"/>
      <c r="DC133" s="204"/>
      <c r="DD133" s="204"/>
      <c r="DE133" s="204"/>
      <c r="DF133" s="204"/>
      <c r="DG133" s="204"/>
      <c r="DH133" s="204"/>
      <c r="FC133" s="200" t="str">
        <f t="shared" si="12"/>
        <v>I</v>
      </c>
    </row>
    <row r="134" spans="1:159" s="202" customFormat="1" ht="24.75" hidden="1" customHeight="1" x14ac:dyDescent="0.2">
      <c r="A134" s="136"/>
      <c r="B134" s="145"/>
      <c r="C134" s="152"/>
      <c r="D134" s="36"/>
      <c r="E134" s="220"/>
      <c r="F134" s="221"/>
      <c r="G134" s="221"/>
      <c r="H134" s="222"/>
      <c r="I134" s="220"/>
      <c r="J134" s="223"/>
      <c r="K134" s="221"/>
      <c r="L134" s="224"/>
      <c r="M134" s="220"/>
      <c r="N134" s="221"/>
      <c r="O134" s="221"/>
      <c r="P134" s="222"/>
      <c r="Q134" s="225"/>
      <c r="R134" s="226"/>
      <c r="S134" s="226"/>
      <c r="T134" s="226"/>
      <c r="U134" s="225"/>
      <c r="V134" s="226"/>
      <c r="W134" s="226"/>
      <c r="X134" s="227"/>
      <c r="Y134" s="168">
        <f t="shared" si="11"/>
        <v>0</v>
      </c>
      <c r="Z134" s="168">
        <f t="shared" si="10"/>
        <v>0</v>
      </c>
      <c r="AA134" s="169"/>
      <c r="AB134" s="195"/>
      <c r="AC134" s="195"/>
      <c r="AD134" s="195"/>
      <c r="AE134" s="203"/>
      <c r="AF134" s="203"/>
      <c r="AG134" s="195"/>
      <c r="AH134" s="200"/>
      <c r="AP134" s="200"/>
      <c r="AQ134" s="200"/>
      <c r="AS134" s="200"/>
      <c r="AU134" s="200"/>
      <c r="AW134" s="200"/>
      <c r="AX134" s="200"/>
      <c r="AY134" s="170"/>
      <c r="AZ134" s="170"/>
      <c r="BA134" s="170"/>
      <c r="BB134" s="170"/>
      <c r="BC134" s="170"/>
      <c r="BD134" s="170"/>
      <c r="BE134" s="170"/>
      <c r="BF134" s="170"/>
      <c r="BG134" s="170"/>
      <c r="BH134" s="170"/>
      <c r="BI134" s="170"/>
      <c r="BJ134" s="170"/>
      <c r="BK134" s="170"/>
      <c r="BL134" s="170"/>
      <c r="BM134" s="170"/>
      <c r="BN134" s="170"/>
      <c r="BO134" s="170"/>
      <c r="BP134" s="170"/>
      <c r="BQ134" s="170"/>
      <c r="BR134" s="170"/>
      <c r="BS134" s="171"/>
      <c r="BT134" s="204"/>
      <c r="BU134" s="204"/>
      <c r="BV134" s="204"/>
      <c r="BW134" s="204"/>
      <c r="BX134" s="204"/>
      <c r="BY134" s="204"/>
      <c r="BZ134" s="204"/>
      <c r="CA134" s="204"/>
      <c r="CB134" s="204"/>
      <c r="CC134" s="204"/>
      <c r="CD134" s="204"/>
      <c r="CE134" s="204"/>
      <c r="CF134" s="204"/>
      <c r="CG134" s="204"/>
      <c r="CH134" s="204"/>
      <c r="CI134" s="204"/>
      <c r="CJ134" s="204"/>
      <c r="CK134" s="204"/>
      <c r="CL134" s="204"/>
      <c r="CM134" s="204"/>
      <c r="CN134" s="204"/>
      <c r="CO134" s="204"/>
      <c r="CP134" s="204"/>
      <c r="CQ134" s="204"/>
      <c r="CR134" s="204"/>
      <c r="CS134" s="204"/>
      <c r="CT134" s="204"/>
      <c r="CU134" s="204"/>
      <c r="CV134" s="204"/>
      <c r="CW134" s="204"/>
      <c r="CX134" s="204"/>
      <c r="CY134" s="204"/>
      <c r="CZ134" s="198"/>
      <c r="DA134" s="204"/>
      <c r="DB134" s="204"/>
      <c r="DC134" s="204"/>
      <c r="DD134" s="204"/>
      <c r="DE134" s="204"/>
      <c r="DF134" s="204"/>
      <c r="DG134" s="204"/>
      <c r="DH134" s="204"/>
      <c r="FC134" s="200" t="str">
        <f t="shared" si="12"/>
        <v>I</v>
      </c>
    </row>
    <row r="135" spans="1:159" s="202" customFormat="1" ht="24.75" hidden="1" customHeight="1" x14ac:dyDescent="0.2">
      <c r="A135" s="136"/>
      <c r="B135" s="145"/>
      <c r="C135" s="152"/>
      <c r="D135" s="36"/>
      <c r="E135" s="220"/>
      <c r="F135" s="221"/>
      <c r="G135" s="221"/>
      <c r="H135" s="222"/>
      <c r="I135" s="220"/>
      <c r="J135" s="223"/>
      <c r="K135" s="221"/>
      <c r="L135" s="224"/>
      <c r="M135" s="220"/>
      <c r="N135" s="221"/>
      <c r="O135" s="221"/>
      <c r="P135" s="222"/>
      <c r="Q135" s="225"/>
      <c r="R135" s="226"/>
      <c r="S135" s="226"/>
      <c r="T135" s="226"/>
      <c r="U135" s="225"/>
      <c r="V135" s="226"/>
      <c r="W135" s="226"/>
      <c r="X135" s="227"/>
      <c r="Y135" s="168">
        <f t="shared" si="11"/>
        <v>0</v>
      </c>
      <c r="Z135" s="168">
        <f t="shared" si="10"/>
        <v>0</v>
      </c>
      <c r="AA135" s="169"/>
      <c r="AB135" s="195"/>
      <c r="AC135" s="195"/>
      <c r="AD135" s="195"/>
      <c r="AE135" s="203"/>
      <c r="AF135" s="203"/>
      <c r="AG135" s="195"/>
      <c r="AH135" s="200"/>
      <c r="AP135" s="200"/>
      <c r="AQ135" s="200"/>
      <c r="AS135" s="200"/>
      <c r="AU135" s="200"/>
      <c r="AW135" s="200"/>
      <c r="AX135" s="200"/>
      <c r="AY135" s="170"/>
      <c r="AZ135" s="170"/>
      <c r="BA135" s="170"/>
      <c r="BB135" s="170"/>
      <c r="BC135" s="170"/>
      <c r="BD135" s="170"/>
      <c r="BE135" s="170"/>
      <c r="BF135" s="170"/>
      <c r="BG135" s="170"/>
      <c r="BH135" s="170"/>
      <c r="BI135" s="170"/>
      <c r="BJ135" s="170"/>
      <c r="BK135" s="170"/>
      <c r="BL135" s="170"/>
      <c r="BM135" s="170"/>
      <c r="BN135" s="170"/>
      <c r="BO135" s="170"/>
      <c r="BP135" s="170"/>
      <c r="BQ135" s="170"/>
      <c r="BR135" s="170"/>
      <c r="BS135" s="171"/>
      <c r="BT135" s="204"/>
      <c r="BU135" s="204"/>
      <c r="BV135" s="204"/>
      <c r="BW135" s="204"/>
      <c r="BX135" s="204"/>
      <c r="BY135" s="204"/>
      <c r="BZ135" s="204"/>
      <c r="CA135" s="204"/>
      <c r="CB135" s="204"/>
      <c r="CC135" s="204"/>
      <c r="CD135" s="204"/>
      <c r="CE135" s="204"/>
      <c r="CF135" s="204"/>
      <c r="CG135" s="204"/>
      <c r="CH135" s="204"/>
      <c r="CI135" s="204"/>
      <c r="CJ135" s="204"/>
      <c r="CK135" s="204"/>
      <c r="CL135" s="204"/>
      <c r="CM135" s="204"/>
      <c r="CN135" s="204"/>
      <c r="CO135" s="204"/>
      <c r="CP135" s="204"/>
      <c r="CQ135" s="204"/>
      <c r="CR135" s="204"/>
      <c r="CS135" s="204"/>
      <c r="CT135" s="204"/>
      <c r="CU135" s="204"/>
      <c r="CV135" s="204"/>
      <c r="CW135" s="204"/>
      <c r="CX135" s="204"/>
      <c r="CY135" s="204"/>
      <c r="CZ135" s="198"/>
      <c r="DA135" s="204"/>
      <c r="DB135" s="204"/>
      <c r="DC135" s="204"/>
      <c r="DD135" s="204"/>
      <c r="DE135" s="204"/>
      <c r="DF135" s="204"/>
      <c r="DG135" s="204"/>
      <c r="DH135" s="204"/>
      <c r="FC135" s="200" t="str">
        <f t="shared" si="12"/>
        <v>I</v>
      </c>
    </row>
    <row r="136" spans="1:159" s="202" customFormat="1" ht="24.75" hidden="1" customHeight="1" x14ac:dyDescent="0.2">
      <c r="A136" s="136"/>
      <c r="B136" s="145"/>
      <c r="C136" s="153"/>
      <c r="D136" s="38"/>
      <c r="E136" s="220"/>
      <c r="F136" s="221"/>
      <c r="G136" s="221"/>
      <c r="H136" s="222"/>
      <c r="I136" s="220"/>
      <c r="J136" s="223"/>
      <c r="K136" s="221"/>
      <c r="L136" s="224"/>
      <c r="M136" s="220"/>
      <c r="N136" s="221"/>
      <c r="O136" s="221"/>
      <c r="P136" s="222"/>
      <c r="Q136" s="225"/>
      <c r="R136" s="226"/>
      <c r="S136" s="226"/>
      <c r="T136" s="226"/>
      <c r="U136" s="225"/>
      <c r="V136" s="226"/>
      <c r="W136" s="226"/>
      <c r="X136" s="227"/>
      <c r="Y136" s="168">
        <f t="shared" si="11"/>
        <v>0</v>
      </c>
      <c r="Z136" s="168">
        <f t="shared" si="10"/>
        <v>0</v>
      </c>
      <c r="AA136" s="169"/>
      <c r="AB136" s="195"/>
      <c r="AC136" s="195"/>
      <c r="AD136" s="195"/>
      <c r="AE136" s="203"/>
      <c r="AF136" s="203"/>
      <c r="AG136" s="195"/>
      <c r="AH136" s="200"/>
      <c r="AP136" s="200"/>
      <c r="AQ136" s="200"/>
      <c r="AS136" s="200"/>
      <c r="AU136" s="200"/>
      <c r="AW136" s="200"/>
      <c r="AX136" s="200"/>
      <c r="AY136" s="170"/>
      <c r="AZ136" s="170"/>
      <c r="BA136" s="170"/>
      <c r="BB136" s="170"/>
      <c r="BC136" s="170"/>
      <c r="BD136" s="170"/>
      <c r="BE136" s="170"/>
      <c r="BF136" s="170"/>
      <c r="BG136" s="170"/>
      <c r="BH136" s="170"/>
      <c r="BI136" s="170"/>
      <c r="BJ136" s="170"/>
      <c r="BK136" s="170"/>
      <c r="BL136" s="170"/>
      <c r="BM136" s="170"/>
      <c r="BN136" s="170"/>
      <c r="BO136" s="170"/>
      <c r="BP136" s="170"/>
      <c r="BQ136" s="170"/>
      <c r="BR136" s="170"/>
      <c r="BS136" s="171"/>
      <c r="BT136" s="204"/>
      <c r="BU136" s="204"/>
      <c r="BV136" s="204"/>
      <c r="BW136" s="204"/>
      <c r="BX136" s="204"/>
      <c r="BY136" s="204"/>
      <c r="BZ136" s="204"/>
      <c r="CA136" s="204"/>
      <c r="CB136" s="204"/>
      <c r="CC136" s="204"/>
      <c r="CD136" s="204"/>
      <c r="CE136" s="204"/>
      <c r="CF136" s="204"/>
      <c r="CG136" s="204"/>
      <c r="CH136" s="204"/>
      <c r="CI136" s="204"/>
      <c r="CJ136" s="204"/>
      <c r="CK136" s="204"/>
      <c r="CL136" s="204"/>
      <c r="CM136" s="204"/>
      <c r="CN136" s="204"/>
      <c r="CO136" s="204"/>
      <c r="CP136" s="204"/>
      <c r="CQ136" s="204"/>
      <c r="CR136" s="204"/>
      <c r="CS136" s="204"/>
      <c r="CT136" s="204"/>
      <c r="CU136" s="204"/>
      <c r="CV136" s="204"/>
      <c r="CW136" s="204"/>
      <c r="CX136" s="204"/>
      <c r="CY136" s="204"/>
      <c r="CZ136" s="198"/>
      <c r="DA136" s="204"/>
      <c r="DB136" s="204"/>
      <c r="DC136" s="204"/>
      <c r="DD136" s="204"/>
      <c r="DE136" s="204"/>
      <c r="DF136" s="204"/>
      <c r="DG136" s="204"/>
      <c r="DH136" s="204"/>
      <c r="FC136" s="200" t="str">
        <f t="shared" si="12"/>
        <v>I</v>
      </c>
    </row>
    <row r="137" spans="1:159" s="202" customFormat="1" ht="24.75" hidden="1" customHeight="1" x14ac:dyDescent="0.2">
      <c r="A137" s="136"/>
      <c r="B137" s="145"/>
      <c r="C137" s="153"/>
      <c r="D137" s="38"/>
      <c r="E137" s="220"/>
      <c r="F137" s="221"/>
      <c r="G137" s="221"/>
      <c r="H137" s="222"/>
      <c r="I137" s="220"/>
      <c r="J137" s="223"/>
      <c r="K137" s="221"/>
      <c r="L137" s="224"/>
      <c r="M137" s="220"/>
      <c r="N137" s="221"/>
      <c r="O137" s="221"/>
      <c r="P137" s="222"/>
      <c r="Q137" s="225"/>
      <c r="R137" s="226"/>
      <c r="S137" s="226"/>
      <c r="T137" s="226"/>
      <c r="U137" s="225"/>
      <c r="V137" s="226"/>
      <c r="W137" s="226"/>
      <c r="X137" s="227"/>
      <c r="Y137" s="168">
        <f t="shared" si="11"/>
        <v>0</v>
      </c>
      <c r="Z137" s="168">
        <f t="shared" si="10"/>
        <v>0</v>
      </c>
      <c r="AA137" s="169"/>
      <c r="AB137" s="195"/>
      <c r="AC137" s="195"/>
      <c r="AD137" s="195"/>
      <c r="AE137" s="203"/>
      <c r="AF137" s="203"/>
      <c r="AG137" s="195"/>
      <c r="AH137" s="200"/>
      <c r="AP137" s="200"/>
      <c r="AQ137" s="200"/>
      <c r="AS137" s="200"/>
      <c r="AU137" s="200"/>
      <c r="AW137" s="200"/>
      <c r="AX137" s="200"/>
      <c r="AY137" s="170"/>
      <c r="AZ137" s="170"/>
      <c r="BA137" s="170"/>
      <c r="BB137" s="170"/>
      <c r="BC137" s="170"/>
      <c r="BD137" s="170"/>
      <c r="BE137" s="170"/>
      <c r="BF137" s="170"/>
      <c r="BG137" s="170"/>
      <c r="BH137" s="170"/>
      <c r="BI137" s="170"/>
      <c r="BJ137" s="170"/>
      <c r="BK137" s="170"/>
      <c r="BL137" s="170"/>
      <c r="BM137" s="170"/>
      <c r="BN137" s="170"/>
      <c r="BO137" s="170"/>
      <c r="BP137" s="170"/>
      <c r="BQ137" s="170"/>
      <c r="BR137" s="170"/>
      <c r="BS137" s="171"/>
      <c r="BT137" s="204"/>
      <c r="BU137" s="204"/>
      <c r="BV137" s="204"/>
      <c r="BW137" s="204"/>
      <c r="BX137" s="204"/>
      <c r="BY137" s="204"/>
      <c r="BZ137" s="204"/>
      <c r="CA137" s="204"/>
      <c r="CB137" s="204"/>
      <c r="CC137" s="204"/>
      <c r="CD137" s="204"/>
      <c r="CE137" s="204"/>
      <c r="CF137" s="204"/>
      <c r="CG137" s="204"/>
      <c r="CH137" s="204"/>
      <c r="CI137" s="204"/>
      <c r="CJ137" s="204"/>
      <c r="CK137" s="204"/>
      <c r="CL137" s="204"/>
      <c r="CM137" s="204"/>
      <c r="CN137" s="204"/>
      <c r="CO137" s="204"/>
      <c r="CP137" s="204"/>
      <c r="CQ137" s="204"/>
      <c r="CR137" s="204"/>
      <c r="CS137" s="204"/>
      <c r="CT137" s="204"/>
      <c r="CU137" s="204"/>
      <c r="CV137" s="204"/>
      <c r="CW137" s="204"/>
      <c r="CX137" s="204"/>
      <c r="CY137" s="204"/>
      <c r="CZ137" s="198"/>
      <c r="DA137" s="204"/>
      <c r="DB137" s="204"/>
      <c r="DC137" s="204"/>
      <c r="DD137" s="204"/>
      <c r="DE137" s="204"/>
      <c r="DF137" s="204"/>
      <c r="DG137" s="204"/>
      <c r="DH137" s="204"/>
      <c r="FC137" s="200" t="str">
        <f t="shared" si="12"/>
        <v>I</v>
      </c>
    </row>
    <row r="138" spans="1:159" s="202" customFormat="1" ht="24.75" hidden="1" customHeight="1" x14ac:dyDescent="0.2">
      <c r="A138" s="136"/>
      <c r="B138" s="145"/>
      <c r="C138" s="153"/>
      <c r="D138" s="38"/>
      <c r="E138" s="220"/>
      <c r="F138" s="221"/>
      <c r="G138" s="221"/>
      <c r="H138" s="222"/>
      <c r="I138" s="220"/>
      <c r="J138" s="223"/>
      <c r="K138" s="221"/>
      <c r="L138" s="224"/>
      <c r="M138" s="220"/>
      <c r="N138" s="221"/>
      <c r="O138" s="221"/>
      <c r="P138" s="222"/>
      <c r="Q138" s="225"/>
      <c r="R138" s="226"/>
      <c r="S138" s="226"/>
      <c r="T138" s="226"/>
      <c r="U138" s="225"/>
      <c r="V138" s="226"/>
      <c r="W138" s="226"/>
      <c r="X138" s="227"/>
      <c r="Y138" s="168">
        <f t="shared" si="11"/>
        <v>0</v>
      </c>
      <c r="Z138" s="168">
        <f t="shared" si="10"/>
        <v>0</v>
      </c>
      <c r="AA138" s="169"/>
      <c r="AB138" s="195"/>
      <c r="AC138" s="195"/>
      <c r="AD138" s="195"/>
      <c r="AE138" s="203"/>
      <c r="AF138" s="203"/>
      <c r="AG138" s="195"/>
      <c r="AH138" s="200"/>
      <c r="AP138" s="200"/>
      <c r="AQ138" s="200"/>
      <c r="AS138" s="200"/>
      <c r="AU138" s="200"/>
      <c r="AW138" s="200"/>
      <c r="AX138" s="200"/>
      <c r="AY138" s="170"/>
      <c r="AZ138" s="170"/>
      <c r="BA138" s="170"/>
      <c r="BB138" s="170"/>
      <c r="BC138" s="170"/>
      <c r="BD138" s="170"/>
      <c r="BE138" s="170"/>
      <c r="BF138" s="170"/>
      <c r="BG138" s="170"/>
      <c r="BH138" s="170"/>
      <c r="BI138" s="170"/>
      <c r="BJ138" s="170"/>
      <c r="BK138" s="170"/>
      <c r="BL138" s="170"/>
      <c r="BM138" s="170"/>
      <c r="BN138" s="170"/>
      <c r="BO138" s="170"/>
      <c r="BP138" s="170"/>
      <c r="BQ138" s="170"/>
      <c r="BR138" s="170"/>
      <c r="BS138" s="171"/>
      <c r="BT138" s="204"/>
      <c r="BU138" s="204"/>
      <c r="BV138" s="204"/>
      <c r="BW138" s="204"/>
      <c r="BX138" s="204"/>
      <c r="BY138" s="204"/>
      <c r="BZ138" s="204"/>
      <c r="CA138" s="204"/>
      <c r="CB138" s="204"/>
      <c r="CC138" s="204"/>
      <c r="CD138" s="204"/>
      <c r="CE138" s="204"/>
      <c r="CF138" s="204"/>
      <c r="CG138" s="204"/>
      <c r="CH138" s="204"/>
      <c r="CI138" s="204"/>
      <c r="CJ138" s="204"/>
      <c r="CK138" s="204"/>
      <c r="CL138" s="204"/>
      <c r="CM138" s="204"/>
      <c r="CN138" s="204"/>
      <c r="CO138" s="204"/>
      <c r="CP138" s="204"/>
      <c r="CQ138" s="204"/>
      <c r="CR138" s="204"/>
      <c r="CS138" s="204"/>
      <c r="CT138" s="204"/>
      <c r="CU138" s="204"/>
      <c r="CV138" s="204"/>
      <c r="CW138" s="204"/>
      <c r="CX138" s="204"/>
      <c r="CY138" s="204"/>
      <c r="CZ138" s="198"/>
      <c r="DA138" s="204"/>
      <c r="DB138" s="204"/>
      <c r="DC138" s="204"/>
      <c r="DD138" s="204"/>
      <c r="DE138" s="204"/>
      <c r="DF138" s="204"/>
      <c r="DG138" s="204"/>
      <c r="DH138" s="204"/>
      <c r="FC138" s="200" t="str">
        <f t="shared" si="12"/>
        <v>I</v>
      </c>
    </row>
    <row r="139" spans="1:159" s="202" customFormat="1" ht="24.75" hidden="1" customHeight="1" x14ac:dyDescent="0.2">
      <c r="A139" s="136"/>
      <c r="B139" s="145"/>
      <c r="C139" s="153"/>
      <c r="D139" s="38"/>
      <c r="E139" s="220"/>
      <c r="F139" s="221"/>
      <c r="G139" s="221"/>
      <c r="H139" s="222"/>
      <c r="I139" s="220"/>
      <c r="J139" s="223"/>
      <c r="K139" s="221"/>
      <c r="L139" s="224"/>
      <c r="M139" s="220"/>
      <c r="N139" s="221"/>
      <c r="O139" s="221"/>
      <c r="P139" s="222"/>
      <c r="Q139" s="225"/>
      <c r="R139" s="226"/>
      <c r="S139" s="226"/>
      <c r="T139" s="226"/>
      <c r="U139" s="225"/>
      <c r="V139" s="226"/>
      <c r="W139" s="226"/>
      <c r="X139" s="227"/>
      <c r="Y139" s="168">
        <f t="shared" si="11"/>
        <v>0</v>
      </c>
      <c r="Z139" s="168">
        <f t="shared" si="10"/>
        <v>0</v>
      </c>
      <c r="AA139" s="169"/>
      <c r="AB139" s="195"/>
      <c r="AC139" s="195"/>
      <c r="AD139" s="195"/>
      <c r="AE139" s="203"/>
      <c r="AF139" s="203"/>
      <c r="AG139" s="195"/>
      <c r="AH139" s="200"/>
      <c r="AP139" s="200"/>
      <c r="AQ139" s="200"/>
      <c r="AS139" s="200"/>
      <c r="AU139" s="200"/>
      <c r="AW139" s="200"/>
      <c r="AX139" s="200"/>
      <c r="AY139" s="170"/>
      <c r="AZ139" s="170"/>
      <c r="BA139" s="170"/>
      <c r="BB139" s="170"/>
      <c r="BC139" s="170"/>
      <c r="BD139" s="170"/>
      <c r="BE139" s="170"/>
      <c r="BF139" s="170"/>
      <c r="BG139" s="170"/>
      <c r="BH139" s="170"/>
      <c r="BI139" s="170"/>
      <c r="BJ139" s="170"/>
      <c r="BK139" s="170"/>
      <c r="BL139" s="170"/>
      <c r="BM139" s="170"/>
      <c r="BN139" s="170"/>
      <c r="BO139" s="170"/>
      <c r="BP139" s="170"/>
      <c r="BQ139" s="170"/>
      <c r="BR139" s="170"/>
      <c r="BS139" s="171"/>
      <c r="BT139" s="204"/>
      <c r="BU139" s="204"/>
      <c r="BV139" s="204"/>
      <c r="BW139" s="204"/>
      <c r="BX139" s="204"/>
      <c r="BY139" s="204"/>
      <c r="BZ139" s="204"/>
      <c r="CA139" s="204"/>
      <c r="CB139" s="204"/>
      <c r="CC139" s="204"/>
      <c r="CD139" s="204"/>
      <c r="CE139" s="204"/>
      <c r="CF139" s="204"/>
      <c r="CG139" s="204"/>
      <c r="CH139" s="204"/>
      <c r="CI139" s="204"/>
      <c r="CJ139" s="204"/>
      <c r="CK139" s="204"/>
      <c r="CL139" s="204"/>
      <c r="CM139" s="204"/>
      <c r="CN139" s="204"/>
      <c r="CO139" s="204"/>
      <c r="CP139" s="204"/>
      <c r="CQ139" s="204"/>
      <c r="CR139" s="204"/>
      <c r="CS139" s="204"/>
      <c r="CT139" s="204"/>
      <c r="CU139" s="204"/>
      <c r="CV139" s="204"/>
      <c r="CW139" s="204"/>
      <c r="CX139" s="204"/>
      <c r="CY139" s="204"/>
      <c r="CZ139" s="198"/>
      <c r="DA139" s="204"/>
      <c r="DB139" s="204"/>
      <c r="DC139" s="204"/>
      <c r="DD139" s="204"/>
      <c r="DE139" s="204"/>
      <c r="DF139" s="204"/>
      <c r="DG139" s="204"/>
      <c r="DH139" s="204"/>
      <c r="FC139" s="200" t="str">
        <f t="shared" si="12"/>
        <v>I</v>
      </c>
    </row>
    <row r="140" spans="1:159" s="202" customFormat="1" ht="24.75" hidden="1" customHeight="1" x14ac:dyDescent="0.2">
      <c r="A140" s="136"/>
      <c r="B140" s="145"/>
      <c r="C140" s="153"/>
      <c r="D140" s="38"/>
      <c r="E140" s="220"/>
      <c r="F140" s="221"/>
      <c r="G140" s="221"/>
      <c r="H140" s="222"/>
      <c r="I140" s="220"/>
      <c r="J140" s="223"/>
      <c r="K140" s="221"/>
      <c r="L140" s="224"/>
      <c r="M140" s="220"/>
      <c r="N140" s="221"/>
      <c r="O140" s="221"/>
      <c r="P140" s="222"/>
      <c r="Q140" s="225"/>
      <c r="R140" s="226"/>
      <c r="S140" s="226"/>
      <c r="T140" s="226"/>
      <c r="U140" s="225"/>
      <c r="V140" s="226"/>
      <c r="W140" s="226"/>
      <c r="X140" s="227"/>
      <c r="Y140" s="168">
        <f t="shared" si="11"/>
        <v>0</v>
      </c>
      <c r="Z140" s="168">
        <f t="shared" si="10"/>
        <v>0</v>
      </c>
      <c r="AA140" s="169"/>
      <c r="AB140" s="195"/>
      <c r="AC140" s="195"/>
      <c r="AD140" s="195"/>
      <c r="AE140" s="203"/>
      <c r="AF140" s="203"/>
      <c r="AG140" s="195"/>
      <c r="AH140" s="200"/>
      <c r="AP140" s="200"/>
      <c r="AQ140" s="200"/>
      <c r="AS140" s="200"/>
      <c r="AU140" s="200"/>
      <c r="AW140" s="200"/>
      <c r="AX140" s="200"/>
      <c r="AY140" s="170"/>
      <c r="AZ140" s="170"/>
      <c r="BA140" s="170"/>
      <c r="BB140" s="170"/>
      <c r="BC140" s="170"/>
      <c r="BD140" s="170"/>
      <c r="BE140" s="170"/>
      <c r="BF140" s="170"/>
      <c r="BG140" s="170"/>
      <c r="BH140" s="170"/>
      <c r="BI140" s="170"/>
      <c r="BJ140" s="170"/>
      <c r="BK140" s="170"/>
      <c r="BL140" s="170"/>
      <c r="BM140" s="170"/>
      <c r="BN140" s="170"/>
      <c r="BO140" s="170"/>
      <c r="BP140" s="170"/>
      <c r="BQ140" s="170"/>
      <c r="BR140" s="170"/>
      <c r="BS140" s="171"/>
      <c r="BT140" s="204"/>
      <c r="BU140" s="204"/>
      <c r="BV140" s="204"/>
      <c r="BW140" s="204"/>
      <c r="BX140" s="204"/>
      <c r="BY140" s="204"/>
      <c r="BZ140" s="204"/>
      <c r="CA140" s="204"/>
      <c r="CB140" s="204"/>
      <c r="CC140" s="204"/>
      <c r="CD140" s="204"/>
      <c r="CE140" s="204"/>
      <c r="CF140" s="204"/>
      <c r="CG140" s="204"/>
      <c r="CH140" s="204"/>
      <c r="CI140" s="204"/>
      <c r="CJ140" s="204"/>
      <c r="CK140" s="204"/>
      <c r="CL140" s="204"/>
      <c r="CM140" s="204"/>
      <c r="CN140" s="204"/>
      <c r="CO140" s="204"/>
      <c r="CP140" s="204"/>
      <c r="CQ140" s="204"/>
      <c r="CR140" s="204"/>
      <c r="CS140" s="204"/>
      <c r="CT140" s="204"/>
      <c r="CU140" s="204"/>
      <c r="CV140" s="204"/>
      <c r="CW140" s="204"/>
      <c r="CX140" s="204"/>
      <c r="CY140" s="204"/>
      <c r="CZ140" s="198"/>
      <c r="DA140" s="204"/>
      <c r="DB140" s="204"/>
      <c r="DC140" s="204"/>
      <c r="DD140" s="204"/>
      <c r="DE140" s="204"/>
      <c r="DF140" s="204"/>
      <c r="DG140" s="204"/>
      <c r="DH140" s="204"/>
      <c r="FC140" s="200" t="str">
        <f t="shared" si="12"/>
        <v>I</v>
      </c>
    </row>
    <row r="141" spans="1:159" s="202" customFormat="1" ht="24.75" customHeight="1" x14ac:dyDescent="0.2">
      <c r="A141" s="140"/>
      <c r="B141" s="147"/>
      <c r="C141" s="154"/>
      <c r="D141" s="62"/>
      <c r="E141" s="220"/>
      <c r="F141" s="221"/>
      <c r="G141" s="221"/>
      <c r="H141" s="222"/>
      <c r="I141" s="220"/>
      <c r="J141" s="223"/>
      <c r="K141" s="221"/>
      <c r="L141" s="224"/>
      <c r="M141" s="220"/>
      <c r="N141" s="221"/>
      <c r="O141" s="221"/>
      <c r="P141" s="222"/>
      <c r="Q141" s="225"/>
      <c r="R141" s="226"/>
      <c r="S141" s="226"/>
      <c r="T141" s="226"/>
      <c r="U141" s="225"/>
      <c r="V141" s="226"/>
      <c r="W141" s="226"/>
      <c r="X141" s="228"/>
      <c r="Y141" s="168"/>
      <c r="Z141" s="168"/>
      <c r="AA141" s="169"/>
      <c r="AB141" s="203"/>
      <c r="AC141" s="203"/>
      <c r="AD141" s="203"/>
      <c r="AE141" s="203"/>
      <c r="AF141" s="203"/>
      <c r="AG141" s="195"/>
      <c r="AH141" s="200"/>
      <c r="AP141" s="200"/>
      <c r="AQ141" s="200"/>
      <c r="AS141" s="200"/>
      <c r="AU141" s="200"/>
      <c r="AW141" s="200"/>
      <c r="AX141" s="200"/>
      <c r="AY141" s="170"/>
      <c r="AZ141" s="170"/>
      <c r="BA141" s="170"/>
      <c r="BB141" s="170"/>
      <c r="BC141" s="170"/>
      <c r="BD141" s="170"/>
      <c r="BE141" s="170"/>
      <c r="BF141" s="170"/>
      <c r="BG141" s="170"/>
      <c r="BH141" s="170"/>
      <c r="BI141" s="170"/>
      <c r="BJ141" s="170"/>
      <c r="BK141" s="170"/>
      <c r="BL141" s="170"/>
      <c r="BM141" s="170"/>
      <c r="BN141" s="170"/>
      <c r="BO141" s="170"/>
      <c r="BP141" s="170"/>
      <c r="BQ141" s="170"/>
      <c r="BR141" s="170"/>
      <c r="BS141" s="171"/>
      <c r="BT141" s="204"/>
      <c r="BU141" s="204"/>
      <c r="BV141" s="204"/>
      <c r="BW141" s="204"/>
      <c r="BX141" s="204"/>
      <c r="BY141" s="204"/>
      <c r="BZ141" s="204"/>
      <c r="CA141" s="204"/>
      <c r="CB141" s="204"/>
      <c r="CC141" s="204"/>
      <c r="CD141" s="204"/>
      <c r="CE141" s="204"/>
      <c r="CF141" s="204"/>
      <c r="CG141" s="204"/>
      <c r="CH141" s="204"/>
      <c r="CI141" s="204"/>
      <c r="CJ141" s="204"/>
      <c r="CK141" s="204"/>
      <c r="CL141" s="204"/>
      <c r="CM141" s="204"/>
      <c r="CN141" s="204"/>
      <c r="CO141" s="204"/>
      <c r="CP141" s="204"/>
      <c r="CQ141" s="204"/>
      <c r="CR141" s="204"/>
      <c r="CS141" s="204"/>
      <c r="CT141" s="204"/>
      <c r="CU141" s="204"/>
      <c r="CV141" s="204"/>
      <c r="CW141" s="204"/>
      <c r="CX141" s="204"/>
      <c r="CY141" s="204"/>
      <c r="CZ141" s="198"/>
      <c r="DA141" s="204"/>
      <c r="DB141" s="204"/>
      <c r="DC141" s="204"/>
      <c r="DD141" s="204"/>
      <c r="DE141" s="204"/>
      <c r="DF141" s="204"/>
      <c r="DG141" s="204"/>
      <c r="DH141" s="204"/>
      <c r="FC141" s="200" t="str">
        <f t="shared" si="12"/>
        <v>I</v>
      </c>
    </row>
    <row r="142" spans="1:159" s="13" customFormat="1" ht="28.5" customHeight="1" x14ac:dyDescent="0.2">
      <c r="A142" s="272" t="s">
        <v>31</v>
      </c>
      <c r="B142" s="273"/>
      <c r="C142" s="273"/>
      <c r="D142" s="95">
        <f>COUNTA(D3:D141)</f>
        <v>0</v>
      </c>
      <c r="E142" s="85">
        <v>0.5</v>
      </c>
      <c r="F142" s="86">
        <v>0.4</v>
      </c>
      <c r="G142" s="93"/>
      <c r="H142" s="94"/>
      <c r="I142" s="85">
        <v>0.7</v>
      </c>
      <c r="J142" s="86">
        <v>0.7</v>
      </c>
      <c r="K142" s="93"/>
      <c r="L142" s="94"/>
      <c r="M142" s="87">
        <v>0.85</v>
      </c>
      <c r="N142" s="86">
        <v>0.85</v>
      </c>
      <c r="O142" s="93"/>
      <c r="P142" s="92"/>
      <c r="Q142" s="87">
        <v>0.95</v>
      </c>
      <c r="R142" s="86">
        <v>0.95</v>
      </c>
      <c r="S142" s="92"/>
      <c r="T142" s="92"/>
      <c r="U142" s="87">
        <v>1</v>
      </c>
      <c r="V142" s="92"/>
      <c r="W142" s="92"/>
      <c r="X142" s="88">
        <v>1</v>
      </c>
      <c r="Y142" s="83">
        <f>IFERROR(SUM(Y3:Y141)/$D$142,0)</f>
        <v>0</v>
      </c>
      <c r="Z142" s="83">
        <f>IFERROR(SUM(Z3:Z141)/$D$142,0)</f>
        <v>0</v>
      </c>
      <c r="AA142" s="84"/>
      <c r="AB142" s="11"/>
      <c r="AC142" s="11"/>
      <c r="AD142" s="11"/>
      <c r="AE142" s="11"/>
      <c r="AF142" s="11"/>
      <c r="AG142" s="11"/>
      <c r="AH142" s="10"/>
      <c r="AP142" s="10"/>
      <c r="AQ142" s="10"/>
      <c r="AS142" s="10"/>
      <c r="AU142" s="10"/>
      <c r="AW142" s="10"/>
      <c r="AX142" s="10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4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8"/>
      <c r="DA142" s="12"/>
      <c r="DB142" s="12"/>
      <c r="DC142" s="12"/>
      <c r="DD142" s="12"/>
      <c r="DE142" s="12"/>
      <c r="DF142" s="12"/>
      <c r="DG142" s="12"/>
      <c r="DH142" s="12"/>
    </row>
    <row r="143" spans="1:159" s="15" customFormat="1" ht="28.5" customHeight="1" thickBot="1" x14ac:dyDescent="0.25">
      <c r="A143" s="274" t="s">
        <v>32</v>
      </c>
      <c r="B143" s="275"/>
      <c r="C143" s="275"/>
      <c r="D143" s="275"/>
      <c r="E143" s="89">
        <f t="shared" ref="E143:X143" si="13">COUNTA(E3:E141)</f>
        <v>0</v>
      </c>
      <c r="F143" s="90">
        <f t="shared" si="13"/>
        <v>0</v>
      </c>
      <c r="G143" s="90">
        <f t="shared" si="13"/>
        <v>0</v>
      </c>
      <c r="H143" s="91">
        <f t="shared" si="13"/>
        <v>0</v>
      </c>
      <c r="I143" s="89">
        <f t="shared" si="13"/>
        <v>0</v>
      </c>
      <c r="J143" s="90">
        <f t="shared" si="13"/>
        <v>0</v>
      </c>
      <c r="K143" s="90">
        <f t="shared" si="13"/>
        <v>0</v>
      </c>
      <c r="L143" s="91">
        <f t="shared" si="13"/>
        <v>0</v>
      </c>
      <c r="M143" s="89">
        <f t="shared" si="13"/>
        <v>0</v>
      </c>
      <c r="N143" s="90">
        <f t="shared" si="13"/>
        <v>0</v>
      </c>
      <c r="O143" s="90">
        <f t="shared" si="13"/>
        <v>0</v>
      </c>
      <c r="P143" s="91">
        <f t="shared" si="13"/>
        <v>0</v>
      </c>
      <c r="Q143" s="89">
        <f t="shared" si="13"/>
        <v>0</v>
      </c>
      <c r="R143" s="90">
        <f t="shared" si="13"/>
        <v>0</v>
      </c>
      <c r="S143" s="90">
        <f t="shared" si="13"/>
        <v>0</v>
      </c>
      <c r="T143" s="91">
        <f t="shared" si="13"/>
        <v>0</v>
      </c>
      <c r="U143" s="89">
        <f t="shared" si="13"/>
        <v>0</v>
      </c>
      <c r="V143" s="90">
        <f t="shared" si="13"/>
        <v>0</v>
      </c>
      <c r="W143" s="90">
        <f t="shared" si="13"/>
        <v>0</v>
      </c>
      <c r="X143" s="91">
        <f t="shared" si="13"/>
        <v>0</v>
      </c>
      <c r="Y143" s="280"/>
      <c r="Z143" s="281"/>
      <c r="AA143" s="282"/>
      <c r="AB143" s="14"/>
      <c r="AC143" s="14"/>
      <c r="AD143" s="14"/>
      <c r="AE143" s="14"/>
      <c r="AF143" s="14"/>
      <c r="AG143" s="14"/>
      <c r="AH143" s="10"/>
      <c r="AI143" s="13"/>
      <c r="AJ143" s="13"/>
      <c r="AK143" s="13"/>
      <c r="AL143" s="13"/>
      <c r="AM143" s="13"/>
      <c r="AN143" s="13"/>
      <c r="AO143" s="13"/>
      <c r="AP143" s="10"/>
      <c r="AQ143" s="10"/>
      <c r="AR143" s="13"/>
      <c r="AS143" s="10"/>
      <c r="AT143" s="13"/>
      <c r="AU143" s="10"/>
      <c r="AV143" s="13"/>
      <c r="AW143" s="10"/>
      <c r="AX143" s="1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CZ143" s="8"/>
    </row>
    <row r="144" spans="1:159" s="15" customFormat="1" x14ac:dyDescent="0.2">
      <c r="B144" s="20"/>
      <c r="C144" s="21"/>
      <c r="D144" s="22"/>
      <c r="E144" s="22"/>
      <c r="F144" s="22"/>
      <c r="Y144" s="17"/>
      <c r="Z144" s="18"/>
      <c r="AA144" s="14"/>
      <c r="AB144" s="14"/>
      <c r="AC144" s="14"/>
      <c r="AD144" s="14"/>
      <c r="AE144" s="14"/>
      <c r="AF144" s="14"/>
      <c r="AG144" s="14"/>
      <c r="AH144" s="14"/>
      <c r="AI144" s="14"/>
      <c r="AS144" s="13"/>
      <c r="AT144" s="13"/>
      <c r="AW144" s="13"/>
      <c r="AX144" s="13"/>
      <c r="AY144" s="13"/>
      <c r="AZ144" s="13"/>
      <c r="BA144" s="13"/>
      <c r="BB144" s="40"/>
      <c r="BC144" s="40"/>
      <c r="BD144" s="40"/>
      <c r="BE144" s="40"/>
      <c r="BF144" s="40"/>
      <c r="BG144" s="40"/>
      <c r="BH144" s="125"/>
      <c r="BI144" s="125"/>
      <c r="BJ144" s="125"/>
      <c r="BK144" s="125"/>
      <c r="BL144" s="125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DC144" s="8"/>
    </row>
    <row r="145" spans="2:107" s="15" customFormat="1" x14ac:dyDescent="0.2">
      <c r="B145" s="20"/>
      <c r="C145" s="21"/>
      <c r="D145" s="22"/>
      <c r="E145" s="22"/>
      <c r="F145" s="22"/>
      <c r="Y145" s="17"/>
      <c r="Z145" s="18"/>
      <c r="AA145" s="14"/>
      <c r="AB145" s="14"/>
      <c r="AC145" s="14"/>
      <c r="AD145" s="14"/>
      <c r="AE145" s="14"/>
      <c r="AF145" s="14"/>
      <c r="AG145" s="14"/>
      <c r="AH145" s="14"/>
      <c r="AI145" s="14"/>
      <c r="AS145" s="13"/>
      <c r="AT145" s="13"/>
      <c r="AW145" s="13"/>
      <c r="AX145" s="13"/>
      <c r="AY145" s="13"/>
      <c r="AZ145" s="13"/>
      <c r="BA145" s="13"/>
      <c r="BB145" s="40"/>
      <c r="BC145" s="40"/>
      <c r="BD145" s="40"/>
      <c r="BE145" s="40"/>
      <c r="BF145" s="40"/>
      <c r="BG145" s="40"/>
      <c r="BH145" s="125"/>
      <c r="BI145" s="125"/>
      <c r="BJ145" s="125"/>
      <c r="BK145" s="125"/>
      <c r="BL145" s="125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DC145" s="8"/>
    </row>
    <row r="146" spans="2:107" s="15" customFormat="1" x14ac:dyDescent="0.2">
      <c r="B146" s="20"/>
      <c r="C146" s="21"/>
      <c r="D146" s="22"/>
      <c r="E146" s="22"/>
      <c r="F146" s="22"/>
      <c r="Y146" s="17"/>
      <c r="Z146" s="18"/>
      <c r="AA146" s="14"/>
      <c r="AB146" s="14"/>
      <c r="AC146" s="14"/>
      <c r="AD146" s="14"/>
      <c r="AE146" s="14"/>
      <c r="AF146" s="14"/>
      <c r="AG146" s="14"/>
      <c r="AH146" s="14"/>
      <c r="AI146" s="14"/>
      <c r="AS146" s="13"/>
      <c r="AT146" s="13"/>
      <c r="AW146" s="13"/>
      <c r="AX146" s="13"/>
      <c r="AY146" s="13"/>
      <c r="AZ146" s="13"/>
      <c r="BA146" s="13"/>
      <c r="BB146" s="40"/>
      <c r="BC146" s="40"/>
      <c r="BD146" s="40"/>
      <c r="BE146" s="40"/>
      <c r="BF146" s="40"/>
      <c r="BG146" s="40"/>
      <c r="BH146" s="125"/>
      <c r="BI146" s="125"/>
      <c r="BJ146" s="125"/>
      <c r="BK146" s="125"/>
      <c r="BL146" s="125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DC146" s="8"/>
    </row>
    <row r="147" spans="2:107" s="15" customFormat="1" x14ac:dyDescent="0.2">
      <c r="B147" s="20"/>
      <c r="C147" s="21"/>
      <c r="D147" s="22"/>
      <c r="E147" s="22"/>
      <c r="F147" s="22"/>
      <c r="Y147" s="17"/>
      <c r="Z147" s="18"/>
      <c r="AA147" s="14"/>
      <c r="AB147" s="14"/>
      <c r="AC147" s="14"/>
      <c r="AD147" s="14"/>
      <c r="AE147" s="14"/>
      <c r="AF147" s="14"/>
      <c r="AG147" s="14"/>
      <c r="AH147" s="14"/>
      <c r="AI147" s="14"/>
      <c r="AS147" s="13"/>
      <c r="AT147" s="13"/>
      <c r="AW147" s="13"/>
      <c r="AX147" s="13"/>
      <c r="AY147" s="13"/>
      <c r="AZ147" s="13"/>
      <c r="BA147" s="13"/>
      <c r="BB147" s="40"/>
      <c r="BC147" s="40"/>
      <c r="BD147" s="40"/>
      <c r="BE147" s="40"/>
      <c r="BF147" s="40"/>
      <c r="BG147" s="40"/>
      <c r="BH147" s="125"/>
      <c r="BI147" s="125"/>
      <c r="BJ147" s="125"/>
      <c r="BK147" s="125"/>
      <c r="BL147" s="125"/>
      <c r="BM147" s="40"/>
      <c r="BN147" s="40"/>
      <c r="BO147" s="40"/>
      <c r="BP147" s="40"/>
      <c r="BQ147" s="40"/>
      <c r="BR147" s="40"/>
      <c r="BS147" s="40"/>
      <c r="BT147" s="40"/>
      <c r="BU147" s="40"/>
      <c r="BV147" s="40"/>
      <c r="DC147" s="8"/>
    </row>
    <row r="148" spans="2:107" s="15" customFormat="1" x14ac:dyDescent="0.2">
      <c r="B148" s="20"/>
      <c r="C148" s="21"/>
      <c r="D148" s="22"/>
      <c r="E148" s="22"/>
      <c r="F148" s="22"/>
      <c r="Y148" s="17"/>
      <c r="Z148" s="18"/>
      <c r="AA148" s="14"/>
      <c r="AB148" s="14"/>
      <c r="AC148" s="14"/>
      <c r="AD148" s="14"/>
      <c r="AE148" s="14"/>
      <c r="AF148" s="14"/>
      <c r="AG148" s="14"/>
      <c r="AH148" s="14"/>
      <c r="AI148" s="14"/>
      <c r="AS148" s="13"/>
      <c r="AT148" s="13"/>
      <c r="AW148" s="13"/>
      <c r="AX148" s="13"/>
      <c r="AY148" s="13"/>
      <c r="AZ148" s="13"/>
      <c r="BA148" s="13"/>
      <c r="BB148" s="40"/>
      <c r="BC148" s="40"/>
      <c r="BD148" s="40"/>
      <c r="BE148" s="40"/>
      <c r="BF148" s="40"/>
      <c r="BG148" s="40"/>
      <c r="BH148" s="125"/>
      <c r="BI148" s="125"/>
      <c r="BJ148" s="125"/>
      <c r="BK148" s="125"/>
      <c r="BL148" s="125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DC148" s="8"/>
    </row>
    <row r="149" spans="2:107" s="15" customFormat="1" x14ac:dyDescent="0.2">
      <c r="B149" s="20"/>
      <c r="C149" s="21"/>
      <c r="D149" s="22"/>
      <c r="E149" s="22"/>
      <c r="F149" s="22"/>
      <c r="Y149" s="17"/>
      <c r="Z149" s="18"/>
      <c r="AA149" s="14"/>
      <c r="AB149" s="14"/>
      <c r="AC149" s="14"/>
      <c r="AD149" s="14"/>
      <c r="AE149" s="14"/>
      <c r="AF149" s="14"/>
      <c r="AG149" s="14"/>
      <c r="AH149" s="14"/>
      <c r="AI149" s="14"/>
      <c r="AS149" s="13"/>
      <c r="AT149" s="13"/>
      <c r="AW149" s="13"/>
      <c r="AX149" s="13"/>
      <c r="AY149" s="13"/>
      <c r="AZ149" s="13"/>
      <c r="BA149" s="13"/>
      <c r="BB149" s="40"/>
      <c r="BC149" s="40"/>
      <c r="BD149" s="40"/>
      <c r="BE149" s="40"/>
      <c r="BF149" s="40"/>
      <c r="BG149" s="40"/>
      <c r="BH149" s="125"/>
      <c r="BI149" s="125"/>
      <c r="BJ149" s="125"/>
      <c r="BK149" s="125"/>
      <c r="BL149" s="125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DC149" s="8"/>
    </row>
    <row r="150" spans="2:107" s="15" customFormat="1" x14ac:dyDescent="0.2">
      <c r="B150" s="20"/>
      <c r="C150" s="21"/>
      <c r="D150" s="22"/>
      <c r="E150" s="22"/>
      <c r="F150" s="22"/>
      <c r="Y150" s="17"/>
      <c r="Z150" s="18"/>
      <c r="AA150" s="14"/>
      <c r="AB150" s="14"/>
      <c r="AC150" s="14"/>
      <c r="AD150" s="14"/>
      <c r="AE150" s="14"/>
      <c r="AF150" s="14"/>
      <c r="AG150" s="14"/>
      <c r="AH150" s="14"/>
      <c r="AI150" s="14"/>
      <c r="AS150" s="13"/>
      <c r="AT150" s="13"/>
      <c r="AW150" s="13"/>
      <c r="AX150" s="13"/>
      <c r="AY150" s="13"/>
      <c r="AZ150" s="13"/>
      <c r="BA150" s="13"/>
      <c r="BB150" s="40"/>
      <c r="BC150" s="40"/>
      <c r="BD150" s="40"/>
      <c r="BE150" s="40"/>
      <c r="BF150" s="40"/>
      <c r="BG150" s="40"/>
      <c r="BH150" s="125"/>
      <c r="BI150" s="125"/>
      <c r="BJ150" s="125"/>
      <c r="BK150" s="125"/>
      <c r="BL150" s="125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DC150" s="8"/>
    </row>
    <row r="151" spans="2:107" s="15" customFormat="1" x14ac:dyDescent="0.2">
      <c r="B151" s="20"/>
      <c r="C151" s="21"/>
      <c r="D151" s="22"/>
      <c r="E151" s="22"/>
      <c r="F151" s="22"/>
      <c r="Y151" s="17"/>
      <c r="Z151" s="18"/>
      <c r="AA151" s="14"/>
      <c r="AB151" s="14"/>
      <c r="AC151" s="14"/>
      <c r="AD151" s="14"/>
      <c r="AE151" s="14"/>
      <c r="AF151" s="14"/>
      <c r="AG151" s="14"/>
      <c r="AH151" s="14"/>
      <c r="AI151" s="14"/>
      <c r="AS151" s="13"/>
      <c r="AT151" s="13"/>
      <c r="AW151" s="13"/>
      <c r="AX151" s="13"/>
      <c r="AY151" s="13"/>
      <c r="AZ151" s="13"/>
      <c r="BA151" s="13"/>
      <c r="BB151" s="40"/>
      <c r="BC151" s="40"/>
      <c r="BD151" s="40"/>
      <c r="BE151" s="40"/>
      <c r="BF151" s="40"/>
      <c r="BG151" s="40"/>
      <c r="BH151" s="125"/>
      <c r="BI151" s="125"/>
      <c r="BJ151" s="125"/>
      <c r="BK151" s="125"/>
      <c r="BL151" s="125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DC151" s="8"/>
    </row>
    <row r="152" spans="2:107" s="15" customFormat="1" x14ac:dyDescent="0.2">
      <c r="B152" s="20"/>
      <c r="C152" s="21"/>
      <c r="D152" s="22"/>
      <c r="E152" s="22"/>
      <c r="F152" s="22"/>
      <c r="Y152" s="17"/>
      <c r="Z152" s="18"/>
      <c r="AA152" s="14"/>
      <c r="AB152" s="14"/>
      <c r="AC152" s="14"/>
      <c r="AD152" s="14"/>
      <c r="AE152" s="14"/>
      <c r="AF152" s="14"/>
      <c r="AG152" s="14"/>
      <c r="AH152" s="14"/>
      <c r="AI152" s="14"/>
      <c r="AS152" s="13"/>
      <c r="AT152" s="13"/>
      <c r="AW152" s="13"/>
      <c r="AX152" s="13"/>
      <c r="AY152" s="13"/>
      <c r="AZ152" s="13"/>
      <c r="BA152" s="13"/>
      <c r="BB152" s="40"/>
      <c r="BC152" s="40"/>
      <c r="BD152" s="40"/>
      <c r="BE152" s="40"/>
      <c r="BF152" s="40"/>
      <c r="BG152" s="40"/>
      <c r="BH152" s="125"/>
      <c r="BI152" s="125"/>
      <c r="BJ152" s="125"/>
      <c r="BK152" s="125"/>
      <c r="BL152" s="125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DC152" s="8"/>
    </row>
    <row r="153" spans="2:107" s="15" customFormat="1" x14ac:dyDescent="0.2">
      <c r="B153" s="20"/>
      <c r="C153" s="21"/>
      <c r="D153" s="22"/>
      <c r="E153" s="22"/>
      <c r="F153" s="22"/>
      <c r="Y153" s="17"/>
      <c r="Z153" s="18"/>
      <c r="AA153" s="14"/>
      <c r="AB153" s="14"/>
      <c r="AC153" s="14"/>
      <c r="AD153" s="14"/>
      <c r="AE153" s="14"/>
      <c r="AF153" s="14"/>
      <c r="AG153" s="14"/>
      <c r="AH153" s="14"/>
      <c r="AI153" s="14"/>
      <c r="AS153" s="13"/>
      <c r="AT153" s="13"/>
      <c r="AW153" s="13"/>
      <c r="AX153" s="13"/>
      <c r="AY153" s="13"/>
      <c r="AZ153" s="13"/>
      <c r="BA153" s="13"/>
      <c r="BB153" s="40"/>
      <c r="BC153" s="40"/>
      <c r="BD153" s="40"/>
      <c r="BE153" s="40"/>
      <c r="BF153" s="40"/>
      <c r="BG153" s="40"/>
      <c r="BH153" s="125"/>
      <c r="BI153" s="125"/>
      <c r="BJ153" s="125"/>
      <c r="BK153" s="125"/>
      <c r="BL153" s="125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DC153" s="8"/>
    </row>
    <row r="154" spans="2:107" s="15" customFormat="1" x14ac:dyDescent="0.2">
      <c r="B154" s="20"/>
      <c r="C154" s="21"/>
      <c r="D154" s="22"/>
      <c r="E154" s="22"/>
      <c r="F154" s="22"/>
      <c r="Y154" s="17"/>
      <c r="Z154" s="18"/>
      <c r="AA154" s="14"/>
      <c r="AB154" s="14"/>
      <c r="AC154" s="14"/>
      <c r="AD154" s="14"/>
      <c r="AE154" s="14"/>
      <c r="AF154" s="14"/>
      <c r="AG154" s="14"/>
      <c r="AH154" s="14"/>
      <c r="AI154" s="14"/>
      <c r="AS154" s="13"/>
      <c r="AT154" s="13"/>
      <c r="AW154" s="13"/>
      <c r="AX154" s="13"/>
      <c r="AY154" s="13"/>
      <c r="AZ154" s="13"/>
      <c r="BA154" s="13"/>
      <c r="BB154" s="40"/>
      <c r="BC154" s="40"/>
      <c r="BD154" s="40"/>
      <c r="BE154" s="40"/>
      <c r="BF154" s="40"/>
      <c r="BG154" s="40"/>
      <c r="BH154" s="125"/>
      <c r="BI154" s="125"/>
      <c r="BJ154" s="125"/>
      <c r="BK154" s="125"/>
      <c r="BL154" s="125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DC154" s="8"/>
    </row>
    <row r="155" spans="2:107" s="15" customFormat="1" x14ac:dyDescent="0.2">
      <c r="B155" s="20"/>
      <c r="C155" s="21"/>
      <c r="D155" s="22"/>
      <c r="E155" s="22"/>
      <c r="F155" s="22"/>
      <c r="Y155" s="17"/>
      <c r="Z155" s="18"/>
      <c r="AA155" s="14"/>
      <c r="AB155" s="14"/>
      <c r="AC155" s="14"/>
      <c r="AD155" s="14"/>
      <c r="AE155" s="14"/>
      <c r="AF155" s="14"/>
      <c r="AG155" s="14"/>
      <c r="AH155" s="14"/>
      <c r="AI155" s="14"/>
      <c r="AS155" s="13"/>
      <c r="AT155" s="13"/>
      <c r="AW155" s="13"/>
      <c r="AX155" s="13"/>
      <c r="AY155" s="13"/>
      <c r="AZ155" s="13"/>
      <c r="BA155" s="13"/>
      <c r="BB155" s="40"/>
      <c r="BC155" s="40"/>
      <c r="BD155" s="40"/>
      <c r="BE155" s="40"/>
      <c r="BF155" s="40"/>
      <c r="BG155" s="40"/>
      <c r="BH155" s="125"/>
      <c r="BI155" s="125"/>
      <c r="BJ155" s="125"/>
      <c r="BK155" s="125"/>
      <c r="BL155" s="125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DC155" s="8"/>
    </row>
    <row r="156" spans="2:107" s="15" customFormat="1" x14ac:dyDescent="0.2">
      <c r="B156" s="20"/>
      <c r="C156" s="21"/>
      <c r="D156" s="22"/>
      <c r="E156" s="22"/>
      <c r="F156" s="22"/>
      <c r="Y156" s="17"/>
      <c r="Z156" s="18"/>
      <c r="AA156" s="14"/>
      <c r="AB156" s="14"/>
      <c r="AC156" s="14"/>
      <c r="AD156" s="14"/>
      <c r="AE156" s="14"/>
      <c r="AF156" s="14"/>
      <c r="AG156" s="14"/>
      <c r="AH156" s="14"/>
      <c r="AI156" s="14"/>
      <c r="AS156" s="13"/>
      <c r="AT156" s="13"/>
      <c r="AW156" s="13"/>
      <c r="AX156" s="13"/>
      <c r="AY156" s="13"/>
      <c r="AZ156" s="13"/>
      <c r="BA156" s="13"/>
      <c r="BB156" s="40"/>
      <c r="BC156" s="40"/>
      <c r="BD156" s="40"/>
      <c r="BE156" s="40"/>
      <c r="BF156" s="40"/>
      <c r="BG156" s="40"/>
      <c r="BH156" s="125"/>
      <c r="BI156" s="125"/>
      <c r="BJ156" s="125"/>
      <c r="BK156" s="125"/>
      <c r="BL156" s="125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DC156" s="8"/>
    </row>
    <row r="157" spans="2:107" s="15" customFormat="1" x14ac:dyDescent="0.2">
      <c r="B157" s="20"/>
      <c r="C157" s="21"/>
      <c r="D157" s="22"/>
      <c r="E157" s="22"/>
      <c r="F157" s="22"/>
      <c r="Y157" s="17"/>
      <c r="Z157" s="18"/>
      <c r="AA157" s="14"/>
      <c r="AB157" s="14"/>
      <c r="AC157" s="14"/>
      <c r="AD157" s="14"/>
      <c r="AE157" s="14"/>
      <c r="AF157" s="14"/>
      <c r="AG157" s="14"/>
      <c r="AH157" s="14"/>
      <c r="AI157" s="14"/>
      <c r="AS157" s="13"/>
      <c r="AT157" s="13"/>
      <c r="AW157" s="13"/>
      <c r="AX157" s="13"/>
      <c r="AY157" s="13"/>
      <c r="AZ157" s="13"/>
      <c r="BA157" s="13"/>
      <c r="BB157" s="40"/>
      <c r="BC157" s="40"/>
      <c r="BD157" s="40"/>
      <c r="BE157" s="40"/>
      <c r="BF157" s="40"/>
      <c r="BG157" s="40"/>
      <c r="BH157" s="125"/>
      <c r="BI157" s="125"/>
      <c r="BJ157" s="125"/>
      <c r="BK157" s="125"/>
      <c r="BL157" s="125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DC157" s="8"/>
    </row>
    <row r="158" spans="2:107" s="15" customFormat="1" x14ac:dyDescent="0.2">
      <c r="B158" s="20"/>
      <c r="C158" s="21"/>
      <c r="D158" s="22"/>
      <c r="E158" s="22"/>
      <c r="F158" s="22"/>
      <c r="Y158" s="17"/>
      <c r="Z158" s="18"/>
      <c r="AA158" s="14"/>
      <c r="AB158" s="14"/>
      <c r="AC158" s="14"/>
      <c r="AD158" s="14"/>
      <c r="AE158" s="14"/>
      <c r="AF158" s="14"/>
      <c r="AG158" s="14"/>
      <c r="AH158" s="14"/>
      <c r="AI158" s="14"/>
      <c r="AS158" s="13"/>
      <c r="AT158" s="13"/>
      <c r="AW158" s="13"/>
      <c r="AX158" s="13"/>
      <c r="AY158" s="13"/>
      <c r="AZ158" s="13"/>
      <c r="BA158" s="13"/>
      <c r="BB158" s="40"/>
      <c r="BC158" s="40"/>
      <c r="BD158" s="40"/>
      <c r="BE158" s="40"/>
      <c r="BF158" s="40"/>
      <c r="BG158" s="40"/>
      <c r="BH158" s="125"/>
      <c r="BI158" s="125"/>
      <c r="BJ158" s="125"/>
      <c r="BK158" s="125"/>
      <c r="BL158" s="125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DC158" s="8"/>
    </row>
    <row r="159" spans="2:107" s="15" customFormat="1" x14ac:dyDescent="0.2">
      <c r="B159" s="20"/>
      <c r="C159" s="21"/>
      <c r="D159" s="22"/>
      <c r="E159" s="22"/>
      <c r="F159" s="22"/>
      <c r="Y159" s="17"/>
      <c r="Z159" s="18"/>
      <c r="AA159" s="14"/>
      <c r="AB159" s="14"/>
      <c r="AC159" s="14"/>
      <c r="AD159" s="14"/>
      <c r="AE159" s="14"/>
      <c r="AF159" s="14"/>
      <c r="AG159" s="14"/>
      <c r="AH159" s="14"/>
      <c r="AI159" s="14"/>
      <c r="AS159" s="13"/>
      <c r="AT159" s="13"/>
      <c r="AW159" s="13"/>
      <c r="AX159" s="13"/>
      <c r="AY159" s="13"/>
      <c r="AZ159" s="13"/>
      <c r="BA159" s="13"/>
      <c r="BB159" s="40"/>
      <c r="BC159" s="40"/>
      <c r="BD159" s="40"/>
      <c r="BE159" s="40"/>
      <c r="BF159" s="40"/>
      <c r="BG159" s="40"/>
      <c r="BH159" s="125"/>
      <c r="BI159" s="125"/>
      <c r="BJ159" s="125"/>
      <c r="BK159" s="125"/>
      <c r="BL159" s="125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DC159" s="8"/>
    </row>
    <row r="160" spans="2:107" s="15" customFormat="1" x14ac:dyDescent="0.2">
      <c r="B160" s="20"/>
      <c r="C160" s="21"/>
      <c r="D160" s="22"/>
      <c r="E160" s="22"/>
      <c r="F160" s="22"/>
      <c r="Y160" s="17"/>
      <c r="Z160" s="18"/>
      <c r="AA160" s="14"/>
      <c r="AB160" s="14"/>
      <c r="AC160" s="14"/>
      <c r="AD160" s="14"/>
      <c r="AE160" s="14"/>
      <c r="AF160" s="14"/>
      <c r="AG160" s="14"/>
      <c r="AH160" s="14"/>
      <c r="AI160" s="14"/>
      <c r="AS160" s="13"/>
      <c r="AT160" s="13"/>
      <c r="AW160" s="13"/>
      <c r="AX160" s="13"/>
      <c r="AY160" s="13"/>
      <c r="AZ160" s="13"/>
      <c r="BA160" s="13"/>
      <c r="BB160" s="40"/>
      <c r="BC160" s="40"/>
      <c r="BD160" s="40"/>
      <c r="BE160" s="40"/>
      <c r="BF160" s="40"/>
      <c r="BG160" s="40"/>
      <c r="BH160" s="125"/>
      <c r="BI160" s="125"/>
      <c r="BJ160" s="125"/>
      <c r="BK160" s="125"/>
      <c r="BL160" s="125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DC160" s="8"/>
    </row>
    <row r="161" spans="2:107" s="15" customFormat="1" x14ac:dyDescent="0.2">
      <c r="B161" s="20"/>
      <c r="C161" s="21"/>
      <c r="D161" s="22"/>
      <c r="E161" s="22"/>
      <c r="F161" s="22"/>
      <c r="Y161" s="17"/>
      <c r="Z161" s="18"/>
      <c r="AA161" s="14"/>
      <c r="AB161" s="14"/>
      <c r="AC161" s="14"/>
      <c r="AD161" s="14"/>
      <c r="AE161" s="14"/>
      <c r="AF161" s="14"/>
      <c r="AG161" s="14"/>
      <c r="AH161" s="14"/>
      <c r="AI161" s="14"/>
      <c r="AS161" s="13"/>
      <c r="AT161" s="13"/>
      <c r="AW161" s="13"/>
      <c r="AX161" s="13"/>
      <c r="AY161" s="13"/>
      <c r="AZ161" s="13"/>
      <c r="BA161" s="13"/>
      <c r="BB161" s="40"/>
      <c r="BC161" s="40"/>
      <c r="BD161" s="40"/>
      <c r="BE161" s="40"/>
      <c r="BF161" s="40"/>
      <c r="BG161" s="40"/>
      <c r="BH161" s="125"/>
      <c r="BI161" s="125"/>
      <c r="BJ161" s="125"/>
      <c r="BK161" s="125"/>
      <c r="BL161" s="125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DC161" s="8"/>
    </row>
    <row r="162" spans="2:107" s="15" customFormat="1" x14ac:dyDescent="0.2">
      <c r="B162" s="20"/>
      <c r="C162" s="21"/>
      <c r="D162" s="22"/>
      <c r="E162" s="22"/>
      <c r="F162" s="22"/>
      <c r="Y162" s="17"/>
      <c r="Z162" s="18"/>
      <c r="AA162" s="14"/>
      <c r="AB162" s="14"/>
      <c r="AC162" s="14"/>
      <c r="AD162" s="14"/>
      <c r="AE162" s="14"/>
      <c r="AF162" s="14"/>
      <c r="AG162" s="14"/>
      <c r="AH162" s="14"/>
      <c r="AI162" s="14"/>
      <c r="AS162" s="13"/>
      <c r="AT162" s="13"/>
      <c r="AW162" s="13"/>
      <c r="AX162" s="13"/>
      <c r="AY162" s="13"/>
      <c r="AZ162" s="13"/>
      <c r="BA162" s="13"/>
      <c r="BB162" s="40"/>
      <c r="BC162" s="40"/>
      <c r="BD162" s="40"/>
      <c r="BE162" s="40"/>
      <c r="BF162" s="40"/>
      <c r="BG162" s="40"/>
      <c r="BH162" s="125"/>
      <c r="BI162" s="125"/>
      <c r="BJ162" s="125"/>
      <c r="BK162" s="125"/>
      <c r="BL162" s="125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DC162" s="8"/>
    </row>
    <row r="163" spans="2:107" s="15" customFormat="1" x14ac:dyDescent="0.2">
      <c r="B163" s="20"/>
      <c r="C163" s="21"/>
      <c r="D163" s="22"/>
      <c r="E163" s="22"/>
      <c r="F163" s="22"/>
      <c r="Y163" s="17"/>
      <c r="Z163" s="18"/>
      <c r="AA163" s="14"/>
      <c r="AB163" s="14"/>
      <c r="AC163" s="14"/>
      <c r="AD163" s="14"/>
      <c r="AE163" s="14"/>
      <c r="AF163" s="14"/>
      <c r="AG163" s="14"/>
      <c r="AH163" s="14"/>
      <c r="AI163" s="14"/>
      <c r="AS163" s="13"/>
      <c r="AT163" s="13"/>
      <c r="AW163" s="13"/>
      <c r="AX163" s="13"/>
      <c r="AY163" s="13"/>
      <c r="AZ163" s="13"/>
      <c r="BA163" s="13"/>
      <c r="BB163" s="40"/>
      <c r="BC163" s="40"/>
      <c r="BD163" s="40"/>
      <c r="BE163" s="40"/>
      <c r="BF163" s="40"/>
      <c r="BG163" s="40"/>
      <c r="BH163" s="125"/>
      <c r="BI163" s="125"/>
      <c r="BJ163" s="125"/>
      <c r="BK163" s="125"/>
      <c r="BL163" s="125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DC163" s="8"/>
    </row>
    <row r="164" spans="2:107" s="15" customFormat="1" x14ac:dyDescent="0.2">
      <c r="B164" s="20"/>
      <c r="C164" s="21"/>
      <c r="D164" s="22"/>
      <c r="E164" s="22"/>
      <c r="F164" s="22"/>
      <c r="Y164" s="17"/>
      <c r="Z164" s="18"/>
      <c r="AA164" s="14"/>
      <c r="AB164" s="14"/>
      <c r="AC164" s="14"/>
      <c r="AD164" s="14"/>
      <c r="AE164" s="14"/>
      <c r="AF164" s="14"/>
      <c r="AG164" s="14"/>
      <c r="AH164" s="14"/>
      <c r="AI164" s="14"/>
      <c r="AS164" s="13"/>
      <c r="AT164" s="13"/>
      <c r="AW164" s="13"/>
      <c r="AX164" s="13"/>
      <c r="AY164" s="13"/>
      <c r="AZ164" s="13"/>
      <c r="BA164" s="13"/>
      <c r="BB164" s="40"/>
      <c r="BC164" s="40"/>
      <c r="BD164" s="40"/>
      <c r="BE164" s="40"/>
      <c r="BF164" s="40"/>
      <c r="BG164" s="40"/>
      <c r="BH164" s="125"/>
      <c r="BI164" s="125"/>
      <c r="BJ164" s="125"/>
      <c r="BK164" s="125"/>
      <c r="BL164" s="125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DC164" s="8"/>
    </row>
    <row r="165" spans="2:107" s="15" customFormat="1" x14ac:dyDescent="0.2">
      <c r="B165" s="20"/>
      <c r="C165" s="21"/>
      <c r="D165" s="22"/>
      <c r="E165" s="22"/>
      <c r="F165" s="22"/>
      <c r="Y165" s="17"/>
      <c r="Z165" s="18"/>
      <c r="AA165" s="14"/>
      <c r="AB165" s="14"/>
      <c r="AC165" s="14"/>
      <c r="AD165" s="14"/>
      <c r="AE165" s="14"/>
      <c r="AF165" s="14"/>
      <c r="AG165" s="14"/>
      <c r="AH165" s="14"/>
      <c r="AI165" s="14"/>
      <c r="AS165" s="13"/>
      <c r="AT165" s="13"/>
      <c r="AW165" s="13"/>
      <c r="AX165" s="13"/>
      <c r="AY165" s="13"/>
      <c r="AZ165" s="13"/>
      <c r="BA165" s="13"/>
      <c r="BB165" s="40"/>
      <c r="BC165" s="40"/>
      <c r="BD165" s="40"/>
      <c r="BE165" s="40"/>
      <c r="BF165" s="40"/>
      <c r="BG165" s="40"/>
      <c r="BH165" s="125"/>
      <c r="BI165" s="125"/>
      <c r="BJ165" s="125"/>
      <c r="BK165" s="125"/>
      <c r="BL165" s="125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DC165" s="8"/>
    </row>
    <row r="166" spans="2:107" s="15" customFormat="1" x14ac:dyDescent="0.2">
      <c r="B166" s="20"/>
      <c r="C166" s="21"/>
      <c r="D166" s="22"/>
      <c r="E166" s="22"/>
      <c r="F166" s="22"/>
      <c r="Y166" s="17"/>
      <c r="Z166" s="18"/>
      <c r="AA166" s="14"/>
      <c r="AB166" s="14"/>
      <c r="AC166" s="14"/>
      <c r="AD166" s="14"/>
      <c r="AE166" s="14"/>
      <c r="AF166" s="14"/>
      <c r="AG166" s="14"/>
      <c r="AH166" s="14"/>
      <c r="AI166" s="14"/>
      <c r="AS166" s="13"/>
      <c r="AT166" s="13"/>
      <c r="AW166" s="13"/>
      <c r="AX166" s="13"/>
      <c r="AY166" s="13"/>
      <c r="AZ166" s="13"/>
      <c r="BA166" s="13"/>
      <c r="BB166" s="40"/>
      <c r="BC166" s="40"/>
      <c r="BD166" s="40"/>
      <c r="BE166" s="40"/>
      <c r="BF166" s="40"/>
      <c r="BG166" s="40"/>
      <c r="BH166" s="125"/>
      <c r="BI166" s="125"/>
      <c r="BJ166" s="125"/>
      <c r="BK166" s="125"/>
      <c r="BL166" s="125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DC166" s="8"/>
    </row>
    <row r="167" spans="2:107" s="15" customFormat="1" x14ac:dyDescent="0.2">
      <c r="B167" s="20"/>
      <c r="C167" s="21"/>
      <c r="D167" s="22"/>
      <c r="E167" s="22"/>
      <c r="F167" s="22"/>
      <c r="Y167" s="17"/>
      <c r="Z167" s="18"/>
      <c r="AA167" s="14"/>
      <c r="AB167" s="14"/>
      <c r="AC167" s="14"/>
      <c r="AD167" s="14"/>
      <c r="AE167" s="14"/>
      <c r="AF167" s="14"/>
      <c r="AG167" s="14"/>
      <c r="AH167" s="14"/>
      <c r="AI167" s="14"/>
      <c r="AS167" s="13"/>
      <c r="AT167" s="13"/>
      <c r="AW167" s="13"/>
      <c r="AX167" s="13"/>
      <c r="AY167" s="13"/>
      <c r="AZ167" s="13"/>
      <c r="BA167" s="13"/>
      <c r="BB167" s="40"/>
      <c r="BC167" s="40"/>
      <c r="BD167" s="40"/>
      <c r="BE167" s="40"/>
      <c r="BF167" s="40"/>
      <c r="BG167" s="40"/>
      <c r="BH167" s="125"/>
      <c r="BI167" s="125"/>
      <c r="BJ167" s="125"/>
      <c r="BK167" s="125"/>
      <c r="BL167" s="125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DC167" s="8"/>
    </row>
    <row r="168" spans="2:107" s="15" customFormat="1" x14ac:dyDescent="0.2">
      <c r="B168" s="20"/>
      <c r="C168" s="21"/>
      <c r="D168" s="22"/>
      <c r="E168" s="22"/>
      <c r="F168" s="22"/>
      <c r="Y168" s="17"/>
      <c r="Z168" s="18"/>
      <c r="AA168" s="14"/>
      <c r="AB168" s="14"/>
      <c r="AC168" s="14"/>
      <c r="AD168" s="14"/>
      <c r="AE168" s="14"/>
      <c r="AF168" s="14"/>
      <c r="AG168" s="14"/>
      <c r="AH168" s="14"/>
      <c r="AI168" s="14"/>
      <c r="AS168" s="13"/>
      <c r="AT168" s="13"/>
      <c r="AW168" s="13"/>
      <c r="AX168" s="13"/>
      <c r="AY168" s="13"/>
      <c r="AZ168" s="13"/>
      <c r="BA168" s="13"/>
      <c r="BB168" s="40"/>
      <c r="BC168" s="40"/>
      <c r="BD168" s="40"/>
      <c r="BE168" s="40"/>
      <c r="BF168" s="40"/>
      <c r="BG168" s="40"/>
      <c r="BH168" s="125"/>
      <c r="BI168" s="125"/>
      <c r="BJ168" s="125"/>
      <c r="BK168" s="125"/>
      <c r="BL168" s="125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DC168" s="8"/>
    </row>
    <row r="169" spans="2:107" s="15" customFormat="1" x14ac:dyDescent="0.2">
      <c r="B169" s="20"/>
      <c r="C169" s="21"/>
      <c r="D169" s="22"/>
      <c r="E169" s="22"/>
      <c r="F169" s="22"/>
      <c r="Y169" s="17"/>
      <c r="Z169" s="18"/>
      <c r="AA169" s="14"/>
      <c r="AB169" s="14"/>
      <c r="AC169" s="14"/>
      <c r="AD169" s="14"/>
      <c r="AE169" s="14"/>
      <c r="AF169" s="14"/>
      <c r="AG169" s="14"/>
      <c r="AH169" s="14"/>
      <c r="AI169" s="14"/>
      <c r="AS169" s="13"/>
      <c r="AT169" s="13"/>
      <c r="AW169" s="13"/>
      <c r="AX169" s="13"/>
      <c r="AY169" s="13"/>
      <c r="AZ169" s="13"/>
      <c r="BA169" s="13"/>
      <c r="BB169" s="40"/>
      <c r="BC169" s="40"/>
      <c r="BD169" s="40"/>
      <c r="BE169" s="40"/>
      <c r="BF169" s="40"/>
      <c r="BG169" s="40"/>
      <c r="BH169" s="125"/>
      <c r="BI169" s="125"/>
      <c r="BJ169" s="125"/>
      <c r="BK169" s="125"/>
      <c r="BL169" s="125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DC169" s="8"/>
    </row>
    <row r="170" spans="2:107" s="15" customFormat="1" x14ac:dyDescent="0.2">
      <c r="B170" s="20"/>
      <c r="C170" s="21"/>
      <c r="D170" s="22"/>
      <c r="E170" s="22"/>
      <c r="F170" s="22"/>
      <c r="Y170" s="17"/>
      <c r="Z170" s="18"/>
      <c r="AA170" s="14"/>
      <c r="AB170" s="14"/>
      <c r="AC170" s="14"/>
      <c r="AD170" s="14"/>
      <c r="AE170" s="14"/>
      <c r="AF170" s="14"/>
      <c r="AG170" s="14"/>
      <c r="AH170" s="14"/>
      <c r="AI170" s="14"/>
      <c r="AS170" s="13"/>
      <c r="AT170" s="13"/>
      <c r="AW170" s="13"/>
      <c r="AX170" s="13"/>
      <c r="AY170" s="13"/>
      <c r="AZ170" s="13"/>
      <c r="BA170" s="13"/>
      <c r="BB170" s="40"/>
      <c r="BC170" s="40"/>
      <c r="BD170" s="40"/>
      <c r="BE170" s="40"/>
      <c r="BF170" s="40"/>
      <c r="BG170" s="40"/>
      <c r="BH170" s="125"/>
      <c r="BI170" s="125"/>
      <c r="BJ170" s="125"/>
      <c r="BK170" s="125"/>
      <c r="BL170" s="125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DC170" s="8"/>
    </row>
    <row r="171" spans="2:107" s="15" customFormat="1" x14ac:dyDescent="0.2">
      <c r="B171" s="20"/>
      <c r="C171" s="21"/>
      <c r="D171" s="22"/>
      <c r="E171" s="22"/>
      <c r="F171" s="22"/>
      <c r="Y171" s="17"/>
      <c r="Z171" s="18"/>
      <c r="AA171" s="14"/>
      <c r="AB171" s="14"/>
      <c r="AC171" s="14"/>
      <c r="AD171" s="14"/>
      <c r="AE171" s="14"/>
      <c r="AF171" s="14"/>
      <c r="AG171" s="14"/>
      <c r="AH171" s="14"/>
      <c r="AI171" s="14"/>
      <c r="AS171" s="13"/>
      <c r="AT171" s="13"/>
      <c r="AW171" s="13"/>
      <c r="AX171" s="13"/>
      <c r="AY171" s="13"/>
      <c r="AZ171" s="13"/>
      <c r="BA171" s="13"/>
      <c r="BB171" s="40"/>
      <c r="BC171" s="40"/>
      <c r="BD171" s="40"/>
      <c r="BE171" s="40"/>
      <c r="BF171" s="40"/>
      <c r="BG171" s="40"/>
      <c r="BH171" s="125"/>
      <c r="BI171" s="125"/>
      <c r="BJ171" s="125"/>
      <c r="BK171" s="125"/>
      <c r="BL171" s="125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DC171" s="8"/>
    </row>
    <row r="172" spans="2:107" s="15" customFormat="1" x14ac:dyDescent="0.2">
      <c r="B172" s="20"/>
      <c r="C172" s="21"/>
      <c r="D172" s="22"/>
      <c r="E172" s="22"/>
      <c r="F172" s="22"/>
      <c r="Y172" s="17"/>
      <c r="Z172" s="18"/>
      <c r="AA172" s="14"/>
      <c r="AB172" s="14"/>
      <c r="AC172" s="14"/>
      <c r="AD172" s="14"/>
      <c r="AE172" s="14"/>
      <c r="AF172" s="14"/>
      <c r="AG172" s="14"/>
      <c r="AH172" s="14"/>
      <c r="AI172" s="14"/>
      <c r="AS172" s="13"/>
      <c r="AT172" s="13"/>
      <c r="AW172" s="13"/>
      <c r="AX172" s="13"/>
      <c r="AY172" s="13"/>
      <c r="AZ172" s="13"/>
      <c r="BA172" s="13"/>
      <c r="BB172" s="40"/>
      <c r="BC172" s="40"/>
      <c r="BD172" s="40"/>
      <c r="BE172" s="40"/>
      <c r="BF172" s="40"/>
      <c r="BG172" s="40"/>
      <c r="BH172" s="125"/>
      <c r="BI172" s="125"/>
      <c r="BJ172" s="125"/>
      <c r="BK172" s="125"/>
      <c r="BL172" s="125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DC172" s="8"/>
    </row>
    <row r="173" spans="2:107" s="15" customFormat="1" x14ac:dyDescent="0.2">
      <c r="B173" s="20"/>
      <c r="C173" s="21"/>
      <c r="D173" s="22"/>
      <c r="E173" s="22"/>
      <c r="F173" s="22"/>
      <c r="Y173" s="17"/>
      <c r="Z173" s="18"/>
      <c r="AA173" s="14"/>
      <c r="AB173" s="14"/>
      <c r="AC173" s="14"/>
      <c r="AD173" s="14"/>
      <c r="AE173" s="14"/>
      <c r="AF173" s="14"/>
      <c r="AG173" s="14"/>
      <c r="AH173" s="14"/>
      <c r="AI173" s="14"/>
      <c r="AS173" s="13"/>
      <c r="AT173" s="13"/>
      <c r="AW173" s="13"/>
      <c r="AX173" s="13"/>
      <c r="AY173" s="13"/>
      <c r="AZ173" s="13"/>
      <c r="BA173" s="13"/>
      <c r="BB173" s="40"/>
      <c r="BC173" s="40"/>
      <c r="BD173" s="40"/>
      <c r="BE173" s="40"/>
      <c r="BF173" s="40"/>
      <c r="BG173" s="40"/>
      <c r="BH173" s="125"/>
      <c r="BI173" s="125"/>
      <c r="BJ173" s="125"/>
      <c r="BK173" s="125"/>
      <c r="BL173" s="125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DC173" s="8"/>
    </row>
    <row r="174" spans="2:107" s="15" customFormat="1" x14ac:dyDescent="0.2">
      <c r="B174" s="20"/>
      <c r="C174" s="21"/>
      <c r="D174" s="22"/>
      <c r="E174" s="22"/>
      <c r="F174" s="22"/>
      <c r="Y174" s="17"/>
      <c r="Z174" s="18"/>
      <c r="AA174" s="14"/>
      <c r="AB174" s="14"/>
      <c r="AC174" s="14"/>
      <c r="AD174" s="14"/>
      <c r="AE174" s="14"/>
      <c r="AF174" s="14"/>
      <c r="AG174" s="14"/>
      <c r="AH174" s="14"/>
      <c r="AI174" s="14"/>
      <c r="AS174" s="13"/>
      <c r="AT174" s="13"/>
      <c r="AW174" s="13"/>
      <c r="AX174" s="13"/>
      <c r="AY174" s="13"/>
      <c r="AZ174" s="13"/>
      <c r="BA174" s="13"/>
      <c r="BB174" s="40"/>
      <c r="BC174" s="40"/>
      <c r="BD174" s="40"/>
      <c r="BE174" s="40"/>
      <c r="BF174" s="40"/>
      <c r="BG174" s="40"/>
      <c r="BH174" s="125"/>
      <c r="BI174" s="125"/>
      <c r="BJ174" s="125"/>
      <c r="BK174" s="125"/>
      <c r="BL174" s="125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DC174" s="8"/>
    </row>
    <row r="175" spans="2:107" s="15" customFormat="1" x14ac:dyDescent="0.2">
      <c r="B175" s="20"/>
      <c r="C175" s="21"/>
      <c r="D175" s="22"/>
      <c r="E175" s="22"/>
      <c r="F175" s="22"/>
      <c r="Y175" s="17"/>
      <c r="Z175" s="18"/>
      <c r="AA175" s="14"/>
      <c r="AB175" s="14"/>
      <c r="AC175" s="14"/>
      <c r="AD175" s="14"/>
      <c r="AE175" s="14"/>
      <c r="AF175" s="14"/>
      <c r="AG175" s="14"/>
      <c r="AH175" s="14"/>
      <c r="AI175" s="14"/>
      <c r="AS175" s="13"/>
      <c r="AT175" s="13"/>
      <c r="AW175" s="13"/>
      <c r="AX175" s="13"/>
      <c r="AY175" s="13"/>
      <c r="AZ175" s="13"/>
      <c r="BA175" s="13"/>
      <c r="BB175" s="40"/>
      <c r="BC175" s="40"/>
      <c r="BD175" s="40"/>
      <c r="BE175" s="40"/>
      <c r="BF175" s="40"/>
      <c r="BG175" s="40"/>
      <c r="BH175" s="125"/>
      <c r="BI175" s="125"/>
      <c r="BJ175" s="125"/>
      <c r="BK175" s="125"/>
      <c r="BL175" s="125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DC175" s="8"/>
    </row>
    <row r="176" spans="2:107" s="15" customFormat="1" x14ac:dyDescent="0.2">
      <c r="B176" s="20"/>
      <c r="C176" s="21"/>
      <c r="D176" s="22"/>
      <c r="E176" s="22"/>
      <c r="F176" s="22"/>
      <c r="Y176" s="17"/>
      <c r="Z176" s="18"/>
      <c r="AA176" s="14"/>
      <c r="AB176" s="14"/>
      <c r="AC176" s="14"/>
      <c r="AD176" s="14"/>
      <c r="AE176" s="14"/>
      <c r="AF176" s="14"/>
      <c r="AG176" s="14"/>
      <c r="AH176" s="14"/>
      <c r="AI176" s="14"/>
      <c r="AS176" s="13"/>
      <c r="AT176" s="13"/>
      <c r="AW176" s="13"/>
      <c r="AX176" s="13"/>
      <c r="AY176" s="13"/>
      <c r="AZ176" s="13"/>
      <c r="BA176" s="13"/>
      <c r="BB176" s="40"/>
      <c r="BC176" s="40"/>
      <c r="BD176" s="40"/>
      <c r="BE176" s="40"/>
      <c r="BF176" s="40"/>
      <c r="BG176" s="40"/>
      <c r="BH176" s="125"/>
      <c r="BI176" s="125"/>
      <c r="BJ176" s="125"/>
      <c r="BK176" s="125"/>
      <c r="BL176" s="125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DC176" s="8"/>
    </row>
    <row r="177" spans="2:107" s="15" customFormat="1" x14ac:dyDescent="0.2">
      <c r="B177" s="20"/>
      <c r="C177" s="21"/>
      <c r="D177" s="22"/>
      <c r="E177" s="22"/>
      <c r="F177" s="22"/>
      <c r="Y177" s="17"/>
      <c r="Z177" s="18"/>
      <c r="AA177" s="14"/>
      <c r="AB177" s="14"/>
      <c r="AC177" s="14"/>
      <c r="AD177" s="14"/>
      <c r="AE177" s="14"/>
      <c r="AF177" s="14"/>
      <c r="AG177" s="14"/>
      <c r="AH177" s="14"/>
      <c r="AI177" s="14"/>
      <c r="AS177" s="13"/>
      <c r="AT177" s="13"/>
      <c r="AW177" s="13"/>
      <c r="AX177" s="13"/>
      <c r="AY177" s="13"/>
      <c r="AZ177" s="13"/>
      <c r="BA177" s="13"/>
      <c r="BB177" s="40"/>
      <c r="BC177" s="40"/>
      <c r="BD177" s="40"/>
      <c r="BE177" s="40"/>
      <c r="BF177" s="40"/>
      <c r="BG177" s="40"/>
      <c r="BH177" s="125"/>
      <c r="BI177" s="125"/>
      <c r="BJ177" s="125"/>
      <c r="BK177" s="125"/>
      <c r="BL177" s="125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DC177" s="8"/>
    </row>
    <row r="178" spans="2:107" s="15" customFormat="1" x14ac:dyDescent="0.2">
      <c r="B178" s="20"/>
      <c r="C178" s="21"/>
      <c r="D178" s="22"/>
      <c r="E178" s="22"/>
      <c r="F178" s="22"/>
      <c r="Y178" s="17"/>
      <c r="Z178" s="18"/>
      <c r="AA178" s="14"/>
      <c r="AB178" s="14"/>
      <c r="AC178" s="14"/>
      <c r="AD178" s="14"/>
      <c r="AE178" s="14"/>
      <c r="AF178" s="14"/>
      <c r="AG178" s="14"/>
      <c r="AH178" s="14"/>
      <c r="AI178" s="14"/>
      <c r="AS178" s="13"/>
      <c r="AT178" s="13"/>
      <c r="AW178" s="13"/>
      <c r="AX178" s="13"/>
      <c r="AY178" s="13"/>
      <c r="AZ178" s="13"/>
      <c r="BA178" s="13"/>
      <c r="BB178" s="40"/>
      <c r="BC178" s="40"/>
      <c r="BD178" s="40"/>
      <c r="BE178" s="40"/>
      <c r="BF178" s="40"/>
      <c r="BG178" s="40"/>
      <c r="BH178" s="125"/>
      <c r="BI178" s="125"/>
      <c r="BJ178" s="125"/>
      <c r="BK178" s="125"/>
      <c r="BL178" s="125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DC178" s="8"/>
    </row>
    <row r="179" spans="2:107" s="15" customFormat="1" x14ac:dyDescent="0.2">
      <c r="B179" s="20"/>
      <c r="C179" s="21"/>
      <c r="D179" s="22"/>
      <c r="E179" s="22"/>
      <c r="F179" s="22"/>
      <c r="Y179" s="17"/>
      <c r="Z179" s="18"/>
      <c r="AA179" s="14"/>
      <c r="AB179" s="14"/>
      <c r="AC179" s="14"/>
      <c r="AD179" s="14"/>
      <c r="AE179" s="14"/>
      <c r="AF179" s="14"/>
      <c r="AG179" s="14"/>
      <c r="AH179" s="14"/>
      <c r="AI179" s="14"/>
      <c r="AS179" s="13"/>
      <c r="AT179" s="13"/>
      <c r="AW179" s="13"/>
      <c r="AX179" s="13"/>
      <c r="AY179" s="13"/>
      <c r="AZ179" s="13"/>
      <c r="BA179" s="13"/>
      <c r="BB179" s="40"/>
      <c r="BC179" s="40"/>
      <c r="BD179" s="40"/>
      <c r="BE179" s="40"/>
      <c r="BF179" s="40"/>
      <c r="BG179" s="40"/>
      <c r="BH179" s="125"/>
      <c r="BI179" s="125"/>
      <c r="BJ179" s="125"/>
      <c r="BK179" s="125"/>
      <c r="BL179" s="125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DC179" s="8"/>
    </row>
    <row r="180" spans="2:107" s="15" customFormat="1" x14ac:dyDescent="0.2">
      <c r="B180" s="20"/>
      <c r="C180" s="21"/>
      <c r="D180" s="22"/>
      <c r="E180" s="22"/>
      <c r="F180" s="22"/>
      <c r="Y180" s="17"/>
      <c r="Z180" s="18"/>
      <c r="AA180" s="14"/>
      <c r="AB180" s="14"/>
      <c r="AC180" s="14"/>
      <c r="AD180" s="14"/>
      <c r="AE180" s="14"/>
      <c r="AF180" s="14"/>
      <c r="AG180" s="14"/>
      <c r="AH180" s="14"/>
      <c r="AI180" s="14"/>
      <c r="AS180" s="13"/>
      <c r="AT180" s="13"/>
      <c r="AW180" s="13"/>
      <c r="AX180" s="13"/>
      <c r="AY180" s="13"/>
      <c r="AZ180" s="13"/>
      <c r="BA180" s="13"/>
      <c r="BB180" s="40"/>
      <c r="BC180" s="40"/>
      <c r="BD180" s="40"/>
      <c r="BE180" s="40"/>
      <c r="BF180" s="40"/>
      <c r="BG180" s="40"/>
      <c r="BH180" s="125"/>
      <c r="BI180" s="125"/>
      <c r="BJ180" s="125"/>
      <c r="BK180" s="125"/>
      <c r="BL180" s="125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DC180" s="8"/>
    </row>
    <row r="181" spans="2:107" s="15" customFormat="1" x14ac:dyDescent="0.2">
      <c r="B181" s="20"/>
      <c r="C181" s="21"/>
      <c r="D181" s="22"/>
      <c r="E181" s="22"/>
      <c r="F181" s="22"/>
      <c r="Y181" s="17"/>
      <c r="Z181" s="18"/>
      <c r="AA181" s="14"/>
      <c r="AB181" s="14"/>
      <c r="AC181" s="14"/>
      <c r="AD181" s="14"/>
      <c r="AE181" s="14"/>
      <c r="AF181" s="14"/>
      <c r="AG181" s="14"/>
      <c r="AH181" s="14"/>
      <c r="AI181" s="14"/>
      <c r="AS181" s="13"/>
      <c r="AT181" s="13"/>
      <c r="AW181" s="13"/>
      <c r="AX181" s="13"/>
      <c r="AY181" s="13"/>
      <c r="AZ181" s="13"/>
      <c r="BA181" s="13"/>
      <c r="BB181" s="40"/>
      <c r="BC181" s="40"/>
      <c r="BD181" s="40"/>
      <c r="BE181" s="40"/>
      <c r="BF181" s="40"/>
      <c r="BG181" s="40"/>
      <c r="BH181" s="125"/>
      <c r="BI181" s="125"/>
      <c r="BJ181" s="125"/>
      <c r="BK181" s="125"/>
      <c r="BL181" s="125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DC181" s="8"/>
    </row>
    <row r="182" spans="2:107" s="15" customFormat="1" x14ac:dyDescent="0.2">
      <c r="B182" s="20"/>
      <c r="C182" s="21"/>
      <c r="D182" s="22"/>
      <c r="E182" s="22"/>
      <c r="F182" s="22"/>
      <c r="Y182" s="17"/>
      <c r="Z182" s="18"/>
      <c r="AA182" s="14"/>
      <c r="AB182" s="14"/>
      <c r="AC182" s="14"/>
      <c r="AD182" s="14"/>
      <c r="AE182" s="14"/>
      <c r="AF182" s="14"/>
      <c r="AG182" s="14"/>
      <c r="AH182" s="14"/>
      <c r="AI182" s="14"/>
      <c r="AS182" s="13"/>
      <c r="AT182" s="13"/>
      <c r="AW182" s="13"/>
      <c r="AX182" s="13"/>
      <c r="AY182" s="13"/>
      <c r="AZ182" s="13"/>
      <c r="BA182" s="13"/>
      <c r="BB182" s="40"/>
      <c r="BC182" s="40"/>
      <c r="BD182" s="40"/>
      <c r="BE182" s="40"/>
      <c r="BF182" s="40"/>
      <c r="BG182" s="40"/>
      <c r="BH182" s="125"/>
      <c r="BI182" s="125"/>
      <c r="BJ182" s="125"/>
      <c r="BK182" s="125"/>
      <c r="BL182" s="125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DC182" s="8"/>
    </row>
    <row r="183" spans="2:107" s="15" customFormat="1" x14ac:dyDescent="0.2">
      <c r="B183" s="20"/>
      <c r="C183" s="21"/>
      <c r="D183" s="22"/>
      <c r="E183" s="22"/>
      <c r="F183" s="22"/>
      <c r="Y183" s="17"/>
      <c r="Z183" s="18"/>
      <c r="AA183" s="14"/>
      <c r="AB183" s="14"/>
      <c r="AC183" s="14"/>
      <c r="AD183" s="14"/>
      <c r="AE183" s="14"/>
      <c r="AF183" s="14"/>
      <c r="AG183" s="14"/>
      <c r="AH183" s="14"/>
      <c r="AI183" s="14"/>
      <c r="AS183" s="13"/>
      <c r="AT183" s="13"/>
      <c r="AW183" s="13"/>
      <c r="AX183" s="13"/>
      <c r="AY183" s="13"/>
      <c r="AZ183" s="13"/>
      <c r="BA183" s="13"/>
      <c r="BB183" s="40"/>
      <c r="BC183" s="40"/>
      <c r="BD183" s="40"/>
      <c r="BE183" s="40"/>
      <c r="BF183" s="40"/>
      <c r="BG183" s="40"/>
      <c r="BH183" s="125"/>
      <c r="BI183" s="125"/>
      <c r="BJ183" s="125"/>
      <c r="BK183" s="125"/>
      <c r="BL183" s="125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DC183" s="8"/>
    </row>
    <row r="184" spans="2:107" s="15" customFormat="1" x14ac:dyDescent="0.2">
      <c r="B184" s="20"/>
      <c r="C184" s="21"/>
      <c r="D184" s="22"/>
      <c r="E184" s="22"/>
      <c r="F184" s="22"/>
      <c r="Y184" s="17"/>
      <c r="Z184" s="18"/>
      <c r="AA184" s="14"/>
      <c r="AB184" s="14"/>
      <c r="AC184" s="14"/>
      <c r="AD184" s="14"/>
      <c r="AE184" s="14"/>
      <c r="AF184" s="14"/>
      <c r="AG184" s="14"/>
      <c r="AH184" s="14"/>
      <c r="AI184" s="14"/>
      <c r="AS184" s="13"/>
      <c r="AT184" s="13"/>
      <c r="AW184" s="13"/>
      <c r="AX184" s="13"/>
      <c r="AY184" s="13"/>
      <c r="AZ184" s="13"/>
      <c r="BA184" s="13"/>
      <c r="BB184" s="40"/>
      <c r="BC184" s="40"/>
      <c r="BD184" s="40"/>
      <c r="BE184" s="40"/>
      <c r="BF184" s="40"/>
      <c r="BG184" s="40"/>
      <c r="BH184" s="125"/>
      <c r="BI184" s="125"/>
      <c r="BJ184" s="125"/>
      <c r="BK184" s="125"/>
      <c r="BL184" s="125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DC184" s="8"/>
    </row>
    <row r="185" spans="2:107" s="15" customFormat="1" x14ac:dyDescent="0.2">
      <c r="B185" s="20"/>
      <c r="C185" s="21"/>
      <c r="D185" s="22"/>
      <c r="E185" s="22"/>
      <c r="F185" s="22"/>
      <c r="Y185" s="17"/>
      <c r="Z185" s="18"/>
      <c r="AA185" s="14"/>
      <c r="AB185" s="14"/>
      <c r="AC185" s="14"/>
      <c r="AD185" s="14"/>
      <c r="AE185" s="14"/>
      <c r="AF185" s="14"/>
      <c r="AG185" s="14"/>
      <c r="AH185" s="14"/>
      <c r="AI185" s="14"/>
      <c r="AS185" s="13"/>
      <c r="AT185" s="13"/>
      <c r="AW185" s="13"/>
      <c r="AX185" s="13"/>
      <c r="AY185" s="13"/>
      <c r="AZ185" s="13"/>
      <c r="BA185" s="13"/>
      <c r="BB185" s="40"/>
      <c r="BC185" s="40"/>
      <c r="BD185" s="40"/>
      <c r="BE185" s="40"/>
      <c r="BF185" s="40"/>
      <c r="BG185" s="40"/>
      <c r="BH185" s="125"/>
      <c r="BI185" s="125"/>
      <c r="BJ185" s="125"/>
      <c r="BK185" s="125"/>
      <c r="BL185" s="125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DC185" s="8"/>
    </row>
    <row r="186" spans="2:107" s="15" customFormat="1" x14ac:dyDescent="0.2">
      <c r="B186" s="20"/>
      <c r="C186" s="21"/>
      <c r="D186" s="22"/>
      <c r="E186" s="22"/>
      <c r="F186" s="22"/>
      <c r="Y186" s="17"/>
      <c r="Z186" s="18"/>
      <c r="AA186" s="14"/>
      <c r="AB186" s="14"/>
      <c r="AC186" s="14"/>
      <c r="AD186" s="14"/>
      <c r="AE186" s="14"/>
      <c r="AF186" s="14"/>
      <c r="AG186" s="14"/>
      <c r="AH186" s="14"/>
      <c r="AI186" s="14"/>
      <c r="AS186" s="13"/>
      <c r="AT186" s="13"/>
      <c r="AW186" s="13"/>
      <c r="AX186" s="13"/>
      <c r="AY186" s="13"/>
      <c r="AZ186" s="13"/>
      <c r="BA186" s="13"/>
      <c r="BB186" s="40"/>
      <c r="BC186" s="40"/>
      <c r="BD186" s="40"/>
      <c r="BE186" s="40"/>
      <c r="BF186" s="40"/>
      <c r="BG186" s="40"/>
      <c r="BH186" s="125"/>
      <c r="BI186" s="125"/>
      <c r="BJ186" s="125"/>
      <c r="BK186" s="125"/>
      <c r="BL186" s="125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DC186" s="8"/>
    </row>
    <row r="187" spans="2:107" s="15" customFormat="1" x14ac:dyDescent="0.2">
      <c r="B187" s="20"/>
      <c r="C187" s="21"/>
      <c r="D187" s="22"/>
      <c r="E187" s="22"/>
      <c r="F187" s="22"/>
      <c r="Y187" s="17"/>
      <c r="Z187" s="18"/>
      <c r="AA187" s="14"/>
      <c r="AB187" s="14"/>
      <c r="AC187" s="14"/>
      <c r="AD187" s="14"/>
      <c r="AE187" s="14"/>
      <c r="AF187" s="14"/>
      <c r="AG187" s="14"/>
      <c r="AH187" s="14"/>
      <c r="AI187" s="14"/>
      <c r="AS187" s="13"/>
      <c r="AT187" s="13"/>
      <c r="AW187" s="13"/>
      <c r="AX187" s="13"/>
      <c r="AY187" s="13"/>
      <c r="AZ187" s="13"/>
      <c r="BA187" s="13"/>
      <c r="BB187" s="40"/>
      <c r="BC187" s="40"/>
      <c r="BD187" s="40"/>
      <c r="BE187" s="40"/>
      <c r="BF187" s="40"/>
      <c r="BG187" s="40"/>
      <c r="BH187" s="125"/>
      <c r="BI187" s="125"/>
      <c r="BJ187" s="125"/>
      <c r="BK187" s="125"/>
      <c r="BL187" s="125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DC187" s="8"/>
    </row>
    <row r="188" spans="2:107" s="15" customFormat="1" x14ac:dyDescent="0.2">
      <c r="B188" s="20"/>
      <c r="C188" s="21"/>
      <c r="D188" s="22"/>
      <c r="E188" s="22"/>
      <c r="F188" s="22"/>
      <c r="Y188" s="17"/>
      <c r="Z188" s="18"/>
      <c r="AA188" s="14"/>
      <c r="AB188" s="14"/>
      <c r="AC188" s="14"/>
      <c r="AD188" s="14"/>
      <c r="AE188" s="14"/>
      <c r="AF188" s="14"/>
      <c r="AG188" s="14"/>
      <c r="AH188" s="14"/>
      <c r="AI188" s="14"/>
      <c r="AS188" s="13"/>
      <c r="AT188" s="13"/>
      <c r="AW188" s="13"/>
      <c r="AX188" s="13"/>
      <c r="AY188" s="13"/>
      <c r="AZ188" s="13"/>
      <c r="BA188" s="13"/>
      <c r="BB188" s="40"/>
      <c r="BC188" s="40"/>
      <c r="BD188" s="40"/>
      <c r="BE188" s="40"/>
      <c r="BF188" s="40"/>
      <c r="BG188" s="40"/>
      <c r="BH188" s="125"/>
      <c r="BI188" s="125"/>
      <c r="BJ188" s="125"/>
      <c r="BK188" s="125"/>
      <c r="BL188" s="125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DC188" s="8"/>
    </row>
    <row r="189" spans="2:107" s="15" customFormat="1" x14ac:dyDescent="0.2">
      <c r="B189" s="20"/>
      <c r="C189" s="21"/>
      <c r="D189" s="22"/>
      <c r="E189" s="22"/>
      <c r="F189" s="22"/>
      <c r="Y189" s="17"/>
      <c r="Z189" s="18"/>
      <c r="AA189" s="14"/>
      <c r="AB189" s="14"/>
      <c r="AC189" s="14"/>
      <c r="AD189" s="14"/>
      <c r="AE189" s="14"/>
      <c r="AF189" s="14"/>
      <c r="AG189" s="14"/>
      <c r="AH189" s="14"/>
      <c r="AI189" s="14"/>
      <c r="AS189" s="13"/>
      <c r="AT189" s="13"/>
      <c r="AW189" s="13"/>
      <c r="AX189" s="13"/>
      <c r="AY189" s="13"/>
      <c r="AZ189" s="13"/>
      <c r="BA189" s="13"/>
      <c r="BB189" s="40"/>
      <c r="BC189" s="40"/>
      <c r="BD189" s="40"/>
      <c r="BE189" s="40"/>
      <c r="BF189" s="40"/>
      <c r="BG189" s="40"/>
      <c r="BH189" s="125"/>
      <c r="BI189" s="125"/>
      <c r="BJ189" s="125"/>
      <c r="BK189" s="125"/>
      <c r="BL189" s="125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DC189" s="8"/>
    </row>
    <row r="190" spans="2:107" s="15" customFormat="1" x14ac:dyDescent="0.2">
      <c r="B190" s="20"/>
      <c r="C190" s="21"/>
      <c r="D190" s="22"/>
      <c r="E190" s="22"/>
      <c r="F190" s="22"/>
      <c r="Y190" s="17"/>
      <c r="Z190" s="18"/>
      <c r="AA190" s="14"/>
      <c r="AB190" s="14"/>
      <c r="AC190" s="14"/>
      <c r="AD190" s="14"/>
      <c r="AE190" s="14"/>
      <c r="AF190" s="14"/>
      <c r="AG190" s="14"/>
      <c r="AH190" s="14"/>
      <c r="AI190" s="14"/>
      <c r="AS190" s="13"/>
      <c r="AT190" s="13"/>
      <c r="AW190" s="13"/>
      <c r="AX190" s="13"/>
      <c r="AY190" s="13"/>
      <c r="AZ190" s="13"/>
      <c r="BA190" s="13"/>
      <c r="BB190" s="40"/>
      <c r="BC190" s="40"/>
      <c r="BD190" s="40"/>
      <c r="BE190" s="40"/>
      <c r="BF190" s="40"/>
      <c r="BG190" s="40"/>
      <c r="BH190" s="125"/>
      <c r="BI190" s="125"/>
      <c r="BJ190" s="125"/>
      <c r="BK190" s="125"/>
      <c r="BL190" s="125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DC190" s="8"/>
    </row>
    <row r="191" spans="2:107" s="15" customFormat="1" x14ac:dyDescent="0.2">
      <c r="B191" s="20"/>
      <c r="C191" s="21"/>
      <c r="D191" s="22"/>
      <c r="E191" s="22"/>
      <c r="F191" s="22"/>
      <c r="Y191" s="17"/>
      <c r="Z191" s="18"/>
      <c r="AA191" s="14"/>
      <c r="AB191" s="14"/>
      <c r="AC191" s="14"/>
      <c r="AD191" s="14"/>
      <c r="AE191" s="14"/>
      <c r="AF191" s="14"/>
      <c r="AG191" s="14"/>
      <c r="AH191" s="14"/>
      <c r="AI191" s="14"/>
      <c r="AS191" s="13"/>
      <c r="AT191" s="13"/>
      <c r="AW191" s="13"/>
      <c r="AX191" s="13"/>
      <c r="AY191" s="13"/>
      <c r="AZ191" s="13"/>
      <c r="BA191" s="13"/>
      <c r="BB191" s="40"/>
      <c r="BC191" s="40"/>
      <c r="BD191" s="40"/>
      <c r="BE191" s="40"/>
      <c r="BF191" s="40"/>
      <c r="BG191" s="40"/>
      <c r="BH191" s="125"/>
      <c r="BI191" s="125"/>
      <c r="BJ191" s="125"/>
      <c r="BK191" s="125"/>
      <c r="BL191" s="125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DC191" s="8"/>
    </row>
    <row r="192" spans="2:107" s="15" customFormat="1" x14ac:dyDescent="0.2">
      <c r="B192" s="20"/>
      <c r="C192" s="21"/>
      <c r="D192" s="22"/>
      <c r="E192" s="22"/>
      <c r="F192" s="22"/>
      <c r="Y192" s="17"/>
      <c r="Z192" s="18"/>
      <c r="AA192" s="14"/>
      <c r="AB192" s="14"/>
      <c r="AC192" s="14"/>
      <c r="AD192" s="14"/>
      <c r="AE192" s="14"/>
      <c r="AF192" s="14"/>
      <c r="AG192" s="14"/>
      <c r="AH192" s="14"/>
      <c r="AI192" s="14"/>
      <c r="AS192" s="13"/>
      <c r="AT192" s="13"/>
      <c r="AW192" s="13"/>
      <c r="AX192" s="13"/>
      <c r="AY192" s="13"/>
      <c r="AZ192" s="13"/>
      <c r="BA192" s="13"/>
      <c r="BB192" s="40"/>
      <c r="BC192" s="40"/>
      <c r="BD192" s="40"/>
      <c r="BE192" s="40"/>
      <c r="BF192" s="40"/>
      <c r="BG192" s="40"/>
      <c r="BH192" s="125"/>
      <c r="BI192" s="125"/>
      <c r="BJ192" s="125"/>
      <c r="BK192" s="125"/>
      <c r="BL192" s="125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DC192" s="8"/>
    </row>
    <row r="193" spans="2:107" s="15" customFormat="1" x14ac:dyDescent="0.2">
      <c r="B193" s="20"/>
      <c r="C193" s="21"/>
      <c r="D193" s="22"/>
      <c r="E193" s="22"/>
      <c r="F193" s="22"/>
      <c r="Y193" s="17"/>
      <c r="Z193" s="18"/>
      <c r="AA193" s="14"/>
      <c r="AB193" s="14"/>
      <c r="AC193" s="14"/>
      <c r="AD193" s="14"/>
      <c r="AE193" s="14"/>
      <c r="AF193" s="14"/>
      <c r="AG193" s="14"/>
      <c r="AH193" s="14"/>
      <c r="AI193" s="14"/>
      <c r="AS193" s="13"/>
      <c r="AT193" s="13"/>
      <c r="AW193" s="13"/>
      <c r="AX193" s="13"/>
      <c r="AY193" s="13"/>
      <c r="AZ193" s="13"/>
      <c r="BA193" s="13"/>
      <c r="BB193" s="40"/>
      <c r="BC193" s="40"/>
      <c r="BD193" s="40"/>
      <c r="BE193" s="40"/>
      <c r="BF193" s="40"/>
      <c r="BG193" s="40"/>
      <c r="BH193" s="125"/>
      <c r="BI193" s="125"/>
      <c r="BJ193" s="125"/>
      <c r="BK193" s="125"/>
      <c r="BL193" s="125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DC193" s="8"/>
    </row>
    <row r="194" spans="2:107" s="15" customFormat="1" x14ac:dyDescent="0.2">
      <c r="B194" s="20"/>
      <c r="C194" s="21"/>
      <c r="D194" s="22"/>
      <c r="E194" s="22"/>
      <c r="F194" s="22"/>
      <c r="Y194" s="17"/>
      <c r="Z194" s="18"/>
      <c r="AA194" s="14"/>
      <c r="AB194" s="14"/>
      <c r="AC194" s="14"/>
      <c r="AD194" s="14"/>
      <c r="AE194" s="14"/>
      <c r="AF194" s="14"/>
      <c r="AG194" s="14"/>
      <c r="AH194" s="14"/>
      <c r="AI194" s="14"/>
      <c r="AS194" s="13"/>
      <c r="AT194" s="13"/>
      <c r="AW194" s="13"/>
      <c r="AX194" s="13"/>
      <c r="AY194" s="13"/>
      <c r="AZ194" s="13"/>
      <c r="BA194" s="13"/>
      <c r="BB194" s="40"/>
      <c r="BC194" s="40"/>
      <c r="BD194" s="40"/>
      <c r="BE194" s="40"/>
      <c r="BF194" s="40"/>
      <c r="BG194" s="40"/>
      <c r="BH194" s="125"/>
      <c r="BI194" s="125"/>
      <c r="BJ194" s="125"/>
      <c r="BK194" s="125"/>
      <c r="BL194" s="125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DC194" s="8"/>
    </row>
    <row r="195" spans="2:107" s="15" customFormat="1" x14ac:dyDescent="0.2">
      <c r="B195" s="20"/>
      <c r="C195" s="21"/>
      <c r="D195" s="22"/>
      <c r="E195" s="22"/>
      <c r="F195" s="22"/>
      <c r="Y195" s="17"/>
      <c r="Z195" s="18"/>
      <c r="AA195" s="14"/>
      <c r="AB195" s="14"/>
      <c r="AC195" s="14"/>
      <c r="AD195" s="14"/>
      <c r="AE195" s="14"/>
      <c r="AF195" s="14"/>
      <c r="AG195" s="14"/>
      <c r="AH195" s="14"/>
      <c r="AI195" s="14"/>
      <c r="AS195" s="13"/>
      <c r="AT195" s="13"/>
      <c r="AW195" s="13"/>
      <c r="AX195" s="13"/>
      <c r="AY195" s="13"/>
      <c r="AZ195" s="13"/>
      <c r="BA195" s="13"/>
      <c r="BB195" s="40"/>
      <c r="BC195" s="40"/>
      <c r="BD195" s="40"/>
      <c r="BE195" s="40"/>
      <c r="BF195" s="40"/>
      <c r="BG195" s="40"/>
      <c r="BH195" s="125"/>
      <c r="BI195" s="125"/>
      <c r="BJ195" s="125"/>
      <c r="BK195" s="125"/>
      <c r="BL195" s="125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DC195" s="8"/>
    </row>
    <row r="196" spans="2:107" s="15" customFormat="1" x14ac:dyDescent="0.2">
      <c r="B196" s="20"/>
      <c r="C196" s="21"/>
      <c r="D196" s="22"/>
      <c r="E196" s="22"/>
      <c r="F196" s="22"/>
      <c r="Y196" s="17"/>
      <c r="Z196" s="18"/>
      <c r="AA196" s="14"/>
      <c r="AB196" s="14"/>
      <c r="AC196" s="14"/>
      <c r="AD196" s="14"/>
      <c r="AE196" s="14"/>
      <c r="AF196" s="14"/>
      <c r="AG196" s="14"/>
      <c r="AH196" s="14"/>
      <c r="AI196" s="14"/>
      <c r="AS196" s="13"/>
      <c r="AT196" s="13"/>
      <c r="AW196" s="13"/>
      <c r="AX196" s="13"/>
      <c r="AY196" s="13"/>
      <c r="AZ196" s="13"/>
      <c r="BA196" s="13"/>
      <c r="BB196" s="40"/>
      <c r="BC196" s="40"/>
      <c r="BD196" s="40"/>
      <c r="BE196" s="40"/>
      <c r="BF196" s="40"/>
      <c r="BG196" s="40"/>
      <c r="BH196" s="125"/>
      <c r="BI196" s="125"/>
      <c r="BJ196" s="125"/>
      <c r="BK196" s="125"/>
      <c r="BL196" s="125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DC196" s="8"/>
    </row>
    <row r="197" spans="2:107" s="15" customFormat="1" x14ac:dyDescent="0.2">
      <c r="B197" s="20"/>
      <c r="C197" s="21"/>
      <c r="D197" s="22"/>
      <c r="E197" s="22"/>
      <c r="F197" s="22"/>
      <c r="Y197" s="17"/>
      <c r="Z197" s="18"/>
      <c r="AA197" s="14"/>
      <c r="AB197" s="14"/>
      <c r="AC197" s="14"/>
      <c r="AD197" s="14"/>
      <c r="AE197" s="14"/>
      <c r="AF197" s="14"/>
      <c r="AG197" s="14"/>
      <c r="AH197" s="14"/>
      <c r="AI197" s="14"/>
      <c r="AS197" s="13"/>
      <c r="AT197" s="13"/>
      <c r="AW197" s="13"/>
      <c r="AX197" s="13"/>
      <c r="AY197" s="13"/>
      <c r="AZ197" s="13"/>
      <c r="BA197" s="13"/>
      <c r="BB197" s="40"/>
      <c r="BC197" s="40"/>
      <c r="BD197" s="40"/>
      <c r="BE197" s="40"/>
      <c r="BF197" s="40"/>
      <c r="BG197" s="40"/>
      <c r="BH197" s="125"/>
      <c r="BI197" s="125"/>
      <c r="BJ197" s="125"/>
      <c r="BK197" s="125"/>
      <c r="BL197" s="125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DC197" s="8"/>
    </row>
    <row r="198" spans="2:107" s="15" customFormat="1" x14ac:dyDescent="0.2">
      <c r="B198" s="20"/>
      <c r="C198" s="21"/>
      <c r="D198" s="22"/>
      <c r="E198" s="22"/>
      <c r="F198" s="22"/>
      <c r="Y198" s="17"/>
      <c r="Z198" s="18"/>
      <c r="AA198" s="14"/>
      <c r="AB198" s="14"/>
      <c r="AC198" s="14"/>
      <c r="AD198" s="14"/>
      <c r="AE198" s="14"/>
      <c r="AF198" s="14"/>
      <c r="AG198" s="14"/>
      <c r="AH198" s="14"/>
      <c r="AI198" s="14"/>
      <c r="AS198" s="13"/>
      <c r="AT198" s="13"/>
      <c r="AW198" s="13"/>
      <c r="AX198" s="13"/>
      <c r="AY198" s="13"/>
      <c r="AZ198" s="13"/>
      <c r="BA198" s="13"/>
      <c r="BB198" s="40"/>
      <c r="BC198" s="40"/>
      <c r="BD198" s="40"/>
      <c r="BE198" s="40"/>
      <c r="BF198" s="40"/>
      <c r="BG198" s="40"/>
      <c r="BH198" s="125"/>
      <c r="BI198" s="125"/>
      <c r="BJ198" s="125"/>
      <c r="BK198" s="125"/>
      <c r="BL198" s="125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DC198" s="8"/>
    </row>
    <row r="199" spans="2:107" s="15" customFormat="1" x14ac:dyDescent="0.2">
      <c r="B199" s="20"/>
      <c r="C199" s="21"/>
      <c r="D199" s="22"/>
      <c r="E199" s="22"/>
      <c r="F199" s="22"/>
      <c r="Y199" s="17"/>
      <c r="Z199" s="18"/>
      <c r="AA199" s="14"/>
      <c r="AB199" s="14"/>
      <c r="AC199" s="14"/>
      <c r="AD199" s="14"/>
      <c r="AE199" s="14"/>
      <c r="AF199" s="14"/>
      <c r="AG199" s="14"/>
      <c r="AH199" s="14"/>
      <c r="AI199" s="14"/>
      <c r="AS199" s="13"/>
      <c r="AT199" s="13"/>
      <c r="AW199" s="13"/>
      <c r="AX199" s="13"/>
      <c r="AY199" s="13"/>
      <c r="AZ199" s="13"/>
      <c r="BA199" s="13"/>
      <c r="BB199" s="40"/>
      <c r="BC199" s="40"/>
      <c r="BD199" s="40"/>
      <c r="BE199" s="40"/>
      <c r="BF199" s="40"/>
      <c r="BG199" s="40"/>
      <c r="BH199" s="125"/>
      <c r="BI199" s="125"/>
      <c r="BJ199" s="125"/>
      <c r="BK199" s="125"/>
      <c r="BL199" s="125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DC199" s="8"/>
    </row>
    <row r="200" spans="2:107" s="15" customFormat="1" x14ac:dyDescent="0.2">
      <c r="B200" s="20"/>
      <c r="C200" s="21"/>
      <c r="D200" s="22"/>
      <c r="E200" s="22"/>
      <c r="F200" s="22"/>
      <c r="Y200" s="17"/>
      <c r="Z200" s="18"/>
      <c r="AA200" s="14"/>
      <c r="AB200" s="14"/>
      <c r="AC200" s="14"/>
      <c r="AD200" s="14"/>
      <c r="AE200" s="14"/>
      <c r="AF200" s="14"/>
      <c r="AG200" s="14"/>
      <c r="AH200" s="14"/>
      <c r="AI200" s="14"/>
      <c r="AS200" s="13"/>
      <c r="AT200" s="13"/>
      <c r="AW200" s="13"/>
      <c r="AX200" s="13"/>
      <c r="AY200" s="13"/>
      <c r="AZ200" s="13"/>
      <c r="BA200" s="13"/>
      <c r="BB200" s="40"/>
      <c r="BC200" s="40"/>
      <c r="BD200" s="40"/>
      <c r="BE200" s="40"/>
      <c r="BF200" s="40"/>
      <c r="BG200" s="40"/>
      <c r="BH200" s="125"/>
      <c r="BI200" s="125"/>
      <c r="BJ200" s="125"/>
      <c r="BK200" s="125"/>
      <c r="BL200" s="125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DC200" s="8"/>
    </row>
    <row r="201" spans="2:107" s="15" customFormat="1" x14ac:dyDescent="0.2">
      <c r="B201" s="20"/>
      <c r="C201" s="21"/>
      <c r="D201" s="22"/>
      <c r="E201" s="22"/>
      <c r="F201" s="22"/>
      <c r="Y201" s="17"/>
      <c r="Z201" s="18"/>
      <c r="AA201" s="14"/>
      <c r="AB201" s="14"/>
      <c r="AC201" s="14"/>
      <c r="AD201" s="14"/>
      <c r="AE201" s="14"/>
      <c r="AF201" s="14"/>
      <c r="AG201" s="14"/>
      <c r="AH201" s="14"/>
      <c r="AI201" s="14"/>
      <c r="AS201" s="13"/>
      <c r="AT201" s="13"/>
      <c r="AW201" s="13"/>
      <c r="AX201" s="13"/>
      <c r="AY201" s="13"/>
      <c r="AZ201" s="13"/>
      <c r="BA201" s="13"/>
      <c r="BB201" s="40"/>
      <c r="BC201" s="40"/>
      <c r="BD201" s="40"/>
      <c r="BE201" s="40"/>
      <c r="BF201" s="40"/>
      <c r="BG201" s="40"/>
      <c r="BH201" s="125"/>
      <c r="BI201" s="125"/>
      <c r="BJ201" s="125"/>
      <c r="BK201" s="125"/>
      <c r="BL201" s="125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DC201" s="8"/>
    </row>
    <row r="202" spans="2:107" s="15" customFormat="1" x14ac:dyDescent="0.2">
      <c r="B202" s="20"/>
      <c r="C202" s="21"/>
      <c r="D202" s="22"/>
      <c r="E202" s="22"/>
      <c r="F202" s="22"/>
      <c r="Y202" s="17"/>
      <c r="Z202" s="18"/>
      <c r="AA202" s="14"/>
      <c r="AB202" s="14"/>
      <c r="AC202" s="14"/>
      <c r="AD202" s="14"/>
      <c r="AE202" s="14"/>
      <c r="AF202" s="14"/>
      <c r="AG202" s="14"/>
      <c r="AH202" s="14"/>
      <c r="AI202" s="14"/>
      <c r="AS202" s="13"/>
      <c r="AT202" s="13"/>
      <c r="AW202" s="13"/>
      <c r="AX202" s="13"/>
      <c r="AY202" s="13"/>
      <c r="AZ202" s="13"/>
      <c r="BA202" s="13"/>
      <c r="BB202" s="40"/>
      <c r="BC202" s="40"/>
      <c r="BD202" s="40"/>
      <c r="BE202" s="40"/>
      <c r="BF202" s="40"/>
      <c r="BG202" s="40"/>
      <c r="BH202" s="125"/>
      <c r="BI202" s="125"/>
      <c r="BJ202" s="125"/>
      <c r="BK202" s="125"/>
      <c r="BL202" s="125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DC202" s="8"/>
    </row>
    <row r="203" spans="2:107" s="15" customFormat="1" x14ac:dyDescent="0.2">
      <c r="B203" s="20"/>
      <c r="C203" s="21"/>
      <c r="D203" s="22"/>
      <c r="E203" s="22"/>
      <c r="F203" s="22"/>
      <c r="Y203" s="17"/>
      <c r="Z203" s="18"/>
      <c r="AA203" s="14"/>
      <c r="AB203" s="14"/>
      <c r="AC203" s="14"/>
      <c r="AD203" s="14"/>
      <c r="AE203" s="14"/>
      <c r="AF203" s="14"/>
      <c r="AG203" s="14"/>
      <c r="AH203" s="14"/>
      <c r="AI203" s="14"/>
      <c r="AS203" s="13"/>
      <c r="AT203" s="13"/>
      <c r="AW203" s="13"/>
      <c r="AX203" s="13"/>
      <c r="AY203" s="13"/>
      <c r="AZ203" s="13"/>
      <c r="BA203" s="13"/>
      <c r="BB203" s="40"/>
      <c r="BC203" s="40"/>
      <c r="BD203" s="40"/>
      <c r="BE203" s="40"/>
      <c r="BF203" s="40"/>
      <c r="BG203" s="40"/>
      <c r="BH203" s="125"/>
      <c r="BI203" s="125"/>
      <c r="BJ203" s="125"/>
      <c r="BK203" s="125"/>
      <c r="BL203" s="125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DC203" s="8"/>
    </row>
    <row r="204" spans="2:107" s="15" customFormat="1" x14ac:dyDescent="0.2">
      <c r="B204" s="20"/>
      <c r="C204" s="21"/>
      <c r="D204" s="22"/>
      <c r="E204" s="22"/>
      <c r="F204" s="22"/>
      <c r="Y204" s="17"/>
      <c r="Z204" s="18"/>
      <c r="AA204" s="14"/>
      <c r="AB204" s="14"/>
      <c r="AC204" s="14"/>
      <c r="AD204" s="14"/>
      <c r="AE204" s="14"/>
      <c r="AF204" s="14"/>
      <c r="AG204" s="14"/>
      <c r="AH204" s="14"/>
      <c r="AI204" s="14"/>
      <c r="AS204" s="13"/>
      <c r="AT204" s="13"/>
      <c r="AW204" s="13"/>
      <c r="AX204" s="13"/>
      <c r="AY204" s="13"/>
      <c r="AZ204" s="13"/>
      <c r="BA204" s="13"/>
      <c r="BB204" s="40"/>
      <c r="BC204" s="40"/>
      <c r="BD204" s="40"/>
      <c r="BE204" s="40"/>
      <c r="BF204" s="40"/>
      <c r="BG204" s="40"/>
      <c r="BH204" s="125"/>
      <c r="BI204" s="125"/>
      <c r="BJ204" s="125"/>
      <c r="BK204" s="125"/>
      <c r="BL204" s="125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DC204" s="8"/>
    </row>
    <row r="205" spans="2:107" s="15" customFormat="1" x14ac:dyDescent="0.2">
      <c r="B205" s="20"/>
      <c r="C205" s="21"/>
      <c r="D205" s="22"/>
      <c r="E205" s="22"/>
      <c r="F205" s="22"/>
      <c r="Y205" s="17"/>
      <c r="Z205" s="18"/>
      <c r="AA205" s="14"/>
      <c r="AB205" s="14"/>
      <c r="AC205" s="14"/>
      <c r="AD205" s="14"/>
      <c r="AE205" s="14"/>
      <c r="AF205" s="14"/>
      <c r="AG205" s="14"/>
      <c r="AH205" s="14"/>
      <c r="AI205" s="14"/>
      <c r="AS205" s="13"/>
      <c r="AT205" s="13"/>
      <c r="AW205" s="13"/>
      <c r="AX205" s="13"/>
      <c r="AY205" s="13"/>
      <c r="AZ205" s="13"/>
      <c r="BA205" s="13"/>
      <c r="BB205" s="40"/>
      <c r="BC205" s="40"/>
      <c r="BD205" s="40"/>
      <c r="BE205" s="40"/>
      <c r="BF205" s="40"/>
      <c r="BG205" s="40"/>
      <c r="BH205" s="125"/>
      <c r="BI205" s="125"/>
      <c r="BJ205" s="125"/>
      <c r="BK205" s="125"/>
      <c r="BL205" s="125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DC205" s="8"/>
    </row>
    <row r="206" spans="2:107" s="15" customFormat="1" x14ac:dyDescent="0.2">
      <c r="B206" s="20"/>
      <c r="C206" s="21"/>
      <c r="D206" s="22"/>
      <c r="E206" s="22"/>
      <c r="F206" s="22"/>
      <c r="Y206" s="17"/>
      <c r="Z206" s="18"/>
      <c r="AA206" s="14"/>
      <c r="AB206" s="14"/>
      <c r="AC206" s="14"/>
      <c r="AD206" s="14"/>
      <c r="AE206" s="14"/>
      <c r="AF206" s="14"/>
      <c r="AG206" s="14"/>
      <c r="AH206" s="14"/>
      <c r="AI206" s="14"/>
      <c r="AS206" s="13"/>
      <c r="AT206" s="13"/>
      <c r="AW206" s="13"/>
      <c r="AX206" s="13"/>
      <c r="AY206" s="13"/>
      <c r="AZ206" s="13"/>
      <c r="BA206" s="13"/>
      <c r="BB206" s="40"/>
      <c r="BC206" s="40"/>
      <c r="BD206" s="40"/>
      <c r="BE206" s="40"/>
      <c r="BF206" s="40"/>
      <c r="BG206" s="40"/>
      <c r="BH206" s="125"/>
      <c r="BI206" s="125"/>
      <c r="BJ206" s="125"/>
      <c r="BK206" s="125"/>
      <c r="BL206" s="125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DC206" s="8"/>
    </row>
    <row r="207" spans="2:107" s="15" customFormat="1" x14ac:dyDescent="0.2">
      <c r="B207" s="20"/>
      <c r="C207" s="21"/>
      <c r="D207" s="22"/>
      <c r="E207" s="22"/>
      <c r="F207" s="22"/>
      <c r="Y207" s="17"/>
      <c r="Z207" s="18"/>
      <c r="AA207" s="14"/>
      <c r="AB207" s="14"/>
      <c r="AC207" s="14"/>
      <c r="AD207" s="14"/>
      <c r="AE207" s="14"/>
      <c r="AF207" s="14"/>
      <c r="AG207" s="14"/>
      <c r="AH207" s="14"/>
      <c r="AI207" s="14"/>
      <c r="AS207" s="13"/>
      <c r="AT207" s="13"/>
      <c r="AW207" s="13"/>
      <c r="AX207" s="13"/>
      <c r="AY207" s="13"/>
      <c r="AZ207" s="13"/>
      <c r="BA207" s="13"/>
      <c r="BB207" s="40"/>
      <c r="BC207" s="40"/>
      <c r="BD207" s="40"/>
      <c r="BE207" s="40"/>
      <c r="BF207" s="40"/>
      <c r="BG207" s="40"/>
      <c r="BH207" s="125"/>
      <c r="BI207" s="125"/>
      <c r="BJ207" s="125"/>
      <c r="BK207" s="125"/>
      <c r="BL207" s="125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DC207" s="8"/>
    </row>
    <row r="208" spans="2:107" s="15" customFormat="1" x14ac:dyDescent="0.2">
      <c r="B208" s="20"/>
      <c r="C208" s="21"/>
      <c r="D208" s="22"/>
      <c r="E208" s="22"/>
      <c r="F208" s="22"/>
      <c r="Y208" s="17"/>
      <c r="Z208" s="18"/>
      <c r="AA208" s="14"/>
      <c r="AB208" s="14"/>
      <c r="AC208" s="14"/>
      <c r="AD208" s="14"/>
      <c r="AE208" s="14"/>
      <c r="AF208" s="14"/>
      <c r="AG208" s="14"/>
      <c r="AH208" s="14"/>
      <c r="AI208" s="14"/>
      <c r="AS208" s="13"/>
      <c r="AT208" s="13"/>
      <c r="AW208" s="13"/>
      <c r="AX208" s="13"/>
      <c r="AY208" s="13"/>
      <c r="AZ208" s="13"/>
      <c r="BA208" s="13"/>
      <c r="BB208" s="40"/>
      <c r="BC208" s="40"/>
      <c r="BD208" s="40"/>
      <c r="BE208" s="40"/>
      <c r="BF208" s="40"/>
      <c r="BG208" s="40"/>
      <c r="BH208" s="125"/>
      <c r="BI208" s="125"/>
      <c r="BJ208" s="125"/>
      <c r="BK208" s="125"/>
      <c r="BL208" s="125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DC208" s="8"/>
    </row>
    <row r="209" spans="2:107" s="15" customFormat="1" x14ac:dyDescent="0.2">
      <c r="B209" s="20"/>
      <c r="C209" s="21"/>
      <c r="D209" s="22"/>
      <c r="E209" s="22"/>
      <c r="F209" s="22"/>
      <c r="Y209" s="17"/>
      <c r="Z209" s="18"/>
      <c r="AA209" s="14"/>
      <c r="AB209" s="14"/>
      <c r="AC209" s="14"/>
      <c r="AD209" s="14"/>
      <c r="AE209" s="14"/>
      <c r="AF209" s="14"/>
      <c r="AG209" s="14"/>
      <c r="AH209" s="14"/>
      <c r="AI209" s="14"/>
      <c r="AS209" s="13"/>
      <c r="AT209" s="13"/>
      <c r="AW209" s="13"/>
      <c r="AX209" s="13"/>
      <c r="AY209" s="13"/>
      <c r="AZ209" s="13"/>
      <c r="BA209" s="13"/>
      <c r="BB209" s="40"/>
      <c r="BC209" s="40"/>
      <c r="BD209" s="40"/>
      <c r="BE209" s="40"/>
      <c r="BF209" s="40"/>
      <c r="BG209" s="40"/>
      <c r="BH209" s="125"/>
      <c r="BI209" s="125"/>
      <c r="BJ209" s="125"/>
      <c r="BK209" s="125"/>
      <c r="BL209" s="125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DC209" s="8"/>
    </row>
    <row r="210" spans="2:107" s="15" customFormat="1" x14ac:dyDescent="0.2">
      <c r="B210" s="20"/>
      <c r="C210" s="21"/>
      <c r="D210" s="22"/>
      <c r="E210" s="22"/>
      <c r="F210" s="22"/>
      <c r="Y210" s="17"/>
      <c r="Z210" s="18"/>
      <c r="AA210" s="14"/>
      <c r="AB210" s="14"/>
      <c r="AC210" s="14"/>
      <c r="AD210" s="14"/>
      <c r="AE210" s="14"/>
      <c r="AF210" s="14"/>
      <c r="AG210" s="14"/>
      <c r="AH210" s="14"/>
      <c r="AI210" s="14"/>
      <c r="AS210" s="13"/>
      <c r="AT210" s="13"/>
      <c r="AW210" s="13"/>
      <c r="AX210" s="13"/>
      <c r="AY210" s="13"/>
      <c r="AZ210" s="13"/>
      <c r="BA210" s="13"/>
      <c r="BB210" s="40"/>
      <c r="BC210" s="40"/>
      <c r="BD210" s="40"/>
      <c r="BE210" s="40"/>
      <c r="BF210" s="40"/>
      <c r="BG210" s="40"/>
      <c r="BH210" s="125"/>
      <c r="BI210" s="125"/>
      <c r="BJ210" s="125"/>
      <c r="BK210" s="125"/>
      <c r="BL210" s="125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DC210" s="8"/>
    </row>
    <row r="211" spans="2:107" s="15" customFormat="1" x14ac:dyDescent="0.2">
      <c r="B211" s="20"/>
      <c r="C211" s="21"/>
      <c r="D211" s="22"/>
      <c r="E211" s="22"/>
      <c r="F211" s="22"/>
      <c r="Y211" s="17"/>
      <c r="Z211" s="18"/>
      <c r="AA211" s="14"/>
      <c r="AB211" s="14"/>
      <c r="AC211" s="14"/>
      <c r="AD211" s="14"/>
      <c r="AE211" s="14"/>
      <c r="AF211" s="14"/>
      <c r="AG211" s="14"/>
      <c r="AH211" s="14"/>
      <c r="AI211" s="14"/>
      <c r="AS211" s="13"/>
      <c r="AT211" s="13"/>
      <c r="AW211" s="13"/>
      <c r="AX211" s="13"/>
      <c r="AY211" s="13"/>
      <c r="AZ211" s="13"/>
      <c r="BA211" s="13"/>
      <c r="BB211" s="40"/>
      <c r="BC211" s="40"/>
      <c r="BD211" s="40"/>
      <c r="BE211" s="40"/>
      <c r="BF211" s="40"/>
      <c r="BG211" s="40"/>
      <c r="BH211" s="125"/>
      <c r="BI211" s="125"/>
      <c r="BJ211" s="125"/>
      <c r="BK211" s="125"/>
      <c r="BL211" s="125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DC211" s="8"/>
    </row>
    <row r="212" spans="2:107" s="15" customFormat="1" x14ac:dyDescent="0.2">
      <c r="B212" s="20"/>
      <c r="C212" s="21"/>
      <c r="D212" s="22"/>
      <c r="E212" s="22"/>
      <c r="F212" s="22"/>
      <c r="Y212" s="17"/>
      <c r="Z212" s="18"/>
      <c r="AA212" s="14"/>
      <c r="AB212" s="14"/>
      <c r="AC212" s="14"/>
      <c r="AD212" s="14"/>
      <c r="AE212" s="14"/>
      <c r="AF212" s="14"/>
      <c r="AG212" s="14"/>
      <c r="AH212" s="14"/>
      <c r="AI212" s="14"/>
      <c r="AS212" s="13"/>
      <c r="AT212" s="13"/>
      <c r="AW212" s="13"/>
      <c r="AX212" s="13"/>
      <c r="AY212" s="13"/>
      <c r="AZ212" s="13"/>
      <c r="BA212" s="13"/>
      <c r="BB212" s="40"/>
      <c r="BC212" s="40"/>
      <c r="BD212" s="40"/>
      <c r="BE212" s="40"/>
      <c r="BF212" s="40"/>
      <c r="BG212" s="40"/>
      <c r="BH212" s="125"/>
      <c r="BI212" s="125"/>
      <c r="BJ212" s="125"/>
      <c r="BK212" s="125"/>
      <c r="BL212" s="125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DC212" s="8"/>
    </row>
    <row r="213" spans="2:107" s="15" customFormat="1" x14ac:dyDescent="0.2">
      <c r="B213" s="20"/>
      <c r="C213" s="21"/>
      <c r="D213" s="22"/>
      <c r="E213" s="22"/>
      <c r="F213" s="22"/>
      <c r="Y213" s="17"/>
      <c r="Z213" s="18"/>
      <c r="AA213" s="14"/>
      <c r="AB213" s="14"/>
      <c r="AC213" s="14"/>
      <c r="AD213" s="14"/>
      <c r="AE213" s="14"/>
      <c r="AF213" s="14"/>
      <c r="AG213" s="14"/>
      <c r="AH213" s="14"/>
      <c r="AI213" s="14"/>
      <c r="AS213" s="13"/>
      <c r="AT213" s="13"/>
      <c r="AW213" s="13"/>
      <c r="AX213" s="13"/>
      <c r="AY213" s="13"/>
      <c r="AZ213" s="13"/>
      <c r="BA213" s="13"/>
      <c r="BB213" s="40"/>
      <c r="BC213" s="40"/>
      <c r="BD213" s="40"/>
      <c r="BE213" s="40"/>
      <c r="BF213" s="40"/>
      <c r="BG213" s="40"/>
      <c r="BH213" s="125"/>
      <c r="BI213" s="125"/>
      <c r="BJ213" s="125"/>
      <c r="BK213" s="125"/>
      <c r="BL213" s="125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DC213" s="8"/>
    </row>
    <row r="214" spans="2:107" s="15" customFormat="1" x14ac:dyDescent="0.2">
      <c r="B214" s="20"/>
      <c r="C214" s="21"/>
      <c r="D214" s="22"/>
      <c r="E214" s="22"/>
      <c r="F214" s="22"/>
      <c r="Y214" s="17"/>
      <c r="Z214" s="18"/>
      <c r="AA214" s="14"/>
      <c r="AB214" s="14"/>
      <c r="AC214" s="14"/>
      <c r="AD214" s="14"/>
      <c r="AE214" s="14"/>
      <c r="AF214" s="14"/>
      <c r="AG214" s="14"/>
      <c r="AH214" s="14"/>
      <c r="AI214" s="14"/>
      <c r="AS214" s="13"/>
      <c r="AT214" s="13"/>
      <c r="AW214" s="13"/>
      <c r="AX214" s="13"/>
      <c r="AY214" s="13"/>
      <c r="AZ214" s="13"/>
      <c r="BA214" s="13"/>
      <c r="BB214" s="40"/>
      <c r="BC214" s="40"/>
      <c r="BD214" s="40"/>
      <c r="BE214" s="40"/>
      <c r="BF214" s="40"/>
      <c r="BG214" s="40"/>
      <c r="BH214" s="125"/>
      <c r="BI214" s="125"/>
      <c r="BJ214" s="125"/>
      <c r="BK214" s="125"/>
      <c r="BL214" s="125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DC214" s="8"/>
    </row>
    <row r="215" spans="2:107" s="15" customFormat="1" x14ac:dyDescent="0.2">
      <c r="B215" s="20"/>
      <c r="C215" s="21"/>
      <c r="D215" s="22"/>
      <c r="E215" s="22"/>
      <c r="F215" s="22"/>
      <c r="Y215" s="17"/>
      <c r="Z215" s="18"/>
      <c r="AA215" s="14"/>
      <c r="AB215" s="14"/>
      <c r="AC215" s="14"/>
      <c r="AD215" s="14"/>
      <c r="AE215" s="14"/>
      <c r="AF215" s="14"/>
      <c r="AG215" s="14"/>
      <c r="AH215" s="14"/>
      <c r="AI215" s="14"/>
      <c r="AS215" s="13"/>
      <c r="AT215" s="13"/>
      <c r="AW215" s="13"/>
      <c r="AX215" s="13"/>
      <c r="AY215" s="13"/>
      <c r="AZ215" s="13"/>
      <c r="BA215" s="13"/>
      <c r="BB215" s="40"/>
      <c r="BC215" s="40"/>
      <c r="BD215" s="40"/>
      <c r="BE215" s="40"/>
      <c r="BF215" s="40"/>
      <c r="BG215" s="40"/>
      <c r="BH215" s="125"/>
      <c r="BI215" s="125"/>
      <c r="BJ215" s="125"/>
      <c r="BK215" s="125"/>
      <c r="BL215" s="125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DC215" s="8"/>
    </row>
    <row r="216" spans="2:107" s="15" customFormat="1" x14ac:dyDescent="0.2">
      <c r="B216" s="20"/>
      <c r="C216" s="21"/>
      <c r="D216" s="22"/>
      <c r="E216" s="22"/>
      <c r="F216" s="22"/>
      <c r="Y216" s="17"/>
      <c r="Z216" s="18"/>
      <c r="AA216" s="14"/>
      <c r="AB216" s="14"/>
      <c r="AC216" s="14"/>
      <c r="AD216" s="14"/>
      <c r="AE216" s="14"/>
      <c r="AF216" s="14"/>
      <c r="AG216" s="14"/>
      <c r="AH216" s="14"/>
      <c r="AI216" s="14"/>
      <c r="AS216" s="13"/>
      <c r="AT216" s="13"/>
      <c r="AW216" s="13"/>
      <c r="AX216" s="13"/>
      <c r="AY216" s="13"/>
      <c r="AZ216" s="13"/>
      <c r="BA216" s="13"/>
      <c r="BB216" s="40"/>
      <c r="BC216" s="40"/>
      <c r="BD216" s="40"/>
      <c r="BE216" s="40"/>
      <c r="BF216" s="40"/>
      <c r="BG216" s="40"/>
      <c r="BH216" s="125"/>
      <c r="BI216" s="125"/>
      <c r="BJ216" s="125"/>
      <c r="BK216" s="125"/>
      <c r="BL216" s="125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DC216" s="8"/>
    </row>
    <row r="217" spans="2:107" s="15" customFormat="1" x14ac:dyDescent="0.2">
      <c r="B217" s="20"/>
      <c r="C217" s="21"/>
      <c r="D217" s="22"/>
      <c r="E217" s="22"/>
      <c r="F217" s="22"/>
      <c r="Y217" s="17"/>
      <c r="Z217" s="18"/>
      <c r="AA217" s="14"/>
      <c r="AB217" s="14"/>
      <c r="AC217" s="14"/>
      <c r="AD217" s="14"/>
      <c r="AE217" s="14"/>
      <c r="AF217" s="14"/>
      <c r="AG217" s="14"/>
      <c r="AH217" s="14"/>
      <c r="AI217" s="14"/>
      <c r="AS217" s="13"/>
      <c r="AT217" s="13"/>
      <c r="AW217" s="13"/>
      <c r="AX217" s="13"/>
      <c r="AY217" s="13"/>
      <c r="AZ217" s="13"/>
      <c r="BA217" s="13"/>
      <c r="BB217" s="40"/>
      <c r="BC217" s="40"/>
      <c r="BD217" s="40"/>
      <c r="BE217" s="40"/>
      <c r="BF217" s="40"/>
      <c r="BG217" s="40"/>
      <c r="BH217" s="125"/>
      <c r="BI217" s="125"/>
      <c r="BJ217" s="125"/>
      <c r="BK217" s="125"/>
      <c r="BL217" s="125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DC217" s="8"/>
    </row>
    <row r="218" spans="2:107" s="15" customFormat="1" x14ac:dyDescent="0.2">
      <c r="B218" s="20"/>
      <c r="C218" s="21"/>
      <c r="D218" s="22"/>
      <c r="E218" s="22"/>
      <c r="F218" s="22"/>
      <c r="Y218" s="17"/>
      <c r="Z218" s="18"/>
      <c r="AA218" s="14"/>
      <c r="AB218" s="14"/>
      <c r="AC218" s="14"/>
      <c r="AD218" s="14"/>
      <c r="AE218" s="14"/>
      <c r="AF218" s="14"/>
      <c r="AG218" s="14"/>
      <c r="AH218" s="14"/>
      <c r="AI218" s="14"/>
      <c r="AS218" s="13"/>
      <c r="AT218" s="13"/>
      <c r="AW218" s="13"/>
      <c r="AX218" s="13"/>
      <c r="AY218" s="13"/>
      <c r="AZ218" s="13"/>
      <c r="BA218" s="13"/>
      <c r="BB218" s="40"/>
      <c r="BC218" s="40"/>
      <c r="BD218" s="40"/>
      <c r="BE218" s="40"/>
      <c r="BF218" s="40"/>
      <c r="BG218" s="40"/>
      <c r="BH218" s="125"/>
      <c r="BI218" s="125"/>
      <c r="BJ218" s="125"/>
      <c r="BK218" s="125"/>
      <c r="BL218" s="125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DC218" s="8"/>
    </row>
    <row r="219" spans="2:107" s="15" customFormat="1" x14ac:dyDescent="0.2">
      <c r="B219" s="20"/>
      <c r="C219" s="21"/>
      <c r="D219" s="22"/>
      <c r="E219" s="22"/>
      <c r="F219" s="22"/>
      <c r="Y219" s="17"/>
      <c r="Z219" s="18"/>
      <c r="AA219" s="14"/>
      <c r="AB219" s="14"/>
      <c r="AC219" s="14"/>
      <c r="AD219" s="14"/>
      <c r="AE219" s="14"/>
      <c r="AF219" s="14"/>
      <c r="AG219" s="14"/>
      <c r="AH219" s="14"/>
      <c r="AI219" s="14"/>
      <c r="AS219" s="13"/>
      <c r="AT219" s="13"/>
      <c r="AW219" s="13"/>
      <c r="AX219" s="13"/>
      <c r="AY219" s="13"/>
      <c r="AZ219" s="13"/>
      <c r="BA219" s="13"/>
      <c r="BB219" s="40"/>
      <c r="BC219" s="40"/>
      <c r="BD219" s="40"/>
      <c r="BE219" s="40"/>
      <c r="BF219" s="40"/>
      <c r="BG219" s="40"/>
      <c r="BH219" s="125"/>
      <c r="BI219" s="125"/>
      <c r="BJ219" s="125"/>
      <c r="BK219" s="125"/>
      <c r="BL219" s="125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DC219" s="8"/>
    </row>
    <row r="220" spans="2:107" s="15" customFormat="1" x14ac:dyDescent="0.2">
      <c r="B220" s="20"/>
      <c r="C220" s="21"/>
      <c r="D220" s="22"/>
      <c r="E220" s="22"/>
      <c r="F220" s="22"/>
      <c r="Y220" s="17"/>
      <c r="Z220" s="18"/>
      <c r="AA220" s="14"/>
      <c r="AB220" s="14"/>
      <c r="AC220" s="14"/>
      <c r="AD220" s="14"/>
      <c r="AE220" s="14"/>
      <c r="AF220" s="14"/>
      <c r="AG220" s="14"/>
      <c r="AH220" s="14"/>
      <c r="AI220" s="14"/>
      <c r="AS220" s="13"/>
      <c r="AT220" s="13"/>
      <c r="AW220" s="13"/>
      <c r="AX220" s="13"/>
      <c r="AY220" s="13"/>
      <c r="AZ220" s="13"/>
      <c r="BA220" s="13"/>
      <c r="BB220" s="40"/>
      <c r="BC220" s="40"/>
      <c r="BD220" s="40"/>
      <c r="BE220" s="40"/>
      <c r="BF220" s="40"/>
      <c r="BG220" s="40"/>
      <c r="BH220" s="125"/>
      <c r="BI220" s="125"/>
      <c r="BJ220" s="125"/>
      <c r="BK220" s="125"/>
      <c r="BL220" s="125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DC220" s="8"/>
    </row>
    <row r="221" spans="2:107" s="15" customFormat="1" x14ac:dyDescent="0.2">
      <c r="B221" s="20"/>
      <c r="C221" s="21"/>
      <c r="D221" s="22"/>
      <c r="E221" s="22"/>
      <c r="F221" s="22"/>
      <c r="Y221" s="17"/>
      <c r="Z221" s="18"/>
      <c r="AA221" s="14"/>
      <c r="AB221" s="14"/>
      <c r="AC221" s="14"/>
      <c r="AD221" s="14"/>
      <c r="AE221" s="14"/>
      <c r="AF221" s="14"/>
      <c r="AG221" s="14"/>
      <c r="AH221" s="14"/>
      <c r="AI221" s="14"/>
      <c r="AS221" s="13"/>
      <c r="AT221" s="13"/>
      <c r="AW221" s="13"/>
      <c r="AX221" s="13"/>
      <c r="AY221" s="13"/>
      <c r="AZ221" s="13"/>
      <c r="BA221" s="13"/>
      <c r="BB221" s="40"/>
      <c r="BC221" s="40"/>
      <c r="BD221" s="40"/>
      <c r="BE221" s="40"/>
      <c r="BF221" s="40"/>
      <c r="BG221" s="40"/>
      <c r="BH221" s="125"/>
      <c r="BI221" s="125"/>
      <c r="BJ221" s="125"/>
      <c r="BK221" s="125"/>
      <c r="BL221" s="125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DC221" s="8"/>
    </row>
    <row r="222" spans="2:107" s="15" customFormat="1" x14ac:dyDescent="0.2">
      <c r="B222" s="20"/>
      <c r="C222" s="21"/>
      <c r="D222" s="22"/>
      <c r="E222" s="22"/>
      <c r="F222" s="22"/>
      <c r="Y222" s="17"/>
      <c r="Z222" s="18"/>
      <c r="AA222" s="14"/>
      <c r="AB222" s="14"/>
      <c r="AC222" s="14"/>
      <c r="AD222" s="14"/>
      <c r="AE222" s="14"/>
      <c r="AF222" s="14"/>
      <c r="AG222" s="14"/>
      <c r="AH222" s="14"/>
      <c r="AI222" s="14"/>
      <c r="AS222" s="13"/>
      <c r="AT222" s="13"/>
      <c r="AW222" s="13"/>
      <c r="AX222" s="13"/>
      <c r="AY222" s="13"/>
      <c r="AZ222" s="13"/>
      <c r="BA222" s="13"/>
      <c r="BB222" s="40"/>
      <c r="BC222" s="40"/>
      <c r="BD222" s="40"/>
      <c r="BE222" s="40"/>
      <c r="BF222" s="40"/>
      <c r="BG222" s="40"/>
      <c r="BH222" s="125"/>
      <c r="BI222" s="125"/>
      <c r="BJ222" s="125"/>
      <c r="BK222" s="125"/>
      <c r="BL222" s="125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DC222" s="8"/>
    </row>
    <row r="223" spans="2:107" s="15" customFormat="1" x14ac:dyDescent="0.2">
      <c r="B223" s="20"/>
      <c r="C223" s="21"/>
      <c r="D223" s="22"/>
      <c r="E223" s="22"/>
      <c r="F223" s="22"/>
      <c r="Y223" s="17"/>
      <c r="Z223" s="18"/>
      <c r="AA223" s="14"/>
      <c r="AB223" s="14"/>
      <c r="AC223" s="14"/>
      <c r="AD223" s="14"/>
      <c r="AE223" s="14"/>
      <c r="AF223" s="14"/>
      <c r="AG223" s="14"/>
      <c r="AH223" s="14"/>
      <c r="AI223" s="14"/>
      <c r="AS223" s="13"/>
      <c r="AT223" s="13"/>
      <c r="AW223" s="13"/>
      <c r="AX223" s="13"/>
      <c r="AY223" s="13"/>
      <c r="AZ223" s="13"/>
      <c r="BA223" s="13"/>
      <c r="BB223" s="40"/>
      <c r="BC223" s="40"/>
      <c r="BD223" s="40"/>
      <c r="BE223" s="40"/>
      <c r="BF223" s="40"/>
      <c r="BG223" s="40"/>
      <c r="BH223" s="125"/>
      <c r="BI223" s="125"/>
      <c r="BJ223" s="125"/>
      <c r="BK223" s="125"/>
      <c r="BL223" s="125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DC223" s="8"/>
    </row>
    <row r="224" spans="2:107" s="15" customFormat="1" x14ac:dyDescent="0.2">
      <c r="B224" s="20"/>
      <c r="C224" s="21"/>
      <c r="D224" s="22"/>
      <c r="E224" s="22"/>
      <c r="F224" s="22"/>
      <c r="Y224" s="17"/>
      <c r="Z224" s="18"/>
      <c r="AA224" s="14"/>
      <c r="AB224" s="14"/>
      <c r="AC224" s="14"/>
      <c r="AD224" s="14"/>
      <c r="AE224" s="14"/>
      <c r="AF224" s="14"/>
      <c r="AG224" s="14"/>
      <c r="AH224" s="14"/>
      <c r="AI224" s="14"/>
      <c r="AS224" s="13"/>
      <c r="AT224" s="13"/>
      <c r="AW224" s="13"/>
      <c r="AX224" s="13"/>
      <c r="AY224" s="13"/>
      <c r="AZ224" s="13"/>
      <c r="BA224" s="13"/>
      <c r="BB224" s="40"/>
      <c r="BC224" s="40"/>
      <c r="BD224" s="40"/>
      <c r="BE224" s="40"/>
      <c r="BF224" s="40"/>
      <c r="BG224" s="40"/>
      <c r="BH224" s="125"/>
      <c r="BI224" s="125"/>
      <c r="BJ224" s="125"/>
      <c r="BK224" s="125"/>
      <c r="BL224" s="125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DC224" s="8"/>
    </row>
    <row r="225" spans="2:107" s="15" customFormat="1" x14ac:dyDescent="0.2">
      <c r="B225" s="20"/>
      <c r="C225" s="21"/>
      <c r="D225" s="22"/>
      <c r="E225" s="22"/>
      <c r="F225" s="22"/>
      <c r="Y225" s="17"/>
      <c r="Z225" s="18"/>
      <c r="AA225" s="14"/>
      <c r="AB225" s="14"/>
      <c r="AC225" s="14"/>
      <c r="AD225" s="14"/>
      <c r="AE225" s="14"/>
      <c r="AF225" s="14"/>
      <c r="AG225" s="14"/>
      <c r="AH225" s="14"/>
      <c r="AI225" s="14"/>
      <c r="AS225" s="13"/>
      <c r="AT225" s="13"/>
      <c r="AW225" s="13"/>
      <c r="AX225" s="13"/>
      <c r="AY225" s="13"/>
      <c r="AZ225" s="13"/>
      <c r="BA225" s="13"/>
      <c r="BB225" s="40"/>
      <c r="BC225" s="40"/>
      <c r="BD225" s="40"/>
      <c r="BE225" s="40"/>
      <c r="BF225" s="40"/>
      <c r="BG225" s="40"/>
      <c r="BH225" s="125"/>
      <c r="BI225" s="125"/>
      <c r="BJ225" s="125"/>
      <c r="BK225" s="125"/>
      <c r="BL225" s="125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DC225" s="8"/>
    </row>
    <row r="226" spans="2:107" s="15" customFormat="1" x14ac:dyDescent="0.2">
      <c r="B226" s="20"/>
      <c r="C226" s="21"/>
      <c r="D226" s="22"/>
      <c r="E226" s="22"/>
      <c r="F226" s="22"/>
      <c r="Y226" s="17"/>
      <c r="Z226" s="18"/>
      <c r="AA226" s="14"/>
      <c r="AB226" s="14"/>
      <c r="AC226" s="14"/>
      <c r="AD226" s="14"/>
      <c r="AE226" s="14"/>
      <c r="AF226" s="14"/>
      <c r="AG226" s="14"/>
      <c r="AH226" s="14"/>
      <c r="AI226" s="14"/>
      <c r="AS226" s="13"/>
      <c r="AT226" s="13"/>
      <c r="AW226" s="13"/>
      <c r="AX226" s="13"/>
      <c r="AY226" s="13"/>
      <c r="AZ226" s="13"/>
      <c r="BA226" s="13"/>
      <c r="BB226" s="40"/>
      <c r="BC226" s="40"/>
      <c r="BD226" s="40"/>
      <c r="BE226" s="40"/>
      <c r="BF226" s="40"/>
      <c r="BG226" s="40"/>
      <c r="BH226" s="125"/>
      <c r="BI226" s="125"/>
      <c r="BJ226" s="125"/>
      <c r="BK226" s="125"/>
      <c r="BL226" s="125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DC226" s="8"/>
    </row>
    <row r="227" spans="2:107" s="15" customFormat="1" x14ac:dyDescent="0.2">
      <c r="B227" s="20"/>
      <c r="C227" s="21"/>
      <c r="D227" s="22"/>
      <c r="E227" s="22"/>
      <c r="F227" s="22"/>
      <c r="Y227" s="17"/>
      <c r="Z227" s="18"/>
      <c r="AA227" s="14"/>
      <c r="AB227" s="14"/>
      <c r="AC227" s="14"/>
      <c r="AD227" s="14"/>
      <c r="AE227" s="14"/>
      <c r="AF227" s="14"/>
      <c r="AG227" s="14"/>
      <c r="AH227" s="14"/>
      <c r="AI227" s="14"/>
      <c r="AS227" s="13"/>
      <c r="AT227" s="13"/>
      <c r="AW227" s="13"/>
      <c r="AX227" s="13"/>
      <c r="AY227" s="13"/>
      <c r="AZ227" s="13"/>
      <c r="BA227" s="13"/>
      <c r="BB227" s="40"/>
      <c r="BC227" s="40"/>
      <c r="BD227" s="40"/>
      <c r="BE227" s="40"/>
      <c r="BF227" s="40"/>
      <c r="BG227" s="40"/>
      <c r="BH227" s="125"/>
      <c r="BI227" s="125"/>
      <c r="BJ227" s="125"/>
      <c r="BK227" s="125"/>
      <c r="BL227" s="125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DC227" s="8"/>
    </row>
    <row r="228" spans="2:107" s="15" customFormat="1" x14ac:dyDescent="0.2">
      <c r="B228" s="20"/>
      <c r="C228" s="21"/>
      <c r="D228" s="22"/>
      <c r="E228" s="22"/>
      <c r="F228" s="22"/>
      <c r="Y228" s="17"/>
      <c r="Z228" s="18"/>
      <c r="AA228" s="14"/>
      <c r="AB228" s="14"/>
      <c r="AC228" s="14"/>
      <c r="AD228" s="14"/>
      <c r="AE228" s="14"/>
      <c r="AF228" s="14"/>
      <c r="AG228" s="14"/>
      <c r="AH228" s="14"/>
      <c r="AI228" s="14"/>
      <c r="AS228" s="13"/>
      <c r="AT228" s="13"/>
      <c r="AW228" s="13"/>
      <c r="AX228" s="13"/>
      <c r="AY228" s="13"/>
      <c r="AZ228" s="13"/>
      <c r="BA228" s="13"/>
      <c r="BB228" s="40"/>
      <c r="BC228" s="40"/>
      <c r="BD228" s="40"/>
      <c r="BE228" s="40"/>
      <c r="BF228" s="40"/>
      <c r="BG228" s="40"/>
      <c r="BH228" s="125"/>
      <c r="BI228" s="125"/>
      <c r="BJ228" s="125"/>
      <c r="BK228" s="125"/>
      <c r="BL228" s="125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DC228" s="8"/>
    </row>
    <row r="229" spans="2:107" s="15" customFormat="1" x14ac:dyDescent="0.2">
      <c r="B229" s="20"/>
      <c r="C229" s="21"/>
      <c r="D229" s="22"/>
      <c r="E229" s="22"/>
      <c r="F229" s="22"/>
      <c r="Y229" s="17"/>
      <c r="Z229" s="18"/>
      <c r="AA229" s="14"/>
      <c r="AB229" s="14"/>
      <c r="AC229" s="14"/>
      <c r="AD229" s="14"/>
      <c r="AE229" s="14"/>
      <c r="AF229" s="14"/>
      <c r="AG229" s="14"/>
      <c r="AH229" s="14"/>
      <c r="AI229" s="14"/>
      <c r="AS229" s="13"/>
      <c r="AT229" s="13"/>
      <c r="AW229" s="13"/>
      <c r="AX229" s="13"/>
      <c r="AY229" s="13"/>
      <c r="AZ229" s="13"/>
      <c r="BA229" s="13"/>
      <c r="BB229" s="40"/>
      <c r="BC229" s="40"/>
      <c r="BD229" s="40"/>
      <c r="BE229" s="40"/>
      <c r="BF229" s="40"/>
      <c r="BG229" s="40"/>
      <c r="BH229" s="125"/>
      <c r="BI229" s="125"/>
      <c r="BJ229" s="125"/>
      <c r="BK229" s="125"/>
      <c r="BL229" s="125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DC229" s="8"/>
    </row>
    <row r="230" spans="2:107" s="15" customFormat="1" x14ac:dyDescent="0.2">
      <c r="B230" s="20"/>
      <c r="C230" s="21"/>
      <c r="D230" s="22"/>
      <c r="E230" s="22"/>
      <c r="F230" s="22"/>
      <c r="Y230" s="17"/>
      <c r="Z230" s="18"/>
      <c r="AA230" s="14"/>
      <c r="AB230" s="14"/>
      <c r="AC230" s="14"/>
      <c r="AD230" s="14"/>
      <c r="AE230" s="14"/>
      <c r="AF230" s="14"/>
      <c r="AG230" s="14"/>
      <c r="AH230" s="14"/>
      <c r="AI230" s="14"/>
      <c r="AS230" s="13"/>
      <c r="AT230" s="13"/>
      <c r="AW230" s="13"/>
      <c r="AX230" s="13"/>
      <c r="AY230" s="13"/>
      <c r="AZ230" s="13"/>
      <c r="BA230" s="13"/>
      <c r="BB230" s="40"/>
      <c r="BC230" s="40"/>
      <c r="BD230" s="40"/>
      <c r="BE230" s="40"/>
      <c r="BF230" s="40"/>
      <c r="BG230" s="40"/>
      <c r="BH230" s="125"/>
      <c r="BI230" s="125"/>
      <c r="BJ230" s="125"/>
      <c r="BK230" s="125"/>
      <c r="BL230" s="125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DC230" s="8"/>
    </row>
    <row r="231" spans="2:107" s="15" customFormat="1" x14ac:dyDescent="0.2">
      <c r="B231" s="20"/>
      <c r="C231" s="21"/>
      <c r="D231" s="22"/>
      <c r="E231" s="22"/>
      <c r="F231" s="22"/>
      <c r="Y231" s="17"/>
      <c r="Z231" s="18"/>
      <c r="AA231" s="14"/>
      <c r="AB231" s="14"/>
      <c r="AC231" s="14"/>
      <c r="AD231" s="14"/>
      <c r="AE231" s="14"/>
      <c r="AF231" s="14"/>
      <c r="AG231" s="14"/>
      <c r="AH231" s="14"/>
      <c r="AI231" s="14"/>
      <c r="AS231" s="13"/>
      <c r="AT231" s="13"/>
      <c r="AW231" s="13"/>
      <c r="AX231" s="13"/>
      <c r="AY231" s="13"/>
      <c r="AZ231" s="13"/>
      <c r="BA231" s="13"/>
      <c r="BB231" s="40"/>
      <c r="BC231" s="40"/>
      <c r="BD231" s="40"/>
      <c r="BE231" s="40"/>
      <c r="BF231" s="40"/>
      <c r="BG231" s="40"/>
      <c r="BH231" s="125"/>
      <c r="BI231" s="125"/>
      <c r="BJ231" s="125"/>
      <c r="BK231" s="125"/>
      <c r="BL231" s="125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DC231" s="8"/>
    </row>
    <row r="232" spans="2:107" s="15" customFormat="1" x14ac:dyDescent="0.2">
      <c r="B232" s="20"/>
      <c r="C232" s="21"/>
      <c r="D232" s="22"/>
      <c r="E232" s="22"/>
      <c r="F232" s="22"/>
      <c r="Y232" s="17"/>
      <c r="Z232" s="18"/>
      <c r="AA232" s="14"/>
      <c r="AB232" s="14"/>
      <c r="AC232" s="14"/>
      <c r="AD232" s="14"/>
      <c r="AE232" s="14"/>
      <c r="AF232" s="14"/>
      <c r="AG232" s="14"/>
      <c r="AH232" s="14"/>
      <c r="AI232" s="14"/>
      <c r="AS232" s="13"/>
      <c r="AT232" s="13"/>
      <c r="AW232" s="13"/>
      <c r="AX232" s="13"/>
      <c r="AY232" s="13"/>
      <c r="AZ232" s="13"/>
      <c r="BA232" s="13"/>
      <c r="BB232" s="40"/>
      <c r="BC232" s="40"/>
      <c r="BD232" s="40"/>
      <c r="BE232" s="40"/>
      <c r="BF232" s="40"/>
      <c r="BG232" s="40"/>
      <c r="BH232" s="125"/>
      <c r="BI232" s="125"/>
      <c r="BJ232" s="125"/>
      <c r="BK232" s="125"/>
      <c r="BL232" s="125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DC232" s="8"/>
    </row>
    <row r="233" spans="2:107" s="15" customFormat="1" x14ac:dyDescent="0.2">
      <c r="B233" s="20"/>
      <c r="C233" s="21"/>
      <c r="D233" s="22"/>
      <c r="E233" s="22"/>
      <c r="F233" s="22"/>
      <c r="Y233" s="17"/>
      <c r="Z233" s="18"/>
      <c r="AA233" s="14"/>
      <c r="AB233" s="14"/>
      <c r="AC233" s="14"/>
      <c r="AD233" s="14"/>
      <c r="AE233" s="14"/>
      <c r="AF233" s="14"/>
      <c r="AG233" s="14"/>
      <c r="AH233" s="14"/>
      <c r="AI233" s="14"/>
      <c r="AS233" s="13"/>
      <c r="AT233" s="13"/>
      <c r="AW233" s="13"/>
      <c r="AX233" s="13"/>
      <c r="AY233" s="13"/>
      <c r="AZ233" s="13"/>
      <c r="BA233" s="13"/>
      <c r="BB233" s="40"/>
      <c r="BC233" s="40"/>
      <c r="BD233" s="40"/>
      <c r="BE233" s="40"/>
      <c r="BF233" s="40"/>
      <c r="BG233" s="40"/>
      <c r="BH233" s="125"/>
      <c r="BI233" s="125"/>
      <c r="BJ233" s="125"/>
      <c r="BK233" s="125"/>
      <c r="BL233" s="125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DC233" s="8"/>
    </row>
    <row r="234" spans="2:107" s="15" customFormat="1" x14ac:dyDescent="0.2">
      <c r="B234" s="20"/>
      <c r="C234" s="21"/>
      <c r="D234" s="22"/>
      <c r="E234" s="22"/>
      <c r="F234" s="22"/>
      <c r="Y234" s="17"/>
      <c r="Z234" s="18"/>
      <c r="AA234" s="14"/>
      <c r="AB234" s="14"/>
      <c r="AC234" s="14"/>
      <c r="AD234" s="14"/>
      <c r="AE234" s="14"/>
      <c r="AF234" s="14"/>
      <c r="AG234" s="14"/>
      <c r="AH234" s="14"/>
      <c r="AI234" s="14"/>
      <c r="AS234" s="13"/>
      <c r="AT234" s="13"/>
      <c r="AW234" s="13"/>
      <c r="AX234" s="13"/>
      <c r="AY234" s="13"/>
      <c r="AZ234" s="13"/>
      <c r="BA234" s="13"/>
      <c r="BB234" s="40"/>
      <c r="BC234" s="40"/>
      <c r="BD234" s="40"/>
      <c r="BE234" s="40"/>
      <c r="BF234" s="40"/>
      <c r="BG234" s="40"/>
      <c r="BH234" s="125"/>
      <c r="BI234" s="125"/>
      <c r="BJ234" s="125"/>
      <c r="BK234" s="125"/>
      <c r="BL234" s="125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DC234" s="8"/>
    </row>
    <row r="235" spans="2:107" s="15" customFormat="1" x14ac:dyDescent="0.2">
      <c r="B235" s="20"/>
      <c r="C235" s="21"/>
      <c r="D235" s="22"/>
      <c r="E235" s="22"/>
      <c r="F235" s="22"/>
      <c r="Y235" s="17"/>
      <c r="Z235" s="18"/>
      <c r="AA235" s="14"/>
      <c r="AB235" s="14"/>
      <c r="AC235" s="14"/>
      <c r="AD235" s="14"/>
      <c r="AE235" s="14"/>
      <c r="AF235" s="14"/>
      <c r="AG235" s="14"/>
      <c r="AH235" s="14"/>
      <c r="AI235" s="14"/>
      <c r="AS235" s="13"/>
      <c r="AT235" s="13"/>
      <c r="AW235" s="13"/>
      <c r="AX235" s="13"/>
      <c r="AY235" s="13"/>
      <c r="AZ235" s="13"/>
      <c r="BA235" s="13"/>
      <c r="BB235" s="40"/>
      <c r="BC235" s="40"/>
      <c r="BD235" s="40"/>
      <c r="BE235" s="40"/>
      <c r="BF235" s="40"/>
      <c r="BG235" s="40"/>
      <c r="BH235" s="125"/>
      <c r="BI235" s="125"/>
      <c r="BJ235" s="125"/>
      <c r="BK235" s="125"/>
      <c r="BL235" s="125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DC235" s="8"/>
    </row>
    <row r="236" spans="2:107" s="15" customFormat="1" x14ac:dyDescent="0.2">
      <c r="B236" s="20"/>
      <c r="C236" s="21"/>
      <c r="D236" s="22"/>
      <c r="E236" s="22"/>
      <c r="F236" s="22"/>
      <c r="Y236" s="17"/>
      <c r="Z236" s="18"/>
      <c r="AA236" s="14"/>
      <c r="AB236" s="14"/>
      <c r="AC236" s="14"/>
      <c r="AD236" s="14"/>
      <c r="AE236" s="14"/>
      <c r="AF236" s="14"/>
      <c r="AG236" s="14"/>
      <c r="AH236" s="14"/>
      <c r="AI236" s="14"/>
      <c r="AS236" s="13"/>
      <c r="AT236" s="13"/>
      <c r="AW236" s="13"/>
      <c r="AX236" s="13"/>
      <c r="AY236" s="13"/>
      <c r="AZ236" s="13"/>
      <c r="BA236" s="13"/>
      <c r="BB236" s="40"/>
      <c r="BC236" s="40"/>
      <c r="BD236" s="40"/>
      <c r="BE236" s="40"/>
      <c r="BF236" s="40"/>
      <c r="BG236" s="40"/>
      <c r="BH236" s="125"/>
      <c r="BI236" s="125"/>
      <c r="BJ236" s="125"/>
      <c r="BK236" s="125"/>
      <c r="BL236" s="125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DC236" s="8"/>
    </row>
    <row r="237" spans="2:107" s="15" customFormat="1" x14ac:dyDescent="0.2">
      <c r="B237" s="20"/>
      <c r="C237" s="21"/>
      <c r="D237" s="22"/>
      <c r="E237" s="22"/>
      <c r="F237" s="22"/>
      <c r="Y237" s="17"/>
      <c r="Z237" s="18"/>
      <c r="AA237" s="14"/>
      <c r="AB237" s="14"/>
      <c r="AC237" s="14"/>
      <c r="AD237" s="14"/>
      <c r="AE237" s="14"/>
      <c r="AF237" s="14"/>
      <c r="AG237" s="14"/>
      <c r="AH237" s="14"/>
      <c r="AI237" s="14"/>
      <c r="AS237" s="13"/>
      <c r="AT237" s="13"/>
      <c r="AW237" s="13"/>
      <c r="AX237" s="13"/>
      <c r="AY237" s="13"/>
      <c r="AZ237" s="13"/>
      <c r="BA237" s="13"/>
      <c r="BB237" s="40"/>
      <c r="BC237" s="40"/>
      <c r="BD237" s="40"/>
      <c r="BE237" s="40"/>
      <c r="BF237" s="40"/>
      <c r="BG237" s="40"/>
      <c r="BH237" s="125"/>
      <c r="BI237" s="125"/>
      <c r="BJ237" s="125"/>
      <c r="BK237" s="125"/>
      <c r="BL237" s="125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DC237" s="8"/>
    </row>
    <row r="238" spans="2:107" s="15" customFormat="1" x14ac:dyDescent="0.2">
      <c r="B238" s="20"/>
      <c r="C238" s="21"/>
      <c r="D238" s="22"/>
      <c r="E238" s="22"/>
      <c r="F238" s="22"/>
      <c r="Y238" s="17"/>
      <c r="Z238" s="18"/>
      <c r="AA238" s="14"/>
      <c r="AB238" s="14"/>
      <c r="AC238" s="14"/>
      <c r="AD238" s="14"/>
      <c r="AE238" s="14"/>
      <c r="AF238" s="14"/>
      <c r="AG238" s="14"/>
      <c r="AH238" s="14"/>
      <c r="AI238" s="14"/>
      <c r="AS238" s="13"/>
      <c r="AT238" s="13"/>
      <c r="AW238" s="13"/>
      <c r="AX238" s="13"/>
      <c r="AY238" s="13"/>
      <c r="AZ238" s="13"/>
      <c r="BA238" s="13"/>
      <c r="BB238" s="40"/>
      <c r="BC238" s="40"/>
      <c r="BD238" s="40"/>
      <c r="BE238" s="40"/>
      <c r="BF238" s="40"/>
      <c r="BG238" s="40"/>
      <c r="BH238" s="125"/>
      <c r="BI238" s="125"/>
      <c r="BJ238" s="125"/>
      <c r="BK238" s="125"/>
      <c r="BL238" s="125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DC238" s="8"/>
    </row>
    <row r="239" spans="2:107" s="15" customFormat="1" x14ac:dyDescent="0.2">
      <c r="B239" s="20"/>
      <c r="C239" s="21"/>
      <c r="D239" s="22"/>
      <c r="E239" s="22"/>
      <c r="F239" s="22"/>
      <c r="Y239" s="17"/>
      <c r="Z239" s="18"/>
      <c r="AA239" s="14"/>
      <c r="AB239" s="14"/>
      <c r="AC239" s="14"/>
      <c r="AD239" s="14"/>
      <c r="AE239" s="14"/>
      <c r="AF239" s="14"/>
      <c r="AG239" s="14"/>
      <c r="AH239" s="14"/>
      <c r="AI239" s="14"/>
      <c r="AS239" s="13"/>
      <c r="AT239" s="13"/>
      <c r="AW239" s="13"/>
      <c r="AX239" s="13"/>
      <c r="AY239" s="13"/>
      <c r="AZ239" s="13"/>
      <c r="BA239" s="13"/>
      <c r="BB239" s="40"/>
      <c r="BC239" s="40"/>
      <c r="BD239" s="40"/>
      <c r="BE239" s="40"/>
      <c r="BF239" s="40"/>
      <c r="BG239" s="40"/>
      <c r="BH239" s="125"/>
      <c r="BI239" s="125"/>
      <c r="BJ239" s="125"/>
      <c r="BK239" s="125"/>
      <c r="BL239" s="125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DC239" s="8"/>
    </row>
    <row r="240" spans="2:107" s="15" customFormat="1" x14ac:dyDescent="0.2">
      <c r="B240" s="20"/>
      <c r="C240" s="21"/>
      <c r="D240" s="22"/>
      <c r="E240" s="22"/>
      <c r="F240" s="22"/>
      <c r="Y240" s="17"/>
      <c r="Z240" s="18"/>
      <c r="AA240" s="14"/>
      <c r="AB240" s="14"/>
      <c r="AC240" s="14"/>
      <c r="AD240" s="14"/>
      <c r="AE240" s="14"/>
      <c r="AF240" s="14"/>
      <c r="AG240" s="14"/>
      <c r="AH240" s="14"/>
      <c r="AI240" s="14"/>
      <c r="AS240" s="13"/>
      <c r="AT240" s="13"/>
      <c r="AW240" s="13"/>
      <c r="AX240" s="13"/>
      <c r="AY240" s="13"/>
      <c r="AZ240" s="13"/>
      <c r="BA240" s="13"/>
      <c r="BB240" s="40"/>
      <c r="BC240" s="40"/>
      <c r="BD240" s="40"/>
      <c r="BE240" s="40"/>
      <c r="BF240" s="40"/>
      <c r="BG240" s="40"/>
      <c r="BH240" s="125"/>
      <c r="BI240" s="125"/>
      <c r="BJ240" s="125"/>
      <c r="BK240" s="125"/>
      <c r="BL240" s="125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DC240" s="8"/>
    </row>
    <row r="241" spans="2:107" s="15" customFormat="1" x14ac:dyDescent="0.2">
      <c r="B241" s="20"/>
      <c r="C241" s="21"/>
      <c r="D241" s="22"/>
      <c r="E241" s="22"/>
      <c r="F241" s="22"/>
      <c r="Y241" s="17"/>
      <c r="Z241" s="18"/>
      <c r="AA241" s="14"/>
      <c r="AB241" s="14"/>
      <c r="AC241" s="14"/>
      <c r="AD241" s="14"/>
      <c r="AE241" s="14"/>
      <c r="AF241" s="14"/>
      <c r="AG241" s="14"/>
      <c r="AH241" s="14"/>
      <c r="AI241" s="14"/>
      <c r="AS241" s="13"/>
      <c r="AT241" s="13"/>
      <c r="AW241" s="13"/>
      <c r="AX241" s="13"/>
      <c r="AY241" s="13"/>
      <c r="AZ241" s="13"/>
      <c r="BA241" s="13"/>
      <c r="BB241" s="40"/>
      <c r="BC241" s="40"/>
      <c r="BD241" s="40"/>
      <c r="BE241" s="40"/>
      <c r="BF241" s="40"/>
      <c r="BG241" s="40"/>
      <c r="BH241" s="125"/>
      <c r="BI241" s="125"/>
      <c r="BJ241" s="125"/>
      <c r="BK241" s="125"/>
      <c r="BL241" s="125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DC241" s="8"/>
    </row>
    <row r="242" spans="2:107" s="15" customFormat="1" x14ac:dyDescent="0.2">
      <c r="B242" s="20"/>
      <c r="C242" s="21"/>
      <c r="D242" s="22"/>
      <c r="E242" s="22"/>
      <c r="F242" s="22"/>
      <c r="Y242" s="17"/>
      <c r="Z242" s="18"/>
      <c r="AA242" s="14"/>
      <c r="AB242" s="14"/>
      <c r="AC242" s="14"/>
      <c r="AD242" s="14"/>
      <c r="AE242" s="14"/>
      <c r="AF242" s="14"/>
      <c r="AG242" s="14"/>
      <c r="AH242" s="14"/>
      <c r="AI242" s="14"/>
      <c r="AS242" s="13"/>
      <c r="AT242" s="13"/>
      <c r="AW242" s="13"/>
      <c r="AX242" s="13"/>
      <c r="AY242" s="13"/>
      <c r="AZ242" s="13"/>
      <c r="BA242" s="13"/>
      <c r="BB242" s="40"/>
      <c r="BC242" s="40"/>
      <c r="BD242" s="40"/>
      <c r="BE242" s="40"/>
      <c r="BF242" s="40"/>
      <c r="BG242" s="40"/>
      <c r="BH242" s="125"/>
      <c r="BI242" s="125"/>
      <c r="BJ242" s="125"/>
      <c r="BK242" s="125"/>
      <c r="BL242" s="125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DC242" s="8"/>
    </row>
    <row r="243" spans="2:107" s="15" customFormat="1" x14ac:dyDescent="0.2">
      <c r="B243" s="20"/>
      <c r="C243" s="21"/>
      <c r="D243" s="22"/>
      <c r="E243" s="22"/>
      <c r="F243" s="22"/>
      <c r="Y243" s="17"/>
      <c r="Z243" s="18"/>
      <c r="AA243" s="14"/>
      <c r="AB243" s="14"/>
      <c r="AC243" s="14"/>
      <c r="AD243" s="14"/>
      <c r="AE243" s="14"/>
      <c r="AF243" s="14"/>
      <c r="AG243" s="14"/>
      <c r="AH243" s="14"/>
      <c r="AI243" s="14"/>
      <c r="AS243" s="13"/>
      <c r="AT243" s="13"/>
      <c r="AW243" s="13"/>
      <c r="AX243" s="13"/>
      <c r="AY243" s="13"/>
      <c r="AZ243" s="13"/>
      <c r="BA243" s="13"/>
      <c r="BB243" s="40"/>
      <c r="BC243" s="40"/>
      <c r="BD243" s="40"/>
      <c r="BE243" s="40"/>
      <c r="BF243" s="40"/>
      <c r="BG243" s="40"/>
      <c r="BH243" s="125"/>
      <c r="BI243" s="125"/>
      <c r="BJ243" s="125"/>
      <c r="BK243" s="125"/>
      <c r="BL243" s="125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DC243" s="8"/>
    </row>
    <row r="244" spans="2:107" s="15" customFormat="1" x14ac:dyDescent="0.2">
      <c r="B244" s="20"/>
      <c r="C244" s="21"/>
      <c r="D244" s="22"/>
      <c r="E244" s="22"/>
      <c r="F244" s="22"/>
      <c r="Y244" s="17"/>
      <c r="Z244" s="18"/>
      <c r="AA244" s="14"/>
      <c r="AB244" s="14"/>
      <c r="AC244" s="14"/>
      <c r="AD244" s="14"/>
      <c r="AE244" s="14"/>
      <c r="AF244" s="14"/>
      <c r="AG244" s="14"/>
      <c r="AH244" s="14"/>
      <c r="AI244" s="14"/>
      <c r="AS244" s="13"/>
      <c r="AT244" s="13"/>
      <c r="AW244" s="13"/>
      <c r="AX244" s="13"/>
      <c r="AY244" s="13"/>
      <c r="AZ244" s="13"/>
      <c r="BA244" s="13"/>
      <c r="BB244" s="40"/>
      <c r="BC244" s="40"/>
      <c r="BD244" s="40"/>
      <c r="BE244" s="40"/>
      <c r="BF244" s="40"/>
      <c r="BG244" s="40"/>
      <c r="BH244" s="125"/>
      <c r="BI244" s="125"/>
      <c r="BJ244" s="125"/>
      <c r="BK244" s="125"/>
      <c r="BL244" s="125"/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DC244" s="8"/>
    </row>
    <row r="245" spans="2:107" s="15" customFormat="1" x14ac:dyDescent="0.2">
      <c r="B245" s="20"/>
      <c r="C245" s="21"/>
      <c r="D245" s="22"/>
      <c r="E245" s="22"/>
      <c r="F245" s="22"/>
      <c r="Y245" s="17"/>
      <c r="Z245" s="18"/>
      <c r="AA245" s="14"/>
      <c r="AB245" s="14"/>
      <c r="AC245" s="14"/>
      <c r="AD245" s="14"/>
      <c r="AE245" s="14"/>
      <c r="AF245" s="14"/>
      <c r="AG245" s="14"/>
      <c r="AH245" s="14"/>
      <c r="AI245" s="14"/>
      <c r="AS245" s="13"/>
      <c r="AT245" s="13"/>
      <c r="AW245" s="13"/>
      <c r="AX245" s="13"/>
      <c r="AY245" s="13"/>
      <c r="AZ245" s="13"/>
      <c r="BA245" s="13"/>
      <c r="BB245" s="40"/>
      <c r="BC245" s="40"/>
      <c r="BD245" s="40"/>
      <c r="BE245" s="40"/>
      <c r="BF245" s="40"/>
      <c r="BG245" s="40"/>
      <c r="BH245" s="125"/>
      <c r="BI245" s="125"/>
      <c r="BJ245" s="125"/>
      <c r="BK245" s="125"/>
      <c r="BL245" s="125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DC245" s="8"/>
    </row>
    <row r="246" spans="2:107" s="15" customFormat="1" x14ac:dyDescent="0.2">
      <c r="B246" s="20"/>
      <c r="C246" s="21"/>
      <c r="D246" s="22"/>
      <c r="E246" s="22"/>
      <c r="F246" s="22"/>
      <c r="Y246" s="17"/>
      <c r="Z246" s="18"/>
      <c r="AA246" s="14"/>
      <c r="AB246" s="14"/>
      <c r="AC246" s="14"/>
      <c r="AD246" s="14"/>
      <c r="AE246" s="14"/>
      <c r="AF246" s="14"/>
      <c r="AG246" s="14"/>
      <c r="AH246" s="14"/>
      <c r="AI246" s="14"/>
      <c r="AS246" s="13"/>
      <c r="AT246" s="13"/>
      <c r="AW246" s="13"/>
      <c r="AX246" s="13"/>
      <c r="AY246" s="13"/>
      <c r="AZ246" s="13"/>
      <c r="BA246" s="13"/>
      <c r="BB246" s="40"/>
      <c r="BC246" s="40"/>
      <c r="BD246" s="40"/>
      <c r="BE246" s="40"/>
      <c r="BF246" s="40"/>
      <c r="BG246" s="40"/>
      <c r="BH246" s="125"/>
      <c r="BI246" s="125"/>
      <c r="BJ246" s="125"/>
      <c r="BK246" s="125"/>
      <c r="BL246" s="125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DC246" s="8"/>
    </row>
    <row r="247" spans="2:107" s="15" customFormat="1" x14ac:dyDescent="0.2">
      <c r="B247" s="20"/>
      <c r="C247" s="21"/>
      <c r="D247" s="22"/>
      <c r="E247" s="22"/>
      <c r="F247" s="22"/>
      <c r="Y247" s="17"/>
      <c r="Z247" s="18"/>
      <c r="AA247" s="14"/>
      <c r="AB247" s="14"/>
      <c r="AC247" s="14"/>
      <c r="AD247" s="14"/>
      <c r="AE247" s="14"/>
      <c r="AF247" s="14"/>
      <c r="AG247" s="14"/>
      <c r="AH247" s="14"/>
      <c r="AI247" s="14"/>
      <c r="AS247" s="13"/>
      <c r="AT247" s="13"/>
      <c r="AW247" s="13"/>
      <c r="AX247" s="13"/>
      <c r="AY247" s="13"/>
      <c r="AZ247" s="13"/>
      <c r="BA247" s="13"/>
      <c r="BB247" s="40"/>
      <c r="BC247" s="40"/>
      <c r="BD247" s="40"/>
      <c r="BE247" s="40"/>
      <c r="BF247" s="40"/>
      <c r="BG247" s="40"/>
      <c r="BH247" s="125"/>
      <c r="BI247" s="125"/>
      <c r="BJ247" s="125"/>
      <c r="BK247" s="125"/>
      <c r="BL247" s="125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DC247" s="8"/>
    </row>
    <row r="248" spans="2:107" s="15" customFormat="1" x14ac:dyDescent="0.2">
      <c r="B248" s="20"/>
      <c r="C248" s="21"/>
      <c r="D248" s="22"/>
      <c r="E248" s="22"/>
      <c r="F248" s="22"/>
      <c r="Y248" s="17"/>
      <c r="Z248" s="18"/>
      <c r="AA248" s="14"/>
      <c r="AB248" s="14"/>
      <c r="AC248" s="14"/>
      <c r="AD248" s="14"/>
      <c r="AE248" s="14"/>
      <c r="AF248" s="14"/>
      <c r="AG248" s="14"/>
      <c r="AH248" s="14"/>
      <c r="AI248" s="14"/>
      <c r="AS248" s="13"/>
      <c r="AT248" s="13"/>
      <c r="AW248" s="13"/>
      <c r="AX248" s="13"/>
      <c r="AY248" s="13"/>
      <c r="AZ248" s="13"/>
      <c r="BA248" s="13"/>
      <c r="BB248" s="40"/>
      <c r="BC248" s="40"/>
      <c r="BD248" s="40"/>
      <c r="BE248" s="40"/>
      <c r="BF248" s="40"/>
      <c r="BG248" s="40"/>
      <c r="BH248" s="125"/>
      <c r="BI248" s="125"/>
      <c r="BJ248" s="125"/>
      <c r="BK248" s="125"/>
      <c r="BL248" s="125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DC248" s="8"/>
    </row>
    <row r="249" spans="2:107" s="15" customFormat="1" x14ac:dyDescent="0.2">
      <c r="B249" s="20"/>
      <c r="C249" s="21"/>
      <c r="D249" s="22"/>
      <c r="E249" s="22"/>
      <c r="F249" s="22"/>
      <c r="Y249" s="17"/>
      <c r="Z249" s="18"/>
      <c r="AA249" s="14"/>
      <c r="AB249" s="14"/>
      <c r="AC249" s="14"/>
      <c r="AD249" s="14"/>
      <c r="AE249" s="14"/>
      <c r="AF249" s="14"/>
      <c r="AG249" s="14"/>
      <c r="AH249" s="14"/>
      <c r="AI249" s="14"/>
      <c r="AS249" s="13"/>
      <c r="AT249" s="13"/>
      <c r="AW249" s="13"/>
      <c r="AX249" s="13"/>
      <c r="AY249" s="13"/>
      <c r="AZ249" s="13"/>
      <c r="BA249" s="13"/>
      <c r="BB249" s="40"/>
      <c r="BC249" s="40"/>
      <c r="BD249" s="40"/>
      <c r="BE249" s="40"/>
      <c r="BF249" s="40"/>
      <c r="BG249" s="40"/>
      <c r="BH249" s="125"/>
      <c r="BI249" s="125"/>
      <c r="BJ249" s="125"/>
      <c r="BK249" s="125"/>
      <c r="BL249" s="125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DC249" s="8"/>
    </row>
    <row r="250" spans="2:107" s="15" customFormat="1" x14ac:dyDescent="0.2">
      <c r="B250" s="20"/>
      <c r="C250" s="21"/>
      <c r="D250" s="22"/>
      <c r="E250" s="22"/>
      <c r="F250" s="22"/>
      <c r="Y250" s="17"/>
      <c r="Z250" s="18"/>
      <c r="AA250" s="14"/>
      <c r="AB250" s="14"/>
      <c r="AC250" s="14"/>
      <c r="AD250" s="14"/>
      <c r="AE250" s="14"/>
      <c r="AF250" s="14"/>
      <c r="AG250" s="14"/>
      <c r="AH250" s="14"/>
      <c r="AI250" s="14"/>
      <c r="AS250" s="13"/>
      <c r="AT250" s="13"/>
      <c r="AW250" s="13"/>
      <c r="AX250" s="13"/>
      <c r="AY250" s="13"/>
      <c r="AZ250" s="13"/>
      <c r="BA250" s="13"/>
      <c r="BB250" s="40"/>
      <c r="BC250" s="40"/>
      <c r="BD250" s="40"/>
      <c r="BE250" s="40"/>
      <c r="BF250" s="40"/>
      <c r="BG250" s="40"/>
      <c r="BH250" s="125"/>
      <c r="BI250" s="125"/>
      <c r="BJ250" s="125"/>
      <c r="BK250" s="125"/>
      <c r="BL250" s="125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DC250" s="8"/>
    </row>
    <row r="251" spans="2:107" s="15" customFormat="1" x14ac:dyDescent="0.2">
      <c r="B251" s="20"/>
      <c r="C251" s="21"/>
      <c r="D251" s="22"/>
      <c r="E251" s="22"/>
      <c r="F251" s="22"/>
      <c r="Y251" s="17"/>
      <c r="Z251" s="18"/>
      <c r="AA251" s="14"/>
      <c r="AB251" s="14"/>
      <c r="AC251" s="14"/>
      <c r="AD251" s="14"/>
      <c r="AE251" s="14"/>
      <c r="AF251" s="14"/>
      <c r="AG251" s="14"/>
      <c r="AH251" s="14"/>
      <c r="AI251" s="14"/>
      <c r="AS251" s="13"/>
      <c r="AT251" s="13"/>
      <c r="AW251" s="13"/>
      <c r="AX251" s="13"/>
      <c r="AY251" s="13"/>
      <c r="AZ251" s="13"/>
      <c r="BA251" s="13"/>
      <c r="BB251" s="40"/>
      <c r="BC251" s="40"/>
      <c r="BD251" s="40"/>
      <c r="BE251" s="40"/>
      <c r="BF251" s="40"/>
      <c r="BG251" s="40"/>
      <c r="BH251" s="125"/>
      <c r="BI251" s="125"/>
      <c r="BJ251" s="125"/>
      <c r="BK251" s="125"/>
      <c r="BL251" s="125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DC251" s="8"/>
    </row>
    <row r="252" spans="2:107" s="15" customFormat="1" x14ac:dyDescent="0.2">
      <c r="B252" s="20"/>
      <c r="C252" s="21"/>
      <c r="D252" s="22"/>
      <c r="E252" s="22"/>
      <c r="F252" s="22"/>
      <c r="Y252" s="17"/>
      <c r="Z252" s="18"/>
      <c r="AA252" s="14"/>
      <c r="AB252" s="14"/>
      <c r="AC252" s="14"/>
      <c r="AD252" s="14"/>
      <c r="AE252" s="14"/>
      <c r="AF252" s="14"/>
      <c r="AG252" s="14"/>
      <c r="AH252" s="14"/>
      <c r="AI252" s="14"/>
      <c r="AS252" s="13"/>
      <c r="AT252" s="13"/>
      <c r="AW252" s="13"/>
      <c r="AX252" s="13"/>
      <c r="AY252" s="13"/>
      <c r="AZ252" s="13"/>
      <c r="BA252" s="13"/>
      <c r="BB252" s="40"/>
      <c r="BC252" s="40"/>
      <c r="BD252" s="40"/>
      <c r="BE252" s="40"/>
      <c r="BF252" s="40"/>
      <c r="BG252" s="40"/>
      <c r="BH252" s="125"/>
      <c r="BI252" s="125"/>
      <c r="BJ252" s="125"/>
      <c r="BK252" s="125"/>
      <c r="BL252" s="125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DC252" s="8"/>
    </row>
    <row r="253" spans="2:107" s="15" customFormat="1" x14ac:dyDescent="0.2">
      <c r="B253" s="20"/>
      <c r="C253" s="21"/>
      <c r="D253" s="22"/>
      <c r="E253" s="22"/>
      <c r="F253" s="22"/>
      <c r="Y253" s="17"/>
      <c r="Z253" s="18"/>
      <c r="AA253" s="14"/>
      <c r="AB253" s="14"/>
      <c r="AC253" s="14"/>
      <c r="AD253" s="14"/>
      <c r="AE253" s="14"/>
      <c r="AF253" s="14"/>
      <c r="AG253" s="14"/>
      <c r="AH253" s="14"/>
      <c r="AI253" s="14"/>
      <c r="AS253" s="13"/>
      <c r="AT253" s="13"/>
      <c r="AW253" s="13"/>
      <c r="AX253" s="13"/>
      <c r="AY253" s="13"/>
      <c r="AZ253" s="13"/>
      <c r="BA253" s="13"/>
      <c r="BB253" s="40"/>
      <c r="BC253" s="40"/>
      <c r="BD253" s="40"/>
      <c r="BE253" s="40"/>
      <c r="BF253" s="40"/>
      <c r="BG253" s="40"/>
      <c r="BH253" s="125"/>
      <c r="BI253" s="125"/>
      <c r="BJ253" s="125"/>
      <c r="BK253" s="125"/>
      <c r="BL253" s="125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DC253" s="8"/>
    </row>
    <row r="254" spans="2:107" s="15" customFormat="1" x14ac:dyDescent="0.2">
      <c r="B254" s="20"/>
      <c r="C254" s="21"/>
      <c r="D254" s="22"/>
      <c r="E254" s="22"/>
      <c r="F254" s="22"/>
      <c r="Y254" s="17"/>
      <c r="Z254" s="18"/>
      <c r="AA254" s="14"/>
      <c r="AB254" s="14"/>
      <c r="AC254" s="14"/>
      <c r="AD254" s="14"/>
      <c r="AE254" s="14"/>
      <c r="AF254" s="14"/>
      <c r="AG254" s="14"/>
      <c r="AH254" s="14"/>
      <c r="AI254" s="14"/>
      <c r="AS254" s="13"/>
      <c r="AT254" s="13"/>
      <c r="AW254" s="13"/>
      <c r="AX254" s="13"/>
      <c r="AY254" s="13"/>
      <c r="AZ254" s="13"/>
      <c r="BA254" s="13"/>
      <c r="BB254" s="40"/>
      <c r="BC254" s="40"/>
      <c r="BD254" s="40"/>
      <c r="BE254" s="40"/>
      <c r="BF254" s="40"/>
      <c r="BG254" s="40"/>
      <c r="BH254" s="125"/>
      <c r="BI254" s="125"/>
      <c r="BJ254" s="125"/>
      <c r="BK254" s="125"/>
      <c r="BL254" s="125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DC254" s="8"/>
    </row>
    <row r="255" spans="2:107" s="15" customFormat="1" x14ac:dyDescent="0.2">
      <c r="B255" s="20"/>
      <c r="C255" s="21"/>
      <c r="D255" s="22"/>
      <c r="E255" s="22"/>
      <c r="F255" s="22"/>
      <c r="Y255" s="17"/>
      <c r="Z255" s="18"/>
      <c r="AA255" s="14"/>
      <c r="AB255" s="14"/>
      <c r="AC255" s="14"/>
      <c r="AD255" s="14"/>
      <c r="AE255" s="14"/>
      <c r="AF255" s="14"/>
      <c r="AG255" s="14"/>
      <c r="AH255" s="14"/>
      <c r="AI255" s="14"/>
      <c r="AS255" s="13"/>
      <c r="AT255" s="13"/>
      <c r="AW255" s="13"/>
      <c r="AX255" s="13"/>
      <c r="AY255" s="13"/>
      <c r="AZ255" s="13"/>
      <c r="BA255" s="13"/>
      <c r="BB255" s="40"/>
      <c r="BC255" s="40"/>
      <c r="BD255" s="40"/>
      <c r="BE255" s="40"/>
      <c r="BF255" s="40"/>
      <c r="BG255" s="40"/>
      <c r="BH255" s="125"/>
      <c r="BI255" s="125"/>
      <c r="BJ255" s="125"/>
      <c r="BK255" s="125"/>
      <c r="BL255" s="125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DC255" s="8"/>
    </row>
    <row r="256" spans="2:107" s="15" customFormat="1" x14ac:dyDescent="0.2">
      <c r="B256" s="20"/>
      <c r="C256" s="21"/>
      <c r="D256" s="22"/>
      <c r="E256" s="22"/>
      <c r="F256" s="22"/>
      <c r="Y256" s="17"/>
      <c r="Z256" s="18"/>
      <c r="AA256" s="14"/>
      <c r="AB256" s="14"/>
      <c r="AC256" s="14"/>
      <c r="AD256" s="14"/>
      <c r="AE256" s="14"/>
      <c r="AF256" s="14"/>
      <c r="AG256" s="14"/>
      <c r="AH256" s="14"/>
      <c r="AI256" s="14"/>
      <c r="AS256" s="13"/>
      <c r="AT256" s="13"/>
      <c r="AW256" s="13"/>
      <c r="AX256" s="13"/>
      <c r="AY256" s="13"/>
      <c r="AZ256" s="13"/>
      <c r="BA256" s="13"/>
      <c r="BB256" s="40"/>
      <c r="BC256" s="40"/>
      <c r="BD256" s="40"/>
      <c r="BE256" s="40"/>
      <c r="BF256" s="40"/>
      <c r="BG256" s="40"/>
      <c r="BH256" s="125"/>
      <c r="BI256" s="125"/>
      <c r="BJ256" s="125"/>
      <c r="BK256" s="125"/>
      <c r="BL256" s="125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DC256" s="8"/>
    </row>
    <row r="257" spans="2:107" s="15" customFormat="1" x14ac:dyDescent="0.2">
      <c r="B257" s="20"/>
      <c r="C257" s="21"/>
      <c r="D257" s="22"/>
      <c r="E257" s="22"/>
      <c r="F257" s="22"/>
      <c r="Y257" s="17"/>
      <c r="Z257" s="18"/>
      <c r="AA257" s="14"/>
      <c r="AB257" s="14"/>
      <c r="AC257" s="14"/>
      <c r="AD257" s="14"/>
      <c r="AE257" s="14"/>
      <c r="AF257" s="14"/>
      <c r="AG257" s="14"/>
      <c r="AH257" s="14"/>
      <c r="AI257" s="14"/>
      <c r="AS257" s="13"/>
      <c r="AT257" s="13"/>
      <c r="AW257" s="13"/>
      <c r="AX257" s="13"/>
      <c r="AY257" s="13"/>
      <c r="AZ257" s="13"/>
      <c r="BA257" s="13"/>
      <c r="BB257" s="40"/>
      <c r="BC257" s="40"/>
      <c r="BD257" s="40"/>
      <c r="BE257" s="40"/>
      <c r="BF257" s="40"/>
      <c r="BG257" s="40"/>
      <c r="BH257" s="125"/>
      <c r="BI257" s="125"/>
      <c r="BJ257" s="125"/>
      <c r="BK257" s="125"/>
      <c r="BL257" s="125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DC257" s="8"/>
    </row>
    <row r="258" spans="2:107" s="15" customFormat="1" x14ac:dyDescent="0.2">
      <c r="B258" s="20"/>
      <c r="C258" s="21"/>
      <c r="D258" s="22"/>
      <c r="E258" s="22"/>
      <c r="F258" s="22"/>
      <c r="Y258" s="17"/>
      <c r="Z258" s="18"/>
      <c r="AA258" s="14"/>
      <c r="AB258" s="14"/>
      <c r="AC258" s="14"/>
      <c r="AD258" s="14"/>
      <c r="AE258" s="14"/>
      <c r="AF258" s="14"/>
      <c r="AG258" s="14"/>
      <c r="AH258" s="14"/>
      <c r="AI258" s="14"/>
      <c r="AS258" s="13"/>
      <c r="AT258" s="13"/>
      <c r="AW258" s="13"/>
      <c r="AX258" s="13"/>
      <c r="AY258" s="13"/>
      <c r="AZ258" s="13"/>
      <c r="BA258" s="13"/>
      <c r="BB258" s="40"/>
      <c r="BC258" s="40"/>
      <c r="BD258" s="40"/>
      <c r="BE258" s="40"/>
      <c r="BF258" s="40"/>
      <c r="BG258" s="40"/>
      <c r="BH258" s="125"/>
      <c r="BI258" s="125"/>
      <c r="BJ258" s="125"/>
      <c r="BK258" s="125"/>
      <c r="BL258" s="125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DC258" s="8"/>
    </row>
    <row r="259" spans="2:107" s="15" customFormat="1" x14ac:dyDescent="0.2">
      <c r="B259" s="20"/>
      <c r="C259" s="21"/>
      <c r="D259" s="22"/>
      <c r="E259" s="22"/>
      <c r="F259" s="22"/>
      <c r="Y259" s="17"/>
      <c r="Z259" s="18"/>
      <c r="AA259" s="14"/>
      <c r="AB259" s="14"/>
      <c r="AC259" s="14"/>
      <c r="AD259" s="14"/>
      <c r="AE259" s="14"/>
      <c r="AF259" s="14"/>
      <c r="AG259" s="14"/>
      <c r="AH259" s="14"/>
      <c r="AI259" s="14"/>
      <c r="AS259" s="13"/>
      <c r="AT259" s="13"/>
      <c r="AW259" s="13"/>
      <c r="AX259" s="13"/>
      <c r="AY259" s="13"/>
      <c r="AZ259" s="13"/>
      <c r="BA259" s="13"/>
      <c r="BB259" s="40"/>
      <c r="BC259" s="40"/>
      <c r="BD259" s="40"/>
      <c r="BE259" s="40"/>
      <c r="BF259" s="40"/>
      <c r="BG259" s="40"/>
      <c r="BH259" s="125"/>
      <c r="BI259" s="125"/>
      <c r="BJ259" s="125"/>
      <c r="BK259" s="125"/>
      <c r="BL259" s="125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DC259" s="8"/>
    </row>
    <row r="260" spans="2:107" s="15" customFormat="1" x14ac:dyDescent="0.2">
      <c r="B260" s="20"/>
      <c r="C260" s="21"/>
      <c r="D260" s="22"/>
      <c r="E260" s="22"/>
      <c r="F260" s="22"/>
      <c r="Y260" s="17"/>
      <c r="Z260" s="18"/>
      <c r="AA260" s="14"/>
      <c r="AB260" s="14"/>
      <c r="AC260" s="14"/>
      <c r="AD260" s="14"/>
      <c r="AE260" s="14"/>
      <c r="AF260" s="14"/>
      <c r="AG260" s="14"/>
      <c r="AH260" s="14"/>
      <c r="AI260" s="14"/>
      <c r="AS260" s="13"/>
      <c r="AT260" s="13"/>
      <c r="AW260" s="13"/>
      <c r="AX260" s="13"/>
      <c r="AY260" s="13"/>
      <c r="AZ260" s="13"/>
      <c r="BA260" s="13"/>
      <c r="BB260" s="40"/>
      <c r="BC260" s="40"/>
      <c r="BD260" s="40"/>
      <c r="BE260" s="40"/>
      <c r="BF260" s="40"/>
      <c r="BG260" s="40"/>
      <c r="BH260" s="125"/>
      <c r="BI260" s="125"/>
      <c r="BJ260" s="125"/>
      <c r="BK260" s="125"/>
      <c r="BL260" s="125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DC260" s="8"/>
    </row>
    <row r="261" spans="2:107" s="15" customFormat="1" x14ac:dyDescent="0.2">
      <c r="B261" s="20"/>
      <c r="C261" s="21"/>
      <c r="D261" s="22"/>
      <c r="E261" s="22"/>
      <c r="F261" s="22"/>
      <c r="Y261" s="17"/>
      <c r="Z261" s="18"/>
      <c r="AA261" s="14"/>
      <c r="AB261" s="14"/>
      <c r="AC261" s="14"/>
      <c r="AD261" s="14"/>
      <c r="AE261" s="14"/>
      <c r="AF261" s="14"/>
      <c r="AG261" s="14"/>
      <c r="AH261" s="14"/>
      <c r="AI261" s="14"/>
      <c r="AS261" s="13"/>
      <c r="AT261" s="13"/>
      <c r="AW261" s="13"/>
      <c r="AX261" s="13"/>
      <c r="AY261" s="13"/>
      <c r="AZ261" s="13"/>
      <c r="BA261" s="13"/>
      <c r="BB261" s="40"/>
      <c r="BC261" s="40"/>
      <c r="BD261" s="40"/>
      <c r="BE261" s="40"/>
      <c r="BF261" s="40"/>
      <c r="BG261" s="40"/>
      <c r="BH261" s="125"/>
      <c r="BI261" s="125"/>
      <c r="BJ261" s="125"/>
      <c r="BK261" s="125"/>
      <c r="BL261" s="125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DC261" s="8"/>
    </row>
    <row r="262" spans="2:107" s="15" customFormat="1" x14ac:dyDescent="0.2">
      <c r="B262" s="20"/>
      <c r="C262" s="21"/>
      <c r="D262" s="22"/>
      <c r="E262" s="22"/>
      <c r="F262" s="22"/>
      <c r="Y262" s="17"/>
      <c r="Z262" s="18"/>
      <c r="AA262" s="14"/>
      <c r="AB262" s="14"/>
      <c r="AC262" s="14"/>
      <c r="AD262" s="14"/>
      <c r="AE262" s="14"/>
      <c r="AF262" s="14"/>
      <c r="AG262" s="14"/>
      <c r="AH262" s="14"/>
      <c r="AI262" s="14"/>
      <c r="AS262" s="13"/>
      <c r="AT262" s="13"/>
      <c r="AW262" s="13"/>
      <c r="AX262" s="13"/>
      <c r="AY262" s="13"/>
      <c r="AZ262" s="13"/>
      <c r="BA262" s="13"/>
      <c r="BB262" s="40"/>
      <c r="BC262" s="40"/>
      <c r="BD262" s="40"/>
      <c r="BE262" s="40"/>
      <c r="BF262" s="40"/>
      <c r="BG262" s="40"/>
      <c r="BH262" s="125"/>
      <c r="BI262" s="125"/>
      <c r="BJ262" s="125"/>
      <c r="BK262" s="125"/>
      <c r="BL262" s="125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DC262" s="8"/>
    </row>
    <row r="263" spans="2:107" s="15" customFormat="1" x14ac:dyDescent="0.2">
      <c r="B263" s="20"/>
      <c r="C263" s="21"/>
      <c r="D263" s="22"/>
      <c r="E263" s="22"/>
      <c r="F263" s="22"/>
      <c r="Y263" s="17"/>
      <c r="Z263" s="18"/>
      <c r="AA263" s="14"/>
      <c r="AB263" s="14"/>
      <c r="AC263" s="14"/>
      <c r="AD263" s="14"/>
      <c r="AE263" s="14"/>
      <c r="AF263" s="14"/>
      <c r="AG263" s="14"/>
      <c r="AH263" s="14"/>
      <c r="AI263" s="14"/>
      <c r="AS263" s="13"/>
      <c r="AT263" s="13"/>
      <c r="AW263" s="13"/>
      <c r="AX263" s="13"/>
      <c r="AY263" s="13"/>
      <c r="AZ263" s="13"/>
      <c r="BA263" s="13"/>
      <c r="BB263" s="40"/>
      <c r="BC263" s="40"/>
      <c r="BD263" s="40"/>
      <c r="BE263" s="40"/>
      <c r="BF263" s="40"/>
      <c r="BG263" s="40"/>
      <c r="BH263" s="125"/>
      <c r="BI263" s="125"/>
      <c r="BJ263" s="125"/>
      <c r="BK263" s="125"/>
      <c r="BL263" s="125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DC263" s="8"/>
    </row>
    <row r="264" spans="2:107" s="15" customFormat="1" x14ac:dyDescent="0.2">
      <c r="B264" s="20"/>
      <c r="C264" s="21"/>
      <c r="D264" s="22"/>
      <c r="E264" s="22"/>
      <c r="F264" s="22"/>
      <c r="Y264" s="17"/>
      <c r="Z264" s="18"/>
      <c r="AA264" s="14"/>
      <c r="AB264" s="14"/>
      <c r="AC264" s="14"/>
      <c r="AD264" s="14"/>
      <c r="AE264" s="14"/>
      <c r="AF264" s="14"/>
      <c r="AG264" s="14"/>
      <c r="AH264" s="14"/>
      <c r="AI264" s="14"/>
      <c r="AS264" s="13"/>
      <c r="AT264" s="13"/>
      <c r="AW264" s="13"/>
      <c r="AX264" s="13"/>
      <c r="AY264" s="13"/>
      <c r="AZ264" s="13"/>
      <c r="BA264" s="13"/>
      <c r="BB264" s="40"/>
      <c r="BC264" s="40"/>
      <c r="BD264" s="40"/>
      <c r="BE264" s="40"/>
      <c r="BF264" s="40"/>
      <c r="BG264" s="40"/>
      <c r="BH264" s="125"/>
      <c r="BI264" s="125"/>
      <c r="BJ264" s="125"/>
      <c r="BK264" s="125"/>
      <c r="BL264" s="125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DC264" s="8"/>
    </row>
    <row r="265" spans="2:107" s="15" customFormat="1" x14ac:dyDescent="0.2">
      <c r="B265" s="20"/>
      <c r="C265" s="21"/>
      <c r="D265" s="22"/>
      <c r="E265" s="22"/>
      <c r="F265" s="22"/>
      <c r="Y265" s="17"/>
      <c r="Z265" s="18"/>
      <c r="AA265" s="14"/>
      <c r="AB265" s="14"/>
      <c r="AC265" s="14"/>
      <c r="AD265" s="14"/>
      <c r="AE265" s="14"/>
      <c r="AF265" s="14"/>
      <c r="AG265" s="14"/>
      <c r="AH265" s="14"/>
      <c r="AI265" s="14"/>
      <c r="AS265" s="13"/>
      <c r="AT265" s="13"/>
      <c r="AW265" s="13"/>
      <c r="AX265" s="13"/>
      <c r="AY265" s="13"/>
      <c r="AZ265" s="13"/>
      <c r="BA265" s="13"/>
      <c r="BB265" s="40"/>
      <c r="BC265" s="40"/>
      <c r="BD265" s="40"/>
      <c r="BE265" s="40"/>
      <c r="BF265" s="40"/>
      <c r="BG265" s="40"/>
      <c r="BH265" s="125"/>
      <c r="BI265" s="125"/>
      <c r="BJ265" s="125"/>
      <c r="BK265" s="125"/>
      <c r="BL265" s="125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DC265" s="8"/>
    </row>
    <row r="266" spans="2:107" s="15" customFormat="1" x14ac:dyDescent="0.2">
      <c r="B266" s="20"/>
      <c r="C266" s="21"/>
      <c r="D266" s="22"/>
      <c r="E266" s="22"/>
      <c r="F266" s="22"/>
      <c r="Y266" s="17"/>
      <c r="Z266" s="18"/>
      <c r="AA266" s="14"/>
      <c r="AB266" s="14"/>
      <c r="AC266" s="14"/>
      <c r="AD266" s="14"/>
      <c r="AE266" s="14"/>
      <c r="AF266" s="14"/>
      <c r="AG266" s="14"/>
      <c r="AH266" s="14"/>
      <c r="AI266" s="14"/>
      <c r="AS266" s="13"/>
      <c r="AT266" s="13"/>
      <c r="AW266" s="13"/>
      <c r="AX266" s="13"/>
      <c r="AY266" s="13"/>
      <c r="AZ266" s="13"/>
      <c r="BA266" s="13"/>
      <c r="BB266" s="40"/>
      <c r="BC266" s="40"/>
      <c r="BD266" s="40"/>
      <c r="BE266" s="40"/>
      <c r="BF266" s="40"/>
      <c r="BG266" s="40"/>
      <c r="BH266" s="125"/>
      <c r="BI266" s="125"/>
      <c r="BJ266" s="125"/>
      <c r="BK266" s="125"/>
      <c r="BL266" s="125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DC266" s="8"/>
    </row>
    <row r="267" spans="2:107" s="15" customFormat="1" x14ac:dyDescent="0.2">
      <c r="B267" s="20"/>
      <c r="C267" s="21"/>
      <c r="D267" s="22"/>
      <c r="E267" s="22"/>
      <c r="F267" s="22"/>
      <c r="Y267" s="17"/>
      <c r="Z267" s="18"/>
      <c r="AA267" s="14"/>
      <c r="AB267" s="14"/>
      <c r="AC267" s="14"/>
      <c r="AD267" s="14"/>
      <c r="AE267" s="14"/>
      <c r="AF267" s="14"/>
      <c r="AG267" s="14"/>
      <c r="AH267" s="14"/>
      <c r="AI267" s="14"/>
      <c r="AS267" s="13"/>
      <c r="AT267" s="13"/>
      <c r="AW267" s="13"/>
      <c r="AX267" s="13"/>
      <c r="AY267" s="13"/>
      <c r="AZ267" s="13"/>
      <c r="BA267" s="13"/>
      <c r="BB267" s="40"/>
      <c r="BC267" s="40"/>
      <c r="BD267" s="40"/>
      <c r="BE267" s="40"/>
      <c r="BF267" s="40"/>
      <c r="BG267" s="40"/>
      <c r="BH267" s="125"/>
      <c r="BI267" s="125"/>
      <c r="BJ267" s="125"/>
      <c r="BK267" s="125"/>
      <c r="BL267" s="125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DC267" s="8"/>
    </row>
    <row r="268" spans="2:107" s="15" customFormat="1" x14ac:dyDescent="0.2">
      <c r="B268" s="20"/>
      <c r="C268" s="21"/>
      <c r="D268" s="22"/>
      <c r="E268" s="22"/>
      <c r="F268" s="22"/>
      <c r="Y268" s="17"/>
      <c r="Z268" s="18"/>
      <c r="AA268" s="14"/>
      <c r="AB268" s="14"/>
      <c r="AC268" s="14"/>
      <c r="AD268" s="14"/>
      <c r="AE268" s="14"/>
      <c r="AF268" s="14"/>
      <c r="AG268" s="14"/>
      <c r="AH268" s="14"/>
      <c r="AI268" s="14"/>
      <c r="AS268" s="13"/>
      <c r="AT268" s="13"/>
      <c r="AW268" s="13"/>
      <c r="AX268" s="13"/>
      <c r="AY268" s="13"/>
      <c r="AZ268" s="13"/>
      <c r="BA268" s="13"/>
      <c r="BB268" s="40"/>
      <c r="BC268" s="40"/>
      <c r="BD268" s="40"/>
      <c r="BE268" s="40"/>
      <c r="BF268" s="40"/>
      <c r="BG268" s="40"/>
      <c r="BH268" s="125"/>
      <c r="BI268" s="125"/>
      <c r="BJ268" s="125"/>
      <c r="BK268" s="125"/>
      <c r="BL268" s="125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DC268" s="8"/>
    </row>
    <row r="269" spans="2:107" s="15" customFormat="1" x14ac:dyDescent="0.2">
      <c r="B269" s="20"/>
      <c r="C269" s="21"/>
      <c r="D269" s="22"/>
      <c r="E269" s="22"/>
      <c r="F269" s="22"/>
      <c r="Y269" s="17"/>
      <c r="Z269" s="18"/>
      <c r="AA269" s="14"/>
      <c r="AB269" s="14"/>
      <c r="AC269" s="14"/>
      <c r="AD269" s="14"/>
      <c r="AE269" s="14"/>
      <c r="AF269" s="14"/>
      <c r="AG269" s="14"/>
      <c r="AH269" s="14"/>
      <c r="AI269" s="14"/>
      <c r="AS269" s="13"/>
      <c r="AT269" s="13"/>
      <c r="AW269" s="13"/>
      <c r="AX269" s="13"/>
      <c r="AY269" s="13"/>
      <c r="AZ269" s="13"/>
      <c r="BA269" s="13"/>
      <c r="BB269" s="40"/>
      <c r="BC269" s="40"/>
      <c r="BD269" s="40"/>
      <c r="BE269" s="40"/>
      <c r="BF269" s="40"/>
      <c r="BG269" s="40"/>
      <c r="BH269" s="125"/>
      <c r="BI269" s="125"/>
      <c r="BJ269" s="125"/>
      <c r="BK269" s="125"/>
      <c r="BL269" s="125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DC269" s="8"/>
    </row>
    <row r="270" spans="2:107" s="15" customFormat="1" x14ac:dyDescent="0.2">
      <c r="B270" s="20"/>
      <c r="C270" s="21"/>
      <c r="D270" s="22"/>
      <c r="E270" s="22"/>
      <c r="F270" s="22"/>
      <c r="Y270" s="17"/>
      <c r="Z270" s="18"/>
      <c r="AA270" s="14"/>
      <c r="AB270" s="14"/>
      <c r="AC270" s="14"/>
      <c r="AD270" s="14"/>
      <c r="AE270" s="14"/>
      <c r="AF270" s="14"/>
      <c r="AG270" s="14"/>
      <c r="AH270" s="14"/>
      <c r="AI270" s="14"/>
      <c r="AS270" s="13"/>
      <c r="AT270" s="13"/>
      <c r="AW270" s="13"/>
      <c r="AX270" s="13"/>
      <c r="AY270" s="13"/>
      <c r="AZ270" s="13"/>
      <c r="BA270" s="13"/>
      <c r="BB270" s="40"/>
      <c r="BC270" s="40"/>
      <c r="BD270" s="40"/>
      <c r="BE270" s="40"/>
      <c r="BF270" s="40"/>
      <c r="BG270" s="40"/>
      <c r="BH270" s="125"/>
      <c r="BI270" s="125"/>
      <c r="BJ270" s="125"/>
      <c r="BK270" s="125"/>
      <c r="BL270" s="125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DC270" s="8"/>
    </row>
    <row r="271" spans="2:107" s="15" customFormat="1" x14ac:dyDescent="0.2">
      <c r="B271" s="20"/>
      <c r="C271" s="21"/>
      <c r="D271" s="22"/>
      <c r="E271" s="22"/>
      <c r="F271" s="22"/>
      <c r="Y271" s="17"/>
      <c r="Z271" s="18"/>
      <c r="AA271" s="14"/>
      <c r="AB271" s="14"/>
      <c r="AC271" s="14"/>
      <c r="AD271" s="14"/>
      <c r="AE271" s="14"/>
      <c r="AF271" s="14"/>
      <c r="AG271" s="14"/>
      <c r="AH271" s="14"/>
      <c r="AI271" s="14"/>
      <c r="AS271" s="13"/>
      <c r="AT271" s="13"/>
      <c r="AW271" s="13"/>
      <c r="AX271" s="13"/>
      <c r="AY271" s="13"/>
      <c r="AZ271" s="13"/>
      <c r="BA271" s="13"/>
      <c r="BB271" s="40"/>
      <c r="BC271" s="40"/>
      <c r="BD271" s="40"/>
      <c r="BE271" s="40"/>
      <c r="BF271" s="40"/>
      <c r="BG271" s="40"/>
      <c r="BH271" s="125"/>
      <c r="BI271" s="125"/>
      <c r="BJ271" s="125"/>
      <c r="BK271" s="125"/>
      <c r="BL271" s="125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DC271" s="8"/>
    </row>
    <row r="272" spans="2:107" s="15" customFormat="1" x14ac:dyDescent="0.2">
      <c r="B272" s="20"/>
      <c r="C272" s="21"/>
      <c r="D272" s="22"/>
      <c r="E272" s="22"/>
      <c r="F272" s="22"/>
      <c r="Y272" s="17"/>
      <c r="Z272" s="18"/>
      <c r="AA272" s="14"/>
      <c r="AB272" s="14"/>
      <c r="AC272" s="14"/>
      <c r="AD272" s="14"/>
      <c r="AE272" s="14"/>
      <c r="AF272" s="14"/>
      <c r="AG272" s="14"/>
      <c r="AH272" s="14"/>
      <c r="AI272" s="14"/>
      <c r="AS272" s="13"/>
      <c r="AT272" s="13"/>
      <c r="AW272" s="13"/>
      <c r="AX272" s="13"/>
      <c r="AY272" s="13"/>
      <c r="AZ272" s="13"/>
      <c r="BA272" s="13"/>
      <c r="BB272" s="40"/>
      <c r="BC272" s="40"/>
      <c r="BD272" s="40"/>
      <c r="BE272" s="40"/>
      <c r="BF272" s="40"/>
      <c r="BG272" s="40"/>
      <c r="BH272" s="125"/>
      <c r="BI272" s="125"/>
      <c r="BJ272" s="125"/>
      <c r="BK272" s="125"/>
      <c r="BL272" s="125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DC272" s="8"/>
    </row>
    <row r="273" spans="2:107" s="15" customFormat="1" x14ac:dyDescent="0.2">
      <c r="B273" s="20"/>
      <c r="C273" s="21"/>
      <c r="D273" s="22"/>
      <c r="E273" s="22"/>
      <c r="F273" s="22"/>
      <c r="Y273" s="17"/>
      <c r="Z273" s="18"/>
      <c r="AA273" s="14"/>
      <c r="AB273" s="14"/>
      <c r="AC273" s="14"/>
      <c r="AD273" s="14"/>
      <c r="AE273" s="14"/>
      <c r="AF273" s="14"/>
      <c r="AG273" s="14"/>
      <c r="AH273" s="14"/>
      <c r="AI273" s="14"/>
      <c r="AS273" s="13"/>
      <c r="AT273" s="13"/>
      <c r="AW273" s="13"/>
      <c r="AX273" s="13"/>
      <c r="AY273" s="13"/>
      <c r="AZ273" s="13"/>
      <c r="BA273" s="13"/>
      <c r="BB273" s="40"/>
      <c r="BC273" s="40"/>
      <c r="BD273" s="40"/>
      <c r="BE273" s="40"/>
      <c r="BF273" s="40"/>
      <c r="BG273" s="40"/>
      <c r="BH273" s="125"/>
      <c r="BI273" s="125"/>
      <c r="BJ273" s="125"/>
      <c r="BK273" s="125"/>
      <c r="BL273" s="125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DC273" s="8"/>
    </row>
    <row r="274" spans="2:107" s="15" customFormat="1" x14ac:dyDescent="0.2">
      <c r="B274" s="20"/>
      <c r="C274" s="21"/>
      <c r="D274" s="22"/>
      <c r="E274" s="22"/>
      <c r="F274" s="22"/>
      <c r="Y274" s="17"/>
      <c r="Z274" s="18"/>
      <c r="AA274" s="14"/>
      <c r="AB274" s="14"/>
      <c r="AC274" s="14"/>
      <c r="AD274" s="14"/>
      <c r="AE274" s="14"/>
      <c r="AF274" s="14"/>
      <c r="AG274" s="14"/>
      <c r="AH274" s="14"/>
      <c r="AI274" s="14"/>
      <c r="AS274" s="13"/>
      <c r="AT274" s="13"/>
      <c r="AW274" s="13"/>
      <c r="AX274" s="13"/>
      <c r="AY274" s="13"/>
      <c r="AZ274" s="13"/>
      <c r="BA274" s="13"/>
      <c r="BB274" s="40"/>
      <c r="BC274" s="40"/>
      <c r="BD274" s="40"/>
      <c r="BE274" s="40"/>
      <c r="BF274" s="40"/>
      <c r="BG274" s="40"/>
      <c r="BH274" s="125"/>
      <c r="BI274" s="125"/>
      <c r="BJ274" s="125"/>
      <c r="BK274" s="125"/>
      <c r="BL274" s="125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DC274" s="8"/>
    </row>
    <row r="275" spans="2:107" s="15" customFormat="1" x14ac:dyDescent="0.2">
      <c r="B275" s="20"/>
      <c r="C275" s="21"/>
      <c r="D275" s="22"/>
      <c r="E275" s="22"/>
      <c r="F275" s="22"/>
      <c r="Y275" s="17"/>
      <c r="Z275" s="18"/>
      <c r="AA275" s="14"/>
      <c r="AB275" s="14"/>
      <c r="AC275" s="14"/>
      <c r="AD275" s="14"/>
      <c r="AE275" s="14"/>
      <c r="AF275" s="14"/>
      <c r="AG275" s="14"/>
      <c r="AH275" s="14"/>
      <c r="AI275" s="14"/>
      <c r="AS275" s="13"/>
      <c r="AT275" s="13"/>
      <c r="AW275" s="13"/>
      <c r="AX275" s="13"/>
      <c r="AY275" s="13"/>
      <c r="AZ275" s="13"/>
      <c r="BA275" s="13"/>
      <c r="BB275" s="40"/>
      <c r="BC275" s="40"/>
      <c r="BD275" s="40"/>
      <c r="BE275" s="40"/>
      <c r="BF275" s="40"/>
      <c r="BG275" s="40"/>
      <c r="BH275" s="125"/>
      <c r="BI275" s="125"/>
      <c r="BJ275" s="125"/>
      <c r="BK275" s="125"/>
      <c r="BL275" s="125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DC275" s="8"/>
    </row>
    <row r="276" spans="2:107" s="15" customFormat="1" x14ac:dyDescent="0.2">
      <c r="B276" s="20"/>
      <c r="C276" s="21"/>
      <c r="D276" s="22"/>
      <c r="E276" s="22"/>
      <c r="F276" s="22"/>
      <c r="Y276" s="17"/>
      <c r="Z276" s="18"/>
      <c r="AA276" s="14"/>
      <c r="AB276" s="14"/>
      <c r="AC276" s="14"/>
      <c r="AD276" s="14"/>
      <c r="AE276" s="14"/>
      <c r="AF276" s="14"/>
      <c r="AG276" s="14"/>
      <c r="AH276" s="14"/>
      <c r="AI276" s="14"/>
      <c r="AS276" s="13"/>
      <c r="AT276" s="13"/>
      <c r="AW276" s="13"/>
      <c r="AX276" s="13"/>
      <c r="AY276" s="13"/>
      <c r="AZ276" s="13"/>
      <c r="BA276" s="13"/>
      <c r="BB276" s="40"/>
      <c r="BC276" s="40"/>
      <c r="BD276" s="40"/>
      <c r="BE276" s="40"/>
      <c r="BF276" s="40"/>
      <c r="BG276" s="40"/>
      <c r="BH276" s="125"/>
      <c r="BI276" s="125"/>
      <c r="BJ276" s="125"/>
      <c r="BK276" s="125"/>
      <c r="BL276" s="125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DC276" s="8"/>
    </row>
    <row r="277" spans="2:107" s="15" customFormat="1" x14ac:dyDescent="0.2">
      <c r="B277" s="20"/>
      <c r="C277" s="21"/>
      <c r="D277" s="22"/>
      <c r="E277" s="22"/>
      <c r="F277" s="22"/>
      <c r="Y277" s="17"/>
      <c r="Z277" s="18"/>
      <c r="AA277" s="14"/>
      <c r="AB277" s="14"/>
      <c r="AC277" s="14"/>
      <c r="AD277" s="14"/>
      <c r="AE277" s="14"/>
      <c r="AF277" s="14"/>
      <c r="AG277" s="14"/>
      <c r="AH277" s="14"/>
      <c r="AI277" s="14"/>
      <c r="AS277" s="13"/>
      <c r="AT277" s="13"/>
      <c r="AW277" s="13"/>
      <c r="AX277" s="13"/>
      <c r="AY277" s="13"/>
      <c r="AZ277" s="13"/>
      <c r="BA277" s="13"/>
      <c r="BB277" s="40"/>
      <c r="BC277" s="40"/>
      <c r="BD277" s="40"/>
      <c r="BE277" s="40"/>
      <c r="BF277" s="40"/>
      <c r="BG277" s="40"/>
      <c r="BH277" s="125"/>
      <c r="BI277" s="125"/>
      <c r="BJ277" s="125"/>
      <c r="BK277" s="125"/>
      <c r="BL277" s="125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DC277" s="8"/>
    </row>
    <row r="278" spans="2:107" s="15" customFormat="1" x14ac:dyDescent="0.2">
      <c r="B278" s="20"/>
      <c r="C278" s="21"/>
      <c r="D278" s="22"/>
      <c r="E278" s="22"/>
      <c r="F278" s="22"/>
      <c r="Y278" s="17"/>
      <c r="Z278" s="18"/>
      <c r="AA278" s="14"/>
      <c r="AB278" s="14"/>
      <c r="AC278" s="14"/>
      <c r="AD278" s="14"/>
      <c r="AE278" s="14"/>
      <c r="AF278" s="14"/>
      <c r="AG278" s="14"/>
      <c r="AH278" s="14"/>
      <c r="AI278" s="14"/>
      <c r="AS278" s="13"/>
      <c r="AT278" s="13"/>
      <c r="AW278" s="13"/>
      <c r="AX278" s="13"/>
      <c r="AY278" s="13"/>
      <c r="AZ278" s="13"/>
      <c r="BA278" s="13"/>
      <c r="BB278" s="40"/>
      <c r="BC278" s="40"/>
      <c r="BD278" s="40"/>
      <c r="BE278" s="40"/>
      <c r="BF278" s="40"/>
      <c r="BG278" s="40"/>
      <c r="BH278" s="125"/>
      <c r="BI278" s="125"/>
      <c r="BJ278" s="125"/>
      <c r="BK278" s="125"/>
      <c r="BL278" s="125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DC278" s="8"/>
    </row>
    <row r="279" spans="2:107" s="15" customFormat="1" x14ac:dyDescent="0.2">
      <c r="B279" s="20"/>
      <c r="C279" s="21"/>
      <c r="D279" s="22"/>
      <c r="E279" s="22"/>
      <c r="F279" s="22"/>
      <c r="Y279" s="17"/>
      <c r="Z279" s="18"/>
      <c r="AA279" s="14"/>
      <c r="AB279" s="14"/>
      <c r="AC279" s="14"/>
      <c r="AD279" s="14"/>
      <c r="AE279" s="14"/>
      <c r="AF279" s="14"/>
      <c r="AG279" s="14"/>
      <c r="AH279" s="14"/>
      <c r="AI279" s="14"/>
      <c r="AS279" s="13"/>
      <c r="AT279" s="13"/>
      <c r="AW279" s="13"/>
      <c r="AX279" s="13"/>
      <c r="AY279" s="13"/>
      <c r="AZ279" s="13"/>
      <c r="BA279" s="13"/>
      <c r="BB279" s="40"/>
      <c r="BC279" s="40"/>
      <c r="BD279" s="40"/>
      <c r="BE279" s="40"/>
      <c r="BF279" s="40"/>
      <c r="BG279" s="40"/>
      <c r="BH279" s="125"/>
      <c r="BI279" s="125"/>
      <c r="BJ279" s="125"/>
      <c r="BK279" s="125"/>
      <c r="BL279" s="125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DC279" s="8"/>
    </row>
    <row r="280" spans="2:107" s="15" customFormat="1" x14ac:dyDescent="0.2">
      <c r="B280" s="20"/>
      <c r="C280" s="21"/>
      <c r="D280" s="22"/>
      <c r="E280" s="22"/>
      <c r="F280" s="22"/>
      <c r="Y280" s="17"/>
      <c r="Z280" s="18"/>
      <c r="AA280" s="14"/>
      <c r="AB280" s="14"/>
      <c r="AC280" s="14"/>
      <c r="AD280" s="14"/>
      <c r="AE280" s="14"/>
      <c r="AF280" s="14"/>
      <c r="AG280" s="14"/>
      <c r="AH280" s="14"/>
      <c r="AI280" s="14"/>
      <c r="AS280" s="13"/>
      <c r="AT280" s="13"/>
      <c r="AW280" s="13"/>
      <c r="AX280" s="13"/>
      <c r="AY280" s="13"/>
      <c r="AZ280" s="13"/>
      <c r="BA280" s="13"/>
      <c r="BB280" s="40"/>
      <c r="BC280" s="40"/>
      <c r="BD280" s="40"/>
      <c r="BE280" s="40"/>
      <c r="BF280" s="40"/>
      <c r="BG280" s="40"/>
      <c r="BH280" s="125"/>
      <c r="BI280" s="125"/>
      <c r="BJ280" s="125"/>
      <c r="BK280" s="125"/>
      <c r="BL280" s="125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DC280" s="8"/>
    </row>
    <row r="281" spans="2:107" s="15" customFormat="1" x14ac:dyDescent="0.2">
      <c r="B281" s="20"/>
      <c r="C281" s="21"/>
      <c r="D281" s="22"/>
      <c r="E281" s="22"/>
      <c r="F281" s="22"/>
      <c r="Y281" s="17"/>
      <c r="Z281" s="18"/>
      <c r="AA281" s="14"/>
      <c r="AB281" s="14"/>
      <c r="AC281" s="14"/>
      <c r="AD281" s="14"/>
      <c r="AE281" s="14"/>
      <c r="AF281" s="14"/>
      <c r="AG281" s="14"/>
      <c r="AH281" s="14"/>
      <c r="AI281" s="14"/>
      <c r="AS281" s="13"/>
      <c r="AT281" s="13"/>
      <c r="AW281" s="13"/>
      <c r="AX281" s="13"/>
      <c r="AY281" s="13"/>
      <c r="AZ281" s="13"/>
      <c r="BA281" s="13"/>
      <c r="BB281" s="40"/>
      <c r="BC281" s="40"/>
      <c r="BD281" s="40"/>
      <c r="BE281" s="40"/>
      <c r="BF281" s="40"/>
      <c r="BG281" s="40"/>
      <c r="BH281" s="125"/>
      <c r="BI281" s="125"/>
      <c r="BJ281" s="125"/>
      <c r="BK281" s="125"/>
      <c r="BL281" s="125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DC281" s="8"/>
    </row>
    <row r="282" spans="2:107" s="15" customFormat="1" x14ac:dyDescent="0.2">
      <c r="B282" s="20"/>
      <c r="C282" s="21"/>
      <c r="D282" s="22"/>
      <c r="E282" s="22"/>
      <c r="F282" s="22"/>
      <c r="Y282" s="17"/>
      <c r="Z282" s="18"/>
      <c r="AA282" s="14"/>
      <c r="AB282" s="14"/>
      <c r="AC282" s="14"/>
      <c r="AD282" s="14"/>
      <c r="AE282" s="14"/>
      <c r="AF282" s="14"/>
      <c r="AG282" s="14"/>
      <c r="AH282" s="14"/>
      <c r="AI282" s="14"/>
      <c r="AS282" s="13"/>
      <c r="AT282" s="13"/>
      <c r="AW282" s="13"/>
      <c r="AX282" s="13"/>
      <c r="AY282" s="13"/>
      <c r="AZ282" s="13"/>
      <c r="BA282" s="13"/>
      <c r="BB282" s="40"/>
      <c r="BC282" s="40"/>
      <c r="BD282" s="40"/>
      <c r="BE282" s="40"/>
      <c r="BF282" s="40"/>
      <c r="BG282" s="40"/>
      <c r="BH282" s="125"/>
      <c r="BI282" s="125"/>
      <c r="BJ282" s="125"/>
      <c r="BK282" s="125"/>
      <c r="BL282" s="125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DC282" s="8"/>
    </row>
    <row r="283" spans="2:107" s="15" customFormat="1" x14ac:dyDescent="0.2">
      <c r="B283" s="20"/>
      <c r="C283" s="21"/>
      <c r="D283" s="22"/>
      <c r="E283" s="22"/>
      <c r="F283" s="22"/>
      <c r="Y283" s="17"/>
      <c r="Z283" s="18"/>
      <c r="AA283" s="14"/>
      <c r="AB283" s="14"/>
      <c r="AC283" s="14"/>
      <c r="AD283" s="14"/>
      <c r="AE283" s="14"/>
      <c r="AF283" s="14"/>
      <c r="AG283" s="14"/>
      <c r="AH283" s="14"/>
      <c r="AI283" s="14"/>
      <c r="AS283" s="13"/>
      <c r="AT283" s="13"/>
      <c r="AW283" s="13"/>
      <c r="AX283" s="13"/>
      <c r="AY283" s="13"/>
      <c r="AZ283" s="13"/>
      <c r="BA283" s="13"/>
      <c r="BB283" s="40"/>
      <c r="BC283" s="40"/>
      <c r="BD283" s="40"/>
      <c r="BE283" s="40"/>
      <c r="BF283" s="40"/>
      <c r="BG283" s="40"/>
      <c r="BH283" s="125"/>
      <c r="BI283" s="125"/>
      <c r="BJ283" s="125"/>
      <c r="BK283" s="125"/>
      <c r="BL283" s="125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DC283" s="8"/>
    </row>
    <row r="284" spans="2:107" s="15" customFormat="1" x14ac:dyDescent="0.2">
      <c r="B284" s="20"/>
      <c r="C284" s="21"/>
      <c r="D284" s="22"/>
      <c r="E284" s="22"/>
      <c r="F284" s="22"/>
      <c r="Y284" s="17"/>
      <c r="Z284" s="18"/>
      <c r="AA284" s="14"/>
      <c r="AB284" s="14"/>
      <c r="AC284" s="14"/>
      <c r="AD284" s="14"/>
      <c r="AE284" s="14"/>
      <c r="AF284" s="14"/>
      <c r="AG284" s="14"/>
      <c r="AH284" s="14"/>
      <c r="AI284" s="14"/>
      <c r="AS284" s="13"/>
      <c r="AT284" s="13"/>
      <c r="AW284" s="13"/>
      <c r="AX284" s="13"/>
      <c r="AY284" s="13"/>
      <c r="AZ284" s="13"/>
      <c r="BA284" s="13"/>
      <c r="BB284" s="40"/>
      <c r="BC284" s="40"/>
      <c r="BD284" s="40"/>
      <c r="BE284" s="40"/>
      <c r="BF284" s="40"/>
      <c r="BG284" s="40"/>
      <c r="BH284" s="125"/>
      <c r="BI284" s="125"/>
      <c r="BJ284" s="125"/>
      <c r="BK284" s="125"/>
      <c r="BL284" s="125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DC284" s="8"/>
    </row>
    <row r="285" spans="2:107" s="15" customFormat="1" x14ac:dyDescent="0.2">
      <c r="B285" s="20"/>
      <c r="C285" s="21"/>
      <c r="D285" s="22"/>
      <c r="E285" s="22"/>
      <c r="F285" s="22"/>
      <c r="Y285" s="17"/>
      <c r="Z285" s="18"/>
      <c r="AA285" s="14"/>
      <c r="AB285" s="14"/>
      <c r="AC285" s="14"/>
      <c r="AD285" s="14"/>
      <c r="AE285" s="14"/>
      <c r="AF285" s="14"/>
      <c r="AG285" s="14"/>
      <c r="AH285" s="14"/>
      <c r="AI285" s="14"/>
      <c r="AS285" s="13"/>
      <c r="AT285" s="13"/>
      <c r="AW285" s="13"/>
      <c r="AX285" s="13"/>
      <c r="AY285" s="13"/>
      <c r="AZ285" s="13"/>
      <c r="BA285" s="13"/>
      <c r="BB285" s="40"/>
      <c r="BC285" s="40"/>
      <c r="BD285" s="40"/>
      <c r="BE285" s="40"/>
      <c r="BF285" s="40"/>
      <c r="BG285" s="40"/>
      <c r="BH285" s="125"/>
      <c r="BI285" s="125"/>
      <c r="BJ285" s="125"/>
      <c r="BK285" s="125"/>
      <c r="BL285" s="125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DC285" s="8"/>
    </row>
    <row r="286" spans="2:107" s="15" customFormat="1" x14ac:dyDescent="0.2">
      <c r="B286" s="20"/>
      <c r="C286" s="21"/>
      <c r="D286" s="22"/>
      <c r="E286" s="22"/>
      <c r="F286" s="22"/>
      <c r="Y286" s="17"/>
      <c r="Z286" s="18"/>
      <c r="AA286" s="14"/>
      <c r="AB286" s="14"/>
      <c r="AC286" s="14"/>
      <c r="AD286" s="14"/>
      <c r="AE286" s="14"/>
      <c r="AF286" s="14"/>
      <c r="AG286" s="14"/>
      <c r="AH286" s="14"/>
      <c r="AI286" s="14"/>
      <c r="AS286" s="13"/>
      <c r="AT286" s="13"/>
      <c r="AW286" s="13"/>
      <c r="AX286" s="13"/>
      <c r="AY286" s="13"/>
      <c r="AZ286" s="13"/>
      <c r="BA286" s="13"/>
      <c r="BB286" s="40"/>
      <c r="BC286" s="40"/>
      <c r="BD286" s="40"/>
      <c r="BE286" s="40"/>
      <c r="BF286" s="40"/>
      <c r="BG286" s="40"/>
      <c r="BH286" s="125"/>
      <c r="BI286" s="125"/>
      <c r="BJ286" s="125"/>
      <c r="BK286" s="125"/>
      <c r="BL286" s="125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DC286" s="8"/>
    </row>
    <row r="287" spans="2:107" s="15" customFormat="1" x14ac:dyDescent="0.2">
      <c r="B287" s="20"/>
      <c r="C287" s="21"/>
      <c r="D287" s="22"/>
      <c r="E287" s="22"/>
      <c r="F287" s="22"/>
      <c r="Y287" s="17"/>
      <c r="Z287" s="18"/>
      <c r="AA287" s="14"/>
      <c r="AB287" s="14"/>
      <c r="AC287" s="14"/>
      <c r="AD287" s="14"/>
      <c r="AE287" s="14"/>
      <c r="AF287" s="14"/>
      <c r="AG287" s="14"/>
      <c r="AH287" s="14"/>
      <c r="AI287" s="14"/>
      <c r="AS287" s="13"/>
      <c r="AT287" s="13"/>
      <c r="AW287" s="13"/>
      <c r="AX287" s="13"/>
      <c r="AY287" s="13"/>
      <c r="AZ287" s="13"/>
      <c r="BA287" s="13"/>
      <c r="BB287" s="40"/>
      <c r="BC287" s="40"/>
      <c r="BD287" s="40"/>
      <c r="BE287" s="40"/>
      <c r="BF287" s="40"/>
      <c r="BG287" s="40"/>
      <c r="BH287" s="125"/>
      <c r="BI287" s="125"/>
      <c r="BJ287" s="125"/>
      <c r="BK287" s="125"/>
      <c r="BL287" s="125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DC287" s="8"/>
    </row>
    <row r="288" spans="2:107" s="15" customFormat="1" x14ac:dyDescent="0.2">
      <c r="B288" s="20"/>
      <c r="C288" s="21"/>
      <c r="D288" s="22"/>
      <c r="E288" s="22"/>
      <c r="F288" s="22"/>
      <c r="Y288" s="17"/>
      <c r="Z288" s="18"/>
      <c r="AA288" s="14"/>
      <c r="AB288" s="14"/>
      <c r="AC288" s="14"/>
      <c r="AD288" s="14"/>
      <c r="AE288" s="14"/>
      <c r="AF288" s="14"/>
      <c r="AG288" s="14"/>
      <c r="AH288" s="14"/>
      <c r="AI288" s="14"/>
      <c r="AS288" s="13"/>
      <c r="AT288" s="13"/>
      <c r="AW288" s="13"/>
      <c r="AX288" s="13"/>
      <c r="AY288" s="13"/>
      <c r="AZ288" s="13"/>
      <c r="BA288" s="13"/>
      <c r="BB288" s="40"/>
      <c r="BC288" s="40"/>
      <c r="BD288" s="40"/>
      <c r="BE288" s="40"/>
      <c r="BF288" s="40"/>
      <c r="BG288" s="40"/>
      <c r="BH288" s="125"/>
      <c r="BI288" s="125"/>
      <c r="BJ288" s="125"/>
      <c r="BK288" s="125"/>
      <c r="BL288" s="125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DC288" s="8"/>
    </row>
    <row r="289" spans="2:107" s="15" customFormat="1" x14ac:dyDescent="0.2">
      <c r="B289" s="20"/>
      <c r="C289" s="21"/>
      <c r="D289" s="22"/>
      <c r="E289" s="22"/>
      <c r="F289" s="22"/>
      <c r="Y289" s="17"/>
      <c r="Z289" s="18"/>
      <c r="AA289" s="14"/>
      <c r="AB289" s="14"/>
      <c r="AC289" s="14"/>
      <c r="AD289" s="14"/>
      <c r="AE289" s="14"/>
      <c r="AF289" s="14"/>
      <c r="AG289" s="14"/>
      <c r="AH289" s="14"/>
      <c r="AI289" s="14"/>
      <c r="AS289" s="13"/>
      <c r="AT289" s="13"/>
      <c r="AW289" s="13"/>
      <c r="AX289" s="13"/>
      <c r="AY289" s="13"/>
      <c r="AZ289" s="13"/>
      <c r="BA289" s="13"/>
      <c r="BB289" s="40"/>
      <c r="BC289" s="40"/>
      <c r="BD289" s="40"/>
      <c r="BE289" s="40"/>
      <c r="BF289" s="40"/>
      <c r="BG289" s="40"/>
      <c r="BH289" s="125"/>
      <c r="BI289" s="125"/>
      <c r="BJ289" s="125"/>
      <c r="BK289" s="125"/>
      <c r="BL289" s="125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DC289" s="8"/>
    </row>
    <row r="290" spans="2:107" s="15" customFormat="1" x14ac:dyDescent="0.2">
      <c r="B290" s="20"/>
      <c r="C290" s="21"/>
      <c r="D290" s="22"/>
      <c r="E290" s="22"/>
      <c r="F290" s="22"/>
      <c r="Y290" s="17"/>
      <c r="Z290" s="18"/>
      <c r="AA290" s="14"/>
      <c r="AB290" s="14"/>
      <c r="AC290" s="14"/>
      <c r="AD290" s="14"/>
      <c r="AE290" s="14"/>
      <c r="AF290" s="14"/>
      <c r="AG290" s="14"/>
      <c r="AH290" s="14"/>
      <c r="AI290" s="14"/>
      <c r="AS290" s="13"/>
      <c r="AT290" s="13"/>
      <c r="AW290" s="13"/>
      <c r="AX290" s="13"/>
      <c r="AY290" s="13"/>
      <c r="AZ290" s="13"/>
      <c r="BA290" s="13"/>
      <c r="BB290" s="40"/>
      <c r="BC290" s="40"/>
      <c r="BD290" s="40"/>
      <c r="BE290" s="40"/>
      <c r="BF290" s="40"/>
      <c r="BG290" s="40"/>
      <c r="BH290" s="125"/>
      <c r="BI290" s="125"/>
      <c r="BJ290" s="125"/>
      <c r="BK290" s="125"/>
      <c r="BL290" s="125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DC290" s="8"/>
    </row>
    <row r="291" spans="2:107" s="15" customFormat="1" x14ac:dyDescent="0.2">
      <c r="B291" s="20"/>
      <c r="C291" s="21"/>
      <c r="D291" s="22"/>
      <c r="E291" s="22"/>
      <c r="F291" s="22"/>
      <c r="Y291" s="17"/>
      <c r="Z291" s="18"/>
      <c r="AA291" s="14"/>
      <c r="AB291" s="14"/>
      <c r="AC291" s="14"/>
      <c r="AD291" s="14"/>
      <c r="AE291" s="14"/>
      <c r="AF291" s="14"/>
      <c r="AG291" s="14"/>
      <c r="AH291" s="14"/>
      <c r="AI291" s="14"/>
      <c r="AS291" s="13"/>
      <c r="AT291" s="13"/>
      <c r="AW291" s="13"/>
      <c r="AX291" s="13"/>
      <c r="AY291" s="13"/>
      <c r="AZ291" s="13"/>
      <c r="BA291" s="13"/>
      <c r="BB291" s="40"/>
      <c r="BC291" s="40"/>
      <c r="BD291" s="40"/>
      <c r="BE291" s="40"/>
      <c r="BF291" s="40"/>
      <c r="BG291" s="40"/>
      <c r="BH291" s="125"/>
      <c r="BI291" s="125"/>
      <c r="BJ291" s="125"/>
      <c r="BK291" s="125"/>
      <c r="BL291" s="125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DC291" s="8"/>
    </row>
    <row r="292" spans="2:107" s="15" customFormat="1" x14ac:dyDescent="0.2">
      <c r="B292" s="20"/>
      <c r="C292" s="21"/>
      <c r="D292" s="22"/>
      <c r="E292" s="22"/>
      <c r="F292" s="22"/>
      <c r="Y292" s="17"/>
      <c r="Z292" s="18"/>
      <c r="AA292" s="14"/>
      <c r="AB292" s="14"/>
      <c r="AC292" s="14"/>
      <c r="AD292" s="14"/>
      <c r="AE292" s="14"/>
      <c r="AF292" s="14"/>
      <c r="AG292" s="14"/>
      <c r="AH292" s="14"/>
      <c r="AI292" s="14"/>
      <c r="AS292" s="13"/>
      <c r="AT292" s="13"/>
      <c r="AW292" s="13"/>
      <c r="AX292" s="13"/>
      <c r="AY292" s="13"/>
      <c r="AZ292" s="13"/>
      <c r="BA292" s="13"/>
      <c r="BB292" s="40"/>
      <c r="BC292" s="40"/>
      <c r="BD292" s="40"/>
      <c r="BE292" s="40"/>
      <c r="BF292" s="40"/>
      <c r="BG292" s="40"/>
      <c r="BH292" s="125"/>
      <c r="BI292" s="125"/>
      <c r="BJ292" s="125"/>
      <c r="BK292" s="125"/>
      <c r="BL292" s="125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DC292" s="8"/>
    </row>
    <row r="293" spans="2:107" s="15" customFormat="1" x14ac:dyDescent="0.2">
      <c r="B293" s="20"/>
      <c r="C293" s="21"/>
      <c r="D293" s="22"/>
      <c r="E293" s="22"/>
      <c r="F293" s="22"/>
      <c r="Y293" s="17"/>
      <c r="Z293" s="18"/>
      <c r="AA293" s="14"/>
      <c r="AB293" s="14"/>
      <c r="AC293" s="14"/>
      <c r="AD293" s="14"/>
      <c r="AE293" s="14"/>
      <c r="AF293" s="14"/>
      <c r="AG293" s="14"/>
      <c r="AH293" s="14"/>
      <c r="AI293" s="14"/>
      <c r="AS293" s="13"/>
      <c r="AT293" s="13"/>
      <c r="AW293" s="13"/>
      <c r="AX293" s="13"/>
      <c r="AY293" s="13"/>
      <c r="AZ293" s="13"/>
      <c r="BA293" s="13"/>
      <c r="BB293" s="40"/>
      <c r="BC293" s="40"/>
      <c r="BD293" s="40"/>
      <c r="BE293" s="40"/>
      <c r="BF293" s="40"/>
      <c r="BG293" s="40"/>
      <c r="BH293" s="125"/>
      <c r="BI293" s="125"/>
      <c r="BJ293" s="125"/>
      <c r="BK293" s="125"/>
      <c r="BL293" s="125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DC293" s="8"/>
    </row>
    <row r="294" spans="2:107" s="15" customFormat="1" x14ac:dyDescent="0.2">
      <c r="B294" s="20"/>
      <c r="C294" s="21"/>
      <c r="D294" s="22"/>
      <c r="E294" s="22"/>
      <c r="F294" s="22"/>
      <c r="Y294" s="17"/>
      <c r="Z294" s="18"/>
      <c r="AA294" s="14"/>
      <c r="AB294" s="14"/>
      <c r="AC294" s="14"/>
      <c r="AD294" s="14"/>
      <c r="AE294" s="14"/>
      <c r="AF294" s="14"/>
      <c r="AG294" s="14"/>
      <c r="AH294" s="14"/>
      <c r="AI294" s="14"/>
      <c r="AS294" s="13"/>
      <c r="AT294" s="13"/>
      <c r="AW294" s="13"/>
      <c r="AX294" s="13"/>
      <c r="AY294" s="13"/>
      <c r="AZ294" s="13"/>
      <c r="BA294" s="13"/>
      <c r="BB294" s="40"/>
      <c r="BC294" s="40"/>
      <c r="BD294" s="40"/>
      <c r="BE294" s="40"/>
      <c r="BF294" s="40"/>
      <c r="BG294" s="40"/>
      <c r="BH294" s="125"/>
      <c r="BI294" s="125"/>
      <c r="BJ294" s="125"/>
      <c r="BK294" s="125"/>
      <c r="BL294" s="125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DC294" s="8"/>
    </row>
    <row r="295" spans="2:107" s="15" customFormat="1" x14ac:dyDescent="0.2">
      <c r="B295" s="20"/>
      <c r="C295" s="21"/>
      <c r="D295" s="22"/>
      <c r="E295" s="22"/>
      <c r="F295" s="22"/>
      <c r="Y295" s="17"/>
      <c r="Z295" s="18"/>
      <c r="AA295" s="14"/>
      <c r="AB295" s="14"/>
      <c r="AC295" s="14"/>
      <c r="AD295" s="14"/>
      <c r="AE295" s="14"/>
      <c r="AF295" s="14"/>
      <c r="AG295" s="14"/>
      <c r="AH295" s="14"/>
      <c r="AI295" s="14"/>
      <c r="AS295" s="13"/>
      <c r="AT295" s="13"/>
      <c r="AW295" s="13"/>
      <c r="AX295" s="13"/>
      <c r="AY295" s="13"/>
      <c r="AZ295" s="13"/>
      <c r="BA295" s="13"/>
      <c r="BB295" s="40"/>
      <c r="BC295" s="40"/>
      <c r="BD295" s="40"/>
      <c r="BE295" s="40"/>
      <c r="BF295" s="40"/>
      <c r="BG295" s="40"/>
      <c r="BH295" s="125"/>
      <c r="BI295" s="125"/>
      <c r="BJ295" s="125"/>
      <c r="BK295" s="125"/>
      <c r="BL295" s="125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DC295" s="8"/>
    </row>
    <row r="296" spans="2:107" s="15" customFormat="1" x14ac:dyDescent="0.2">
      <c r="B296" s="20"/>
      <c r="C296" s="21"/>
      <c r="D296" s="22"/>
      <c r="E296" s="22"/>
      <c r="F296" s="22"/>
      <c r="Y296" s="17"/>
      <c r="Z296" s="18"/>
      <c r="AA296" s="14"/>
      <c r="AB296" s="14"/>
      <c r="AC296" s="14"/>
      <c r="AD296" s="14"/>
      <c r="AE296" s="14"/>
      <c r="AF296" s="14"/>
      <c r="AG296" s="14"/>
      <c r="AH296" s="14"/>
      <c r="AI296" s="14"/>
      <c r="AS296" s="13"/>
      <c r="AT296" s="13"/>
      <c r="AW296" s="13"/>
      <c r="AX296" s="13"/>
      <c r="AY296" s="13"/>
      <c r="AZ296" s="13"/>
      <c r="BA296" s="13"/>
      <c r="BB296" s="40"/>
      <c r="BC296" s="40"/>
      <c r="BD296" s="40"/>
      <c r="BE296" s="40"/>
      <c r="BF296" s="40"/>
      <c r="BG296" s="40"/>
      <c r="BH296" s="125"/>
      <c r="BI296" s="125"/>
      <c r="BJ296" s="125"/>
      <c r="BK296" s="125"/>
      <c r="BL296" s="125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DC296" s="8"/>
    </row>
    <row r="297" spans="2:107" s="15" customFormat="1" x14ac:dyDescent="0.2">
      <c r="B297" s="20"/>
      <c r="C297" s="21"/>
      <c r="D297" s="22"/>
      <c r="E297" s="22"/>
      <c r="F297" s="22"/>
      <c r="Y297" s="17"/>
      <c r="Z297" s="18"/>
      <c r="AA297" s="14"/>
      <c r="AB297" s="14"/>
      <c r="AC297" s="14"/>
      <c r="AD297" s="14"/>
      <c r="AE297" s="14"/>
      <c r="AF297" s="14"/>
      <c r="AG297" s="14"/>
      <c r="AH297" s="14"/>
      <c r="AI297" s="14"/>
      <c r="AS297" s="13"/>
      <c r="AT297" s="13"/>
      <c r="AW297" s="13"/>
      <c r="AX297" s="13"/>
      <c r="AY297" s="13"/>
      <c r="AZ297" s="13"/>
      <c r="BA297" s="13"/>
      <c r="BB297" s="40"/>
      <c r="BC297" s="40"/>
      <c r="BD297" s="40"/>
      <c r="BE297" s="40"/>
      <c r="BF297" s="40"/>
      <c r="BG297" s="40"/>
      <c r="BH297" s="125"/>
      <c r="BI297" s="125"/>
      <c r="BJ297" s="125"/>
      <c r="BK297" s="125"/>
      <c r="BL297" s="125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DC297" s="8"/>
    </row>
    <row r="298" spans="2:107" s="15" customFormat="1" x14ac:dyDescent="0.2">
      <c r="B298" s="20"/>
      <c r="C298" s="21"/>
      <c r="D298" s="22"/>
      <c r="E298" s="22"/>
      <c r="F298" s="22"/>
      <c r="Y298" s="17"/>
      <c r="Z298" s="18"/>
      <c r="AA298" s="14"/>
      <c r="AB298" s="14"/>
      <c r="AC298" s="14"/>
      <c r="AD298" s="14"/>
      <c r="AE298" s="14"/>
      <c r="AF298" s="14"/>
      <c r="AG298" s="14"/>
      <c r="AH298" s="14"/>
      <c r="AI298" s="14"/>
      <c r="AS298" s="13"/>
      <c r="AT298" s="13"/>
      <c r="AW298" s="13"/>
      <c r="AX298" s="13"/>
      <c r="AY298" s="13"/>
      <c r="AZ298" s="13"/>
      <c r="BA298" s="13"/>
      <c r="BB298" s="40"/>
      <c r="BC298" s="40"/>
      <c r="BD298" s="40"/>
      <c r="BE298" s="40"/>
      <c r="BF298" s="40"/>
      <c r="BG298" s="40"/>
      <c r="BH298" s="125"/>
      <c r="BI298" s="125"/>
      <c r="BJ298" s="125"/>
      <c r="BK298" s="125"/>
      <c r="BL298" s="125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DC298" s="8"/>
    </row>
    <row r="299" spans="2:107" s="15" customFormat="1" x14ac:dyDescent="0.2">
      <c r="B299" s="20"/>
      <c r="C299" s="21"/>
      <c r="D299" s="22"/>
      <c r="E299" s="22"/>
      <c r="F299" s="22"/>
      <c r="Y299" s="17"/>
      <c r="Z299" s="18"/>
      <c r="AA299" s="14"/>
      <c r="AB299" s="14"/>
      <c r="AC299" s="14"/>
      <c r="AD299" s="14"/>
      <c r="AE299" s="14"/>
      <c r="AF299" s="14"/>
      <c r="AG299" s="14"/>
      <c r="AH299" s="14"/>
      <c r="AI299" s="14"/>
      <c r="AS299" s="13"/>
      <c r="AT299" s="13"/>
      <c r="AW299" s="13"/>
      <c r="AX299" s="13"/>
      <c r="AY299" s="13"/>
      <c r="AZ299" s="13"/>
      <c r="BA299" s="13"/>
      <c r="BB299" s="40"/>
      <c r="BC299" s="40"/>
      <c r="BD299" s="40"/>
      <c r="BE299" s="40"/>
      <c r="BF299" s="40"/>
      <c r="BG299" s="40"/>
      <c r="BH299" s="125"/>
      <c r="BI299" s="125"/>
      <c r="BJ299" s="125"/>
      <c r="BK299" s="125"/>
      <c r="BL299" s="125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DC299" s="8"/>
    </row>
    <row r="300" spans="2:107" s="15" customFormat="1" x14ac:dyDescent="0.2">
      <c r="B300" s="20"/>
      <c r="C300" s="21"/>
      <c r="D300" s="22"/>
      <c r="E300" s="22"/>
      <c r="F300" s="22"/>
      <c r="Y300" s="17"/>
      <c r="Z300" s="18"/>
      <c r="AA300" s="14"/>
      <c r="AB300" s="14"/>
      <c r="AC300" s="14"/>
      <c r="AD300" s="14"/>
      <c r="AE300" s="14"/>
      <c r="AF300" s="14"/>
      <c r="AG300" s="14"/>
      <c r="AH300" s="14"/>
      <c r="AI300" s="14"/>
      <c r="AS300" s="13"/>
      <c r="AT300" s="13"/>
      <c r="AW300" s="13"/>
      <c r="AX300" s="13"/>
      <c r="AY300" s="13"/>
      <c r="AZ300" s="13"/>
      <c r="BA300" s="13"/>
      <c r="BB300" s="40"/>
      <c r="BC300" s="40"/>
      <c r="BD300" s="40"/>
      <c r="BE300" s="40"/>
      <c r="BF300" s="40"/>
      <c r="BG300" s="40"/>
      <c r="BH300" s="125"/>
      <c r="BI300" s="125"/>
      <c r="BJ300" s="125"/>
      <c r="BK300" s="125"/>
      <c r="BL300" s="125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DC300" s="8"/>
    </row>
    <row r="301" spans="2:107" s="15" customFormat="1" x14ac:dyDescent="0.2">
      <c r="B301" s="20"/>
      <c r="C301" s="21"/>
      <c r="D301" s="22"/>
      <c r="E301" s="22"/>
      <c r="F301" s="22"/>
      <c r="Y301" s="17"/>
      <c r="Z301" s="18"/>
      <c r="AA301" s="14"/>
      <c r="AB301" s="14"/>
      <c r="AC301" s="14"/>
      <c r="AD301" s="14"/>
      <c r="AE301" s="14"/>
      <c r="AF301" s="14"/>
      <c r="AG301" s="14"/>
      <c r="AH301" s="14"/>
      <c r="AI301" s="14"/>
      <c r="AS301" s="13"/>
      <c r="AT301" s="13"/>
      <c r="AW301" s="13"/>
      <c r="AX301" s="13"/>
      <c r="AY301" s="13"/>
      <c r="AZ301" s="13"/>
      <c r="BA301" s="13"/>
      <c r="BB301" s="40"/>
      <c r="BC301" s="40"/>
      <c r="BD301" s="40"/>
      <c r="BE301" s="40"/>
      <c r="BF301" s="40"/>
      <c r="BG301" s="40"/>
      <c r="BH301" s="125"/>
      <c r="BI301" s="125"/>
      <c r="BJ301" s="125"/>
      <c r="BK301" s="125"/>
      <c r="BL301" s="125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DC301" s="8"/>
    </row>
    <row r="302" spans="2:107" s="15" customFormat="1" x14ac:dyDescent="0.2">
      <c r="B302" s="20"/>
      <c r="C302" s="21"/>
      <c r="D302" s="22"/>
      <c r="E302" s="22"/>
      <c r="F302" s="22"/>
      <c r="Y302" s="17"/>
      <c r="Z302" s="18"/>
      <c r="AA302" s="14"/>
      <c r="AB302" s="14"/>
      <c r="AC302" s="14"/>
      <c r="AD302" s="14"/>
      <c r="AE302" s="14"/>
      <c r="AF302" s="14"/>
      <c r="AG302" s="14"/>
      <c r="AH302" s="14"/>
      <c r="AI302" s="14"/>
      <c r="AS302" s="13"/>
      <c r="AT302" s="13"/>
      <c r="AW302" s="13"/>
      <c r="AX302" s="13"/>
      <c r="AY302" s="13"/>
      <c r="AZ302" s="13"/>
      <c r="BA302" s="13"/>
      <c r="BB302" s="40"/>
      <c r="BC302" s="40"/>
      <c r="BD302" s="40"/>
      <c r="BE302" s="40"/>
      <c r="BF302" s="40"/>
      <c r="BG302" s="40"/>
      <c r="BH302" s="125"/>
      <c r="BI302" s="125"/>
      <c r="BJ302" s="125"/>
      <c r="BK302" s="125"/>
      <c r="BL302" s="125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DC302" s="8"/>
    </row>
    <row r="303" spans="2:107" s="15" customFormat="1" x14ac:dyDescent="0.2">
      <c r="B303" s="20"/>
      <c r="C303" s="21"/>
      <c r="D303" s="22"/>
      <c r="E303" s="22"/>
      <c r="F303" s="22"/>
      <c r="Y303" s="17"/>
      <c r="Z303" s="18"/>
      <c r="AA303" s="14"/>
      <c r="AB303" s="14"/>
      <c r="AC303" s="14"/>
      <c r="AD303" s="14"/>
      <c r="AE303" s="14"/>
      <c r="AF303" s="14"/>
      <c r="AG303" s="14"/>
      <c r="AH303" s="14"/>
      <c r="AI303" s="14"/>
      <c r="AS303" s="13"/>
      <c r="AT303" s="13"/>
      <c r="AW303" s="13"/>
      <c r="AX303" s="13"/>
      <c r="AY303" s="13"/>
      <c r="AZ303" s="13"/>
      <c r="BA303" s="13"/>
      <c r="BB303" s="40"/>
      <c r="BC303" s="40"/>
      <c r="BD303" s="40"/>
      <c r="BE303" s="40"/>
      <c r="BF303" s="40"/>
      <c r="BG303" s="40"/>
      <c r="BH303" s="125"/>
      <c r="BI303" s="125"/>
      <c r="BJ303" s="125"/>
      <c r="BK303" s="125"/>
      <c r="BL303" s="125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DC303" s="8"/>
    </row>
    <row r="304" spans="2:107" s="15" customFormat="1" x14ac:dyDescent="0.2">
      <c r="B304" s="20"/>
      <c r="C304" s="21"/>
      <c r="D304" s="22"/>
      <c r="E304" s="22"/>
      <c r="F304" s="22"/>
      <c r="Y304" s="17"/>
      <c r="Z304" s="18"/>
      <c r="AA304" s="14"/>
      <c r="AB304" s="14"/>
      <c r="AC304" s="14"/>
      <c r="AD304" s="14"/>
      <c r="AE304" s="14"/>
      <c r="AF304" s="14"/>
      <c r="AG304" s="14"/>
      <c r="AH304" s="14"/>
      <c r="AI304" s="14"/>
      <c r="AS304" s="13"/>
      <c r="AT304" s="13"/>
      <c r="AW304" s="13"/>
      <c r="AX304" s="13"/>
      <c r="AY304" s="13"/>
      <c r="AZ304" s="13"/>
      <c r="BA304" s="13"/>
      <c r="BB304" s="40"/>
      <c r="BC304" s="40"/>
      <c r="BD304" s="40"/>
      <c r="BE304" s="40"/>
      <c r="BF304" s="40"/>
      <c r="BG304" s="40"/>
      <c r="BH304" s="125"/>
      <c r="BI304" s="125"/>
      <c r="BJ304" s="125"/>
      <c r="BK304" s="125"/>
      <c r="BL304" s="125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DC304" s="8"/>
    </row>
    <row r="305" spans="2:107" s="15" customFormat="1" x14ac:dyDescent="0.2">
      <c r="B305" s="20"/>
      <c r="C305" s="21"/>
      <c r="D305" s="22"/>
      <c r="E305" s="22"/>
      <c r="F305" s="22"/>
      <c r="Y305" s="17"/>
      <c r="Z305" s="18"/>
      <c r="AA305" s="14"/>
      <c r="AB305" s="14"/>
      <c r="AC305" s="14"/>
      <c r="AD305" s="14"/>
      <c r="AE305" s="14"/>
      <c r="AF305" s="14"/>
      <c r="AG305" s="14"/>
      <c r="AH305" s="14"/>
      <c r="AI305" s="14"/>
      <c r="AS305" s="13"/>
      <c r="AT305" s="13"/>
      <c r="AW305" s="13"/>
      <c r="AX305" s="13"/>
      <c r="AY305" s="13"/>
      <c r="AZ305" s="13"/>
      <c r="BA305" s="13"/>
      <c r="BB305" s="40"/>
      <c r="BC305" s="40"/>
      <c r="BD305" s="40"/>
      <c r="BE305" s="40"/>
      <c r="BF305" s="40"/>
      <c r="BG305" s="40"/>
      <c r="BH305" s="125"/>
      <c r="BI305" s="125"/>
      <c r="BJ305" s="125"/>
      <c r="BK305" s="125"/>
      <c r="BL305" s="125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DC305" s="8"/>
    </row>
    <row r="306" spans="2:107" s="15" customFormat="1" x14ac:dyDescent="0.2">
      <c r="B306" s="20"/>
      <c r="C306" s="21"/>
      <c r="D306" s="22"/>
      <c r="E306" s="22"/>
      <c r="F306" s="22"/>
      <c r="Y306" s="17"/>
      <c r="Z306" s="18"/>
      <c r="AA306" s="14"/>
      <c r="AB306" s="14"/>
      <c r="AC306" s="14"/>
      <c r="AD306" s="14"/>
      <c r="AE306" s="14"/>
      <c r="AF306" s="14"/>
      <c r="AG306" s="14"/>
      <c r="AH306" s="14"/>
      <c r="AI306" s="14"/>
      <c r="AS306" s="13"/>
      <c r="AT306" s="13"/>
      <c r="AW306" s="13"/>
      <c r="AX306" s="13"/>
      <c r="AY306" s="13"/>
      <c r="AZ306" s="13"/>
      <c r="BA306" s="13"/>
      <c r="BB306" s="40"/>
      <c r="BC306" s="40"/>
      <c r="BD306" s="40"/>
      <c r="BE306" s="40"/>
      <c r="BF306" s="40"/>
      <c r="BG306" s="40"/>
      <c r="BH306" s="125"/>
      <c r="BI306" s="125"/>
      <c r="BJ306" s="125"/>
      <c r="BK306" s="125"/>
      <c r="BL306" s="125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DC306" s="8"/>
    </row>
    <row r="307" spans="2:107" s="15" customFormat="1" x14ac:dyDescent="0.2">
      <c r="B307" s="20"/>
      <c r="C307" s="21"/>
      <c r="D307" s="22"/>
      <c r="E307" s="22"/>
      <c r="F307" s="22"/>
      <c r="Y307" s="17"/>
      <c r="Z307" s="18"/>
      <c r="AA307" s="14"/>
      <c r="AB307" s="14"/>
      <c r="AC307" s="14"/>
      <c r="AD307" s="14"/>
      <c r="AE307" s="14"/>
      <c r="AF307" s="14"/>
      <c r="AG307" s="14"/>
      <c r="AH307" s="14"/>
      <c r="AI307" s="14"/>
      <c r="AS307" s="13"/>
      <c r="AT307" s="13"/>
      <c r="AW307" s="13"/>
      <c r="AX307" s="13"/>
      <c r="AY307" s="13"/>
      <c r="AZ307" s="13"/>
      <c r="BA307" s="13"/>
      <c r="BB307" s="40"/>
      <c r="BC307" s="40"/>
      <c r="BD307" s="40"/>
      <c r="BE307" s="40"/>
      <c r="BF307" s="40"/>
      <c r="BG307" s="40"/>
      <c r="BH307" s="125"/>
      <c r="BI307" s="125"/>
      <c r="BJ307" s="125"/>
      <c r="BK307" s="125"/>
      <c r="BL307" s="125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DC307" s="8"/>
    </row>
    <row r="308" spans="2:107" s="15" customFormat="1" x14ac:dyDescent="0.2">
      <c r="B308" s="20"/>
      <c r="C308" s="21"/>
      <c r="D308" s="22"/>
      <c r="E308" s="22"/>
      <c r="F308" s="22"/>
      <c r="Y308" s="17"/>
      <c r="Z308" s="18"/>
      <c r="AA308" s="14"/>
      <c r="AB308" s="14"/>
      <c r="AC308" s="14"/>
      <c r="AD308" s="14"/>
      <c r="AE308" s="14"/>
      <c r="AF308" s="14"/>
      <c r="AG308" s="14"/>
      <c r="AH308" s="14"/>
      <c r="AI308" s="14"/>
      <c r="AS308" s="13"/>
      <c r="AT308" s="13"/>
      <c r="AW308" s="13"/>
      <c r="AX308" s="13"/>
      <c r="AY308" s="13"/>
      <c r="AZ308" s="13"/>
      <c r="BA308" s="13"/>
      <c r="BB308" s="40"/>
      <c r="BC308" s="40"/>
      <c r="BD308" s="40"/>
      <c r="BE308" s="40"/>
      <c r="BF308" s="40"/>
      <c r="BG308" s="40"/>
      <c r="BH308" s="125"/>
      <c r="BI308" s="125"/>
      <c r="BJ308" s="125"/>
      <c r="BK308" s="125"/>
      <c r="BL308" s="125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DC308" s="8"/>
    </row>
    <row r="309" spans="2:107" s="15" customFormat="1" x14ac:dyDescent="0.2">
      <c r="B309" s="20"/>
      <c r="C309" s="21"/>
      <c r="D309" s="22"/>
      <c r="E309" s="22"/>
      <c r="F309" s="22"/>
      <c r="Y309" s="17"/>
      <c r="Z309" s="18"/>
      <c r="AA309" s="14"/>
      <c r="AB309" s="14"/>
      <c r="AC309" s="14"/>
      <c r="AD309" s="14"/>
      <c r="AE309" s="14"/>
      <c r="AF309" s="14"/>
      <c r="AG309" s="14"/>
      <c r="AH309" s="14"/>
      <c r="AI309" s="14"/>
      <c r="AS309" s="13"/>
      <c r="AT309" s="13"/>
      <c r="AW309" s="13"/>
      <c r="AX309" s="13"/>
      <c r="AY309" s="13"/>
      <c r="AZ309" s="13"/>
      <c r="BA309" s="13"/>
      <c r="BB309" s="40"/>
      <c r="BC309" s="40"/>
      <c r="BD309" s="40"/>
      <c r="BE309" s="40"/>
      <c r="BF309" s="40"/>
      <c r="BG309" s="40"/>
      <c r="BH309" s="125"/>
      <c r="BI309" s="125"/>
      <c r="BJ309" s="125"/>
      <c r="BK309" s="125"/>
      <c r="BL309" s="125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DC309" s="8"/>
    </row>
    <row r="310" spans="2:107" s="15" customFormat="1" x14ac:dyDescent="0.2">
      <c r="B310" s="20"/>
      <c r="C310" s="21"/>
      <c r="D310" s="22"/>
      <c r="E310" s="22"/>
      <c r="F310" s="22"/>
      <c r="Y310" s="17"/>
      <c r="Z310" s="18"/>
      <c r="AA310" s="14"/>
      <c r="AB310" s="14"/>
      <c r="AC310" s="14"/>
      <c r="AD310" s="14"/>
      <c r="AE310" s="14"/>
      <c r="AF310" s="14"/>
      <c r="AG310" s="14"/>
      <c r="AH310" s="14"/>
      <c r="AI310" s="14"/>
      <c r="AS310" s="13"/>
      <c r="AT310" s="13"/>
      <c r="AW310" s="13"/>
      <c r="AX310" s="13"/>
      <c r="AY310" s="13"/>
      <c r="AZ310" s="13"/>
      <c r="BA310" s="13"/>
      <c r="BB310" s="40"/>
      <c r="BC310" s="40"/>
      <c r="BD310" s="40"/>
      <c r="BE310" s="40"/>
      <c r="BF310" s="40"/>
      <c r="BG310" s="40"/>
      <c r="BH310" s="125"/>
      <c r="BI310" s="125"/>
      <c r="BJ310" s="125"/>
      <c r="BK310" s="125"/>
      <c r="BL310" s="125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DC310" s="8"/>
    </row>
    <row r="311" spans="2:107" s="15" customFormat="1" x14ac:dyDescent="0.2">
      <c r="B311" s="20"/>
      <c r="C311" s="21"/>
      <c r="D311" s="22"/>
      <c r="E311" s="22"/>
      <c r="F311" s="22"/>
      <c r="Y311" s="17"/>
      <c r="Z311" s="18"/>
      <c r="AA311" s="14"/>
      <c r="AB311" s="14"/>
      <c r="AC311" s="14"/>
      <c r="AD311" s="14"/>
      <c r="AE311" s="14"/>
      <c r="AF311" s="14"/>
      <c r="AG311" s="14"/>
      <c r="AH311" s="14"/>
      <c r="AI311" s="14"/>
      <c r="AS311" s="13"/>
      <c r="AT311" s="13"/>
      <c r="AW311" s="13"/>
      <c r="AX311" s="13"/>
      <c r="AY311" s="13"/>
      <c r="AZ311" s="13"/>
      <c r="BA311" s="13"/>
      <c r="BB311" s="40"/>
      <c r="BC311" s="40"/>
      <c r="BD311" s="40"/>
      <c r="BE311" s="40"/>
      <c r="BF311" s="40"/>
      <c r="BG311" s="40"/>
      <c r="BH311" s="125"/>
      <c r="BI311" s="125"/>
      <c r="BJ311" s="125"/>
      <c r="BK311" s="125"/>
      <c r="BL311" s="125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DC311" s="8"/>
    </row>
    <row r="312" spans="2:107" s="15" customFormat="1" x14ac:dyDescent="0.2">
      <c r="B312" s="20"/>
      <c r="C312" s="21"/>
      <c r="D312" s="22"/>
      <c r="E312" s="22"/>
      <c r="F312" s="22"/>
      <c r="Y312" s="17"/>
      <c r="Z312" s="18"/>
      <c r="AA312" s="14"/>
      <c r="AB312" s="14"/>
      <c r="AC312" s="14"/>
      <c r="AD312" s="14"/>
      <c r="AE312" s="14"/>
      <c r="AF312" s="14"/>
      <c r="AG312" s="14"/>
      <c r="AH312" s="14"/>
      <c r="AI312" s="14"/>
      <c r="AS312" s="13"/>
      <c r="AT312" s="13"/>
      <c r="AW312" s="13"/>
      <c r="AX312" s="13"/>
      <c r="AY312" s="13"/>
      <c r="AZ312" s="13"/>
      <c r="BA312" s="13"/>
      <c r="BB312" s="40"/>
      <c r="BC312" s="40"/>
      <c r="BD312" s="40"/>
      <c r="BE312" s="40"/>
      <c r="BF312" s="40"/>
      <c r="BG312" s="40"/>
      <c r="BH312" s="125"/>
      <c r="BI312" s="125"/>
      <c r="BJ312" s="125"/>
      <c r="BK312" s="125"/>
      <c r="BL312" s="125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DC312" s="8"/>
    </row>
    <row r="313" spans="2:107" s="15" customFormat="1" x14ac:dyDescent="0.2">
      <c r="B313" s="20"/>
      <c r="C313" s="21"/>
      <c r="D313" s="22"/>
      <c r="E313" s="22"/>
      <c r="F313" s="22"/>
      <c r="Y313" s="17"/>
      <c r="Z313" s="18"/>
      <c r="AA313" s="14"/>
      <c r="AB313" s="14"/>
      <c r="AC313" s="14"/>
      <c r="AD313" s="14"/>
      <c r="AE313" s="14"/>
      <c r="AF313" s="14"/>
      <c r="AG313" s="14"/>
      <c r="AH313" s="14"/>
      <c r="AI313" s="14"/>
      <c r="AS313" s="13"/>
      <c r="AT313" s="13"/>
      <c r="AW313" s="13"/>
      <c r="AX313" s="13"/>
      <c r="AY313" s="13"/>
      <c r="AZ313" s="13"/>
      <c r="BA313" s="13"/>
      <c r="BB313" s="40"/>
      <c r="BC313" s="40"/>
      <c r="BD313" s="40"/>
      <c r="BE313" s="40"/>
      <c r="BF313" s="40"/>
      <c r="BG313" s="40"/>
      <c r="BH313" s="125"/>
      <c r="BI313" s="125"/>
      <c r="BJ313" s="125"/>
      <c r="BK313" s="125"/>
      <c r="BL313" s="125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DC313" s="8"/>
    </row>
    <row r="314" spans="2:107" s="15" customFormat="1" x14ac:dyDescent="0.2">
      <c r="B314" s="20"/>
      <c r="C314" s="21"/>
      <c r="D314" s="22"/>
      <c r="E314" s="22"/>
      <c r="F314" s="22"/>
      <c r="Y314" s="17"/>
      <c r="Z314" s="18"/>
      <c r="AA314" s="14"/>
      <c r="AB314" s="14"/>
      <c r="AC314" s="14"/>
      <c r="AD314" s="14"/>
      <c r="AE314" s="14"/>
      <c r="AF314" s="14"/>
      <c r="AG314" s="14"/>
      <c r="AH314" s="14"/>
      <c r="AI314" s="14"/>
      <c r="AS314" s="13"/>
      <c r="AT314" s="13"/>
      <c r="AW314" s="13"/>
      <c r="AX314" s="13"/>
      <c r="AY314" s="13"/>
      <c r="AZ314" s="13"/>
      <c r="BA314" s="13"/>
      <c r="BB314" s="40"/>
      <c r="BC314" s="40"/>
      <c r="BD314" s="40"/>
      <c r="BE314" s="40"/>
      <c r="BF314" s="40"/>
      <c r="BG314" s="40"/>
      <c r="BH314" s="125"/>
      <c r="BI314" s="125"/>
      <c r="BJ314" s="125"/>
      <c r="BK314" s="125"/>
      <c r="BL314" s="125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DC314" s="8"/>
    </row>
    <row r="315" spans="2:107" s="15" customFormat="1" x14ac:dyDescent="0.2">
      <c r="B315" s="20"/>
      <c r="C315" s="21"/>
      <c r="D315" s="22"/>
      <c r="E315" s="22"/>
      <c r="F315" s="22"/>
      <c r="Y315" s="17"/>
      <c r="Z315" s="18"/>
      <c r="AA315" s="14"/>
      <c r="AB315" s="14"/>
      <c r="AC315" s="14"/>
      <c r="AD315" s="14"/>
      <c r="AE315" s="14"/>
      <c r="AF315" s="14"/>
      <c r="AG315" s="14"/>
      <c r="AH315" s="14"/>
      <c r="AI315" s="14"/>
      <c r="AS315" s="13"/>
      <c r="AT315" s="13"/>
      <c r="AW315" s="13"/>
      <c r="AX315" s="13"/>
      <c r="AY315" s="13"/>
      <c r="AZ315" s="13"/>
      <c r="BA315" s="13"/>
      <c r="BB315" s="40"/>
      <c r="BC315" s="40"/>
      <c r="BD315" s="40"/>
      <c r="BE315" s="40"/>
      <c r="BF315" s="40"/>
      <c r="BG315" s="40"/>
      <c r="BH315" s="125"/>
      <c r="BI315" s="125"/>
      <c r="BJ315" s="125"/>
      <c r="BK315" s="125"/>
      <c r="BL315" s="125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DC315" s="8"/>
    </row>
    <row r="316" spans="2:107" s="15" customFormat="1" x14ac:dyDescent="0.2">
      <c r="B316" s="20"/>
      <c r="C316" s="21"/>
      <c r="D316" s="22"/>
      <c r="E316" s="22"/>
      <c r="F316" s="22"/>
      <c r="Y316" s="17"/>
      <c r="Z316" s="18"/>
      <c r="AA316" s="14"/>
      <c r="AB316" s="14"/>
      <c r="AC316" s="14"/>
      <c r="AD316" s="14"/>
      <c r="AE316" s="14"/>
      <c r="AF316" s="14"/>
      <c r="AG316" s="14"/>
      <c r="AH316" s="14"/>
      <c r="AI316" s="14"/>
      <c r="AS316" s="13"/>
      <c r="AT316" s="13"/>
      <c r="AW316" s="13"/>
      <c r="AX316" s="13"/>
      <c r="AY316" s="13"/>
      <c r="AZ316" s="13"/>
      <c r="BA316" s="13"/>
      <c r="BB316" s="40"/>
      <c r="BC316" s="40"/>
      <c r="BD316" s="40"/>
      <c r="BE316" s="40"/>
      <c r="BF316" s="40"/>
      <c r="BG316" s="40"/>
      <c r="BH316" s="125"/>
      <c r="BI316" s="125"/>
      <c r="BJ316" s="125"/>
      <c r="BK316" s="125"/>
      <c r="BL316" s="125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DC316" s="8"/>
    </row>
    <row r="317" spans="2:107" s="15" customFormat="1" x14ac:dyDescent="0.2">
      <c r="B317" s="20"/>
      <c r="C317" s="21"/>
      <c r="D317" s="22"/>
      <c r="E317" s="22"/>
      <c r="F317" s="22"/>
      <c r="Y317" s="17"/>
      <c r="Z317" s="18"/>
      <c r="AA317" s="14"/>
      <c r="AB317" s="14"/>
      <c r="AC317" s="14"/>
      <c r="AD317" s="14"/>
      <c r="AE317" s="14"/>
      <c r="AF317" s="14"/>
      <c r="AG317" s="14"/>
      <c r="AH317" s="14"/>
      <c r="AI317" s="14"/>
      <c r="AS317" s="13"/>
      <c r="AT317" s="13"/>
      <c r="AW317" s="13"/>
      <c r="AX317" s="13"/>
      <c r="AY317" s="13"/>
      <c r="AZ317" s="13"/>
      <c r="BA317" s="13"/>
      <c r="BB317" s="40"/>
      <c r="BC317" s="40"/>
      <c r="BD317" s="40"/>
      <c r="BE317" s="40"/>
      <c r="BF317" s="40"/>
      <c r="BG317" s="40"/>
      <c r="BH317" s="125"/>
      <c r="BI317" s="125"/>
      <c r="BJ317" s="125"/>
      <c r="BK317" s="125"/>
      <c r="BL317" s="125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DC317" s="8"/>
    </row>
    <row r="318" spans="2:107" s="15" customFormat="1" x14ac:dyDescent="0.2">
      <c r="B318" s="20"/>
      <c r="C318" s="21"/>
      <c r="D318" s="22"/>
      <c r="E318" s="22"/>
      <c r="F318" s="22"/>
      <c r="Y318" s="17"/>
      <c r="Z318" s="18"/>
      <c r="AA318" s="14"/>
      <c r="AB318" s="14"/>
      <c r="AC318" s="14"/>
      <c r="AD318" s="14"/>
      <c r="AE318" s="14"/>
      <c r="AF318" s="14"/>
      <c r="AG318" s="14"/>
      <c r="AH318" s="14"/>
      <c r="AI318" s="14"/>
      <c r="AS318" s="13"/>
      <c r="AT318" s="13"/>
      <c r="AW318" s="13"/>
      <c r="AX318" s="13"/>
      <c r="AY318" s="13"/>
      <c r="AZ318" s="13"/>
      <c r="BA318" s="13"/>
      <c r="BB318" s="40"/>
      <c r="BC318" s="40"/>
      <c r="BD318" s="40"/>
      <c r="BE318" s="40"/>
      <c r="BF318" s="40"/>
      <c r="BG318" s="40"/>
      <c r="BH318" s="125"/>
      <c r="BI318" s="125"/>
      <c r="BJ318" s="125"/>
      <c r="BK318" s="125"/>
      <c r="BL318" s="125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DC318" s="8"/>
    </row>
    <row r="319" spans="2:107" s="15" customFormat="1" x14ac:dyDescent="0.2">
      <c r="B319" s="20"/>
      <c r="C319" s="21"/>
      <c r="D319" s="22"/>
      <c r="E319" s="22"/>
      <c r="F319" s="22"/>
      <c r="Y319" s="17"/>
      <c r="Z319" s="18"/>
      <c r="AA319" s="14"/>
      <c r="AB319" s="14"/>
      <c r="AC319" s="14"/>
      <c r="AD319" s="14"/>
      <c r="AE319" s="14"/>
      <c r="AF319" s="14"/>
      <c r="AG319" s="14"/>
      <c r="AH319" s="14"/>
      <c r="AI319" s="14"/>
      <c r="AS319" s="13"/>
      <c r="AT319" s="13"/>
      <c r="AW319" s="13"/>
      <c r="AX319" s="13"/>
      <c r="AY319" s="13"/>
      <c r="AZ319" s="13"/>
      <c r="BA319" s="13"/>
      <c r="BB319" s="40"/>
      <c r="BC319" s="40"/>
      <c r="BD319" s="40"/>
      <c r="BE319" s="40"/>
      <c r="BF319" s="40"/>
      <c r="BG319" s="40"/>
      <c r="BH319" s="125"/>
      <c r="BI319" s="125"/>
      <c r="BJ319" s="125"/>
      <c r="BK319" s="125"/>
      <c r="BL319" s="125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DC319" s="8"/>
    </row>
    <row r="320" spans="2:107" s="15" customFormat="1" x14ac:dyDescent="0.2">
      <c r="B320" s="20"/>
      <c r="C320" s="21"/>
      <c r="D320" s="22"/>
      <c r="E320" s="22"/>
      <c r="F320" s="22"/>
      <c r="Y320" s="17"/>
      <c r="Z320" s="18"/>
      <c r="AA320" s="14"/>
      <c r="AB320" s="14"/>
      <c r="AC320" s="14"/>
      <c r="AD320" s="14"/>
      <c r="AE320" s="14"/>
      <c r="AF320" s="14"/>
      <c r="AG320" s="14"/>
      <c r="AH320" s="14"/>
      <c r="AI320" s="14"/>
      <c r="AS320" s="13"/>
      <c r="AT320" s="13"/>
      <c r="AW320" s="13"/>
      <c r="AX320" s="13"/>
      <c r="AY320" s="13"/>
      <c r="AZ320" s="13"/>
      <c r="BA320" s="13"/>
      <c r="BB320" s="40"/>
      <c r="BC320" s="40"/>
      <c r="BD320" s="40"/>
      <c r="BE320" s="40"/>
      <c r="BF320" s="40"/>
      <c r="BG320" s="40"/>
      <c r="BH320" s="125"/>
      <c r="BI320" s="125"/>
      <c r="BJ320" s="125"/>
      <c r="BK320" s="125"/>
      <c r="BL320" s="125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DC320" s="8"/>
    </row>
    <row r="321" spans="2:107" s="15" customFormat="1" x14ac:dyDescent="0.2">
      <c r="B321" s="20"/>
      <c r="C321" s="21"/>
      <c r="D321" s="22"/>
      <c r="E321" s="22"/>
      <c r="F321" s="22"/>
      <c r="Y321" s="17"/>
      <c r="Z321" s="18"/>
      <c r="AA321" s="14"/>
      <c r="AB321" s="14"/>
      <c r="AC321" s="14"/>
      <c r="AD321" s="14"/>
      <c r="AE321" s="14"/>
      <c r="AF321" s="14"/>
      <c r="AG321" s="14"/>
      <c r="AH321" s="14"/>
      <c r="AI321" s="14"/>
      <c r="AS321" s="13"/>
      <c r="AT321" s="13"/>
      <c r="AW321" s="13"/>
      <c r="AX321" s="13"/>
      <c r="AY321" s="13"/>
      <c r="AZ321" s="13"/>
      <c r="BA321" s="13"/>
      <c r="BB321" s="40"/>
      <c r="BC321" s="40"/>
      <c r="BD321" s="40"/>
      <c r="BE321" s="40"/>
      <c r="BF321" s="40"/>
      <c r="BG321" s="40"/>
      <c r="BH321" s="125"/>
      <c r="BI321" s="125"/>
      <c r="BJ321" s="125"/>
      <c r="BK321" s="125"/>
      <c r="BL321" s="125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DC321" s="8"/>
    </row>
    <row r="322" spans="2:107" s="15" customFormat="1" x14ac:dyDescent="0.2">
      <c r="B322" s="20"/>
      <c r="C322" s="21"/>
      <c r="D322" s="22"/>
      <c r="E322" s="22"/>
      <c r="F322" s="22"/>
      <c r="Y322" s="17"/>
      <c r="Z322" s="18"/>
      <c r="AA322" s="14"/>
      <c r="AB322" s="14"/>
      <c r="AC322" s="14"/>
      <c r="AD322" s="14"/>
      <c r="AE322" s="14"/>
      <c r="AF322" s="14"/>
      <c r="AG322" s="14"/>
      <c r="AH322" s="14"/>
      <c r="AI322" s="14"/>
      <c r="AS322" s="13"/>
      <c r="AT322" s="13"/>
      <c r="AW322" s="13"/>
      <c r="AX322" s="13"/>
      <c r="AY322" s="13"/>
      <c r="AZ322" s="13"/>
      <c r="BA322" s="13"/>
      <c r="BB322" s="40"/>
      <c r="BC322" s="40"/>
      <c r="BD322" s="40"/>
      <c r="BE322" s="40"/>
      <c r="BF322" s="40"/>
      <c r="BG322" s="40"/>
      <c r="BH322" s="125"/>
      <c r="BI322" s="125"/>
      <c r="BJ322" s="125"/>
      <c r="BK322" s="125"/>
      <c r="BL322" s="125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DC322" s="8"/>
    </row>
    <row r="323" spans="2:107" s="15" customFormat="1" x14ac:dyDescent="0.2">
      <c r="B323" s="20"/>
      <c r="C323" s="21"/>
      <c r="D323" s="22"/>
      <c r="E323" s="22"/>
      <c r="F323" s="22"/>
      <c r="Y323" s="17"/>
      <c r="Z323" s="18"/>
      <c r="AA323" s="14"/>
      <c r="AB323" s="14"/>
      <c r="AC323" s="14"/>
      <c r="AD323" s="14"/>
      <c r="AE323" s="14"/>
      <c r="AF323" s="14"/>
      <c r="AG323" s="14"/>
      <c r="AH323" s="14"/>
      <c r="AI323" s="14"/>
      <c r="AS323" s="13"/>
      <c r="AT323" s="13"/>
      <c r="AW323" s="13"/>
      <c r="AX323" s="13"/>
      <c r="AY323" s="13"/>
      <c r="AZ323" s="13"/>
      <c r="BA323" s="13"/>
      <c r="BB323" s="40"/>
      <c r="BC323" s="40"/>
      <c r="BD323" s="40"/>
      <c r="BE323" s="40"/>
      <c r="BF323" s="40"/>
      <c r="BG323" s="40"/>
      <c r="BH323" s="125"/>
      <c r="BI323" s="125"/>
      <c r="BJ323" s="125"/>
      <c r="BK323" s="125"/>
      <c r="BL323" s="125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DC323" s="8"/>
    </row>
    <row r="324" spans="2:107" s="15" customFormat="1" x14ac:dyDescent="0.2">
      <c r="B324" s="20"/>
      <c r="C324" s="21"/>
      <c r="D324" s="22"/>
      <c r="E324" s="22"/>
      <c r="F324" s="22"/>
      <c r="Y324" s="17"/>
      <c r="Z324" s="18"/>
      <c r="AA324" s="14"/>
      <c r="AB324" s="14"/>
      <c r="AC324" s="14"/>
      <c r="AD324" s="14"/>
      <c r="AE324" s="14"/>
      <c r="AF324" s="14"/>
      <c r="AG324" s="14"/>
      <c r="AH324" s="14"/>
      <c r="AI324" s="14"/>
      <c r="AS324" s="13"/>
      <c r="AT324" s="13"/>
      <c r="AW324" s="13"/>
      <c r="AX324" s="13"/>
      <c r="AY324" s="13"/>
      <c r="AZ324" s="13"/>
      <c r="BA324" s="13"/>
      <c r="BB324" s="40"/>
      <c r="BC324" s="40"/>
      <c r="BD324" s="40"/>
      <c r="BE324" s="40"/>
      <c r="BF324" s="40"/>
      <c r="BG324" s="40"/>
      <c r="BH324" s="125"/>
      <c r="BI324" s="125"/>
      <c r="BJ324" s="125"/>
      <c r="BK324" s="125"/>
      <c r="BL324" s="125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DC324" s="8"/>
    </row>
    <row r="325" spans="2:107" s="15" customFormat="1" x14ac:dyDescent="0.2">
      <c r="B325" s="20"/>
      <c r="C325" s="21"/>
      <c r="D325" s="22"/>
      <c r="E325" s="22"/>
      <c r="F325" s="22"/>
      <c r="Y325" s="17"/>
      <c r="Z325" s="18"/>
      <c r="AA325" s="14"/>
      <c r="AB325" s="14"/>
      <c r="AC325" s="14"/>
      <c r="AD325" s="14"/>
      <c r="AE325" s="14"/>
      <c r="AF325" s="14"/>
      <c r="AG325" s="14"/>
      <c r="AH325" s="14"/>
      <c r="AI325" s="14"/>
      <c r="AS325" s="13"/>
      <c r="AT325" s="13"/>
      <c r="AW325" s="13"/>
      <c r="AX325" s="13"/>
      <c r="AY325" s="13"/>
      <c r="AZ325" s="13"/>
      <c r="BA325" s="13"/>
      <c r="BB325" s="40"/>
      <c r="BC325" s="40"/>
      <c r="BD325" s="40"/>
      <c r="BE325" s="40"/>
      <c r="BF325" s="40"/>
      <c r="BG325" s="40"/>
      <c r="BH325" s="125"/>
      <c r="BI325" s="125"/>
      <c r="BJ325" s="125"/>
      <c r="BK325" s="125"/>
      <c r="BL325" s="125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DC325" s="8"/>
    </row>
    <row r="326" spans="2:107" s="15" customFormat="1" x14ac:dyDescent="0.2">
      <c r="B326" s="20"/>
      <c r="C326" s="21"/>
      <c r="D326" s="22"/>
      <c r="E326" s="22"/>
      <c r="F326" s="22"/>
      <c r="Y326" s="17"/>
      <c r="Z326" s="18"/>
      <c r="AA326" s="14"/>
      <c r="AB326" s="14"/>
      <c r="AC326" s="14"/>
      <c r="AD326" s="14"/>
      <c r="AE326" s="14"/>
      <c r="AF326" s="14"/>
      <c r="AG326" s="14"/>
      <c r="AH326" s="14"/>
      <c r="AI326" s="14"/>
      <c r="AS326" s="13"/>
      <c r="AT326" s="13"/>
      <c r="AW326" s="13"/>
      <c r="AX326" s="13"/>
      <c r="AY326" s="13"/>
      <c r="AZ326" s="13"/>
      <c r="BA326" s="13"/>
      <c r="BB326" s="40"/>
      <c r="BC326" s="40"/>
      <c r="BD326" s="40"/>
      <c r="BE326" s="40"/>
      <c r="BF326" s="40"/>
      <c r="BG326" s="40"/>
      <c r="BH326" s="125"/>
      <c r="BI326" s="125"/>
      <c r="BJ326" s="125"/>
      <c r="BK326" s="125"/>
      <c r="BL326" s="125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DC326" s="8"/>
    </row>
    <row r="327" spans="2:107" s="15" customFormat="1" x14ac:dyDescent="0.2">
      <c r="B327" s="20"/>
      <c r="C327" s="21"/>
      <c r="D327" s="22"/>
      <c r="E327" s="22"/>
      <c r="F327" s="22"/>
      <c r="Y327" s="17"/>
      <c r="Z327" s="18"/>
      <c r="AA327" s="14"/>
      <c r="AB327" s="14"/>
      <c r="AC327" s="14"/>
      <c r="AD327" s="14"/>
      <c r="AE327" s="14"/>
      <c r="AF327" s="14"/>
      <c r="AG327" s="14"/>
      <c r="AH327" s="14"/>
      <c r="AI327" s="14"/>
      <c r="AS327" s="13"/>
      <c r="AT327" s="13"/>
      <c r="AW327" s="13"/>
      <c r="AX327" s="13"/>
      <c r="AY327" s="13"/>
      <c r="AZ327" s="13"/>
      <c r="BA327" s="13"/>
      <c r="BB327" s="40"/>
      <c r="BC327" s="40"/>
      <c r="BD327" s="40"/>
      <c r="BE327" s="40"/>
      <c r="BF327" s="40"/>
      <c r="BG327" s="40"/>
      <c r="BH327" s="125"/>
      <c r="BI327" s="125"/>
      <c r="BJ327" s="125"/>
      <c r="BK327" s="125"/>
      <c r="BL327" s="125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DC327" s="8"/>
    </row>
    <row r="328" spans="2:107" s="15" customFormat="1" x14ac:dyDescent="0.2">
      <c r="B328" s="20"/>
      <c r="C328" s="21"/>
      <c r="D328" s="22"/>
      <c r="E328" s="22"/>
      <c r="F328" s="22"/>
      <c r="Y328" s="17"/>
      <c r="Z328" s="18"/>
      <c r="AA328" s="14"/>
      <c r="AB328" s="14"/>
      <c r="AC328" s="14"/>
      <c r="AD328" s="14"/>
      <c r="AE328" s="14"/>
      <c r="AF328" s="14"/>
      <c r="AG328" s="14"/>
      <c r="AH328" s="14"/>
      <c r="AI328" s="14"/>
      <c r="AS328" s="13"/>
      <c r="AT328" s="13"/>
      <c r="AW328" s="13"/>
      <c r="AX328" s="13"/>
      <c r="AY328" s="13"/>
      <c r="AZ328" s="13"/>
      <c r="BA328" s="13"/>
      <c r="BB328" s="40"/>
      <c r="BC328" s="40"/>
      <c r="BD328" s="40"/>
      <c r="BE328" s="40"/>
      <c r="BF328" s="40"/>
      <c r="BG328" s="40"/>
      <c r="BH328" s="125"/>
      <c r="BI328" s="125"/>
      <c r="BJ328" s="125"/>
      <c r="BK328" s="125"/>
      <c r="BL328" s="125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DC328" s="8"/>
    </row>
    <row r="329" spans="2:107" s="15" customFormat="1" x14ac:dyDescent="0.2">
      <c r="B329" s="20"/>
      <c r="C329" s="21"/>
      <c r="D329" s="22"/>
      <c r="E329" s="22"/>
      <c r="F329" s="22"/>
      <c r="Y329" s="17"/>
      <c r="Z329" s="18"/>
      <c r="AA329" s="14"/>
      <c r="AB329" s="14"/>
      <c r="AC329" s="14"/>
      <c r="AD329" s="14"/>
      <c r="AE329" s="14"/>
      <c r="AF329" s="14"/>
      <c r="AG329" s="14"/>
      <c r="AH329" s="14"/>
      <c r="AI329" s="14"/>
      <c r="AS329" s="13"/>
      <c r="AT329" s="13"/>
      <c r="AW329" s="13"/>
      <c r="AX329" s="13"/>
      <c r="AY329" s="13"/>
      <c r="AZ329" s="13"/>
      <c r="BA329" s="13"/>
      <c r="BB329" s="40"/>
      <c r="BC329" s="40"/>
      <c r="BD329" s="40"/>
      <c r="BE329" s="40"/>
      <c r="BF329" s="40"/>
      <c r="BG329" s="40"/>
      <c r="BH329" s="125"/>
      <c r="BI329" s="125"/>
      <c r="BJ329" s="125"/>
      <c r="BK329" s="125"/>
      <c r="BL329" s="125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DC329" s="8"/>
    </row>
    <row r="330" spans="2:107" s="15" customFormat="1" x14ac:dyDescent="0.2">
      <c r="B330" s="20"/>
      <c r="C330" s="21"/>
      <c r="D330" s="22"/>
      <c r="E330" s="22"/>
      <c r="F330" s="22"/>
      <c r="Y330" s="17"/>
      <c r="Z330" s="18"/>
      <c r="AA330" s="14"/>
      <c r="AB330" s="14"/>
      <c r="AC330" s="14"/>
      <c r="AD330" s="14"/>
      <c r="AE330" s="14"/>
      <c r="AF330" s="14"/>
      <c r="AG330" s="14"/>
      <c r="AH330" s="14"/>
      <c r="AI330" s="14"/>
      <c r="AS330" s="13"/>
      <c r="AT330" s="13"/>
      <c r="AW330" s="13"/>
      <c r="AX330" s="13"/>
      <c r="AY330" s="13"/>
      <c r="AZ330" s="13"/>
      <c r="BA330" s="13"/>
      <c r="BB330" s="40"/>
      <c r="BC330" s="40"/>
      <c r="BD330" s="40"/>
      <c r="BE330" s="40"/>
      <c r="BF330" s="40"/>
      <c r="BG330" s="40"/>
      <c r="BH330" s="125"/>
      <c r="BI330" s="125"/>
      <c r="BJ330" s="125"/>
      <c r="BK330" s="125"/>
      <c r="BL330" s="125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DC330" s="8"/>
    </row>
    <row r="331" spans="2:107" s="15" customFormat="1" x14ac:dyDescent="0.2">
      <c r="B331" s="20"/>
      <c r="C331" s="21"/>
      <c r="D331" s="22"/>
      <c r="E331" s="22"/>
      <c r="F331" s="22"/>
      <c r="Y331" s="17"/>
      <c r="Z331" s="18"/>
      <c r="AA331" s="14"/>
      <c r="AB331" s="14"/>
      <c r="AC331" s="14"/>
      <c r="AD331" s="14"/>
      <c r="AE331" s="14"/>
      <c r="AF331" s="14"/>
      <c r="AG331" s="14"/>
      <c r="AH331" s="14"/>
      <c r="AI331" s="14"/>
      <c r="AS331" s="13"/>
      <c r="AT331" s="13"/>
      <c r="AW331" s="13"/>
      <c r="AX331" s="13"/>
      <c r="AY331" s="13"/>
      <c r="AZ331" s="13"/>
      <c r="BA331" s="13"/>
      <c r="BB331" s="40"/>
      <c r="BC331" s="40"/>
      <c r="BD331" s="40"/>
      <c r="BE331" s="40"/>
      <c r="BF331" s="40"/>
      <c r="BG331" s="40"/>
      <c r="BH331" s="125"/>
      <c r="BI331" s="125"/>
      <c r="BJ331" s="125"/>
      <c r="BK331" s="125"/>
      <c r="BL331" s="125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DC331" s="8"/>
    </row>
    <row r="332" spans="2:107" s="15" customFormat="1" x14ac:dyDescent="0.2">
      <c r="B332" s="20"/>
      <c r="C332" s="21"/>
      <c r="D332" s="22"/>
      <c r="E332" s="22"/>
      <c r="F332" s="22"/>
      <c r="Y332" s="17"/>
      <c r="Z332" s="18"/>
      <c r="AA332" s="14"/>
      <c r="AB332" s="14"/>
      <c r="AC332" s="14"/>
      <c r="AD332" s="14"/>
      <c r="AE332" s="14"/>
      <c r="AF332" s="14"/>
      <c r="AG332" s="14"/>
      <c r="AH332" s="14"/>
      <c r="AI332" s="14"/>
      <c r="AS332" s="13"/>
      <c r="AT332" s="13"/>
      <c r="AW332" s="13"/>
      <c r="AX332" s="13"/>
      <c r="AY332" s="13"/>
      <c r="AZ332" s="13"/>
      <c r="BA332" s="13"/>
      <c r="BB332" s="40"/>
      <c r="BC332" s="40"/>
      <c r="BD332" s="40"/>
      <c r="BE332" s="40"/>
      <c r="BF332" s="40"/>
      <c r="BG332" s="40"/>
      <c r="BH332" s="125"/>
      <c r="BI332" s="125"/>
      <c r="BJ332" s="125"/>
      <c r="BK332" s="125"/>
      <c r="BL332" s="125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DC332" s="8"/>
    </row>
    <row r="333" spans="2:107" s="15" customFormat="1" x14ac:dyDescent="0.2">
      <c r="B333" s="20"/>
      <c r="C333" s="21"/>
      <c r="D333" s="22"/>
      <c r="E333" s="22"/>
      <c r="F333" s="22"/>
      <c r="Y333" s="17"/>
      <c r="Z333" s="18"/>
      <c r="AA333" s="14"/>
      <c r="AB333" s="14"/>
      <c r="AC333" s="14"/>
      <c r="AD333" s="14"/>
      <c r="AE333" s="14"/>
      <c r="AF333" s="14"/>
      <c r="AG333" s="14"/>
      <c r="AH333" s="14"/>
      <c r="AI333" s="14"/>
      <c r="AS333" s="13"/>
      <c r="AT333" s="13"/>
      <c r="AW333" s="13"/>
      <c r="AX333" s="13"/>
      <c r="AY333" s="13"/>
      <c r="AZ333" s="13"/>
      <c r="BA333" s="13"/>
      <c r="BB333" s="40"/>
      <c r="BC333" s="40"/>
      <c r="BD333" s="40"/>
      <c r="BE333" s="40"/>
      <c r="BF333" s="40"/>
      <c r="BG333" s="40"/>
      <c r="BH333" s="125"/>
      <c r="BI333" s="125"/>
      <c r="BJ333" s="125"/>
      <c r="BK333" s="125"/>
      <c r="BL333" s="125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DC333" s="8"/>
    </row>
    <row r="334" spans="2:107" s="15" customFormat="1" x14ac:dyDescent="0.2">
      <c r="B334" s="20"/>
      <c r="C334" s="21"/>
      <c r="D334" s="22"/>
      <c r="E334" s="22"/>
      <c r="F334" s="22"/>
      <c r="Y334" s="17"/>
      <c r="Z334" s="18"/>
      <c r="AA334" s="14"/>
      <c r="AB334" s="14"/>
      <c r="AC334" s="14"/>
      <c r="AD334" s="14"/>
      <c r="AE334" s="14"/>
      <c r="AF334" s="14"/>
      <c r="AG334" s="14"/>
      <c r="AH334" s="14"/>
      <c r="AI334" s="14"/>
      <c r="AS334" s="13"/>
      <c r="AT334" s="13"/>
      <c r="AW334" s="13"/>
      <c r="AX334" s="13"/>
      <c r="AY334" s="13"/>
      <c r="AZ334" s="13"/>
      <c r="BA334" s="13"/>
      <c r="BB334" s="40"/>
      <c r="BC334" s="40"/>
      <c r="BD334" s="40"/>
      <c r="BE334" s="40"/>
      <c r="BF334" s="40"/>
      <c r="BG334" s="40"/>
      <c r="BH334" s="125"/>
      <c r="BI334" s="125"/>
      <c r="BJ334" s="125"/>
      <c r="BK334" s="125"/>
      <c r="BL334" s="125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DC334" s="8"/>
    </row>
    <row r="335" spans="2:107" s="15" customFormat="1" x14ac:dyDescent="0.2">
      <c r="B335" s="20"/>
      <c r="C335" s="21"/>
      <c r="D335" s="22"/>
      <c r="E335" s="22"/>
      <c r="F335" s="22"/>
      <c r="Y335" s="17"/>
      <c r="Z335" s="18"/>
      <c r="AA335" s="14"/>
      <c r="AB335" s="14"/>
      <c r="AC335" s="14"/>
      <c r="AD335" s="14"/>
      <c r="AE335" s="14"/>
      <c r="AF335" s="14"/>
      <c r="AG335" s="14"/>
      <c r="AH335" s="14"/>
      <c r="AI335" s="14"/>
      <c r="AS335" s="13"/>
      <c r="AT335" s="13"/>
      <c r="AW335" s="13"/>
      <c r="AX335" s="13"/>
      <c r="AY335" s="13"/>
      <c r="AZ335" s="13"/>
      <c r="BA335" s="13"/>
      <c r="BB335" s="40"/>
      <c r="BC335" s="40"/>
      <c r="BD335" s="40"/>
      <c r="BE335" s="40"/>
      <c r="BF335" s="40"/>
      <c r="BG335" s="40"/>
      <c r="BH335" s="125"/>
      <c r="BI335" s="125"/>
      <c r="BJ335" s="125"/>
      <c r="BK335" s="125"/>
      <c r="BL335" s="125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DC335" s="8"/>
    </row>
    <row r="336" spans="2:107" s="15" customFormat="1" x14ac:dyDescent="0.2">
      <c r="B336" s="20"/>
      <c r="C336" s="21"/>
      <c r="D336" s="22"/>
      <c r="E336" s="22"/>
      <c r="F336" s="22"/>
      <c r="Y336" s="17"/>
      <c r="Z336" s="18"/>
      <c r="AA336" s="14"/>
      <c r="AB336" s="14"/>
      <c r="AC336" s="14"/>
      <c r="AD336" s="14"/>
      <c r="AE336" s="14"/>
      <c r="AF336" s="14"/>
      <c r="AG336" s="14"/>
      <c r="AH336" s="14"/>
      <c r="AI336" s="14"/>
      <c r="AS336" s="13"/>
      <c r="AT336" s="13"/>
      <c r="AW336" s="13"/>
      <c r="AX336" s="13"/>
      <c r="AY336" s="13"/>
      <c r="AZ336" s="13"/>
      <c r="BA336" s="13"/>
      <c r="BB336" s="40"/>
      <c r="BC336" s="40"/>
      <c r="BD336" s="40"/>
      <c r="BE336" s="40"/>
      <c r="BF336" s="40"/>
      <c r="BG336" s="40"/>
      <c r="BH336" s="125"/>
      <c r="BI336" s="125"/>
      <c r="BJ336" s="125"/>
      <c r="BK336" s="125"/>
      <c r="BL336" s="125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DC336" s="8"/>
    </row>
    <row r="337" spans="2:107" s="15" customFormat="1" x14ac:dyDescent="0.2">
      <c r="B337" s="20"/>
      <c r="C337" s="21"/>
      <c r="D337" s="22"/>
      <c r="E337" s="22"/>
      <c r="F337" s="22"/>
      <c r="Y337" s="17"/>
      <c r="Z337" s="18"/>
      <c r="AA337" s="14"/>
      <c r="AB337" s="14"/>
      <c r="AC337" s="14"/>
      <c r="AD337" s="14"/>
      <c r="AE337" s="14"/>
      <c r="AF337" s="14"/>
      <c r="AG337" s="14"/>
      <c r="AH337" s="14"/>
      <c r="AI337" s="14"/>
      <c r="AS337" s="13"/>
      <c r="AT337" s="13"/>
      <c r="AW337" s="13"/>
      <c r="AX337" s="13"/>
      <c r="AY337" s="13"/>
      <c r="AZ337" s="13"/>
      <c r="BA337" s="13"/>
      <c r="BB337" s="40"/>
      <c r="BC337" s="40"/>
      <c r="BD337" s="40"/>
      <c r="BE337" s="40"/>
      <c r="BF337" s="40"/>
      <c r="BG337" s="40"/>
      <c r="BH337" s="125"/>
      <c r="BI337" s="125"/>
      <c r="BJ337" s="125"/>
      <c r="BK337" s="125"/>
      <c r="BL337" s="125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DC337" s="8"/>
    </row>
    <row r="338" spans="2:107" s="15" customFormat="1" x14ac:dyDescent="0.2">
      <c r="B338" s="20"/>
      <c r="C338" s="21"/>
      <c r="D338" s="22"/>
      <c r="E338" s="22"/>
      <c r="F338" s="22"/>
      <c r="Y338" s="17"/>
      <c r="Z338" s="18"/>
      <c r="AA338" s="14"/>
      <c r="AB338" s="14"/>
      <c r="AC338" s="14"/>
      <c r="AD338" s="14"/>
      <c r="AE338" s="14"/>
      <c r="AF338" s="14"/>
      <c r="AG338" s="14"/>
      <c r="AH338" s="14"/>
      <c r="AI338" s="14"/>
      <c r="AS338" s="13"/>
      <c r="AT338" s="13"/>
      <c r="AW338" s="13"/>
      <c r="AX338" s="13"/>
      <c r="AY338" s="13"/>
      <c r="AZ338" s="13"/>
      <c r="BA338" s="13"/>
      <c r="BB338" s="40"/>
      <c r="BC338" s="40"/>
      <c r="BD338" s="40"/>
      <c r="BE338" s="40"/>
      <c r="BF338" s="40"/>
      <c r="BG338" s="40"/>
      <c r="BH338" s="125"/>
      <c r="BI338" s="125"/>
      <c r="BJ338" s="125"/>
      <c r="BK338" s="125"/>
      <c r="BL338" s="125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DC338" s="8"/>
    </row>
    <row r="339" spans="2:107" s="15" customFormat="1" x14ac:dyDescent="0.2">
      <c r="B339" s="20"/>
      <c r="C339" s="21"/>
      <c r="D339" s="22"/>
      <c r="E339" s="22"/>
      <c r="F339" s="22"/>
      <c r="Y339" s="17"/>
      <c r="Z339" s="18"/>
      <c r="AA339" s="14"/>
      <c r="AB339" s="14"/>
      <c r="AC339" s="14"/>
      <c r="AD339" s="14"/>
      <c r="AE339" s="14"/>
      <c r="AF339" s="14"/>
      <c r="AG339" s="14"/>
      <c r="AH339" s="14"/>
      <c r="AI339" s="14"/>
      <c r="AS339" s="13"/>
      <c r="AT339" s="13"/>
      <c r="AW339" s="13"/>
      <c r="AX339" s="13"/>
      <c r="AY339" s="13"/>
      <c r="AZ339" s="13"/>
      <c r="BA339" s="13"/>
      <c r="BB339" s="40"/>
      <c r="BC339" s="40"/>
      <c r="BD339" s="40"/>
      <c r="BE339" s="40"/>
      <c r="BF339" s="40"/>
      <c r="BG339" s="40"/>
      <c r="BH339" s="125"/>
      <c r="BI339" s="125"/>
      <c r="BJ339" s="125"/>
      <c r="BK339" s="125"/>
      <c r="BL339" s="125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DC339" s="8"/>
    </row>
    <row r="340" spans="2:107" s="15" customFormat="1" x14ac:dyDescent="0.2">
      <c r="B340" s="20"/>
      <c r="C340" s="21"/>
      <c r="D340" s="22"/>
      <c r="E340" s="22"/>
      <c r="F340" s="22"/>
      <c r="Y340" s="17"/>
      <c r="Z340" s="18"/>
      <c r="AA340" s="14"/>
      <c r="AB340" s="14"/>
      <c r="AC340" s="14"/>
      <c r="AD340" s="14"/>
      <c r="AE340" s="14"/>
      <c r="AF340" s="14"/>
      <c r="AG340" s="14"/>
      <c r="AH340" s="14"/>
      <c r="AI340" s="14"/>
      <c r="AS340" s="13"/>
      <c r="AT340" s="13"/>
      <c r="AW340" s="13"/>
      <c r="AX340" s="13"/>
      <c r="AY340" s="13"/>
      <c r="AZ340" s="13"/>
      <c r="BA340" s="13"/>
      <c r="BB340" s="40"/>
      <c r="BC340" s="40"/>
      <c r="BD340" s="40"/>
      <c r="BE340" s="40"/>
      <c r="BF340" s="40"/>
      <c r="BG340" s="40"/>
      <c r="BH340" s="125"/>
      <c r="BI340" s="125"/>
      <c r="BJ340" s="125"/>
      <c r="BK340" s="125"/>
      <c r="BL340" s="125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DC340" s="8"/>
    </row>
    <row r="341" spans="2:107" s="15" customFormat="1" x14ac:dyDescent="0.2">
      <c r="B341" s="20"/>
      <c r="C341" s="21"/>
      <c r="D341" s="22"/>
      <c r="E341" s="22"/>
      <c r="F341" s="22"/>
      <c r="Y341" s="17"/>
      <c r="Z341" s="18"/>
      <c r="AA341" s="14"/>
      <c r="AB341" s="14"/>
      <c r="AC341" s="14"/>
      <c r="AD341" s="14"/>
      <c r="AE341" s="14"/>
      <c r="AF341" s="14"/>
      <c r="AG341" s="14"/>
      <c r="AH341" s="14"/>
      <c r="AI341" s="14"/>
      <c r="AS341" s="13"/>
      <c r="AT341" s="13"/>
      <c r="AW341" s="13"/>
      <c r="AX341" s="13"/>
      <c r="AY341" s="13"/>
      <c r="AZ341" s="13"/>
      <c r="BA341" s="13"/>
      <c r="BB341" s="40"/>
      <c r="BC341" s="40"/>
      <c r="BD341" s="40"/>
      <c r="BE341" s="40"/>
      <c r="BF341" s="40"/>
      <c r="BG341" s="40"/>
      <c r="BH341" s="125"/>
      <c r="BI341" s="125"/>
      <c r="BJ341" s="125"/>
      <c r="BK341" s="125"/>
      <c r="BL341" s="125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DC341" s="8"/>
    </row>
    <row r="342" spans="2:107" s="15" customFormat="1" x14ac:dyDescent="0.2">
      <c r="B342" s="20"/>
      <c r="C342" s="21"/>
      <c r="D342" s="22"/>
      <c r="E342" s="22"/>
      <c r="F342" s="22"/>
      <c r="Y342" s="17"/>
      <c r="Z342" s="18"/>
      <c r="AA342" s="14"/>
      <c r="AB342" s="14"/>
      <c r="AC342" s="14"/>
      <c r="AD342" s="14"/>
      <c r="AE342" s="14"/>
      <c r="AF342" s="14"/>
      <c r="AG342" s="14"/>
      <c r="AH342" s="14"/>
      <c r="AI342" s="14"/>
      <c r="AS342" s="13"/>
      <c r="AT342" s="13"/>
      <c r="AW342" s="13"/>
      <c r="AX342" s="13"/>
      <c r="AY342" s="13"/>
      <c r="AZ342" s="13"/>
      <c r="BA342" s="13"/>
      <c r="BB342" s="40"/>
      <c r="BC342" s="40"/>
      <c r="BD342" s="40"/>
      <c r="BE342" s="40"/>
      <c r="BF342" s="40"/>
      <c r="BG342" s="40"/>
      <c r="BH342" s="125"/>
      <c r="BI342" s="125"/>
      <c r="BJ342" s="125"/>
      <c r="BK342" s="125"/>
      <c r="BL342" s="125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DC342" s="8"/>
    </row>
    <row r="343" spans="2:107" s="15" customFormat="1" x14ac:dyDescent="0.2">
      <c r="B343" s="20"/>
      <c r="C343" s="21"/>
      <c r="D343" s="22"/>
      <c r="E343" s="22"/>
      <c r="F343" s="22"/>
      <c r="Y343" s="17"/>
      <c r="Z343" s="18"/>
      <c r="AA343" s="14"/>
      <c r="AB343" s="14"/>
      <c r="AC343" s="14"/>
      <c r="AD343" s="14"/>
      <c r="AE343" s="14"/>
      <c r="AF343" s="14"/>
      <c r="AG343" s="14"/>
      <c r="AH343" s="14"/>
      <c r="AI343" s="14"/>
      <c r="AS343" s="13"/>
      <c r="AT343" s="13"/>
      <c r="AW343" s="13"/>
      <c r="AX343" s="13"/>
      <c r="AY343" s="13"/>
      <c r="AZ343" s="13"/>
      <c r="BA343" s="13"/>
      <c r="BB343" s="40"/>
      <c r="BC343" s="40"/>
      <c r="BD343" s="40"/>
      <c r="BE343" s="40"/>
      <c r="BF343" s="40"/>
      <c r="BG343" s="40"/>
      <c r="BH343" s="125"/>
      <c r="BI343" s="125"/>
      <c r="BJ343" s="125"/>
      <c r="BK343" s="125"/>
      <c r="BL343" s="125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DC343" s="8"/>
    </row>
    <row r="344" spans="2:107" s="15" customFormat="1" x14ac:dyDescent="0.2">
      <c r="B344" s="20"/>
      <c r="C344" s="21"/>
      <c r="D344" s="22"/>
      <c r="E344" s="22"/>
      <c r="F344" s="22"/>
      <c r="Y344" s="17"/>
      <c r="Z344" s="18"/>
      <c r="AA344" s="14"/>
      <c r="AB344" s="14"/>
      <c r="AC344" s="14"/>
      <c r="AD344" s="14"/>
      <c r="AE344" s="14"/>
      <c r="AF344" s="14"/>
      <c r="AG344" s="14"/>
      <c r="AH344" s="14"/>
      <c r="AI344" s="14"/>
      <c r="AS344" s="13"/>
      <c r="AT344" s="13"/>
      <c r="AW344" s="13"/>
      <c r="AX344" s="13"/>
      <c r="AY344" s="13"/>
      <c r="AZ344" s="13"/>
      <c r="BA344" s="13"/>
      <c r="BB344" s="40"/>
      <c r="BC344" s="40"/>
      <c r="BD344" s="40"/>
      <c r="BE344" s="40"/>
      <c r="BF344" s="40"/>
      <c r="BG344" s="40"/>
      <c r="BH344" s="125"/>
      <c r="BI344" s="125"/>
      <c r="BJ344" s="125"/>
      <c r="BK344" s="125"/>
      <c r="BL344" s="125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DC344" s="8"/>
    </row>
    <row r="345" spans="2:107" s="15" customFormat="1" x14ac:dyDescent="0.2">
      <c r="B345" s="20"/>
      <c r="C345" s="21"/>
      <c r="D345" s="22"/>
      <c r="E345" s="22"/>
      <c r="F345" s="22"/>
      <c r="Y345" s="17"/>
      <c r="Z345" s="18"/>
      <c r="AA345" s="14"/>
      <c r="AB345" s="14"/>
      <c r="AC345" s="14"/>
      <c r="AD345" s="14"/>
      <c r="AE345" s="14"/>
      <c r="AF345" s="14"/>
      <c r="AG345" s="14"/>
      <c r="AH345" s="14"/>
      <c r="AI345" s="14"/>
      <c r="AS345" s="13"/>
      <c r="AT345" s="13"/>
      <c r="AW345" s="13"/>
      <c r="AX345" s="13"/>
      <c r="AY345" s="13"/>
      <c r="AZ345" s="13"/>
      <c r="BA345" s="13"/>
      <c r="BB345" s="40"/>
      <c r="BC345" s="40"/>
      <c r="BD345" s="40"/>
      <c r="BE345" s="40"/>
      <c r="BF345" s="40"/>
      <c r="BG345" s="40"/>
      <c r="BH345" s="125"/>
      <c r="BI345" s="125"/>
      <c r="BJ345" s="125"/>
      <c r="BK345" s="125"/>
      <c r="BL345" s="125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DC345" s="8"/>
    </row>
    <row r="346" spans="2:107" s="15" customFormat="1" x14ac:dyDescent="0.2">
      <c r="B346" s="20"/>
      <c r="C346" s="21"/>
      <c r="D346" s="22"/>
      <c r="E346" s="22"/>
      <c r="F346" s="22"/>
      <c r="Y346" s="17"/>
      <c r="Z346" s="18"/>
      <c r="AA346" s="14"/>
      <c r="AB346" s="14"/>
      <c r="AC346" s="14"/>
      <c r="AD346" s="14"/>
      <c r="AE346" s="14"/>
      <c r="AF346" s="14"/>
      <c r="AG346" s="14"/>
      <c r="AH346" s="14"/>
      <c r="AI346" s="14"/>
      <c r="AS346" s="13"/>
      <c r="AT346" s="13"/>
      <c r="AW346" s="13"/>
      <c r="AX346" s="13"/>
      <c r="AY346" s="13"/>
      <c r="AZ346" s="13"/>
      <c r="BA346" s="13"/>
      <c r="BB346" s="40"/>
      <c r="BC346" s="40"/>
      <c r="BD346" s="40"/>
      <c r="BE346" s="40"/>
      <c r="BF346" s="40"/>
      <c r="BG346" s="40"/>
      <c r="BH346" s="125"/>
      <c r="BI346" s="125"/>
      <c r="BJ346" s="125"/>
      <c r="BK346" s="125"/>
      <c r="BL346" s="125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DC346" s="8"/>
    </row>
    <row r="347" spans="2:107" s="15" customFormat="1" x14ac:dyDescent="0.2">
      <c r="B347" s="20"/>
      <c r="C347" s="21"/>
      <c r="D347" s="22"/>
      <c r="E347" s="22"/>
      <c r="F347" s="22"/>
      <c r="Y347" s="17"/>
      <c r="Z347" s="18"/>
      <c r="AA347" s="14"/>
      <c r="AB347" s="14"/>
      <c r="AC347" s="14"/>
      <c r="AD347" s="14"/>
      <c r="AE347" s="14"/>
      <c r="AF347" s="14"/>
      <c r="AG347" s="14"/>
      <c r="AH347" s="14"/>
      <c r="AI347" s="14"/>
      <c r="AS347" s="13"/>
      <c r="AT347" s="13"/>
      <c r="AW347" s="13"/>
      <c r="AX347" s="13"/>
      <c r="AY347" s="13"/>
      <c r="AZ347" s="13"/>
      <c r="BA347" s="13"/>
      <c r="BB347" s="40"/>
      <c r="BC347" s="40"/>
      <c r="BD347" s="40"/>
      <c r="BE347" s="40"/>
      <c r="BF347" s="40"/>
      <c r="BG347" s="40"/>
      <c r="BH347" s="125"/>
      <c r="BI347" s="125"/>
      <c r="BJ347" s="125"/>
      <c r="BK347" s="125"/>
      <c r="BL347" s="125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DC347" s="8"/>
    </row>
    <row r="348" spans="2:107" s="15" customFormat="1" ht="15.75" thickBot="1" x14ac:dyDescent="0.25">
      <c r="B348" s="20"/>
      <c r="C348" s="21"/>
      <c r="D348" s="22"/>
      <c r="E348" s="22"/>
      <c r="F348" s="22"/>
      <c r="Y348" s="17"/>
      <c r="Z348" s="18"/>
      <c r="AA348" s="14"/>
      <c r="AB348" s="14"/>
      <c r="AC348" s="14"/>
      <c r="AD348" s="14"/>
      <c r="AE348" s="14"/>
      <c r="AF348" s="14"/>
      <c r="AG348" s="14"/>
      <c r="AH348" s="14"/>
      <c r="AI348" s="14"/>
      <c r="AS348" s="13"/>
      <c r="AT348" s="13"/>
      <c r="AW348" s="13"/>
      <c r="AX348" s="13"/>
      <c r="AY348" s="13"/>
      <c r="AZ348" s="13"/>
      <c r="BA348" s="13"/>
      <c r="BB348" s="40"/>
      <c r="BC348" s="40"/>
      <c r="BD348" s="40"/>
      <c r="BE348" s="40"/>
      <c r="BF348" s="40"/>
      <c r="BG348" s="40"/>
      <c r="BH348" s="125"/>
      <c r="BI348" s="125"/>
      <c r="BJ348" s="125"/>
      <c r="BK348" s="125"/>
      <c r="BL348" s="125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DC348" s="8"/>
    </row>
    <row r="349" spans="2:107" s="15" customFormat="1" ht="66" customHeight="1" x14ac:dyDescent="0.2">
      <c r="B349" s="20"/>
      <c r="C349" s="21"/>
      <c r="D349" s="22"/>
      <c r="E349" s="22"/>
      <c r="F349" s="22"/>
      <c r="Y349" s="17"/>
      <c r="Z349" s="18"/>
      <c r="AA349" s="14"/>
      <c r="AB349" s="14"/>
      <c r="AC349" s="14"/>
      <c r="AD349" s="14"/>
      <c r="AE349" s="14"/>
      <c r="AF349" s="14"/>
      <c r="AG349" s="14"/>
      <c r="AH349" s="14"/>
      <c r="AI349" s="14"/>
      <c r="AS349" s="13"/>
      <c r="AT349" s="13"/>
      <c r="AW349" s="13"/>
      <c r="AX349" s="9"/>
      <c r="AY349" s="13"/>
      <c r="AZ349" s="13"/>
      <c r="BA349" s="13"/>
      <c r="BB349" s="40"/>
      <c r="BC349" s="42"/>
      <c r="BD349" s="43"/>
      <c r="BE349" s="43"/>
      <c r="BF349" s="44"/>
      <c r="BG349" s="40"/>
      <c r="BH349" s="266" t="s">
        <v>48</v>
      </c>
      <c r="BI349" s="267"/>
      <c r="BJ349" s="267"/>
      <c r="BK349" s="268"/>
      <c r="BL349" s="132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DC349" s="8"/>
    </row>
    <row r="350" spans="2:107" s="15" customFormat="1" ht="66" customHeight="1" thickBot="1" x14ac:dyDescent="0.25">
      <c r="B350" s="20"/>
      <c r="C350" s="21"/>
      <c r="D350" s="22"/>
      <c r="E350" s="22"/>
      <c r="F350" s="22"/>
      <c r="Y350" s="17"/>
      <c r="Z350" s="18"/>
      <c r="AA350" s="14"/>
      <c r="AB350" s="14"/>
      <c r="AC350" s="14"/>
      <c r="AD350" s="14"/>
      <c r="AE350" s="14"/>
      <c r="AF350" s="14"/>
      <c r="AG350" s="14"/>
      <c r="AH350" s="14"/>
      <c r="AI350" s="14"/>
      <c r="AS350" s="13"/>
      <c r="AT350" s="13"/>
      <c r="AW350" s="13"/>
      <c r="AX350" s="9"/>
      <c r="AY350" s="13"/>
      <c r="AZ350" s="13"/>
      <c r="BA350" s="13"/>
      <c r="BB350" s="40"/>
      <c r="BC350" s="42"/>
      <c r="BD350" s="43"/>
      <c r="BE350" s="43"/>
      <c r="BF350" s="44"/>
      <c r="BG350" s="40"/>
      <c r="BH350" s="269"/>
      <c r="BI350" s="270"/>
      <c r="BJ350" s="270"/>
      <c r="BK350" s="271"/>
      <c r="BL350" s="132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DC350" s="8"/>
    </row>
    <row r="351" spans="2:107" x14ac:dyDescent="0.2">
      <c r="BC351" s="42"/>
      <c r="BD351" s="43"/>
      <c r="BE351" s="43"/>
      <c r="BF351" s="44"/>
      <c r="BG351" s="40"/>
      <c r="BH351" s="126">
        <f>SUMPRODUCT(--($BH$353:$BH$491&lt;&gt;""))</f>
        <v>0</v>
      </c>
      <c r="BI351" s="126">
        <f>SUMPRODUCT(--($BI$353:$BI$491&lt;&gt;""))</f>
        <v>0</v>
      </c>
      <c r="BJ351" s="127">
        <f>SUMPRODUCT(--($BJ$353:$BJ$491&lt;&gt;""))</f>
        <v>0</v>
      </c>
      <c r="BK351" s="126">
        <f>SUMPRODUCT(--($BK$353:$BK$491&lt;&gt;""))</f>
        <v>0</v>
      </c>
      <c r="BL351" s="132"/>
      <c r="BM351" s="40"/>
      <c r="BN351" s="40"/>
      <c r="BO351" s="40"/>
      <c r="BP351" s="40"/>
      <c r="BQ351" s="40"/>
      <c r="BR351" s="40"/>
      <c r="BS351" s="40"/>
      <c r="BT351" s="40"/>
      <c r="BU351" s="40"/>
    </row>
    <row r="352" spans="2:107" ht="15" customHeight="1" x14ac:dyDescent="0.2">
      <c r="BC352" s="42"/>
      <c r="BD352" s="43"/>
      <c r="BE352" s="43"/>
      <c r="BF352" s="44"/>
      <c r="BG352" s="40"/>
      <c r="BH352" s="128" t="s">
        <v>50</v>
      </c>
      <c r="BI352" s="129" t="s">
        <v>14</v>
      </c>
      <c r="BJ352" s="129" t="s">
        <v>46</v>
      </c>
      <c r="BK352" s="130" t="s">
        <v>47</v>
      </c>
      <c r="BL352" s="132"/>
      <c r="BM352" s="40"/>
      <c r="BN352" s="40"/>
      <c r="BO352" s="40"/>
      <c r="BP352" s="40"/>
      <c r="BQ352" s="40"/>
      <c r="BR352" s="40"/>
      <c r="BS352" s="40"/>
      <c r="BT352" s="40"/>
      <c r="BU352" s="40"/>
    </row>
    <row r="353" spans="55:73" x14ac:dyDescent="0.2">
      <c r="BC353" s="43"/>
      <c r="BD353" s="230"/>
      <c r="BE353" s="229"/>
      <c r="BF353" s="229"/>
      <c r="BG353" s="40"/>
      <c r="BH353" s="131" t="str">
        <f t="shared" ref="BH353:BH384" si="14">IF(AND($B3="",$C3=""),"",IF($FB3="I",IF(AND(ISBLANK($E3)=FALSE,ISBLANK($F3)),IF($B3="",$C3,$B3),IF(AND(ISBLANK($I3)=FALSE,ISBLANK($J3)),IF($B3="",$C3,$B3),IF(AND(ISBLANK($M3)=FALSE,ISBLANK($N3)),IF($B3="",$C3,$B3),IF(AND(ISBLANK($Q3)=FALSE,ISBLANK($R3)),IF($B3="",$C3,$B3),IF(AND(ISBLANK($U3)=FALSE,ISBLANK($V3)),IF($B3="",$C3,$B3),""))))), ""))</f>
        <v/>
      </c>
      <c r="BI353" s="132" t="str">
        <f t="shared" ref="BI353:BI384" si="15">IF(AND($B3="",$C3=""),"",IF($FB3="H",IF(AND(ISBLANK($E3)=FALSE,ISBLANK($F3)),IF($B3="",$C3,$B3),IF(AND(ISBLANK($I3)=FALSE,ISBLANK($J3)),IF($B3="",$C3,$B3),IF(AND(ISBLANK($M3)=FALSE,ISBLANK($N3)),IF($B3="",$C3,$B3),IF(AND(ISBLANK($Q3)=FALSE,ISBLANK($R3)),IF($B3="",$C3,$B3),IF(AND(ISBLANK($U3)=FALSE,ISBLANK($V3)),IF($B3="",$C3,$B3),""))))), ""))</f>
        <v/>
      </c>
      <c r="BJ353" s="133" t="str">
        <f t="shared" ref="BJ353:BJ384" si="16">IF(AND(ISBLANK($F3)=FALSE,ISBLANK($G3),ISBLANK($H3)),IF($B3="",$C3,$B3),IF(AND(ISBLANK($J3)=FALSE,ISBLANK($K3),ISBLANK($L3)),IF($B3="",$C3,$B3),IF(AND(ISBLANK($N3)=FALSE,ISBLANK($O3),ISBLANK($P3)),IF($B3="",$C3,$B3),IF(AND(ISBLANK($R3)=FALSE,ISBLANK($S3),ISBLANK($T3)),IF($B3="",$C3,$B3),IF(AND(ISBLANK($V3)=FALSE,ISBLANK($W3)),IF($B3="",$C3,$B3),"")))))</f>
        <v/>
      </c>
      <c r="BK353" s="133" t="str">
        <f t="shared" ref="BK353:BK384" si="17">IF(AND($BH353="", $BI353="", $BJ353=""), IF(AND($C3="",$B3=""),"", IF($B3="",$C3,$B3)),"")</f>
        <v/>
      </c>
      <c r="BL353" s="132"/>
      <c r="BM353" s="40"/>
      <c r="BN353" s="40"/>
      <c r="BO353" s="40"/>
      <c r="BP353" s="40"/>
      <c r="BQ353" s="40"/>
      <c r="BR353" s="40"/>
      <c r="BS353" s="40"/>
      <c r="BT353" s="40"/>
      <c r="BU353" s="40"/>
    </row>
    <row r="354" spans="55:73" ht="15" customHeight="1" x14ac:dyDescent="0.2">
      <c r="BC354" s="42"/>
      <c r="BD354" s="43"/>
      <c r="BE354" s="43"/>
      <c r="BF354" s="40"/>
      <c r="BG354" s="40"/>
      <c r="BH354" s="131" t="str">
        <f t="shared" si="14"/>
        <v/>
      </c>
      <c r="BI354" s="132" t="str">
        <f t="shared" si="15"/>
        <v/>
      </c>
      <c r="BJ354" s="133" t="str">
        <f t="shared" si="16"/>
        <v/>
      </c>
      <c r="BK354" s="133" t="str">
        <f t="shared" si="17"/>
        <v/>
      </c>
      <c r="BL354" s="132"/>
      <c r="BM354" s="40"/>
      <c r="BN354" s="40"/>
      <c r="BO354" s="40"/>
      <c r="BP354" s="41"/>
      <c r="BQ354" s="41"/>
      <c r="BR354" s="41"/>
      <c r="BS354" s="41"/>
      <c r="BT354" s="41"/>
      <c r="BU354" s="41"/>
    </row>
    <row r="355" spans="55:73" x14ac:dyDescent="0.2">
      <c r="BC355" s="123"/>
      <c r="BD355" s="123"/>
      <c r="BE355" s="123"/>
      <c r="BF355" s="40"/>
      <c r="BG355" s="40"/>
      <c r="BH355" s="131" t="str">
        <f t="shared" si="14"/>
        <v/>
      </c>
      <c r="BI355" s="132" t="str">
        <f t="shared" si="15"/>
        <v/>
      </c>
      <c r="BJ355" s="133" t="str">
        <f t="shared" si="16"/>
        <v/>
      </c>
      <c r="BK355" s="133" t="str">
        <f t="shared" si="17"/>
        <v/>
      </c>
      <c r="BL355" s="132"/>
      <c r="BM355" s="40"/>
      <c r="BN355" s="40"/>
      <c r="BO355" s="40"/>
      <c r="BP355" s="41"/>
      <c r="BQ355" s="41"/>
      <c r="BR355" s="41"/>
      <c r="BS355" s="41"/>
      <c r="BT355" s="41"/>
      <c r="BU355" s="41"/>
    </row>
    <row r="356" spans="55:73" x14ac:dyDescent="0.2">
      <c r="BC356" s="40"/>
      <c r="BD356" s="40"/>
      <c r="BE356" s="40"/>
      <c r="BF356" s="40"/>
      <c r="BG356" s="40"/>
      <c r="BH356" s="131" t="str">
        <f t="shared" si="14"/>
        <v/>
      </c>
      <c r="BI356" s="132" t="str">
        <f t="shared" si="15"/>
        <v/>
      </c>
      <c r="BJ356" s="133" t="str">
        <f t="shared" si="16"/>
        <v/>
      </c>
      <c r="BK356" s="133" t="str">
        <f t="shared" si="17"/>
        <v/>
      </c>
      <c r="BL356" s="132"/>
      <c r="BM356" s="40"/>
      <c r="BN356" s="40"/>
      <c r="BO356" s="40"/>
      <c r="BP356" s="40"/>
      <c r="BQ356" s="40"/>
      <c r="BR356" s="40"/>
      <c r="BS356" s="41"/>
      <c r="BT356" s="41"/>
      <c r="BU356" s="41"/>
    </row>
    <row r="357" spans="55:73" x14ac:dyDescent="0.2">
      <c r="BC357" s="45"/>
      <c r="BD357" s="46"/>
      <c r="BE357" s="46"/>
      <c r="BF357" s="134"/>
      <c r="BG357" s="135"/>
      <c r="BH357" s="131" t="str">
        <f t="shared" si="14"/>
        <v/>
      </c>
      <c r="BI357" s="132" t="str">
        <f t="shared" si="15"/>
        <v/>
      </c>
      <c r="BJ357" s="133" t="str">
        <f t="shared" si="16"/>
        <v/>
      </c>
      <c r="BK357" s="133" t="str">
        <f t="shared" si="17"/>
        <v/>
      </c>
      <c r="BL357" s="132"/>
      <c r="BM357" s="40"/>
      <c r="BN357" s="40"/>
      <c r="BO357" s="40"/>
      <c r="BP357" s="40"/>
      <c r="BQ357" s="40"/>
      <c r="BR357" s="40"/>
      <c r="BS357" s="41"/>
      <c r="BT357" s="41"/>
      <c r="BU357" s="41"/>
    </row>
    <row r="358" spans="55:73" x14ac:dyDescent="0.2">
      <c r="BC358" s="45"/>
      <c r="BD358" s="46"/>
      <c r="BE358" s="46"/>
      <c r="BF358" s="134"/>
      <c r="BG358" s="135"/>
      <c r="BH358" s="131" t="str">
        <f t="shared" si="14"/>
        <v/>
      </c>
      <c r="BI358" s="132" t="str">
        <f t="shared" si="15"/>
        <v/>
      </c>
      <c r="BJ358" s="133" t="str">
        <f t="shared" si="16"/>
        <v/>
      </c>
      <c r="BK358" s="133" t="str">
        <f t="shared" si="17"/>
        <v/>
      </c>
      <c r="BL358" s="132"/>
      <c r="BM358" s="47"/>
      <c r="BN358" s="47"/>
      <c r="BO358" s="47"/>
      <c r="BP358" s="47"/>
      <c r="BQ358" s="47"/>
      <c r="BR358" s="47"/>
      <c r="BS358" s="48"/>
      <c r="BT358" s="47"/>
      <c r="BU358" s="48"/>
    </row>
    <row r="359" spans="55:73" x14ac:dyDescent="0.2">
      <c r="BC359" s="45"/>
      <c r="BD359" s="46"/>
      <c r="BE359" s="46"/>
      <c r="BF359" s="134"/>
      <c r="BG359" s="135"/>
      <c r="BH359" s="131" t="str">
        <f t="shared" si="14"/>
        <v/>
      </c>
      <c r="BI359" s="132" t="str">
        <f t="shared" si="15"/>
        <v/>
      </c>
      <c r="BJ359" s="133" t="str">
        <f t="shared" si="16"/>
        <v/>
      </c>
      <c r="BK359" s="133" t="str">
        <f t="shared" si="17"/>
        <v/>
      </c>
      <c r="BL359" s="132"/>
      <c r="BM359" s="47"/>
      <c r="BN359" s="47"/>
      <c r="BO359" s="47"/>
      <c r="BP359" s="47"/>
      <c r="BQ359" s="47"/>
      <c r="BR359" s="47"/>
      <c r="BS359" s="48"/>
      <c r="BT359" s="47"/>
      <c r="BU359" s="48"/>
    </row>
    <row r="360" spans="55:73" x14ac:dyDescent="0.2">
      <c r="BC360" s="45"/>
      <c r="BD360" s="46"/>
      <c r="BE360" s="46"/>
      <c r="BF360" s="134"/>
      <c r="BG360" s="135"/>
      <c r="BH360" s="131" t="str">
        <f t="shared" si="14"/>
        <v/>
      </c>
      <c r="BI360" s="132" t="str">
        <f t="shared" si="15"/>
        <v/>
      </c>
      <c r="BJ360" s="133" t="str">
        <f t="shared" si="16"/>
        <v/>
      </c>
      <c r="BK360" s="133" t="str">
        <f t="shared" si="17"/>
        <v/>
      </c>
      <c r="BL360" s="132"/>
      <c r="BM360" s="47"/>
      <c r="BN360" s="47"/>
      <c r="BO360" s="47"/>
      <c r="BP360" s="47"/>
      <c r="BQ360" s="47"/>
      <c r="BR360" s="47"/>
      <c r="BS360" s="48"/>
      <c r="BT360" s="47"/>
      <c r="BU360" s="48"/>
    </row>
    <row r="361" spans="55:73" x14ac:dyDescent="0.2">
      <c r="BC361" s="45"/>
      <c r="BD361" s="46"/>
      <c r="BE361" s="46"/>
      <c r="BF361" s="134"/>
      <c r="BG361" s="135"/>
      <c r="BH361" s="131" t="str">
        <f t="shared" si="14"/>
        <v/>
      </c>
      <c r="BI361" s="132" t="str">
        <f t="shared" si="15"/>
        <v/>
      </c>
      <c r="BJ361" s="133" t="str">
        <f t="shared" si="16"/>
        <v/>
      </c>
      <c r="BK361" s="133" t="str">
        <f t="shared" si="17"/>
        <v/>
      </c>
      <c r="BL361" s="132"/>
      <c r="BM361" s="47"/>
      <c r="BN361" s="47"/>
      <c r="BO361" s="47"/>
      <c r="BP361" s="47"/>
      <c r="BQ361" s="47"/>
      <c r="BR361" s="47"/>
      <c r="BS361" s="48"/>
      <c r="BT361" s="47"/>
      <c r="BU361" s="48"/>
    </row>
    <row r="362" spans="55:73" x14ac:dyDescent="0.2">
      <c r="BC362" s="45"/>
      <c r="BD362" s="46"/>
      <c r="BE362" s="46"/>
      <c r="BF362" s="134"/>
      <c r="BG362" s="135"/>
      <c r="BH362" s="131" t="str">
        <f t="shared" si="14"/>
        <v/>
      </c>
      <c r="BI362" s="132" t="str">
        <f t="shared" si="15"/>
        <v/>
      </c>
      <c r="BJ362" s="133" t="str">
        <f t="shared" si="16"/>
        <v/>
      </c>
      <c r="BK362" s="133" t="str">
        <f t="shared" si="17"/>
        <v/>
      </c>
      <c r="BL362" s="132"/>
      <c r="BM362" s="47"/>
      <c r="BN362" s="47"/>
      <c r="BO362" s="47"/>
      <c r="BP362" s="47"/>
      <c r="BQ362" s="47"/>
      <c r="BR362" s="47"/>
      <c r="BS362" s="48"/>
      <c r="BT362" s="47"/>
      <c r="BU362" s="48"/>
    </row>
    <row r="363" spans="55:73" x14ac:dyDescent="0.2">
      <c r="BC363" s="45"/>
      <c r="BD363" s="46"/>
      <c r="BE363" s="46"/>
      <c r="BF363" s="134"/>
      <c r="BG363" s="135"/>
      <c r="BH363" s="131" t="str">
        <f t="shared" si="14"/>
        <v/>
      </c>
      <c r="BI363" s="132" t="str">
        <f t="shared" si="15"/>
        <v/>
      </c>
      <c r="BJ363" s="133" t="str">
        <f t="shared" si="16"/>
        <v/>
      </c>
      <c r="BK363" s="133" t="str">
        <f t="shared" si="17"/>
        <v/>
      </c>
      <c r="BL363" s="132"/>
      <c r="BM363" s="47"/>
      <c r="BN363" s="47"/>
      <c r="BO363" s="47"/>
      <c r="BP363" s="47"/>
      <c r="BQ363" s="47"/>
      <c r="BR363" s="47"/>
      <c r="BS363" s="48"/>
      <c r="BT363" s="47"/>
      <c r="BU363" s="48"/>
    </row>
    <row r="364" spans="55:73" x14ac:dyDescent="0.2">
      <c r="BC364" s="45"/>
      <c r="BD364" s="46"/>
      <c r="BE364" s="46"/>
      <c r="BF364" s="134"/>
      <c r="BG364" s="135"/>
      <c r="BH364" s="131" t="str">
        <f t="shared" si="14"/>
        <v/>
      </c>
      <c r="BI364" s="132" t="str">
        <f t="shared" si="15"/>
        <v/>
      </c>
      <c r="BJ364" s="133" t="str">
        <f t="shared" si="16"/>
        <v/>
      </c>
      <c r="BK364" s="133" t="str">
        <f t="shared" si="17"/>
        <v/>
      </c>
      <c r="BL364" s="132"/>
      <c r="BM364" s="47"/>
      <c r="BN364" s="47"/>
      <c r="BO364" s="47"/>
      <c r="BP364" s="47"/>
      <c r="BQ364" s="47"/>
      <c r="BR364" s="47"/>
      <c r="BS364" s="48"/>
      <c r="BT364" s="47"/>
      <c r="BU364" s="48"/>
    </row>
    <row r="365" spans="55:73" x14ac:dyDescent="0.2">
      <c r="BC365" s="45"/>
      <c r="BD365" s="46"/>
      <c r="BE365" s="46"/>
      <c r="BF365" s="134"/>
      <c r="BG365" s="135"/>
      <c r="BH365" s="131" t="str">
        <f t="shared" si="14"/>
        <v/>
      </c>
      <c r="BI365" s="132" t="str">
        <f t="shared" si="15"/>
        <v/>
      </c>
      <c r="BJ365" s="133" t="str">
        <f t="shared" si="16"/>
        <v/>
      </c>
      <c r="BK365" s="133" t="str">
        <f t="shared" si="17"/>
        <v/>
      </c>
      <c r="BL365" s="132"/>
      <c r="BM365" s="47"/>
      <c r="BN365" s="47"/>
      <c r="BO365" s="47"/>
      <c r="BP365" s="47"/>
      <c r="BQ365" s="47"/>
      <c r="BR365" s="47"/>
      <c r="BS365" s="48"/>
      <c r="BT365" s="47"/>
      <c r="BU365" s="48"/>
    </row>
    <row r="366" spans="55:73" x14ac:dyDescent="0.2">
      <c r="BC366" s="45"/>
      <c r="BD366" s="46"/>
      <c r="BE366" s="46"/>
      <c r="BF366" s="134"/>
      <c r="BG366" s="135"/>
      <c r="BH366" s="131" t="str">
        <f t="shared" si="14"/>
        <v/>
      </c>
      <c r="BI366" s="132" t="str">
        <f t="shared" si="15"/>
        <v/>
      </c>
      <c r="BJ366" s="133" t="str">
        <f t="shared" si="16"/>
        <v/>
      </c>
      <c r="BK366" s="133" t="str">
        <f t="shared" si="17"/>
        <v/>
      </c>
      <c r="BL366" s="132"/>
      <c r="BM366" s="47"/>
      <c r="BN366" s="47"/>
      <c r="BO366" s="47"/>
      <c r="BP366" s="47"/>
      <c r="BQ366" s="47"/>
      <c r="BR366" s="47"/>
      <c r="BS366" s="48"/>
      <c r="BT366" s="47"/>
      <c r="BU366" s="48"/>
    </row>
    <row r="367" spans="55:73" x14ac:dyDescent="0.2">
      <c r="BC367" s="45"/>
      <c r="BD367" s="46"/>
      <c r="BE367" s="46"/>
      <c r="BF367" s="134"/>
      <c r="BG367" s="135"/>
      <c r="BH367" s="131" t="str">
        <f t="shared" si="14"/>
        <v/>
      </c>
      <c r="BI367" s="132" t="str">
        <f t="shared" si="15"/>
        <v/>
      </c>
      <c r="BJ367" s="133" t="str">
        <f t="shared" si="16"/>
        <v/>
      </c>
      <c r="BK367" s="133" t="str">
        <f t="shared" si="17"/>
        <v/>
      </c>
      <c r="BL367" s="132"/>
      <c r="BM367" s="47"/>
      <c r="BN367" s="47"/>
      <c r="BO367" s="47"/>
      <c r="BP367" s="47"/>
      <c r="BQ367" s="47"/>
      <c r="BR367" s="47"/>
      <c r="BS367" s="48"/>
      <c r="BT367" s="47"/>
      <c r="BU367" s="48"/>
    </row>
    <row r="368" spans="55:73" x14ac:dyDescent="0.2">
      <c r="BC368" s="45"/>
      <c r="BD368" s="46"/>
      <c r="BE368" s="46"/>
      <c r="BF368" s="134"/>
      <c r="BG368" s="135"/>
      <c r="BH368" s="131" t="str">
        <f t="shared" si="14"/>
        <v/>
      </c>
      <c r="BI368" s="132" t="str">
        <f t="shared" si="15"/>
        <v/>
      </c>
      <c r="BJ368" s="133" t="str">
        <f t="shared" si="16"/>
        <v/>
      </c>
      <c r="BK368" s="133" t="str">
        <f t="shared" si="17"/>
        <v/>
      </c>
      <c r="BL368" s="132"/>
      <c r="BM368" s="47"/>
      <c r="BN368" s="47"/>
      <c r="BO368" s="47"/>
      <c r="BP368" s="47"/>
      <c r="BQ368" s="47"/>
      <c r="BR368" s="47"/>
      <c r="BS368" s="48"/>
      <c r="BT368" s="47"/>
      <c r="BU368" s="48"/>
    </row>
    <row r="369" spans="55:73" x14ac:dyDescent="0.2">
      <c r="BC369" s="45"/>
      <c r="BD369" s="46"/>
      <c r="BE369" s="46"/>
      <c r="BF369" s="134"/>
      <c r="BG369" s="135"/>
      <c r="BH369" s="131" t="str">
        <f t="shared" si="14"/>
        <v/>
      </c>
      <c r="BI369" s="132" t="str">
        <f t="shared" si="15"/>
        <v/>
      </c>
      <c r="BJ369" s="133" t="str">
        <f t="shared" si="16"/>
        <v/>
      </c>
      <c r="BK369" s="133" t="str">
        <f t="shared" si="17"/>
        <v/>
      </c>
      <c r="BL369" s="132"/>
      <c r="BM369" s="47"/>
      <c r="BN369" s="47"/>
      <c r="BO369" s="47"/>
      <c r="BP369" s="47"/>
      <c r="BQ369" s="47"/>
      <c r="BR369" s="47"/>
      <c r="BS369" s="48"/>
      <c r="BT369" s="47"/>
      <c r="BU369" s="48"/>
    </row>
    <row r="370" spans="55:73" x14ac:dyDescent="0.2">
      <c r="BC370" s="45"/>
      <c r="BD370" s="46"/>
      <c r="BE370" s="46"/>
      <c r="BF370" s="134"/>
      <c r="BG370" s="135"/>
      <c r="BH370" s="131" t="str">
        <f t="shared" si="14"/>
        <v/>
      </c>
      <c r="BI370" s="132" t="str">
        <f t="shared" si="15"/>
        <v/>
      </c>
      <c r="BJ370" s="133" t="str">
        <f t="shared" si="16"/>
        <v/>
      </c>
      <c r="BK370" s="133" t="str">
        <f t="shared" si="17"/>
        <v/>
      </c>
      <c r="BL370" s="132"/>
      <c r="BM370" s="47"/>
      <c r="BN370" s="47"/>
      <c r="BO370" s="47"/>
      <c r="BP370" s="47"/>
      <c r="BQ370" s="47"/>
      <c r="BR370" s="47"/>
      <c r="BS370" s="48"/>
      <c r="BT370" s="47"/>
      <c r="BU370" s="48"/>
    </row>
    <row r="371" spans="55:73" x14ac:dyDescent="0.2">
      <c r="BC371" s="45"/>
      <c r="BD371" s="46"/>
      <c r="BE371" s="46"/>
      <c r="BF371" s="134"/>
      <c r="BG371" s="135"/>
      <c r="BH371" s="131" t="str">
        <f t="shared" si="14"/>
        <v/>
      </c>
      <c r="BI371" s="132" t="str">
        <f t="shared" si="15"/>
        <v/>
      </c>
      <c r="BJ371" s="133" t="str">
        <f t="shared" si="16"/>
        <v/>
      </c>
      <c r="BK371" s="133" t="str">
        <f t="shared" si="17"/>
        <v/>
      </c>
      <c r="BL371" s="132"/>
      <c r="BM371" s="47"/>
      <c r="BN371" s="47"/>
      <c r="BO371" s="47"/>
      <c r="BP371" s="47"/>
      <c r="BQ371" s="47"/>
      <c r="BR371" s="47"/>
      <c r="BS371" s="48"/>
      <c r="BT371" s="47"/>
      <c r="BU371" s="48"/>
    </row>
    <row r="372" spans="55:73" x14ac:dyDescent="0.2">
      <c r="BC372" s="45"/>
      <c r="BD372" s="46"/>
      <c r="BE372" s="46"/>
      <c r="BF372" s="134"/>
      <c r="BG372" s="135"/>
      <c r="BH372" s="131" t="str">
        <f t="shared" si="14"/>
        <v/>
      </c>
      <c r="BI372" s="132" t="str">
        <f t="shared" si="15"/>
        <v/>
      </c>
      <c r="BJ372" s="133" t="str">
        <f t="shared" si="16"/>
        <v/>
      </c>
      <c r="BK372" s="133" t="str">
        <f t="shared" si="17"/>
        <v/>
      </c>
      <c r="BL372" s="132"/>
      <c r="BM372" s="47"/>
      <c r="BN372" s="47"/>
      <c r="BO372" s="47"/>
      <c r="BP372" s="47"/>
      <c r="BQ372" s="47"/>
      <c r="BR372" s="47"/>
      <c r="BS372" s="48"/>
      <c r="BT372" s="47"/>
      <c r="BU372" s="48"/>
    </row>
    <row r="373" spans="55:73" x14ac:dyDescent="0.2">
      <c r="BC373" s="45"/>
      <c r="BD373" s="46"/>
      <c r="BE373" s="46"/>
      <c r="BF373" s="134"/>
      <c r="BG373" s="135"/>
      <c r="BH373" s="131" t="str">
        <f t="shared" si="14"/>
        <v/>
      </c>
      <c r="BI373" s="132" t="str">
        <f t="shared" si="15"/>
        <v/>
      </c>
      <c r="BJ373" s="133" t="str">
        <f t="shared" si="16"/>
        <v/>
      </c>
      <c r="BK373" s="133" t="str">
        <f t="shared" si="17"/>
        <v/>
      </c>
      <c r="BL373" s="132"/>
      <c r="BM373" s="47"/>
      <c r="BN373" s="47"/>
      <c r="BO373" s="47"/>
      <c r="BP373" s="47"/>
      <c r="BQ373" s="47"/>
      <c r="BR373" s="47"/>
      <c r="BS373" s="48"/>
      <c r="BT373" s="47"/>
      <c r="BU373" s="48"/>
    </row>
    <row r="374" spans="55:73" x14ac:dyDescent="0.2">
      <c r="BC374" s="45"/>
      <c r="BD374" s="46"/>
      <c r="BE374" s="46"/>
      <c r="BF374" s="134"/>
      <c r="BG374" s="135"/>
      <c r="BH374" s="131" t="str">
        <f t="shared" si="14"/>
        <v/>
      </c>
      <c r="BI374" s="132" t="str">
        <f t="shared" si="15"/>
        <v/>
      </c>
      <c r="BJ374" s="133" t="str">
        <f t="shared" si="16"/>
        <v/>
      </c>
      <c r="BK374" s="133" t="str">
        <f t="shared" si="17"/>
        <v/>
      </c>
      <c r="BL374" s="132"/>
      <c r="BM374" s="47"/>
      <c r="BN374" s="47"/>
      <c r="BO374" s="47"/>
      <c r="BP374" s="47"/>
      <c r="BQ374" s="47"/>
      <c r="BR374" s="47"/>
      <c r="BS374" s="48"/>
      <c r="BT374" s="47"/>
      <c r="BU374" s="48"/>
    </row>
    <row r="375" spans="55:73" x14ac:dyDescent="0.2">
      <c r="BC375" s="45"/>
      <c r="BD375" s="46"/>
      <c r="BE375" s="46"/>
      <c r="BF375" s="134"/>
      <c r="BG375" s="135"/>
      <c r="BH375" s="131" t="str">
        <f t="shared" si="14"/>
        <v/>
      </c>
      <c r="BI375" s="132" t="str">
        <f t="shared" si="15"/>
        <v/>
      </c>
      <c r="BJ375" s="133" t="str">
        <f t="shared" si="16"/>
        <v/>
      </c>
      <c r="BK375" s="133" t="str">
        <f t="shared" si="17"/>
        <v/>
      </c>
      <c r="BL375" s="132"/>
      <c r="BM375" s="47"/>
      <c r="BN375" s="47"/>
      <c r="BO375" s="47"/>
      <c r="BP375" s="47"/>
      <c r="BQ375" s="47"/>
      <c r="BR375" s="47"/>
      <c r="BS375" s="48"/>
      <c r="BT375" s="47"/>
      <c r="BU375" s="48"/>
    </row>
    <row r="376" spans="55:73" x14ac:dyDescent="0.2">
      <c r="BC376" s="45"/>
      <c r="BD376" s="46"/>
      <c r="BE376" s="46"/>
      <c r="BF376" s="134"/>
      <c r="BG376" s="135"/>
      <c r="BH376" s="131" t="str">
        <f t="shared" si="14"/>
        <v/>
      </c>
      <c r="BI376" s="132" t="str">
        <f t="shared" si="15"/>
        <v/>
      </c>
      <c r="BJ376" s="133" t="str">
        <f t="shared" si="16"/>
        <v/>
      </c>
      <c r="BK376" s="133" t="str">
        <f t="shared" si="17"/>
        <v/>
      </c>
      <c r="BL376" s="132"/>
      <c r="BM376" s="47"/>
      <c r="BN376" s="47"/>
      <c r="BO376" s="47"/>
      <c r="BP376" s="47"/>
      <c r="BQ376" s="47"/>
      <c r="BR376" s="47"/>
      <c r="BS376" s="48"/>
      <c r="BT376" s="47"/>
      <c r="BU376" s="48"/>
    </row>
    <row r="377" spans="55:73" x14ac:dyDescent="0.2">
      <c r="BC377" s="45"/>
      <c r="BD377" s="46"/>
      <c r="BE377" s="46"/>
      <c r="BF377" s="134"/>
      <c r="BG377" s="135"/>
      <c r="BH377" s="131" t="str">
        <f t="shared" si="14"/>
        <v/>
      </c>
      <c r="BI377" s="132" t="str">
        <f t="shared" si="15"/>
        <v/>
      </c>
      <c r="BJ377" s="133" t="str">
        <f t="shared" si="16"/>
        <v/>
      </c>
      <c r="BK377" s="133" t="str">
        <f t="shared" si="17"/>
        <v/>
      </c>
      <c r="BL377" s="132"/>
      <c r="BM377" s="47"/>
      <c r="BN377" s="47"/>
      <c r="BO377" s="47"/>
      <c r="BP377" s="47"/>
      <c r="BQ377" s="47"/>
      <c r="BR377" s="47"/>
      <c r="BS377" s="48"/>
      <c r="BT377" s="47"/>
      <c r="BU377" s="48"/>
    </row>
    <row r="378" spans="55:73" x14ac:dyDescent="0.2">
      <c r="BC378" s="45"/>
      <c r="BD378" s="46"/>
      <c r="BE378" s="46"/>
      <c r="BF378" s="134"/>
      <c r="BG378" s="135"/>
      <c r="BH378" s="131" t="str">
        <f t="shared" si="14"/>
        <v/>
      </c>
      <c r="BI378" s="132" t="str">
        <f t="shared" si="15"/>
        <v/>
      </c>
      <c r="BJ378" s="133" t="str">
        <f t="shared" si="16"/>
        <v/>
      </c>
      <c r="BK378" s="133" t="str">
        <f t="shared" si="17"/>
        <v/>
      </c>
      <c r="BL378" s="132"/>
      <c r="BM378" s="47"/>
      <c r="BN378" s="47"/>
      <c r="BO378" s="47"/>
      <c r="BP378" s="47"/>
      <c r="BQ378" s="47"/>
      <c r="BR378" s="47"/>
      <c r="BS378" s="48"/>
      <c r="BT378" s="47"/>
      <c r="BU378" s="48"/>
    </row>
    <row r="379" spans="55:73" x14ac:dyDescent="0.2">
      <c r="BC379" s="45"/>
      <c r="BD379" s="46"/>
      <c r="BE379" s="46"/>
      <c r="BF379" s="134"/>
      <c r="BG379" s="135"/>
      <c r="BH379" s="131" t="str">
        <f t="shared" si="14"/>
        <v/>
      </c>
      <c r="BI379" s="132" t="str">
        <f t="shared" si="15"/>
        <v/>
      </c>
      <c r="BJ379" s="133" t="str">
        <f t="shared" si="16"/>
        <v/>
      </c>
      <c r="BK379" s="133" t="str">
        <f t="shared" si="17"/>
        <v/>
      </c>
      <c r="BL379" s="132"/>
      <c r="BM379" s="47"/>
      <c r="BN379" s="47"/>
      <c r="BO379" s="47"/>
      <c r="BP379" s="47"/>
      <c r="BQ379" s="47"/>
      <c r="BR379" s="47"/>
      <c r="BS379" s="48"/>
      <c r="BT379" s="47"/>
      <c r="BU379" s="48"/>
    </row>
    <row r="380" spans="55:73" x14ac:dyDescent="0.2">
      <c r="BC380" s="45"/>
      <c r="BD380" s="46"/>
      <c r="BE380" s="46"/>
      <c r="BF380" s="134"/>
      <c r="BG380" s="135"/>
      <c r="BH380" s="131" t="str">
        <f t="shared" si="14"/>
        <v/>
      </c>
      <c r="BI380" s="132" t="str">
        <f t="shared" si="15"/>
        <v/>
      </c>
      <c r="BJ380" s="133" t="str">
        <f t="shared" si="16"/>
        <v/>
      </c>
      <c r="BK380" s="133" t="str">
        <f t="shared" si="17"/>
        <v/>
      </c>
      <c r="BL380" s="132"/>
      <c r="BM380" s="47"/>
      <c r="BN380" s="47"/>
      <c r="BO380" s="47"/>
      <c r="BP380" s="47"/>
      <c r="BQ380" s="47"/>
      <c r="BR380" s="47"/>
      <c r="BS380" s="48"/>
      <c r="BT380" s="47"/>
      <c r="BU380" s="48"/>
    </row>
    <row r="381" spans="55:73" x14ac:dyDescent="0.2">
      <c r="BC381" s="45"/>
      <c r="BD381" s="46"/>
      <c r="BE381" s="46"/>
      <c r="BF381" s="134"/>
      <c r="BG381" s="135"/>
      <c r="BH381" s="131" t="str">
        <f t="shared" si="14"/>
        <v/>
      </c>
      <c r="BI381" s="132" t="str">
        <f t="shared" si="15"/>
        <v/>
      </c>
      <c r="BJ381" s="133" t="str">
        <f t="shared" si="16"/>
        <v/>
      </c>
      <c r="BK381" s="133" t="str">
        <f t="shared" si="17"/>
        <v/>
      </c>
      <c r="BL381" s="132"/>
      <c r="BM381" s="47"/>
      <c r="BN381" s="47"/>
      <c r="BO381" s="47"/>
      <c r="BP381" s="47"/>
      <c r="BQ381" s="47"/>
      <c r="BR381" s="47"/>
      <c r="BS381" s="48"/>
      <c r="BT381" s="47"/>
      <c r="BU381" s="48"/>
    </row>
    <row r="382" spans="55:73" x14ac:dyDescent="0.2">
      <c r="BC382" s="45"/>
      <c r="BD382" s="46"/>
      <c r="BE382" s="46"/>
      <c r="BF382" s="134"/>
      <c r="BG382" s="135"/>
      <c r="BH382" s="131" t="str">
        <f t="shared" si="14"/>
        <v/>
      </c>
      <c r="BI382" s="132" t="str">
        <f t="shared" si="15"/>
        <v/>
      </c>
      <c r="BJ382" s="133" t="str">
        <f t="shared" si="16"/>
        <v/>
      </c>
      <c r="BK382" s="133" t="str">
        <f t="shared" si="17"/>
        <v/>
      </c>
      <c r="BL382" s="132"/>
      <c r="BM382" s="47"/>
      <c r="BN382" s="47"/>
      <c r="BO382" s="47"/>
      <c r="BP382" s="47"/>
      <c r="BQ382" s="47"/>
      <c r="BR382" s="47"/>
      <c r="BS382" s="48"/>
      <c r="BT382" s="47"/>
      <c r="BU382" s="48"/>
    </row>
    <row r="383" spans="55:73" x14ac:dyDescent="0.2">
      <c r="BC383" s="45"/>
      <c r="BD383" s="46"/>
      <c r="BE383" s="46"/>
      <c r="BF383" s="134"/>
      <c r="BG383" s="135"/>
      <c r="BH383" s="131" t="str">
        <f t="shared" si="14"/>
        <v/>
      </c>
      <c r="BI383" s="132" t="str">
        <f t="shared" si="15"/>
        <v/>
      </c>
      <c r="BJ383" s="133" t="str">
        <f t="shared" si="16"/>
        <v/>
      </c>
      <c r="BK383" s="133" t="str">
        <f t="shared" si="17"/>
        <v/>
      </c>
      <c r="BL383" s="132"/>
      <c r="BM383" s="47"/>
      <c r="BN383" s="47"/>
      <c r="BO383" s="47"/>
      <c r="BP383" s="47"/>
      <c r="BQ383" s="47"/>
      <c r="BR383" s="47"/>
      <c r="BS383" s="48"/>
      <c r="BT383" s="47"/>
      <c r="BU383" s="48"/>
    </row>
    <row r="384" spans="55:73" x14ac:dyDescent="0.2">
      <c r="BC384" s="45"/>
      <c r="BD384" s="46"/>
      <c r="BE384" s="46"/>
      <c r="BF384" s="134"/>
      <c r="BG384" s="135"/>
      <c r="BH384" s="131" t="str">
        <f t="shared" si="14"/>
        <v/>
      </c>
      <c r="BI384" s="132" t="str">
        <f t="shared" si="15"/>
        <v/>
      </c>
      <c r="BJ384" s="133" t="str">
        <f t="shared" si="16"/>
        <v/>
      </c>
      <c r="BK384" s="133" t="str">
        <f t="shared" si="17"/>
        <v/>
      </c>
      <c r="BL384" s="132"/>
      <c r="BM384" s="47"/>
      <c r="BN384" s="47"/>
      <c r="BO384" s="47"/>
      <c r="BP384" s="47"/>
      <c r="BQ384" s="47"/>
      <c r="BR384" s="47"/>
      <c r="BS384" s="48"/>
      <c r="BT384" s="47"/>
      <c r="BU384" s="48"/>
    </row>
    <row r="385" spans="55:73" x14ac:dyDescent="0.2">
      <c r="BC385" s="45"/>
      <c r="BD385" s="46"/>
      <c r="BE385" s="46"/>
      <c r="BF385" s="134"/>
      <c r="BG385" s="135"/>
      <c r="BH385" s="131" t="str">
        <f t="shared" ref="BH385:BH416" si="18">IF(AND($B35="",$C35=""),"",IF($FB35="I",IF(AND(ISBLANK($E35)=FALSE,ISBLANK($F35)),IF($B35="",$C35,$B35),IF(AND(ISBLANK($I35)=FALSE,ISBLANK($J35)),IF($B35="",$C35,$B35),IF(AND(ISBLANK($M35)=FALSE,ISBLANK($N35)),IF($B35="",$C35,$B35),IF(AND(ISBLANK($Q35)=FALSE,ISBLANK($R35)),IF($B35="",$C35,$B35),IF(AND(ISBLANK($U35)=FALSE,ISBLANK($V35)),IF($B35="",$C35,$B35),""))))), ""))</f>
        <v/>
      </c>
      <c r="BI385" s="132" t="str">
        <f t="shared" ref="BI385:BI416" si="19">IF(AND($B35="",$C35=""),"",IF($FB35="H",IF(AND(ISBLANK($E35)=FALSE,ISBLANK($F35)),IF($B35="",$C35,$B35),IF(AND(ISBLANK($I35)=FALSE,ISBLANK($J35)),IF($B35="",$C35,$B35),IF(AND(ISBLANK($M35)=FALSE,ISBLANK($N35)),IF($B35="",$C35,$B35),IF(AND(ISBLANK($Q35)=FALSE,ISBLANK($R35)),IF($B35="",$C35,$B35),IF(AND(ISBLANK($U35)=FALSE,ISBLANK($V35)),IF($B35="",$C35,$B35),""))))), ""))</f>
        <v/>
      </c>
      <c r="BJ385" s="133" t="str">
        <f t="shared" ref="BJ385:BJ416" si="20">IF(AND(ISBLANK($F35)=FALSE,ISBLANK($G35),ISBLANK($H35)),IF($B35="",$C35,$B35),IF(AND(ISBLANK($J35)=FALSE,ISBLANK($K35),ISBLANK($L35)),IF($B35="",$C35,$B35),IF(AND(ISBLANK($N35)=FALSE,ISBLANK($O35),ISBLANK($P35)),IF($B35="",$C35,$B35),IF(AND(ISBLANK($R35)=FALSE,ISBLANK($S35),ISBLANK($T35)),IF($B35="",$C35,$B35),IF(AND(ISBLANK($V35)=FALSE,ISBLANK($W35)),IF($B35="",$C35,$B35),"")))))</f>
        <v/>
      </c>
      <c r="BK385" s="133" t="str">
        <f t="shared" ref="BK385:BK416" si="21">IF(AND($BH385="", $BI385="", $BJ385=""), IF(AND($C35="",$B35=""),"", IF($B35="",$C35,$B35)),"")</f>
        <v/>
      </c>
      <c r="BL385" s="132"/>
      <c r="BM385" s="47"/>
      <c r="BN385" s="47"/>
      <c r="BO385" s="47"/>
      <c r="BP385" s="47"/>
      <c r="BQ385" s="47"/>
      <c r="BR385" s="47"/>
      <c r="BS385" s="48"/>
      <c r="BT385" s="47"/>
      <c r="BU385" s="48"/>
    </row>
    <row r="386" spans="55:73" x14ac:dyDescent="0.2">
      <c r="BC386" s="45"/>
      <c r="BD386" s="46"/>
      <c r="BE386" s="46"/>
      <c r="BF386" s="134"/>
      <c r="BG386" s="135"/>
      <c r="BH386" s="131" t="str">
        <f t="shared" si="18"/>
        <v/>
      </c>
      <c r="BI386" s="132" t="str">
        <f t="shared" si="19"/>
        <v/>
      </c>
      <c r="BJ386" s="133" t="str">
        <f t="shared" si="20"/>
        <v/>
      </c>
      <c r="BK386" s="133" t="str">
        <f t="shared" si="21"/>
        <v/>
      </c>
      <c r="BL386" s="132"/>
      <c r="BM386" s="47"/>
      <c r="BN386" s="47"/>
      <c r="BO386" s="47"/>
      <c r="BP386" s="47"/>
      <c r="BQ386" s="47"/>
      <c r="BR386" s="47"/>
      <c r="BS386" s="48"/>
      <c r="BT386" s="47"/>
      <c r="BU386" s="48"/>
    </row>
    <row r="387" spans="55:73" x14ac:dyDescent="0.2">
      <c r="BC387" s="45"/>
      <c r="BD387" s="46"/>
      <c r="BE387" s="46"/>
      <c r="BF387" s="134"/>
      <c r="BG387" s="135"/>
      <c r="BH387" s="131" t="str">
        <f t="shared" si="18"/>
        <v/>
      </c>
      <c r="BI387" s="132" t="str">
        <f t="shared" si="19"/>
        <v/>
      </c>
      <c r="BJ387" s="133" t="str">
        <f t="shared" si="20"/>
        <v/>
      </c>
      <c r="BK387" s="133" t="str">
        <f t="shared" si="21"/>
        <v/>
      </c>
      <c r="BL387" s="132"/>
      <c r="BM387" s="47"/>
      <c r="BN387" s="47"/>
      <c r="BO387" s="47"/>
      <c r="BP387" s="47"/>
      <c r="BQ387" s="47"/>
      <c r="BR387" s="47"/>
      <c r="BS387" s="48"/>
      <c r="BT387" s="47"/>
      <c r="BU387" s="48"/>
    </row>
    <row r="388" spans="55:73" x14ac:dyDescent="0.2">
      <c r="BC388" s="45"/>
      <c r="BD388" s="46"/>
      <c r="BE388" s="46"/>
      <c r="BF388" s="134"/>
      <c r="BG388" s="135"/>
      <c r="BH388" s="131" t="str">
        <f t="shared" si="18"/>
        <v/>
      </c>
      <c r="BI388" s="132" t="str">
        <f t="shared" si="19"/>
        <v/>
      </c>
      <c r="BJ388" s="133" t="str">
        <f t="shared" si="20"/>
        <v/>
      </c>
      <c r="BK388" s="133" t="str">
        <f t="shared" si="21"/>
        <v/>
      </c>
      <c r="BL388" s="132"/>
      <c r="BM388" s="47"/>
      <c r="BN388" s="47"/>
      <c r="BO388" s="47"/>
      <c r="BP388" s="47"/>
      <c r="BQ388" s="47"/>
      <c r="BR388" s="47"/>
      <c r="BS388" s="48"/>
      <c r="BT388" s="47"/>
      <c r="BU388" s="48"/>
    </row>
    <row r="389" spans="55:73" x14ac:dyDescent="0.2">
      <c r="BC389" s="45"/>
      <c r="BD389" s="46"/>
      <c r="BE389" s="46"/>
      <c r="BF389" s="134"/>
      <c r="BG389" s="135"/>
      <c r="BH389" s="131" t="str">
        <f t="shared" si="18"/>
        <v/>
      </c>
      <c r="BI389" s="132" t="str">
        <f t="shared" si="19"/>
        <v/>
      </c>
      <c r="BJ389" s="133" t="str">
        <f t="shared" si="20"/>
        <v/>
      </c>
      <c r="BK389" s="133" t="str">
        <f t="shared" si="21"/>
        <v/>
      </c>
      <c r="BL389" s="132"/>
      <c r="BM389" s="47"/>
      <c r="BN389" s="47"/>
      <c r="BO389" s="47"/>
      <c r="BP389" s="47"/>
      <c r="BQ389" s="47"/>
      <c r="BR389" s="47"/>
      <c r="BS389" s="48"/>
      <c r="BT389" s="47"/>
      <c r="BU389" s="48"/>
    </row>
    <row r="390" spans="55:73" x14ac:dyDescent="0.2">
      <c r="BC390" s="45"/>
      <c r="BD390" s="46"/>
      <c r="BE390" s="46"/>
      <c r="BF390" s="134"/>
      <c r="BG390" s="135"/>
      <c r="BH390" s="131" t="str">
        <f t="shared" si="18"/>
        <v/>
      </c>
      <c r="BI390" s="132" t="str">
        <f t="shared" si="19"/>
        <v/>
      </c>
      <c r="BJ390" s="133" t="str">
        <f t="shared" si="20"/>
        <v/>
      </c>
      <c r="BK390" s="133" t="str">
        <f t="shared" si="21"/>
        <v/>
      </c>
      <c r="BL390" s="132"/>
      <c r="BM390" s="47"/>
      <c r="BN390" s="47"/>
      <c r="BO390" s="47"/>
      <c r="BP390" s="47"/>
      <c r="BQ390" s="47"/>
      <c r="BR390" s="47"/>
      <c r="BS390" s="48"/>
      <c r="BT390" s="47"/>
      <c r="BU390" s="48"/>
    </row>
    <row r="391" spans="55:73" x14ac:dyDescent="0.2">
      <c r="BC391" s="45"/>
      <c r="BD391" s="46"/>
      <c r="BE391" s="46"/>
      <c r="BF391" s="134"/>
      <c r="BG391" s="135"/>
      <c r="BH391" s="131" t="str">
        <f t="shared" si="18"/>
        <v/>
      </c>
      <c r="BI391" s="132" t="str">
        <f t="shared" si="19"/>
        <v/>
      </c>
      <c r="BJ391" s="133" t="str">
        <f t="shared" si="20"/>
        <v/>
      </c>
      <c r="BK391" s="133" t="str">
        <f t="shared" si="21"/>
        <v/>
      </c>
      <c r="BL391" s="132"/>
      <c r="BM391" s="47"/>
      <c r="BN391" s="47"/>
      <c r="BO391" s="47"/>
      <c r="BP391" s="47"/>
      <c r="BQ391" s="47"/>
      <c r="BR391" s="47"/>
      <c r="BS391" s="48"/>
      <c r="BT391" s="47"/>
      <c r="BU391" s="48"/>
    </row>
    <row r="392" spans="55:73" x14ac:dyDescent="0.2">
      <c r="BC392" s="45"/>
      <c r="BD392" s="46"/>
      <c r="BE392" s="46"/>
      <c r="BF392" s="134"/>
      <c r="BG392" s="135"/>
      <c r="BH392" s="131" t="str">
        <f t="shared" si="18"/>
        <v/>
      </c>
      <c r="BI392" s="132" t="str">
        <f t="shared" si="19"/>
        <v/>
      </c>
      <c r="BJ392" s="133" t="str">
        <f t="shared" si="20"/>
        <v/>
      </c>
      <c r="BK392" s="133" t="str">
        <f t="shared" si="21"/>
        <v/>
      </c>
      <c r="BL392" s="132"/>
      <c r="BM392" s="47"/>
      <c r="BN392" s="47"/>
      <c r="BO392" s="47"/>
      <c r="BP392" s="47"/>
      <c r="BQ392" s="47"/>
      <c r="BR392" s="47"/>
      <c r="BS392" s="48"/>
      <c r="BT392" s="47"/>
      <c r="BU392" s="48"/>
    </row>
    <row r="393" spans="55:73" x14ac:dyDescent="0.2">
      <c r="BC393" s="45"/>
      <c r="BD393" s="46"/>
      <c r="BE393" s="46"/>
      <c r="BF393" s="134"/>
      <c r="BG393" s="135"/>
      <c r="BH393" s="131" t="str">
        <f t="shared" si="18"/>
        <v/>
      </c>
      <c r="BI393" s="132" t="str">
        <f t="shared" si="19"/>
        <v/>
      </c>
      <c r="BJ393" s="133" t="str">
        <f t="shared" si="20"/>
        <v/>
      </c>
      <c r="BK393" s="133" t="str">
        <f t="shared" si="21"/>
        <v/>
      </c>
      <c r="BL393" s="132"/>
      <c r="BM393" s="47"/>
      <c r="BN393" s="47"/>
      <c r="BO393" s="47"/>
      <c r="BP393" s="47"/>
      <c r="BQ393" s="47"/>
      <c r="BR393" s="47"/>
      <c r="BS393" s="48"/>
      <c r="BT393" s="47"/>
      <c r="BU393" s="48"/>
    </row>
    <row r="394" spans="55:73" x14ac:dyDescent="0.2">
      <c r="BC394" s="45"/>
      <c r="BD394" s="46"/>
      <c r="BE394" s="46"/>
      <c r="BF394" s="134"/>
      <c r="BG394" s="135"/>
      <c r="BH394" s="131" t="str">
        <f t="shared" si="18"/>
        <v/>
      </c>
      <c r="BI394" s="132" t="str">
        <f t="shared" si="19"/>
        <v/>
      </c>
      <c r="BJ394" s="133" t="str">
        <f t="shared" si="20"/>
        <v/>
      </c>
      <c r="BK394" s="133" t="str">
        <f t="shared" si="21"/>
        <v/>
      </c>
      <c r="BL394" s="132"/>
      <c r="BM394" s="47"/>
      <c r="BN394" s="47"/>
      <c r="BO394" s="47"/>
      <c r="BP394" s="47"/>
      <c r="BQ394" s="47"/>
      <c r="BR394" s="47"/>
      <c r="BS394" s="48"/>
      <c r="BT394" s="47"/>
      <c r="BU394" s="48"/>
    </row>
    <row r="395" spans="55:73" x14ac:dyDescent="0.2">
      <c r="BC395" s="45"/>
      <c r="BD395" s="46"/>
      <c r="BE395" s="46"/>
      <c r="BF395" s="134"/>
      <c r="BG395" s="135"/>
      <c r="BH395" s="131" t="str">
        <f t="shared" si="18"/>
        <v/>
      </c>
      <c r="BI395" s="132" t="str">
        <f t="shared" si="19"/>
        <v/>
      </c>
      <c r="BJ395" s="133" t="str">
        <f t="shared" si="20"/>
        <v/>
      </c>
      <c r="BK395" s="133" t="str">
        <f t="shared" si="21"/>
        <v/>
      </c>
      <c r="BL395" s="132"/>
      <c r="BM395" s="47"/>
      <c r="BN395" s="47"/>
      <c r="BO395" s="47"/>
      <c r="BP395" s="47"/>
      <c r="BQ395" s="47"/>
      <c r="BR395" s="47"/>
      <c r="BS395" s="48"/>
      <c r="BT395" s="47"/>
      <c r="BU395" s="48"/>
    </row>
    <row r="396" spans="55:73" x14ac:dyDescent="0.2">
      <c r="BC396" s="45"/>
      <c r="BD396" s="46"/>
      <c r="BE396" s="46"/>
      <c r="BF396" s="134"/>
      <c r="BG396" s="135"/>
      <c r="BH396" s="131" t="str">
        <f t="shared" si="18"/>
        <v/>
      </c>
      <c r="BI396" s="132" t="str">
        <f t="shared" si="19"/>
        <v/>
      </c>
      <c r="BJ396" s="133" t="str">
        <f t="shared" si="20"/>
        <v/>
      </c>
      <c r="BK396" s="133" t="str">
        <f t="shared" si="21"/>
        <v/>
      </c>
      <c r="BL396" s="132"/>
      <c r="BM396" s="47"/>
      <c r="BN396" s="47"/>
      <c r="BO396" s="47"/>
      <c r="BP396" s="47"/>
      <c r="BQ396" s="47"/>
      <c r="BR396" s="47"/>
      <c r="BS396" s="48"/>
      <c r="BT396" s="47"/>
      <c r="BU396" s="48"/>
    </row>
    <row r="397" spans="55:73" x14ac:dyDescent="0.2">
      <c r="BC397" s="45"/>
      <c r="BD397" s="46"/>
      <c r="BE397" s="46"/>
      <c r="BF397" s="134"/>
      <c r="BG397" s="135"/>
      <c r="BH397" s="131" t="str">
        <f t="shared" si="18"/>
        <v/>
      </c>
      <c r="BI397" s="132" t="str">
        <f t="shared" si="19"/>
        <v/>
      </c>
      <c r="BJ397" s="133" t="str">
        <f t="shared" si="20"/>
        <v/>
      </c>
      <c r="BK397" s="133" t="str">
        <f t="shared" si="21"/>
        <v/>
      </c>
      <c r="BL397" s="132"/>
      <c r="BM397" s="47"/>
      <c r="BN397" s="47"/>
      <c r="BO397" s="47"/>
      <c r="BP397" s="47"/>
      <c r="BQ397" s="47"/>
      <c r="BR397" s="47"/>
      <c r="BS397" s="48"/>
      <c r="BT397" s="47"/>
      <c r="BU397" s="48"/>
    </row>
    <row r="398" spans="55:73" x14ac:dyDescent="0.2">
      <c r="BC398" s="45"/>
      <c r="BD398" s="46"/>
      <c r="BE398" s="46"/>
      <c r="BF398" s="134"/>
      <c r="BG398" s="135"/>
      <c r="BH398" s="131" t="str">
        <f t="shared" si="18"/>
        <v/>
      </c>
      <c r="BI398" s="132" t="str">
        <f t="shared" si="19"/>
        <v/>
      </c>
      <c r="BJ398" s="133" t="str">
        <f t="shared" si="20"/>
        <v/>
      </c>
      <c r="BK398" s="133" t="str">
        <f t="shared" si="21"/>
        <v/>
      </c>
      <c r="BL398" s="132"/>
      <c r="BM398" s="47"/>
      <c r="BN398" s="47"/>
      <c r="BO398" s="47"/>
      <c r="BP398" s="47"/>
      <c r="BQ398" s="47"/>
      <c r="BR398" s="47"/>
      <c r="BS398" s="48"/>
      <c r="BT398" s="47"/>
      <c r="BU398" s="48"/>
    </row>
    <row r="399" spans="55:73" x14ac:dyDescent="0.2">
      <c r="BC399" s="45"/>
      <c r="BD399" s="46"/>
      <c r="BE399" s="46"/>
      <c r="BF399" s="134"/>
      <c r="BG399" s="135"/>
      <c r="BH399" s="131" t="str">
        <f t="shared" si="18"/>
        <v/>
      </c>
      <c r="BI399" s="132" t="str">
        <f t="shared" si="19"/>
        <v/>
      </c>
      <c r="BJ399" s="133" t="str">
        <f t="shared" si="20"/>
        <v/>
      </c>
      <c r="BK399" s="133" t="str">
        <f t="shared" si="21"/>
        <v/>
      </c>
      <c r="BL399" s="132"/>
      <c r="BM399" s="47"/>
      <c r="BN399" s="47"/>
      <c r="BO399" s="47"/>
      <c r="BP399" s="47"/>
      <c r="BQ399" s="47"/>
      <c r="BR399" s="47"/>
      <c r="BS399" s="48"/>
      <c r="BT399" s="47"/>
      <c r="BU399" s="48"/>
    </row>
    <row r="400" spans="55:73" x14ac:dyDescent="0.2">
      <c r="BC400" s="45"/>
      <c r="BD400" s="46"/>
      <c r="BE400" s="46"/>
      <c r="BF400" s="134"/>
      <c r="BG400" s="135"/>
      <c r="BH400" s="131" t="str">
        <f t="shared" si="18"/>
        <v/>
      </c>
      <c r="BI400" s="132" t="str">
        <f t="shared" si="19"/>
        <v/>
      </c>
      <c r="BJ400" s="133" t="str">
        <f t="shared" si="20"/>
        <v/>
      </c>
      <c r="BK400" s="133" t="str">
        <f t="shared" si="21"/>
        <v/>
      </c>
      <c r="BL400" s="132"/>
      <c r="BM400" s="47"/>
      <c r="BN400" s="47"/>
      <c r="BO400" s="47"/>
      <c r="BP400" s="47"/>
      <c r="BQ400" s="47"/>
      <c r="BR400" s="47"/>
      <c r="BS400" s="48"/>
      <c r="BT400" s="47"/>
      <c r="BU400" s="48"/>
    </row>
    <row r="401" spans="55:73" x14ac:dyDescent="0.2">
      <c r="BC401" s="45"/>
      <c r="BD401" s="46"/>
      <c r="BE401" s="46"/>
      <c r="BF401" s="134"/>
      <c r="BG401" s="135"/>
      <c r="BH401" s="131" t="str">
        <f t="shared" si="18"/>
        <v/>
      </c>
      <c r="BI401" s="132" t="str">
        <f t="shared" si="19"/>
        <v/>
      </c>
      <c r="BJ401" s="133" t="str">
        <f t="shared" si="20"/>
        <v/>
      </c>
      <c r="BK401" s="133" t="str">
        <f t="shared" si="21"/>
        <v/>
      </c>
      <c r="BL401" s="132"/>
      <c r="BM401" s="47"/>
      <c r="BN401" s="47"/>
      <c r="BO401" s="47"/>
      <c r="BP401" s="47"/>
      <c r="BQ401" s="47"/>
      <c r="BR401" s="47"/>
      <c r="BS401" s="48"/>
      <c r="BT401" s="47"/>
      <c r="BU401" s="48"/>
    </row>
    <row r="402" spans="55:73" x14ac:dyDescent="0.2">
      <c r="BC402" s="45"/>
      <c r="BD402" s="46"/>
      <c r="BE402" s="46"/>
      <c r="BF402" s="134"/>
      <c r="BG402" s="135"/>
      <c r="BH402" s="131" t="str">
        <f t="shared" si="18"/>
        <v/>
      </c>
      <c r="BI402" s="132" t="str">
        <f t="shared" si="19"/>
        <v/>
      </c>
      <c r="BJ402" s="133" t="str">
        <f t="shared" si="20"/>
        <v/>
      </c>
      <c r="BK402" s="133" t="str">
        <f t="shared" si="21"/>
        <v/>
      </c>
      <c r="BL402" s="132"/>
      <c r="BM402" s="47"/>
      <c r="BN402" s="47"/>
      <c r="BO402" s="47"/>
      <c r="BP402" s="47"/>
      <c r="BQ402" s="47"/>
      <c r="BR402" s="47"/>
      <c r="BS402" s="48"/>
      <c r="BT402" s="47"/>
      <c r="BU402" s="48"/>
    </row>
    <row r="403" spans="55:73" x14ac:dyDescent="0.2">
      <c r="BC403" s="45"/>
      <c r="BD403" s="46"/>
      <c r="BE403" s="46"/>
      <c r="BF403" s="134"/>
      <c r="BG403" s="135"/>
      <c r="BH403" s="131" t="str">
        <f t="shared" si="18"/>
        <v/>
      </c>
      <c r="BI403" s="132" t="str">
        <f t="shared" si="19"/>
        <v/>
      </c>
      <c r="BJ403" s="133" t="str">
        <f t="shared" si="20"/>
        <v/>
      </c>
      <c r="BK403" s="133" t="str">
        <f t="shared" si="21"/>
        <v/>
      </c>
      <c r="BL403" s="132"/>
      <c r="BM403" s="47"/>
      <c r="BN403" s="47"/>
      <c r="BO403" s="47"/>
      <c r="BP403" s="47"/>
      <c r="BQ403" s="47"/>
      <c r="BR403" s="47"/>
      <c r="BS403" s="48"/>
      <c r="BT403" s="47"/>
      <c r="BU403" s="48"/>
    </row>
    <row r="404" spans="55:73" x14ac:dyDescent="0.2">
      <c r="BC404" s="45"/>
      <c r="BD404" s="46"/>
      <c r="BE404" s="46"/>
      <c r="BF404" s="134"/>
      <c r="BG404" s="135"/>
      <c r="BH404" s="131" t="str">
        <f t="shared" si="18"/>
        <v/>
      </c>
      <c r="BI404" s="132" t="str">
        <f t="shared" si="19"/>
        <v/>
      </c>
      <c r="BJ404" s="133" t="str">
        <f t="shared" si="20"/>
        <v/>
      </c>
      <c r="BK404" s="133" t="str">
        <f t="shared" si="21"/>
        <v/>
      </c>
      <c r="BL404" s="132"/>
      <c r="BM404" s="47"/>
      <c r="BN404" s="47"/>
      <c r="BO404" s="47"/>
      <c r="BP404" s="47"/>
      <c r="BQ404" s="47"/>
      <c r="BR404" s="47"/>
      <c r="BS404" s="48"/>
      <c r="BT404" s="47"/>
      <c r="BU404" s="48"/>
    </row>
    <row r="405" spans="55:73" x14ac:dyDescent="0.2">
      <c r="BC405" s="45"/>
      <c r="BD405" s="46"/>
      <c r="BE405" s="46"/>
      <c r="BF405" s="134"/>
      <c r="BG405" s="135"/>
      <c r="BH405" s="131" t="str">
        <f t="shared" si="18"/>
        <v/>
      </c>
      <c r="BI405" s="132" t="str">
        <f t="shared" si="19"/>
        <v/>
      </c>
      <c r="BJ405" s="133" t="str">
        <f t="shared" si="20"/>
        <v/>
      </c>
      <c r="BK405" s="133" t="str">
        <f t="shared" si="21"/>
        <v/>
      </c>
      <c r="BL405" s="132"/>
      <c r="BM405" s="47"/>
      <c r="BN405" s="47"/>
      <c r="BO405" s="47"/>
      <c r="BP405" s="47"/>
      <c r="BQ405" s="47"/>
      <c r="BR405" s="47"/>
      <c r="BS405" s="48"/>
      <c r="BT405" s="47"/>
      <c r="BU405" s="48"/>
    </row>
    <row r="406" spans="55:73" x14ac:dyDescent="0.2">
      <c r="BC406" s="45"/>
      <c r="BD406" s="46"/>
      <c r="BE406" s="46"/>
      <c r="BF406" s="134"/>
      <c r="BG406" s="135"/>
      <c r="BH406" s="131" t="str">
        <f t="shared" si="18"/>
        <v/>
      </c>
      <c r="BI406" s="132" t="str">
        <f t="shared" si="19"/>
        <v/>
      </c>
      <c r="BJ406" s="133" t="str">
        <f t="shared" si="20"/>
        <v/>
      </c>
      <c r="BK406" s="133" t="str">
        <f t="shared" si="21"/>
        <v/>
      </c>
      <c r="BL406" s="132"/>
      <c r="BM406" s="47"/>
      <c r="BN406" s="47"/>
      <c r="BO406" s="47"/>
      <c r="BP406" s="47"/>
      <c r="BQ406" s="47"/>
      <c r="BR406" s="47"/>
      <c r="BS406" s="48"/>
      <c r="BT406" s="47"/>
      <c r="BU406" s="48"/>
    </row>
    <row r="407" spans="55:73" x14ac:dyDescent="0.2">
      <c r="BC407" s="45"/>
      <c r="BD407" s="46"/>
      <c r="BE407" s="46"/>
      <c r="BF407" s="134"/>
      <c r="BG407" s="135"/>
      <c r="BH407" s="131" t="str">
        <f t="shared" si="18"/>
        <v/>
      </c>
      <c r="BI407" s="132" t="str">
        <f t="shared" si="19"/>
        <v/>
      </c>
      <c r="BJ407" s="133" t="str">
        <f t="shared" si="20"/>
        <v/>
      </c>
      <c r="BK407" s="133" t="str">
        <f t="shared" si="21"/>
        <v/>
      </c>
      <c r="BL407" s="132"/>
      <c r="BM407" s="47"/>
      <c r="BN407" s="47"/>
      <c r="BO407" s="47"/>
      <c r="BP407" s="47"/>
      <c r="BQ407" s="47"/>
      <c r="BR407" s="47"/>
      <c r="BS407" s="48"/>
      <c r="BT407" s="47"/>
      <c r="BU407" s="48"/>
    </row>
    <row r="408" spans="55:73" x14ac:dyDescent="0.2">
      <c r="BC408" s="45"/>
      <c r="BD408" s="46"/>
      <c r="BE408" s="46"/>
      <c r="BF408" s="134"/>
      <c r="BG408" s="135"/>
      <c r="BH408" s="131" t="str">
        <f t="shared" si="18"/>
        <v/>
      </c>
      <c r="BI408" s="132" t="str">
        <f t="shared" si="19"/>
        <v/>
      </c>
      <c r="BJ408" s="133" t="str">
        <f t="shared" si="20"/>
        <v/>
      </c>
      <c r="BK408" s="133" t="str">
        <f t="shared" si="21"/>
        <v/>
      </c>
      <c r="BL408" s="132"/>
      <c r="BM408" s="47"/>
      <c r="BN408" s="47"/>
      <c r="BO408" s="47"/>
      <c r="BP408" s="47"/>
      <c r="BQ408" s="47"/>
      <c r="BR408" s="47"/>
      <c r="BS408" s="48"/>
      <c r="BT408" s="47"/>
      <c r="BU408" s="48"/>
    </row>
    <row r="409" spans="55:73" x14ac:dyDescent="0.2">
      <c r="BC409" s="45"/>
      <c r="BD409" s="46"/>
      <c r="BE409" s="46"/>
      <c r="BF409" s="134"/>
      <c r="BG409" s="135"/>
      <c r="BH409" s="131" t="str">
        <f t="shared" si="18"/>
        <v/>
      </c>
      <c r="BI409" s="132" t="str">
        <f t="shared" si="19"/>
        <v/>
      </c>
      <c r="BJ409" s="133" t="str">
        <f t="shared" si="20"/>
        <v/>
      </c>
      <c r="BK409" s="133" t="str">
        <f t="shared" si="21"/>
        <v/>
      </c>
      <c r="BL409" s="132"/>
      <c r="BM409" s="47"/>
      <c r="BN409" s="47"/>
      <c r="BO409" s="47"/>
      <c r="BP409" s="47"/>
      <c r="BQ409" s="47"/>
      <c r="BR409" s="47"/>
      <c r="BS409" s="48"/>
      <c r="BT409" s="47"/>
      <c r="BU409" s="48"/>
    </row>
    <row r="410" spans="55:73" x14ac:dyDescent="0.2">
      <c r="BC410" s="45"/>
      <c r="BD410" s="46"/>
      <c r="BE410" s="46"/>
      <c r="BF410" s="134"/>
      <c r="BG410" s="135"/>
      <c r="BH410" s="131" t="str">
        <f t="shared" si="18"/>
        <v/>
      </c>
      <c r="BI410" s="132" t="str">
        <f t="shared" si="19"/>
        <v/>
      </c>
      <c r="BJ410" s="133" t="str">
        <f t="shared" si="20"/>
        <v/>
      </c>
      <c r="BK410" s="133" t="str">
        <f t="shared" si="21"/>
        <v/>
      </c>
      <c r="BL410" s="132"/>
      <c r="BM410" s="47"/>
      <c r="BN410" s="47"/>
      <c r="BO410" s="47"/>
      <c r="BP410" s="47"/>
      <c r="BQ410" s="47"/>
      <c r="BR410" s="47"/>
      <c r="BS410" s="48"/>
      <c r="BT410" s="47"/>
      <c r="BU410" s="48"/>
    </row>
    <row r="411" spans="55:73" x14ac:dyDescent="0.2">
      <c r="BC411" s="45"/>
      <c r="BD411" s="46"/>
      <c r="BE411" s="46"/>
      <c r="BF411" s="134"/>
      <c r="BG411" s="135"/>
      <c r="BH411" s="131" t="str">
        <f t="shared" si="18"/>
        <v/>
      </c>
      <c r="BI411" s="132" t="str">
        <f t="shared" si="19"/>
        <v/>
      </c>
      <c r="BJ411" s="133" t="str">
        <f t="shared" si="20"/>
        <v/>
      </c>
      <c r="BK411" s="133" t="str">
        <f t="shared" si="21"/>
        <v/>
      </c>
      <c r="BL411" s="132"/>
      <c r="BM411" s="47"/>
      <c r="BN411" s="47"/>
      <c r="BO411" s="47"/>
      <c r="BP411" s="47"/>
      <c r="BQ411" s="47"/>
      <c r="BR411" s="47"/>
      <c r="BS411" s="48"/>
      <c r="BT411" s="47"/>
      <c r="BU411" s="48"/>
    </row>
    <row r="412" spans="55:73" x14ac:dyDescent="0.2">
      <c r="BC412" s="45"/>
      <c r="BD412" s="46"/>
      <c r="BE412" s="46"/>
      <c r="BF412" s="134"/>
      <c r="BG412" s="135"/>
      <c r="BH412" s="131" t="str">
        <f t="shared" si="18"/>
        <v/>
      </c>
      <c r="BI412" s="132" t="str">
        <f t="shared" si="19"/>
        <v/>
      </c>
      <c r="BJ412" s="133" t="str">
        <f t="shared" si="20"/>
        <v/>
      </c>
      <c r="BK412" s="133" t="str">
        <f t="shared" si="21"/>
        <v/>
      </c>
      <c r="BL412" s="132"/>
      <c r="BM412" s="47"/>
      <c r="BN412" s="47"/>
      <c r="BO412" s="47"/>
      <c r="BP412" s="47"/>
      <c r="BQ412" s="47"/>
      <c r="BR412" s="47"/>
      <c r="BS412" s="48"/>
      <c r="BT412" s="47"/>
      <c r="BU412" s="48"/>
    </row>
    <row r="413" spans="55:73" x14ac:dyDescent="0.2">
      <c r="BC413" s="45"/>
      <c r="BD413" s="46"/>
      <c r="BE413" s="46"/>
      <c r="BF413" s="134"/>
      <c r="BG413" s="135"/>
      <c r="BH413" s="131" t="str">
        <f t="shared" si="18"/>
        <v/>
      </c>
      <c r="BI413" s="132" t="str">
        <f t="shared" si="19"/>
        <v/>
      </c>
      <c r="BJ413" s="133" t="str">
        <f t="shared" si="20"/>
        <v/>
      </c>
      <c r="BK413" s="133" t="str">
        <f t="shared" si="21"/>
        <v/>
      </c>
      <c r="BL413" s="132"/>
      <c r="BM413" s="47"/>
      <c r="BN413" s="47"/>
      <c r="BO413" s="47"/>
      <c r="BP413" s="47"/>
      <c r="BQ413" s="47"/>
      <c r="BR413" s="47"/>
      <c r="BS413" s="48"/>
      <c r="BT413" s="47"/>
      <c r="BU413" s="48"/>
    </row>
    <row r="414" spans="55:73" x14ac:dyDescent="0.2">
      <c r="BC414" s="45"/>
      <c r="BD414" s="46"/>
      <c r="BE414" s="46"/>
      <c r="BF414" s="134"/>
      <c r="BG414" s="135"/>
      <c r="BH414" s="131" t="str">
        <f t="shared" si="18"/>
        <v/>
      </c>
      <c r="BI414" s="132" t="str">
        <f t="shared" si="19"/>
        <v/>
      </c>
      <c r="BJ414" s="133" t="str">
        <f t="shared" si="20"/>
        <v/>
      </c>
      <c r="BK414" s="133" t="str">
        <f t="shared" si="21"/>
        <v/>
      </c>
      <c r="BL414" s="132"/>
      <c r="BM414" s="47"/>
      <c r="BN414" s="47"/>
      <c r="BO414" s="47"/>
      <c r="BP414" s="47"/>
      <c r="BQ414" s="47"/>
      <c r="BR414" s="47"/>
      <c r="BS414" s="48"/>
      <c r="BT414" s="47"/>
      <c r="BU414" s="48"/>
    </row>
    <row r="415" spans="55:73" x14ac:dyDescent="0.2">
      <c r="BC415" s="45"/>
      <c r="BD415" s="46"/>
      <c r="BE415" s="46"/>
      <c r="BF415" s="134"/>
      <c r="BG415" s="135"/>
      <c r="BH415" s="131" t="str">
        <f t="shared" si="18"/>
        <v/>
      </c>
      <c r="BI415" s="132" t="str">
        <f t="shared" si="19"/>
        <v/>
      </c>
      <c r="BJ415" s="133" t="str">
        <f t="shared" si="20"/>
        <v/>
      </c>
      <c r="BK415" s="133" t="str">
        <f t="shared" si="21"/>
        <v/>
      </c>
      <c r="BL415" s="132"/>
      <c r="BM415" s="47"/>
      <c r="BN415" s="47"/>
      <c r="BO415" s="47"/>
      <c r="BP415" s="47"/>
      <c r="BQ415" s="47"/>
      <c r="BR415" s="47"/>
      <c r="BS415" s="48"/>
      <c r="BT415" s="47"/>
      <c r="BU415" s="48"/>
    </row>
    <row r="416" spans="55:73" x14ac:dyDescent="0.2">
      <c r="BC416" s="45"/>
      <c r="BD416" s="46"/>
      <c r="BE416" s="46"/>
      <c r="BF416" s="134"/>
      <c r="BG416" s="135"/>
      <c r="BH416" s="131" t="str">
        <f t="shared" si="18"/>
        <v/>
      </c>
      <c r="BI416" s="132" t="str">
        <f t="shared" si="19"/>
        <v/>
      </c>
      <c r="BJ416" s="133" t="str">
        <f t="shared" si="20"/>
        <v/>
      </c>
      <c r="BK416" s="133" t="str">
        <f t="shared" si="21"/>
        <v/>
      </c>
      <c r="BL416" s="132"/>
      <c r="BM416" s="47"/>
      <c r="BN416" s="47"/>
      <c r="BO416" s="47"/>
      <c r="BP416" s="47"/>
      <c r="BQ416" s="47"/>
      <c r="BR416" s="47"/>
      <c r="BS416" s="48"/>
      <c r="BT416" s="47"/>
      <c r="BU416" s="48"/>
    </row>
    <row r="417" spans="55:73" x14ac:dyDescent="0.2">
      <c r="BC417" s="45"/>
      <c r="BD417" s="46"/>
      <c r="BE417" s="46"/>
      <c r="BF417" s="134"/>
      <c r="BG417" s="135"/>
      <c r="BH417" s="131" t="str">
        <f t="shared" ref="BH417:BH448" si="22">IF(AND($B67="",$C67=""),"",IF($FB67="I",IF(AND(ISBLANK($E67)=FALSE,ISBLANK($F67)),IF($B67="",$C67,$B67),IF(AND(ISBLANK($I67)=FALSE,ISBLANK($J67)),IF($B67="",$C67,$B67),IF(AND(ISBLANK($M67)=FALSE,ISBLANK($N67)),IF($B67="",$C67,$B67),IF(AND(ISBLANK($Q67)=FALSE,ISBLANK($R67)),IF($B67="",$C67,$B67),IF(AND(ISBLANK($U67)=FALSE,ISBLANK($V67)),IF($B67="",$C67,$B67),""))))), ""))</f>
        <v/>
      </c>
      <c r="BI417" s="132" t="str">
        <f t="shared" ref="BI417:BI448" si="23">IF(AND($B67="",$C67=""),"",IF($FB67="H",IF(AND(ISBLANK($E67)=FALSE,ISBLANK($F67)),IF($B67="",$C67,$B67),IF(AND(ISBLANK($I67)=FALSE,ISBLANK($J67)),IF($B67="",$C67,$B67),IF(AND(ISBLANK($M67)=FALSE,ISBLANK($N67)),IF($B67="",$C67,$B67),IF(AND(ISBLANK($Q67)=FALSE,ISBLANK($R67)),IF($B67="",$C67,$B67),IF(AND(ISBLANK($U67)=FALSE,ISBLANK($V67)),IF($B67="",$C67,$B67),""))))), ""))</f>
        <v/>
      </c>
      <c r="BJ417" s="133" t="str">
        <f t="shared" ref="BJ417:BJ448" si="24">IF(AND(ISBLANK($F67)=FALSE,ISBLANK($G67),ISBLANK($H67)),IF($B67="",$C67,$B67),IF(AND(ISBLANK($J67)=FALSE,ISBLANK($K67),ISBLANK($L67)),IF($B67="",$C67,$B67),IF(AND(ISBLANK($N67)=FALSE,ISBLANK($O67),ISBLANK($P67)),IF($B67="",$C67,$B67),IF(AND(ISBLANK($R67)=FALSE,ISBLANK($S67),ISBLANK($T67)),IF($B67="",$C67,$B67),IF(AND(ISBLANK($V67)=FALSE,ISBLANK($W67)),IF($B67="",$C67,$B67),"")))))</f>
        <v/>
      </c>
      <c r="BK417" s="133" t="str">
        <f t="shared" ref="BK417:BK448" si="25">IF(AND($BH417="", $BI417="", $BJ417=""), IF(AND($C67="",$B67=""),"", IF($B67="",$C67,$B67)),"")</f>
        <v/>
      </c>
      <c r="BL417" s="132"/>
      <c r="BM417" s="47"/>
      <c r="BN417" s="47"/>
      <c r="BO417" s="47"/>
      <c r="BP417" s="47"/>
      <c r="BQ417" s="47"/>
      <c r="BR417" s="47"/>
      <c r="BS417" s="48"/>
      <c r="BT417" s="47"/>
      <c r="BU417" s="48"/>
    </row>
    <row r="418" spans="55:73" x14ac:dyDescent="0.2">
      <c r="BC418" s="45"/>
      <c r="BD418" s="46"/>
      <c r="BE418" s="46"/>
      <c r="BF418" s="134"/>
      <c r="BG418" s="135"/>
      <c r="BH418" s="131" t="str">
        <f t="shared" si="22"/>
        <v/>
      </c>
      <c r="BI418" s="132" t="str">
        <f t="shared" si="23"/>
        <v/>
      </c>
      <c r="BJ418" s="133" t="str">
        <f t="shared" si="24"/>
        <v/>
      </c>
      <c r="BK418" s="133" t="str">
        <f t="shared" si="25"/>
        <v/>
      </c>
      <c r="BL418" s="132"/>
      <c r="BM418" s="47"/>
      <c r="BN418" s="47"/>
      <c r="BO418" s="47"/>
      <c r="BP418" s="47"/>
      <c r="BQ418" s="47"/>
      <c r="BR418" s="47"/>
      <c r="BS418" s="48"/>
      <c r="BT418" s="47"/>
      <c r="BU418" s="48"/>
    </row>
    <row r="419" spans="55:73" x14ac:dyDescent="0.2">
      <c r="BC419" s="45"/>
      <c r="BD419" s="46"/>
      <c r="BE419" s="46"/>
      <c r="BF419" s="134"/>
      <c r="BG419" s="135"/>
      <c r="BH419" s="131" t="str">
        <f t="shared" si="22"/>
        <v/>
      </c>
      <c r="BI419" s="132" t="str">
        <f t="shared" si="23"/>
        <v/>
      </c>
      <c r="BJ419" s="133" t="str">
        <f t="shared" si="24"/>
        <v/>
      </c>
      <c r="BK419" s="133" t="str">
        <f t="shared" si="25"/>
        <v/>
      </c>
      <c r="BL419" s="132"/>
      <c r="BM419" s="47"/>
      <c r="BN419" s="47"/>
      <c r="BO419" s="47"/>
      <c r="BP419" s="47"/>
      <c r="BQ419" s="47"/>
      <c r="BR419" s="47"/>
      <c r="BS419" s="48"/>
      <c r="BT419" s="47"/>
      <c r="BU419" s="48"/>
    </row>
    <row r="420" spans="55:73" x14ac:dyDescent="0.2">
      <c r="BC420" s="45"/>
      <c r="BD420" s="46"/>
      <c r="BE420" s="46"/>
      <c r="BF420" s="134"/>
      <c r="BG420" s="135"/>
      <c r="BH420" s="131" t="str">
        <f t="shared" si="22"/>
        <v/>
      </c>
      <c r="BI420" s="132" t="str">
        <f t="shared" si="23"/>
        <v/>
      </c>
      <c r="BJ420" s="133" t="str">
        <f t="shared" si="24"/>
        <v/>
      </c>
      <c r="BK420" s="133" t="str">
        <f t="shared" si="25"/>
        <v/>
      </c>
      <c r="BL420" s="132"/>
      <c r="BM420" s="47"/>
      <c r="BN420" s="47"/>
      <c r="BO420" s="47"/>
      <c r="BP420" s="47"/>
      <c r="BQ420" s="47"/>
      <c r="BR420" s="47"/>
      <c r="BS420" s="48"/>
      <c r="BT420" s="47"/>
      <c r="BU420" s="48"/>
    </row>
    <row r="421" spans="55:73" x14ac:dyDescent="0.2">
      <c r="BC421" s="45"/>
      <c r="BD421" s="46"/>
      <c r="BE421" s="46"/>
      <c r="BF421" s="134"/>
      <c r="BG421" s="135"/>
      <c r="BH421" s="131" t="str">
        <f t="shared" si="22"/>
        <v/>
      </c>
      <c r="BI421" s="132" t="str">
        <f t="shared" si="23"/>
        <v/>
      </c>
      <c r="BJ421" s="133" t="str">
        <f t="shared" si="24"/>
        <v/>
      </c>
      <c r="BK421" s="133" t="str">
        <f t="shared" si="25"/>
        <v/>
      </c>
      <c r="BL421" s="132"/>
      <c r="BM421" s="47"/>
      <c r="BN421" s="47"/>
      <c r="BO421" s="47"/>
      <c r="BP421" s="47"/>
      <c r="BQ421" s="47"/>
      <c r="BR421" s="47"/>
      <c r="BS421" s="48"/>
      <c r="BT421" s="47"/>
      <c r="BU421" s="48"/>
    </row>
    <row r="422" spans="55:73" x14ac:dyDescent="0.2">
      <c r="BC422" s="45"/>
      <c r="BD422" s="46"/>
      <c r="BE422" s="46"/>
      <c r="BF422" s="134"/>
      <c r="BG422" s="135"/>
      <c r="BH422" s="131" t="str">
        <f t="shared" si="22"/>
        <v/>
      </c>
      <c r="BI422" s="132" t="str">
        <f t="shared" si="23"/>
        <v/>
      </c>
      <c r="BJ422" s="133" t="str">
        <f t="shared" si="24"/>
        <v/>
      </c>
      <c r="BK422" s="133" t="str">
        <f t="shared" si="25"/>
        <v/>
      </c>
      <c r="BL422" s="132"/>
      <c r="BM422" s="47"/>
      <c r="BN422" s="47"/>
      <c r="BO422" s="47"/>
      <c r="BP422" s="47"/>
      <c r="BQ422" s="47"/>
      <c r="BR422" s="47"/>
      <c r="BS422" s="48"/>
      <c r="BT422" s="47"/>
      <c r="BU422" s="48"/>
    </row>
    <row r="423" spans="55:73" x14ac:dyDescent="0.2">
      <c r="BC423" s="45"/>
      <c r="BD423" s="46"/>
      <c r="BE423" s="46"/>
      <c r="BF423" s="134"/>
      <c r="BG423" s="135"/>
      <c r="BH423" s="131" t="str">
        <f t="shared" si="22"/>
        <v/>
      </c>
      <c r="BI423" s="132" t="str">
        <f t="shared" si="23"/>
        <v/>
      </c>
      <c r="BJ423" s="133" t="str">
        <f t="shared" si="24"/>
        <v/>
      </c>
      <c r="BK423" s="133" t="str">
        <f t="shared" si="25"/>
        <v/>
      </c>
      <c r="BL423" s="132"/>
      <c r="BM423" s="47"/>
      <c r="BN423" s="47"/>
      <c r="BO423" s="47"/>
      <c r="BP423" s="47"/>
      <c r="BQ423" s="47"/>
      <c r="BR423" s="47"/>
      <c r="BS423" s="48"/>
      <c r="BT423" s="47"/>
      <c r="BU423" s="48"/>
    </row>
    <row r="424" spans="55:73" x14ac:dyDescent="0.2">
      <c r="BC424" s="45"/>
      <c r="BD424" s="46"/>
      <c r="BE424" s="46"/>
      <c r="BF424" s="134"/>
      <c r="BG424" s="135"/>
      <c r="BH424" s="131" t="str">
        <f t="shared" si="22"/>
        <v/>
      </c>
      <c r="BI424" s="132" t="str">
        <f t="shared" si="23"/>
        <v/>
      </c>
      <c r="BJ424" s="133" t="str">
        <f t="shared" si="24"/>
        <v/>
      </c>
      <c r="BK424" s="133" t="str">
        <f t="shared" si="25"/>
        <v/>
      </c>
      <c r="BL424" s="132"/>
      <c r="BM424" s="47"/>
      <c r="BN424" s="47"/>
      <c r="BO424" s="47"/>
      <c r="BP424" s="47"/>
      <c r="BQ424" s="47"/>
      <c r="BR424" s="47"/>
      <c r="BS424" s="48"/>
      <c r="BT424" s="47"/>
      <c r="BU424" s="48"/>
    </row>
    <row r="425" spans="55:73" x14ac:dyDescent="0.2">
      <c r="BC425" s="45"/>
      <c r="BD425" s="46"/>
      <c r="BE425" s="46"/>
      <c r="BF425" s="134"/>
      <c r="BG425" s="135"/>
      <c r="BH425" s="131" t="str">
        <f t="shared" si="22"/>
        <v/>
      </c>
      <c r="BI425" s="132" t="str">
        <f t="shared" si="23"/>
        <v/>
      </c>
      <c r="BJ425" s="133" t="str">
        <f t="shared" si="24"/>
        <v/>
      </c>
      <c r="BK425" s="133" t="str">
        <f t="shared" si="25"/>
        <v/>
      </c>
      <c r="BL425" s="132"/>
      <c r="BM425" s="47"/>
      <c r="BN425" s="47"/>
      <c r="BO425" s="47"/>
      <c r="BP425" s="47"/>
      <c r="BQ425" s="47"/>
      <c r="BR425" s="47"/>
      <c r="BS425" s="48"/>
      <c r="BT425" s="47"/>
      <c r="BU425" s="48"/>
    </row>
    <row r="426" spans="55:73" x14ac:dyDescent="0.2">
      <c r="BC426" s="45"/>
      <c r="BD426" s="46"/>
      <c r="BE426" s="46"/>
      <c r="BF426" s="134"/>
      <c r="BG426" s="135"/>
      <c r="BH426" s="131" t="str">
        <f t="shared" si="22"/>
        <v/>
      </c>
      <c r="BI426" s="132" t="str">
        <f t="shared" si="23"/>
        <v/>
      </c>
      <c r="BJ426" s="133" t="str">
        <f t="shared" si="24"/>
        <v/>
      </c>
      <c r="BK426" s="133" t="str">
        <f t="shared" si="25"/>
        <v/>
      </c>
      <c r="BL426" s="132"/>
      <c r="BM426" s="47"/>
      <c r="BN426" s="47"/>
      <c r="BO426" s="47"/>
      <c r="BP426" s="47"/>
      <c r="BQ426" s="47"/>
      <c r="BR426" s="47"/>
      <c r="BS426" s="48"/>
      <c r="BT426" s="47"/>
      <c r="BU426" s="48"/>
    </row>
    <row r="427" spans="55:73" x14ac:dyDescent="0.2">
      <c r="BC427" s="45"/>
      <c r="BD427" s="46"/>
      <c r="BE427" s="46"/>
      <c r="BF427" s="134"/>
      <c r="BG427" s="135"/>
      <c r="BH427" s="131" t="str">
        <f t="shared" si="22"/>
        <v/>
      </c>
      <c r="BI427" s="132" t="str">
        <f t="shared" si="23"/>
        <v/>
      </c>
      <c r="BJ427" s="133" t="str">
        <f t="shared" si="24"/>
        <v/>
      </c>
      <c r="BK427" s="133" t="str">
        <f t="shared" si="25"/>
        <v/>
      </c>
      <c r="BL427" s="132"/>
      <c r="BM427" s="47"/>
      <c r="BN427" s="47"/>
      <c r="BO427" s="47"/>
      <c r="BP427" s="47"/>
      <c r="BQ427" s="47"/>
      <c r="BR427" s="47"/>
      <c r="BS427" s="48"/>
      <c r="BT427" s="47"/>
      <c r="BU427" s="48"/>
    </row>
    <row r="428" spans="55:73" x14ac:dyDescent="0.2">
      <c r="BC428" s="45"/>
      <c r="BD428" s="46"/>
      <c r="BE428" s="46"/>
      <c r="BF428" s="134"/>
      <c r="BG428" s="135"/>
      <c r="BH428" s="131" t="str">
        <f t="shared" si="22"/>
        <v/>
      </c>
      <c r="BI428" s="132" t="str">
        <f t="shared" si="23"/>
        <v/>
      </c>
      <c r="BJ428" s="133" t="str">
        <f t="shared" si="24"/>
        <v/>
      </c>
      <c r="BK428" s="133" t="str">
        <f t="shared" si="25"/>
        <v/>
      </c>
      <c r="BL428" s="132"/>
      <c r="BM428" s="47"/>
      <c r="BN428" s="47"/>
      <c r="BO428" s="47"/>
      <c r="BP428" s="47"/>
      <c r="BQ428" s="47"/>
      <c r="BR428" s="47"/>
      <c r="BS428" s="48"/>
      <c r="BT428" s="47"/>
      <c r="BU428" s="48"/>
    </row>
    <row r="429" spans="55:73" x14ac:dyDescent="0.2">
      <c r="BC429" s="45"/>
      <c r="BD429" s="46"/>
      <c r="BE429" s="46"/>
      <c r="BF429" s="134"/>
      <c r="BG429" s="135"/>
      <c r="BH429" s="131" t="str">
        <f t="shared" si="22"/>
        <v/>
      </c>
      <c r="BI429" s="132" t="str">
        <f t="shared" si="23"/>
        <v/>
      </c>
      <c r="BJ429" s="133" t="str">
        <f t="shared" si="24"/>
        <v/>
      </c>
      <c r="BK429" s="133" t="str">
        <f t="shared" si="25"/>
        <v/>
      </c>
      <c r="BL429" s="132"/>
      <c r="BM429" s="47"/>
      <c r="BN429" s="47"/>
      <c r="BO429" s="47"/>
      <c r="BP429" s="47"/>
      <c r="BQ429" s="47"/>
      <c r="BR429" s="47"/>
      <c r="BS429" s="48"/>
      <c r="BT429" s="47"/>
      <c r="BU429" s="48"/>
    </row>
    <row r="430" spans="55:73" x14ac:dyDescent="0.2">
      <c r="BC430" s="45"/>
      <c r="BD430" s="46"/>
      <c r="BE430" s="46"/>
      <c r="BF430" s="134"/>
      <c r="BG430" s="135"/>
      <c r="BH430" s="131" t="str">
        <f t="shared" si="22"/>
        <v/>
      </c>
      <c r="BI430" s="132" t="str">
        <f t="shared" si="23"/>
        <v/>
      </c>
      <c r="BJ430" s="133" t="str">
        <f t="shared" si="24"/>
        <v/>
      </c>
      <c r="BK430" s="133" t="str">
        <f t="shared" si="25"/>
        <v/>
      </c>
      <c r="BL430" s="132"/>
      <c r="BM430" s="47"/>
      <c r="BN430" s="47"/>
      <c r="BO430" s="47"/>
      <c r="BP430" s="47"/>
      <c r="BQ430" s="47"/>
      <c r="BR430" s="47"/>
      <c r="BS430" s="48"/>
      <c r="BT430" s="47"/>
      <c r="BU430" s="48"/>
    </row>
    <row r="431" spans="55:73" x14ac:dyDescent="0.2">
      <c r="BC431" s="45"/>
      <c r="BD431" s="46"/>
      <c r="BE431" s="46"/>
      <c r="BF431" s="134"/>
      <c r="BG431" s="135"/>
      <c r="BH431" s="131" t="str">
        <f t="shared" si="22"/>
        <v/>
      </c>
      <c r="BI431" s="132" t="str">
        <f t="shared" si="23"/>
        <v/>
      </c>
      <c r="BJ431" s="133" t="str">
        <f t="shared" si="24"/>
        <v/>
      </c>
      <c r="BK431" s="133" t="str">
        <f t="shared" si="25"/>
        <v/>
      </c>
      <c r="BL431" s="132"/>
      <c r="BM431" s="47"/>
      <c r="BN431" s="47"/>
      <c r="BO431" s="47"/>
      <c r="BP431" s="47"/>
      <c r="BQ431" s="47"/>
      <c r="BR431" s="47"/>
      <c r="BS431" s="48"/>
      <c r="BT431" s="47"/>
      <c r="BU431" s="48"/>
    </row>
    <row r="432" spans="55:73" x14ac:dyDescent="0.2">
      <c r="BC432" s="45"/>
      <c r="BD432" s="46"/>
      <c r="BE432" s="46"/>
      <c r="BF432" s="134"/>
      <c r="BG432" s="135"/>
      <c r="BH432" s="131" t="str">
        <f t="shared" si="22"/>
        <v/>
      </c>
      <c r="BI432" s="132" t="str">
        <f t="shared" si="23"/>
        <v/>
      </c>
      <c r="BJ432" s="133" t="str">
        <f t="shared" si="24"/>
        <v/>
      </c>
      <c r="BK432" s="133" t="str">
        <f t="shared" si="25"/>
        <v/>
      </c>
      <c r="BL432" s="132"/>
      <c r="BM432" s="47"/>
      <c r="BN432" s="47"/>
      <c r="BO432" s="47"/>
      <c r="BP432" s="47"/>
      <c r="BQ432" s="47"/>
      <c r="BR432" s="47"/>
      <c r="BS432" s="48"/>
      <c r="BT432" s="47"/>
      <c r="BU432" s="48"/>
    </row>
    <row r="433" spans="55:73" x14ac:dyDescent="0.2">
      <c r="BC433" s="45"/>
      <c r="BD433" s="46"/>
      <c r="BE433" s="46"/>
      <c r="BF433" s="134"/>
      <c r="BG433" s="135"/>
      <c r="BH433" s="131" t="str">
        <f t="shared" si="22"/>
        <v/>
      </c>
      <c r="BI433" s="132" t="str">
        <f t="shared" si="23"/>
        <v/>
      </c>
      <c r="BJ433" s="133" t="str">
        <f t="shared" si="24"/>
        <v/>
      </c>
      <c r="BK433" s="133" t="str">
        <f t="shared" si="25"/>
        <v/>
      </c>
      <c r="BL433" s="132"/>
      <c r="BM433" s="47"/>
      <c r="BN433" s="47"/>
      <c r="BO433" s="47"/>
      <c r="BP433" s="47"/>
      <c r="BQ433" s="47"/>
      <c r="BR433" s="47"/>
      <c r="BS433" s="48"/>
      <c r="BT433" s="47"/>
      <c r="BU433" s="48"/>
    </row>
    <row r="434" spans="55:73" x14ac:dyDescent="0.2">
      <c r="BC434" s="45"/>
      <c r="BD434" s="46"/>
      <c r="BE434" s="46"/>
      <c r="BF434" s="134"/>
      <c r="BG434" s="135"/>
      <c r="BH434" s="131" t="str">
        <f t="shared" si="22"/>
        <v/>
      </c>
      <c r="BI434" s="132" t="str">
        <f t="shared" si="23"/>
        <v/>
      </c>
      <c r="BJ434" s="133" t="str">
        <f t="shared" si="24"/>
        <v/>
      </c>
      <c r="BK434" s="133" t="str">
        <f t="shared" si="25"/>
        <v/>
      </c>
      <c r="BL434" s="132"/>
      <c r="BM434" s="47"/>
      <c r="BN434" s="47"/>
      <c r="BO434" s="47"/>
      <c r="BP434" s="47"/>
      <c r="BQ434" s="47"/>
      <c r="BR434" s="47"/>
      <c r="BS434" s="48"/>
      <c r="BT434" s="47"/>
      <c r="BU434" s="48"/>
    </row>
    <row r="435" spans="55:73" x14ac:dyDescent="0.2">
      <c r="BC435" s="45"/>
      <c r="BD435" s="46"/>
      <c r="BE435" s="46"/>
      <c r="BF435" s="134"/>
      <c r="BG435" s="135"/>
      <c r="BH435" s="131" t="str">
        <f t="shared" si="22"/>
        <v/>
      </c>
      <c r="BI435" s="132" t="str">
        <f t="shared" si="23"/>
        <v/>
      </c>
      <c r="BJ435" s="133" t="str">
        <f t="shared" si="24"/>
        <v/>
      </c>
      <c r="BK435" s="133" t="str">
        <f t="shared" si="25"/>
        <v/>
      </c>
      <c r="BL435" s="132"/>
      <c r="BM435" s="47"/>
      <c r="BN435" s="47"/>
      <c r="BO435" s="47"/>
      <c r="BP435" s="47"/>
      <c r="BQ435" s="47"/>
      <c r="BR435" s="47"/>
      <c r="BS435" s="48"/>
      <c r="BT435" s="47"/>
      <c r="BU435" s="48"/>
    </row>
    <row r="436" spans="55:73" x14ac:dyDescent="0.2">
      <c r="BC436" s="45"/>
      <c r="BD436" s="46"/>
      <c r="BE436" s="46"/>
      <c r="BF436" s="134"/>
      <c r="BG436" s="135"/>
      <c r="BH436" s="131" t="str">
        <f t="shared" si="22"/>
        <v/>
      </c>
      <c r="BI436" s="132" t="str">
        <f t="shared" si="23"/>
        <v/>
      </c>
      <c r="BJ436" s="133" t="str">
        <f t="shared" si="24"/>
        <v/>
      </c>
      <c r="BK436" s="133" t="str">
        <f t="shared" si="25"/>
        <v/>
      </c>
      <c r="BL436" s="132"/>
      <c r="BM436" s="47"/>
      <c r="BN436" s="47"/>
      <c r="BO436" s="47"/>
      <c r="BP436" s="47"/>
      <c r="BQ436" s="47"/>
      <c r="BR436" s="47"/>
      <c r="BS436" s="48"/>
      <c r="BT436" s="47"/>
      <c r="BU436" s="48"/>
    </row>
    <row r="437" spans="55:73" x14ac:dyDescent="0.2">
      <c r="BC437" s="45"/>
      <c r="BD437" s="46"/>
      <c r="BE437" s="46"/>
      <c r="BF437" s="134"/>
      <c r="BG437" s="135"/>
      <c r="BH437" s="131" t="str">
        <f t="shared" si="22"/>
        <v/>
      </c>
      <c r="BI437" s="132" t="str">
        <f t="shared" si="23"/>
        <v/>
      </c>
      <c r="BJ437" s="133" t="str">
        <f t="shared" si="24"/>
        <v/>
      </c>
      <c r="BK437" s="133" t="str">
        <f t="shared" si="25"/>
        <v/>
      </c>
      <c r="BL437" s="132"/>
      <c r="BM437" s="47"/>
      <c r="BN437" s="47"/>
      <c r="BO437" s="47"/>
      <c r="BP437" s="47"/>
      <c r="BQ437" s="47"/>
      <c r="BR437" s="47"/>
      <c r="BS437" s="48"/>
      <c r="BT437" s="47"/>
      <c r="BU437" s="48"/>
    </row>
    <row r="438" spans="55:73" x14ac:dyDescent="0.2">
      <c r="BC438" s="45"/>
      <c r="BD438" s="46"/>
      <c r="BE438" s="46"/>
      <c r="BF438" s="134"/>
      <c r="BG438" s="135"/>
      <c r="BH438" s="131" t="str">
        <f t="shared" si="22"/>
        <v/>
      </c>
      <c r="BI438" s="132" t="str">
        <f t="shared" si="23"/>
        <v/>
      </c>
      <c r="BJ438" s="133" t="str">
        <f t="shared" si="24"/>
        <v/>
      </c>
      <c r="BK438" s="133" t="str">
        <f t="shared" si="25"/>
        <v/>
      </c>
      <c r="BL438" s="132"/>
      <c r="BM438" s="47"/>
      <c r="BN438" s="47"/>
      <c r="BO438" s="47"/>
      <c r="BP438" s="47"/>
      <c r="BQ438" s="47"/>
      <c r="BR438" s="47"/>
      <c r="BS438" s="48"/>
      <c r="BT438" s="47"/>
      <c r="BU438" s="48"/>
    </row>
    <row r="439" spans="55:73" x14ac:dyDescent="0.2">
      <c r="BC439" s="45"/>
      <c r="BD439" s="46"/>
      <c r="BE439" s="46"/>
      <c r="BF439" s="134"/>
      <c r="BG439" s="135"/>
      <c r="BH439" s="131" t="str">
        <f t="shared" si="22"/>
        <v/>
      </c>
      <c r="BI439" s="132" t="str">
        <f t="shared" si="23"/>
        <v/>
      </c>
      <c r="BJ439" s="133" t="str">
        <f t="shared" si="24"/>
        <v/>
      </c>
      <c r="BK439" s="133" t="str">
        <f t="shared" si="25"/>
        <v/>
      </c>
      <c r="BL439" s="132"/>
      <c r="BM439" s="47"/>
      <c r="BN439" s="47"/>
      <c r="BO439" s="47"/>
      <c r="BP439" s="47"/>
      <c r="BQ439" s="47"/>
      <c r="BR439" s="47"/>
      <c r="BS439" s="48"/>
      <c r="BT439" s="47"/>
      <c r="BU439" s="48"/>
    </row>
    <row r="440" spans="55:73" x14ac:dyDescent="0.2">
      <c r="BC440" s="45"/>
      <c r="BD440" s="46"/>
      <c r="BE440" s="46"/>
      <c r="BF440" s="134"/>
      <c r="BG440" s="135"/>
      <c r="BH440" s="131" t="str">
        <f t="shared" si="22"/>
        <v/>
      </c>
      <c r="BI440" s="132" t="str">
        <f t="shared" si="23"/>
        <v/>
      </c>
      <c r="BJ440" s="133" t="str">
        <f t="shared" si="24"/>
        <v/>
      </c>
      <c r="BK440" s="133" t="str">
        <f t="shared" si="25"/>
        <v/>
      </c>
      <c r="BL440" s="132"/>
      <c r="BM440" s="47"/>
      <c r="BN440" s="47"/>
      <c r="BO440" s="47"/>
      <c r="BP440" s="47"/>
      <c r="BQ440" s="47"/>
      <c r="BR440" s="47"/>
      <c r="BS440" s="48"/>
      <c r="BT440" s="47"/>
      <c r="BU440" s="48"/>
    </row>
    <row r="441" spans="55:73" x14ac:dyDescent="0.2">
      <c r="BC441" s="45"/>
      <c r="BD441" s="46"/>
      <c r="BE441" s="46"/>
      <c r="BF441" s="134"/>
      <c r="BG441" s="135"/>
      <c r="BH441" s="131" t="str">
        <f t="shared" si="22"/>
        <v/>
      </c>
      <c r="BI441" s="132" t="str">
        <f t="shared" si="23"/>
        <v/>
      </c>
      <c r="BJ441" s="133" t="str">
        <f t="shared" si="24"/>
        <v/>
      </c>
      <c r="BK441" s="133" t="str">
        <f t="shared" si="25"/>
        <v/>
      </c>
      <c r="BL441" s="132"/>
      <c r="BM441" s="47"/>
      <c r="BN441" s="47"/>
      <c r="BO441" s="47"/>
      <c r="BP441" s="47"/>
      <c r="BQ441" s="47"/>
      <c r="BR441" s="47"/>
      <c r="BS441" s="48"/>
      <c r="BT441" s="47"/>
      <c r="BU441" s="48"/>
    </row>
    <row r="442" spans="55:73" x14ac:dyDescent="0.2">
      <c r="BC442" s="45"/>
      <c r="BD442" s="46"/>
      <c r="BE442" s="46"/>
      <c r="BF442" s="134"/>
      <c r="BG442" s="135"/>
      <c r="BH442" s="131" t="str">
        <f t="shared" si="22"/>
        <v/>
      </c>
      <c r="BI442" s="132" t="str">
        <f t="shared" si="23"/>
        <v/>
      </c>
      <c r="BJ442" s="133" t="str">
        <f t="shared" si="24"/>
        <v/>
      </c>
      <c r="BK442" s="133" t="str">
        <f t="shared" si="25"/>
        <v/>
      </c>
      <c r="BL442" s="132"/>
      <c r="BM442" s="47"/>
      <c r="BN442" s="47"/>
      <c r="BO442" s="47"/>
      <c r="BP442" s="47"/>
      <c r="BQ442" s="47"/>
      <c r="BR442" s="47"/>
      <c r="BS442" s="48"/>
      <c r="BT442" s="47"/>
      <c r="BU442" s="48"/>
    </row>
    <row r="443" spans="55:73" x14ac:dyDescent="0.2">
      <c r="BC443" s="45"/>
      <c r="BD443" s="46"/>
      <c r="BE443" s="46"/>
      <c r="BF443" s="134"/>
      <c r="BG443" s="135"/>
      <c r="BH443" s="131" t="str">
        <f t="shared" si="22"/>
        <v/>
      </c>
      <c r="BI443" s="132" t="str">
        <f t="shared" si="23"/>
        <v/>
      </c>
      <c r="BJ443" s="133" t="str">
        <f t="shared" si="24"/>
        <v/>
      </c>
      <c r="BK443" s="133" t="str">
        <f t="shared" si="25"/>
        <v/>
      </c>
      <c r="BL443" s="132"/>
      <c r="BM443" s="47"/>
      <c r="BN443" s="47"/>
      <c r="BO443" s="47"/>
      <c r="BP443" s="47"/>
      <c r="BQ443" s="47"/>
      <c r="BR443" s="47"/>
      <c r="BS443" s="48"/>
      <c r="BT443" s="47"/>
      <c r="BU443" s="48"/>
    </row>
    <row r="444" spans="55:73" x14ac:dyDescent="0.2">
      <c r="BC444" s="45"/>
      <c r="BD444" s="46"/>
      <c r="BE444" s="46"/>
      <c r="BF444" s="134"/>
      <c r="BG444" s="135"/>
      <c r="BH444" s="131" t="str">
        <f t="shared" si="22"/>
        <v/>
      </c>
      <c r="BI444" s="132" t="str">
        <f t="shared" si="23"/>
        <v/>
      </c>
      <c r="BJ444" s="133" t="str">
        <f t="shared" si="24"/>
        <v/>
      </c>
      <c r="BK444" s="133" t="str">
        <f t="shared" si="25"/>
        <v/>
      </c>
      <c r="BL444" s="132"/>
      <c r="BM444" s="47"/>
      <c r="BN444" s="47"/>
      <c r="BO444" s="47"/>
      <c r="BP444" s="47"/>
      <c r="BQ444" s="47"/>
      <c r="BR444" s="47"/>
      <c r="BS444" s="48"/>
      <c r="BT444" s="47"/>
      <c r="BU444" s="48"/>
    </row>
    <row r="445" spans="55:73" x14ac:dyDescent="0.2">
      <c r="BC445" s="45"/>
      <c r="BD445" s="46"/>
      <c r="BE445" s="46"/>
      <c r="BF445" s="134"/>
      <c r="BG445" s="135"/>
      <c r="BH445" s="131" t="str">
        <f t="shared" si="22"/>
        <v/>
      </c>
      <c r="BI445" s="132" t="str">
        <f t="shared" si="23"/>
        <v/>
      </c>
      <c r="BJ445" s="133" t="str">
        <f t="shared" si="24"/>
        <v/>
      </c>
      <c r="BK445" s="133" t="str">
        <f t="shared" si="25"/>
        <v/>
      </c>
      <c r="BL445" s="132"/>
      <c r="BM445" s="47"/>
      <c r="BN445" s="47"/>
      <c r="BO445" s="47"/>
      <c r="BP445" s="47"/>
      <c r="BQ445" s="47"/>
      <c r="BR445" s="47"/>
      <c r="BS445" s="48"/>
      <c r="BT445" s="47"/>
      <c r="BU445" s="48"/>
    </row>
    <row r="446" spans="55:73" x14ac:dyDescent="0.2">
      <c r="BC446" s="45"/>
      <c r="BD446" s="46"/>
      <c r="BE446" s="46"/>
      <c r="BF446" s="134"/>
      <c r="BG446" s="135"/>
      <c r="BH446" s="131" t="str">
        <f t="shared" si="22"/>
        <v/>
      </c>
      <c r="BI446" s="132" t="str">
        <f t="shared" si="23"/>
        <v/>
      </c>
      <c r="BJ446" s="133" t="str">
        <f t="shared" si="24"/>
        <v/>
      </c>
      <c r="BK446" s="133" t="str">
        <f t="shared" si="25"/>
        <v/>
      </c>
      <c r="BL446" s="132"/>
      <c r="BM446" s="47"/>
      <c r="BN446" s="47"/>
      <c r="BO446" s="47"/>
      <c r="BP446" s="47"/>
      <c r="BQ446" s="47"/>
      <c r="BR446" s="47"/>
      <c r="BS446" s="48"/>
      <c r="BT446" s="47"/>
      <c r="BU446" s="48"/>
    </row>
    <row r="447" spans="55:73" x14ac:dyDescent="0.2">
      <c r="BC447" s="45"/>
      <c r="BD447" s="46"/>
      <c r="BE447" s="46"/>
      <c r="BF447" s="134"/>
      <c r="BG447" s="135"/>
      <c r="BH447" s="131" t="str">
        <f t="shared" si="22"/>
        <v/>
      </c>
      <c r="BI447" s="132" t="str">
        <f t="shared" si="23"/>
        <v/>
      </c>
      <c r="BJ447" s="133" t="str">
        <f t="shared" si="24"/>
        <v/>
      </c>
      <c r="BK447" s="133" t="str">
        <f t="shared" si="25"/>
        <v/>
      </c>
      <c r="BL447" s="132"/>
      <c r="BM447" s="47"/>
      <c r="BN447" s="47"/>
      <c r="BO447" s="47"/>
      <c r="BP447" s="47"/>
      <c r="BQ447" s="47"/>
      <c r="BR447" s="47"/>
      <c r="BS447" s="48"/>
      <c r="BT447" s="47"/>
      <c r="BU447" s="48"/>
    </row>
    <row r="448" spans="55:73" x14ac:dyDescent="0.2">
      <c r="BC448" s="45"/>
      <c r="BD448" s="46"/>
      <c r="BE448" s="46"/>
      <c r="BF448" s="134"/>
      <c r="BG448" s="135"/>
      <c r="BH448" s="131" t="str">
        <f t="shared" si="22"/>
        <v/>
      </c>
      <c r="BI448" s="132" t="str">
        <f t="shared" si="23"/>
        <v/>
      </c>
      <c r="BJ448" s="133" t="str">
        <f t="shared" si="24"/>
        <v/>
      </c>
      <c r="BK448" s="133" t="str">
        <f t="shared" si="25"/>
        <v/>
      </c>
      <c r="BL448" s="132"/>
      <c r="BM448" s="47"/>
      <c r="BN448" s="47"/>
      <c r="BO448" s="47"/>
      <c r="BP448" s="47"/>
      <c r="BQ448" s="47"/>
      <c r="BR448" s="47"/>
      <c r="BS448" s="48"/>
      <c r="BT448" s="47"/>
      <c r="BU448" s="48"/>
    </row>
    <row r="449" spans="37:73" x14ac:dyDescent="0.2">
      <c r="BC449" s="45"/>
      <c r="BD449" s="46"/>
      <c r="BE449" s="46"/>
      <c r="BF449" s="134"/>
      <c r="BG449" s="135"/>
      <c r="BH449" s="131" t="str">
        <f t="shared" ref="BH449:BH480" si="26">IF(AND($B99="",$C99=""),"",IF($FB99="I",IF(AND(ISBLANK($E99)=FALSE,ISBLANK($F99)),IF($B99="",$C99,$B99),IF(AND(ISBLANK($I99)=FALSE,ISBLANK($J99)),IF($B99="",$C99,$B99),IF(AND(ISBLANK($M99)=FALSE,ISBLANK($N99)),IF($B99="",$C99,$B99),IF(AND(ISBLANK($Q99)=FALSE,ISBLANK($R99)),IF($B99="",$C99,$B99),IF(AND(ISBLANK($U99)=FALSE,ISBLANK($V99)),IF($B99="",$C99,$B99),""))))), ""))</f>
        <v/>
      </c>
      <c r="BI449" s="132" t="str">
        <f t="shared" ref="BI449:BI480" si="27">IF(AND($B99="",$C99=""),"",IF($FB99="H",IF(AND(ISBLANK($E99)=FALSE,ISBLANK($F99)),IF($B99="",$C99,$B99),IF(AND(ISBLANK($I99)=FALSE,ISBLANK($J99)),IF($B99="",$C99,$B99),IF(AND(ISBLANK($M99)=FALSE,ISBLANK($N99)),IF($B99="",$C99,$B99),IF(AND(ISBLANK($Q99)=FALSE,ISBLANK($R99)),IF($B99="",$C99,$B99),IF(AND(ISBLANK($U99)=FALSE,ISBLANK($V99)),IF($B99="",$C99,$B99),""))))), ""))</f>
        <v/>
      </c>
      <c r="BJ449" s="133" t="str">
        <f t="shared" ref="BJ449:BJ480" si="28">IF(AND(ISBLANK($F99)=FALSE,ISBLANK($G99),ISBLANK($H99)),IF($B99="",$C99,$B99),IF(AND(ISBLANK($J99)=FALSE,ISBLANK($K99),ISBLANK($L99)),IF($B99="",$C99,$B99),IF(AND(ISBLANK($N99)=FALSE,ISBLANK($O99),ISBLANK($P99)),IF($B99="",$C99,$B99),IF(AND(ISBLANK($R99)=FALSE,ISBLANK($S99),ISBLANK($T99)),IF($B99="",$C99,$B99),IF(AND(ISBLANK($V99)=FALSE,ISBLANK($W99)),IF($B99="",$C99,$B99),"")))))</f>
        <v/>
      </c>
      <c r="BK449" s="133" t="str">
        <f t="shared" ref="BK449:BK480" si="29">IF(AND($BH449="", $BI449="", $BJ449=""), IF(AND($C99="",$B99=""),"", IF($B99="",$C99,$B99)),"")</f>
        <v/>
      </c>
      <c r="BL449" s="132"/>
      <c r="BM449" s="47"/>
      <c r="BN449" s="47"/>
      <c r="BO449" s="47"/>
      <c r="BP449" s="47"/>
      <c r="BQ449" s="47"/>
      <c r="BR449" s="47"/>
      <c r="BS449" s="48"/>
      <c r="BT449" s="47"/>
      <c r="BU449" s="48"/>
    </row>
    <row r="450" spans="37:73" x14ac:dyDescent="0.2">
      <c r="BC450" s="45"/>
      <c r="BD450" s="46"/>
      <c r="BE450" s="46"/>
      <c r="BF450" s="134"/>
      <c r="BG450" s="135"/>
      <c r="BH450" s="131" t="str">
        <f t="shared" si="26"/>
        <v/>
      </c>
      <c r="BI450" s="132" t="str">
        <f t="shared" si="27"/>
        <v/>
      </c>
      <c r="BJ450" s="133" t="str">
        <f t="shared" si="28"/>
        <v/>
      </c>
      <c r="BK450" s="133" t="str">
        <f t="shared" si="29"/>
        <v/>
      </c>
      <c r="BL450" s="132"/>
      <c r="BM450" s="47"/>
      <c r="BN450" s="47"/>
      <c r="BO450" s="47"/>
      <c r="BP450" s="47"/>
      <c r="BQ450" s="47"/>
      <c r="BR450" s="47"/>
      <c r="BS450" s="48"/>
      <c r="BT450" s="47"/>
      <c r="BU450" s="48"/>
    </row>
    <row r="451" spans="37:73" x14ac:dyDescent="0.2">
      <c r="BC451" s="45"/>
      <c r="BD451" s="46"/>
      <c r="BE451" s="46"/>
      <c r="BF451" s="134"/>
      <c r="BG451" s="135"/>
      <c r="BH451" s="131" t="str">
        <f t="shared" si="26"/>
        <v/>
      </c>
      <c r="BI451" s="132" t="str">
        <f t="shared" si="27"/>
        <v/>
      </c>
      <c r="BJ451" s="133" t="str">
        <f t="shared" si="28"/>
        <v/>
      </c>
      <c r="BK451" s="133" t="str">
        <f t="shared" si="29"/>
        <v/>
      </c>
      <c r="BL451" s="132"/>
      <c r="BM451" s="47"/>
      <c r="BN451" s="47"/>
      <c r="BO451" s="47"/>
      <c r="BP451" s="47"/>
      <c r="BQ451" s="47"/>
      <c r="BR451" s="47"/>
      <c r="BS451" s="48"/>
      <c r="BT451" s="47"/>
      <c r="BU451" s="48"/>
    </row>
    <row r="452" spans="37:73" x14ac:dyDescent="0.2">
      <c r="BC452" s="45"/>
      <c r="BD452" s="46"/>
      <c r="BE452" s="46"/>
      <c r="BF452" s="134"/>
      <c r="BG452" s="135"/>
      <c r="BH452" s="131" t="str">
        <f t="shared" si="26"/>
        <v/>
      </c>
      <c r="BI452" s="132" t="str">
        <f t="shared" si="27"/>
        <v/>
      </c>
      <c r="BJ452" s="133" t="str">
        <f t="shared" si="28"/>
        <v/>
      </c>
      <c r="BK452" s="133" t="str">
        <f t="shared" si="29"/>
        <v/>
      </c>
      <c r="BL452" s="132"/>
      <c r="BM452" s="47"/>
      <c r="BN452" s="47"/>
      <c r="BO452" s="47"/>
      <c r="BP452" s="47"/>
      <c r="BQ452" s="47"/>
      <c r="BR452" s="47"/>
      <c r="BS452" s="48"/>
      <c r="BT452" s="47"/>
      <c r="BU452" s="48"/>
    </row>
    <row r="453" spans="37:73" x14ac:dyDescent="0.2">
      <c r="BC453" s="45"/>
      <c r="BD453" s="46"/>
      <c r="BE453" s="46"/>
      <c r="BF453" s="134"/>
      <c r="BG453" s="135"/>
      <c r="BH453" s="131" t="str">
        <f t="shared" si="26"/>
        <v/>
      </c>
      <c r="BI453" s="132" t="str">
        <f t="shared" si="27"/>
        <v/>
      </c>
      <c r="BJ453" s="133" t="str">
        <f t="shared" si="28"/>
        <v/>
      </c>
      <c r="BK453" s="133" t="str">
        <f t="shared" si="29"/>
        <v/>
      </c>
      <c r="BL453" s="132"/>
      <c r="BM453" s="47"/>
      <c r="BN453" s="47"/>
      <c r="BO453" s="47"/>
      <c r="BP453" s="47"/>
      <c r="BQ453" s="47"/>
      <c r="BR453" s="47"/>
      <c r="BS453" s="48"/>
      <c r="BT453" s="47"/>
      <c r="BU453" s="48"/>
    </row>
    <row r="454" spans="37:73" x14ac:dyDescent="0.2">
      <c r="BC454" s="45"/>
      <c r="BD454" s="46"/>
      <c r="BE454" s="46"/>
      <c r="BF454" s="134"/>
      <c r="BG454" s="135"/>
      <c r="BH454" s="131" t="str">
        <f t="shared" si="26"/>
        <v/>
      </c>
      <c r="BI454" s="132" t="str">
        <f t="shared" si="27"/>
        <v/>
      </c>
      <c r="BJ454" s="133" t="str">
        <f t="shared" si="28"/>
        <v/>
      </c>
      <c r="BK454" s="133" t="str">
        <f t="shared" si="29"/>
        <v/>
      </c>
      <c r="BL454" s="132"/>
      <c r="BM454" s="47"/>
      <c r="BN454" s="47"/>
      <c r="BO454" s="47"/>
      <c r="BP454" s="47"/>
      <c r="BQ454" s="47"/>
      <c r="BR454" s="47"/>
      <c r="BS454" s="48"/>
      <c r="BT454" s="47"/>
      <c r="BU454" s="48"/>
    </row>
    <row r="455" spans="37:73" x14ac:dyDescent="0.2">
      <c r="BC455" s="45"/>
      <c r="BD455" s="46"/>
      <c r="BE455" s="46"/>
      <c r="BF455" s="134"/>
      <c r="BG455" s="135"/>
      <c r="BH455" s="131" t="str">
        <f t="shared" si="26"/>
        <v/>
      </c>
      <c r="BI455" s="132" t="str">
        <f t="shared" si="27"/>
        <v/>
      </c>
      <c r="BJ455" s="133" t="str">
        <f t="shared" si="28"/>
        <v/>
      </c>
      <c r="BK455" s="133" t="str">
        <f t="shared" si="29"/>
        <v/>
      </c>
      <c r="BL455" s="132"/>
      <c r="BM455" s="47"/>
      <c r="BN455" s="47"/>
      <c r="BO455" s="47"/>
      <c r="BP455" s="47"/>
      <c r="BQ455" s="47"/>
      <c r="BR455" s="47"/>
      <c r="BS455" s="48"/>
      <c r="BT455" s="47"/>
      <c r="BU455" s="48"/>
    </row>
    <row r="456" spans="37:73" x14ac:dyDescent="0.2">
      <c r="BC456" s="45"/>
      <c r="BD456" s="46"/>
      <c r="BE456" s="46"/>
      <c r="BF456" s="134"/>
      <c r="BG456" s="135"/>
      <c r="BH456" s="131" t="str">
        <f t="shared" si="26"/>
        <v/>
      </c>
      <c r="BI456" s="132" t="str">
        <f t="shared" si="27"/>
        <v/>
      </c>
      <c r="BJ456" s="133" t="str">
        <f t="shared" si="28"/>
        <v/>
      </c>
      <c r="BK456" s="133" t="str">
        <f t="shared" si="29"/>
        <v/>
      </c>
      <c r="BL456" s="132"/>
      <c r="BM456" s="47"/>
      <c r="BN456" s="47"/>
      <c r="BO456" s="47"/>
      <c r="BP456" s="47"/>
      <c r="BQ456" s="47"/>
      <c r="BR456" s="47"/>
      <c r="BS456" s="48"/>
      <c r="BT456" s="47"/>
      <c r="BU456" s="48"/>
    </row>
    <row r="457" spans="37:73" x14ac:dyDescent="0.2">
      <c r="BC457" s="45"/>
      <c r="BD457" s="46"/>
      <c r="BE457" s="46"/>
      <c r="BF457" s="134"/>
      <c r="BG457" s="135"/>
      <c r="BH457" s="131" t="str">
        <f t="shared" si="26"/>
        <v/>
      </c>
      <c r="BI457" s="132" t="str">
        <f t="shared" si="27"/>
        <v/>
      </c>
      <c r="BJ457" s="133" t="str">
        <f t="shared" si="28"/>
        <v/>
      </c>
      <c r="BK457" s="133" t="str">
        <f t="shared" si="29"/>
        <v/>
      </c>
      <c r="BL457" s="132"/>
      <c r="BM457" s="47"/>
      <c r="BN457" s="47"/>
      <c r="BO457" s="47"/>
      <c r="BP457" s="47"/>
      <c r="BQ457" s="47"/>
      <c r="BR457" s="47"/>
      <c r="BS457" s="48"/>
      <c r="BT457" s="47"/>
      <c r="BU457" s="48"/>
    </row>
    <row r="458" spans="37:73" x14ac:dyDescent="0.2">
      <c r="BC458" s="45"/>
      <c r="BD458" s="46"/>
      <c r="BE458" s="46"/>
      <c r="BF458" s="134"/>
      <c r="BG458" s="135"/>
      <c r="BH458" s="131" t="str">
        <f t="shared" si="26"/>
        <v/>
      </c>
      <c r="BI458" s="132" t="str">
        <f t="shared" si="27"/>
        <v/>
      </c>
      <c r="BJ458" s="133" t="str">
        <f t="shared" si="28"/>
        <v/>
      </c>
      <c r="BK458" s="133" t="str">
        <f t="shared" si="29"/>
        <v/>
      </c>
      <c r="BL458" s="132"/>
      <c r="BM458" s="47"/>
      <c r="BN458" s="47"/>
      <c r="BO458" s="47"/>
      <c r="BP458" s="47"/>
      <c r="BQ458" s="47"/>
      <c r="BR458" s="47"/>
      <c r="BS458" s="48"/>
      <c r="BT458" s="47"/>
      <c r="BU458" s="48"/>
    </row>
    <row r="459" spans="37:73" x14ac:dyDescent="0.2">
      <c r="BC459" s="45"/>
      <c r="BD459" s="46"/>
      <c r="BE459" s="46"/>
      <c r="BF459" s="134"/>
      <c r="BG459" s="135"/>
      <c r="BH459" s="131" t="str">
        <f t="shared" si="26"/>
        <v/>
      </c>
      <c r="BI459" s="132" t="str">
        <f t="shared" si="27"/>
        <v/>
      </c>
      <c r="BJ459" s="133" t="str">
        <f t="shared" si="28"/>
        <v/>
      </c>
      <c r="BK459" s="133" t="str">
        <f t="shared" si="29"/>
        <v/>
      </c>
      <c r="BL459" s="132"/>
      <c r="BM459" s="47"/>
      <c r="BN459" s="47"/>
      <c r="BO459" s="47"/>
      <c r="BP459" s="47"/>
      <c r="BQ459" s="47"/>
      <c r="BR459" s="47"/>
      <c r="BS459" s="48"/>
      <c r="BT459" s="47"/>
      <c r="BU459" s="48"/>
    </row>
    <row r="460" spans="37:73" x14ac:dyDescent="0.2">
      <c r="AK460" s="10"/>
      <c r="BC460" s="45"/>
      <c r="BD460" s="46"/>
      <c r="BE460" s="46"/>
      <c r="BF460" s="134"/>
      <c r="BG460" s="135"/>
      <c r="BH460" s="131" t="str">
        <f t="shared" si="26"/>
        <v/>
      </c>
      <c r="BI460" s="132" t="str">
        <f t="shared" si="27"/>
        <v/>
      </c>
      <c r="BJ460" s="133" t="str">
        <f t="shared" si="28"/>
        <v/>
      </c>
      <c r="BK460" s="133" t="str">
        <f t="shared" si="29"/>
        <v/>
      </c>
      <c r="BL460" s="132"/>
      <c r="BM460" s="47"/>
      <c r="BN460" s="47"/>
      <c r="BO460" s="47"/>
      <c r="BP460" s="47"/>
      <c r="BQ460" s="47"/>
      <c r="BR460" s="47"/>
      <c r="BS460" s="48"/>
      <c r="BT460" s="47"/>
      <c r="BU460" s="48"/>
    </row>
    <row r="461" spans="37:73" x14ac:dyDescent="0.2">
      <c r="AK461" s="10"/>
      <c r="BC461" s="45"/>
      <c r="BD461" s="46"/>
      <c r="BE461" s="46"/>
      <c r="BF461" s="134"/>
      <c r="BG461" s="135"/>
      <c r="BH461" s="131" t="str">
        <f t="shared" si="26"/>
        <v/>
      </c>
      <c r="BI461" s="132" t="str">
        <f t="shared" si="27"/>
        <v/>
      </c>
      <c r="BJ461" s="133" t="str">
        <f t="shared" si="28"/>
        <v/>
      </c>
      <c r="BK461" s="133" t="str">
        <f t="shared" si="29"/>
        <v/>
      </c>
      <c r="BL461" s="132"/>
      <c r="BM461" s="47"/>
      <c r="BN461" s="47"/>
      <c r="BO461" s="47"/>
      <c r="BP461" s="47"/>
      <c r="BQ461" s="47"/>
      <c r="BR461" s="47"/>
      <c r="BS461" s="48"/>
      <c r="BT461" s="47"/>
      <c r="BU461" s="48"/>
    </row>
    <row r="462" spans="37:73" x14ac:dyDescent="0.2">
      <c r="AK462" s="10"/>
      <c r="BC462" s="45"/>
      <c r="BD462" s="46"/>
      <c r="BE462" s="46"/>
      <c r="BF462" s="134"/>
      <c r="BG462" s="135"/>
      <c r="BH462" s="131" t="str">
        <f t="shared" si="26"/>
        <v/>
      </c>
      <c r="BI462" s="132" t="str">
        <f t="shared" si="27"/>
        <v/>
      </c>
      <c r="BJ462" s="133" t="str">
        <f t="shared" si="28"/>
        <v/>
      </c>
      <c r="BK462" s="133" t="str">
        <f t="shared" si="29"/>
        <v/>
      </c>
      <c r="BL462" s="132"/>
      <c r="BM462" s="47"/>
      <c r="BN462" s="47"/>
      <c r="BO462" s="47"/>
      <c r="BP462" s="47"/>
      <c r="BQ462" s="47"/>
      <c r="BR462" s="47"/>
      <c r="BS462" s="48"/>
      <c r="BT462" s="47"/>
      <c r="BU462" s="48"/>
    </row>
    <row r="463" spans="37:73" x14ac:dyDescent="0.2">
      <c r="BC463" s="45"/>
      <c r="BD463" s="46"/>
      <c r="BE463" s="46"/>
      <c r="BF463" s="134"/>
      <c r="BG463" s="135"/>
      <c r="BH463" s="131" t="str">
        <f t="shared" si="26"/>
        <v/>
      </c>
      <c r="BI463" s="132" t="str">
        <f t="shared" si="27"/>
        <v/>
      </c>
      <c r="BJ463" s="133" t="str">
        <f t="shared" si="28"/>
        <v/>
      </c>
      <c r="BK463" s="133" t="str">
        <f t="shared" si="29"/>
        <v/>
      </c>
      <c r="BL463" s="132"/>
      <c r="BM463" s="47"/>
      <c r="BN463" s="47"/>
      <c r="BO463" s="47"/>
      <c r="BP463" s="47"/>
      <c r="BQ463" s="47"/>
      <c r="BR463" s="47"/>
      <c r="BS463" s="48"/>
      <c r="BT463" s="47"/>
      <c r="BU463" s="48"/>
    </row>
    <row r="464" spans="37:73" x14ac:dyDescent="0.2">
      <c r="BC464" s="45"/>
      <c r="BD464" s="46"/>
      <c r="BE464" s="46"/>
      <c r="BF464" s="134"/>
      <c r="BG464" s="135"/>
      <c r="BH464" s="131" t="str">
        <f t="shared" si="26"/>
        <v/>
      </c>
      <c r="BI464" s="132" t="str">
        <f t="shared" si="27"/>
        <v/>
      </c>
      <c r="BJ464" s="133" t="str">
        <f t="shared" si="28"/>
        <v/>
      </c>
      <c r="BK464" s="133" t="str">
        <f t="shared" si="29"/>
        <v/>
      </c>
      <c r="BL464" s="132"/>
      <c r="BM464" s="47"/>
      <c r="BN464" s="47"/>
      <c r="BO464" s="47"/>
      <c r="BP464" s="47"/>
      <c r="BQ464" s="47"/>
      <c r="BR464" s="47"/>
      <c r="BS464" s="48"/>
      <c r="BT464" s="47"/>
      <c r="BU464" s="48"/>
    </row>
    <row r="465" spans="55:73" x14ac:dyDescent="0.2">
      <c r="BC465" s="45"/>
      <c r="BD465" s="46"/>
      <c r="BE465" s="46"/>
      <c r="BF465" s="134"/>
      <c r="BG465" s="135"/>
      <c r="BH465" s="131" t="str">
        <f t="shared" si="26"/>
        <v/>
      </c>
      <c r="BI465" s="132" t="str">
        <f t="shared" si="27"/>
        <v/>
      </c>
      <c r="BJ465" s="133" t="str">
        <f t="shared" si="28"/>
        <v/>
      </c>
      <c r="BK465" s="133" t="str">
        <f t="shared" si="29"/>
        <v/>
      </c>
      <c r="BL465" s="132"/>
      <c r="BM465" s="47"/>
      <c r="BN465" s="47"/>
      <c r="BO465" s="47"/>
      <c r="BP465" s="47"/>
      <c r="BQ465" s="47"/>
      <c r="BR465" s="47"/>
      <c r="BS465" s="48"/>
      <c r="BT465" s="47"/>
      <c r="BU465" s="48"/>
    </row>
    <row r="466" spans="55:73" x14ac:dyDescent="0.2">
      <c r="BC466" s="45"/>
      <c r="BD466" s="46"/>
      <c r="BE466" s="46"/>
      <c r="BF466" s="134"/>
      <c r="BG466" s="135"/>
      <c r="BH466" s="131" t="str">
        <f t="shared" si="26"/>
        <v/>
      </c>
      <c r="BI466" s="132" t="str">
        <f t="shared" si="27"/>
        <v/>
      </c>
      <c r="BJ466" s="133" t="str">
        <f t="shared" si="28"/>
        <v/>
      </c>
      <c r="BK466" s="133" t="str">
        <f t="shared" si="29"/>
        <v/>
      </c>
      <c r="BL466" s="132"/>
      <c r="BM466" s="47"/>
      <c r="BN466" s="47"/>
      <c r="BO466" s="47"/>
      <c r="BP466" s="47"/>
      <c r="BQ466" s="47"/>
      <c r="BR466" s="47"/>
      <c r="BS466" s="48"/>
      <c r="BT466" s="47"/>
      <c r="BU466" s="48"/>
    </row>
    <row r="467" spans="55:73" x14ac:dyDescent="0.2">
      <c r="BC467" s="45"/>
      <c r="BD467" s="46"/>
      <c r="BE467" s="46"/>
      <c r="BF467" s="134"/>
      <c r="BG467" s="135"/>
      <c r="BH467" s="131" t="str">
        <f t="shared" si="26"/>
        <v/>
      </c>
      <c r="BI467" s="132" t="str">
        <f t="shared" si="27"/>
        <v/>
      </c>
      <c r="BJ467" s="133" t="str">
        <f t="shared" si="28"/>
        <v/>
      </c>
      <c r="BK467" s="133" t="str">
        <f t="shared" si="29"/>
        <v/>
      </c>
      <c r="BL467" s="132"/>
      <c r="BM467" s="47"/>
      <c r="BN467" s="47"/>
      <c r="BO467" s="47"/>
      <c r="BP467" s="47"/>
      <c r="BQ467" s="47"/>
      <c r="BR467" s="47"/>
      <c r="BS467" s="48"/>
      <c r="BT467" s="47"/>
      <c r="BU467" s="48"/>
    </row>
    <row r="468" spans="55:73" x14ac:dyDescent="0.2">
      <c r="BC468" s="45"/>
      <c r="BD468" s="46"/>
      <c r="BE468" s="46"/>
      <c r="BF468" s="134"/>
      <c r="BG468" s="135"/>
      <c r="BH468" s="131" t="str">
        <f t="shared" si="26"/>
        <v/>
      </c>
      <c r="BI468" s="132" t="str">
        <f t="shared" si="27"/>
        <v/>
      </c>
      <c r="BJ468" s="133" t="str">
        <f t="shared" si="28"/>
        <v/>
      </c>
      <c r="BK468" s="133" t="str">
        <f t="shared" si="29"/>
        <v/>
      </c>
      <c r="BL468" s="132"/>
      <c r="BM468" s="47"/>
      <c r="BN468" s="47"/>
      <c r="BO468" s="47"/>
      <c r="BP468" s="47"/>
      <c r="BQ468" s="47"/>
      <c r="BR468" s="47"/>
      <c r="BS468" s="48"/>
      <c r="BT468" s="47"/>
      <c r="BU468" s="48"/>
    </row>
    <row r="469" spans="55:73" x14ac:dyDescent="0.2">
      <c r="BC469" s="45"/>
      <c r="BD469" s="46"/>
      <c r="BE469" s="46"/>
      <c r="BF469" s="134"/>
      <c r="BG469" s="135"/>
      <c r="BH469" s="131" t="str">
        <f t="shared" si="26"/>
        <v/>
      </c>
      <c r="BI469" s="132" t="str">
        <f t="shared" si="27"/>
        <v/>
      </c>
      <c r="BJ469" s="133" t="str">
        <f t="shared" si="28"/>
        <v/>
      </c>
      <c r="BK469" s="133" t="str">
        <f t="shared" si="29"/>
        <v/>
      </c>
      <c r="BL469" s="132"/>
      <c r="BM469" s="47"/>
      <c r="BN469" s="47"/>
      <c r="BO469" s="47"/>
      <c r="BP469" s="47"/>
      <c r="BQ469" s="47"/>
      <c r="BR469" s="47"/>
      <c r="BS469" s="48"/>
      <c r="BT469" s="47"/>
      <c r="BU469" s="48"/>
    </row>
    <row r="470" spans="55:73" x14ac:dyDescent="0.2">
      <c r="BH470" s="131" t="str">
        <f t="shared" si="26"/>
        <v/>
      </c>
      <c r="BI470" s="132" t="str">
        <f t="shared" si="27"/>
        <v/>
      </c>
      <c r="BJ470" s="133" t="str">
        <f t="shared" si="28"/>
        <v/>
      </c>
      <c r="BK470" s="133" t="str">
        <f t="shared" si="29"/>
        <v/>
      </c>
      <c r="BL470" s="132"/>
      <c r="BM470" s="47"/>
      <c r="BN470" s="47"/>
      <c r="BO470" s="47"/>
      <c r="BP470" s="47"/>
      <c r="BQ470" s="47"/>
      <c r="BR470" s="47"/>
      <c r="BS470" s="48"/>
      <c r="BT470" s="47"/>
      <c r="BU470" s="48"/>
    </row>
    <row r="471" spans="55:73" x14ac:dyDescent="0.2">
      <c r="BH471" s="131" t="str">
        <f t="shared" si="26"/>
        <v/>
      </c>
      <c r="BI471" s="132" t="str">
        <f t="shared" si="27"/>
        <v/>
      </c>
      <c r="BJ471" s="133" t="str">
        <f t="shared" si="28"/>
        <v/>
      </c>
      <c r="BK471" s="133" t="str">
        <f t="shared" si="29"/>
        <v/>
      </c>
    </row>
    <row r="472" spans="55:73" x14ac:dyDescent="0.2">
      <c r="BH472" s="131" t="str">
        <f t="shared" si="26"/>
        <v/>
      </c>
      <c r="BI472" s="132" t="str">
        <f t="shared" si="27"/>
        <v/>
      </c>
      <c r="BJ472" s="133" t="str">
        <f t="shared" si="28"/>
        <v/>
      </c>
      <c r="BK472" s="133" t="str">
        <f t="shared" si="29"/>
        <v/>
      </c>
    </row>
    <row r="473" spans="55:73" x14ac:dyDescent="0.2">
      <c r="BH473" s="131" t="str">
        <f t="shared" si="26"/>
        <v/>
      </c>
      <c r="BI473" s="132" t="str">
        <f t="shared" si="27"/>
        <v/>
      </c>
      <c r="BJ473" s="133" t="str">
        <f t="shared" si="28"/>
        <v/>
      </c>
      <c r="BK473" s="133" t="str">
        <f t="shared" si="29"/>
        <v/>
      </c>
    </row>
    <row r="474" spans="55:73" x14ac:dyDescent="0.2">
      <c r="BH474" s="131" t="str">
        <f t="shared" si="26"/>
        <v/>
      </c>
      <c r="BI474" s="132" t="str">
        <f t="shared" si="27"/>
        <v/>
      </c>
      <c r="BJ474" s="133" t="str">
        <f t="shared" si="28"/>
        <v/>
      </c>
      <c r="BK474" s="133" t="str">
        <f t="shared" si="29"/>
        <v/>
      </c>
    </row>
    <row r="475" spans="55:73" x14ac:dyDescent="0.2">
      <c r="BH475" s="131" t="str">
        <f t="shared" si="26"/>
        <v/>
      </c>
      <c r="BI475" s="132" t="str">
        <f t="shared" si="27"/>
        <v/>
      </c>
      <c r="BJ475" s="133" t="str">
        <f t="shared" si="28"/>
        <v/>
      </c>
      <c r="BK475" s="133" t="str">
        <f t="shared" si="29"/>
        <v/>
      </c>
    </row>
    <row r="476" spans="55:73" x14ac:dyDescent="0.2">
      <c r="BH476" s="131" t="str">
        <f t="shared" si="26"/>
        <v/>
      </c>
      <c r="BI476" s="132" t="str">
        <f t="shared" si="27"/>
        <v/>
      </c>
      <c r="BJ476" s="133" t="str">
        <f t="shared" si="28"/>
        <v/>
      </c>
      <c r="BK476" s="133" t="str">
        <f t="shared" si="29"/>
        <v/>
      </c>
    </row>
    <row r="477" spans="55:73" x14ac:dyDescent="0.2">
      <c r="BH477" s="131" t="str">
        <f t="shared" si="26"/>
        <v/>
      </c>
      <c r="BI477" s="132" t="str">
        <f t="shared" si="27"/>
        <v/>
      </c>
      <c r="BJ477" s="133" t="str">
        <f t="shared" si="28"/>
        <v/>
      </c>
      <c r="BK477" s="133" t="str">
        <f t="shared" si="29"/>
        <v/>
      </c>
    </row>
    <row r="478" spans="55:73" x14ac:dyDescent="0.2">
      <c r="BH478" s="131" t="str">
        <f t="shared" si="26"/>
        <v/>
      </c>
      <c r="BI478" s="132" t="str">
        <f t="shared" si="27"/>
        <v/>
      </c>
      <c r="BJ478" s="133" t="str">
        <f t="shared" si="28"/>
        <v/>
      </c>
      <c r="BK478" s="133" t="str">
        <f t="shared" si="29"/>
        <v/>
      </c>
    </row>
    <row r="479" spans="55:73" x14ac:dyDescent="0.2">
      <c r="BH479" s="131" t="str">
        <f t="shared" si="26"/>
        <v/>
      </c>
      <c r="BI479" s="132" t="str">
        <f t="shared" si="27"/>
        <v/>
      </c>
      <c r="BJ479" s="133" t="str">
        <f t="shared" si="28"/>
        <v/>
      </c>
      <c r="BK479" s="133" t="str">
        <f t="shared" si="29"/>
        <v/>
      </c>
    </row>
    <row r="480" spans="55:73" x14ac:dyDescent="0.2">
      <c r="BH480" s="131" t="str">
        <f t="shared" si="26"/>
        <v/>
      </c>
      <c r="BI480" s="132" t="str">
        <f t="shared" si="27"/>
        <v/>
      </c>
      <c r="BJ480" s="133" t="str">
        <f t="shared" si="28"/>
        <v/>
      </c>
      <c r="BK480" s="133" t="str">
        <f t="shared" si="29"/>
        <v/>
      </c>
    </row>
    <row r="481" spans="60:63" x14ac:dyDescent="0.2">
      <c r="BH481" s="131" t="str">
        <f t="shared" ref="BH481:BH491" si="30">IF(AND($B131="",$C131=""),"",IF($FB131="I",IF(AND(ISBLANK($E131)=FALSE,ISBLANK($F131)),IF($B131="",$C131,$B131),IF(AND(ISBLANK($I131)=FALSE,ISBLANK($J131)),IF($B131="",$C131,$B131),IF(AND(ISBLANK($M131)=FALSE,ISBLANK($N131)),IF($B131="",$C131,$B131),IF(AND(ISBLANK($Q131)=FALSE,ISBLANK($R131)),IF($B131="",$C131,$B131),IF(AND(ISBLANK($U131)=FALSE,ISBLANK($V131)),IF($B131="",$C131,$B131),""))))), ""))</f>
        <v/>
      </c>
      <c r="BI481" s="132" t="str">
        <f t="shared" ref="BI481:BI491" si="31">IF(AND($B131="",$C131=""),"",IF($FB131="H",IF(AND(ISBLANK($E131)=FALSE,ISBLANK($F131)),IF($B131="",$C131,$B131),IF(AND(ISBLANK($I131)=FALSE,ISBLANK($J131)),IF($B131="",$C131,$B131),IF(AND(ISBLANK($M131)=FALSE,ISBLANK($N131)),IF($B131="",$C131,$B131),IF(AND(ISBLANK($Q131)=FALSE,ISBLANK($R131)),IF($B131="",$C131,$B131),IF(AND(ISBLANK($U131)=FALSE,ISBLANK($V131)),IF($B131="",$C131,$B131),""))))), ""))</f>
        <v/>
      </c>
      <c r="BJ481" s="133" t="str">
        <f t="shared" ref="BJ481:BJ491" si="32">IF(AND(ISBLANK($F131)=FALSE,ISBLANK($G131),ISBLANK($H131)),IF($B131="",$C131,$B131),IF(AND(ISBLANK($J131)=FALSE,ISBLANK($K131),ISBLANK($L131)),IF($B131="",$C131,$B131),IF(AND(ISBLANK($N131)=FALSE,ISBLANK($O131),ISBLANK($P131)),IF($B131="",$C131,$B131),IF(AND(ISBLANK($R131)=FALSE,ISBLANK($S131),ISBLANK($T131)),IF($B131="",$C131,$B131),IF(AND(ISBLANK($V131)=FALSE,ISBLANK($W131)),IF($B131="",$C131,$B131),"")))))</f>
        <v/>
      </c>
      <c r="BK481" s="133" t="str">
        <f t="shared" ref="BK481:BK491" si="33">IF(AND($BH481="", $BI481="", $BJ481=""), IF(AND($C131="",$B131=""),"", IF($B131="",$C131,$B131)),"")</f>
        <v/>
      </c>
    </row>
    <row r="482" spans="60:63" x14ac:dyDescent="0.2">
      <c r="BH482" s="131" t="str">
        <f t="shared" si="30"/>
        <v/>
      </c>
      <c r="BI482" s="132" t="str">
        <f t="shared" si="31"/>
        <v/>
      </c>
      <c r="BJ482" s="133" t="str">
        <f t="shared" si="32"/>
        <v/>
      </c>
      <c r="BK482" s="133" t="str">
        <f t="shared" si="33"/>
        <v/>
      </c>
    </row>
    <row r="483" spans="60:63" x14ac:dyDescent="0.2">
      <c r="BH483" s="131" t="str">
        <f t="shared" si="30"/>
        <v/>
      </c>
      <c r="BI483" s="132" t="str">
        <f t="shared" si="31"/>
        <v/>
      </c>
      <c r="BJ483" s="133" t="str">
        <f t="shared" si="32"/>
        <v/>
      </c>
      <c r="BK483" s="133" t="str">
        <f t="shared" si="33"/>
        <v/>
      </c>
    </row>
    <row r="484" spans="60:63" x14ac:dyDescent="0.2">
      <c r="BH484" s="131" t="str">
        <f t="shared" si="30"/>
        <v/>
      </c>
      <c r="BI484" s="132" t="str">
        <f t="shared" si="31"/>
        <v/>
      </c>
      <c r="BJ484" s="133" t="str">
        <f t="shared" si="32"/>
        <v/>
      </c>
      <c r="BK484" s="133" t="str">
        <f t="shared" si="33"/>
        <v/>
      </c>
    </row>
    <row r="485" spans="60:63" x14ac:dyDescent="0.2">
      <c r="BH485" s="131" t="str">
        <f t="shared" si="30"/>
        <v/>
      </c>
      <c r="BI485" s="132" t="str">
        <f t="shared" si="31"/>
        <v/>
      </c>
      <c r="BJ485" s="133" t="str">
        <f t="shared" si="32"/>
        <v/>
      </c>
      <c r="BK485" s="133" t="str">
        <f t="shared" si="33"/>
        <v/>
      </c>
    </row>
    <row r="486" spans="60:63" x14ac:dyDescent="0.2">
      <c r="BH486" s="131" t="str">
        <f t="shared" si="30"/>
        <v/>
      </c>
      <c r="BI486" s="132" t="str">
        <f t="shared" si="31"/>
        <v/>
      </c>
      <c r="BJ486" s="133" t="str">
        <f t="shared" si="32"/>
        <v/>
      </c>
      <c r="BK486" s="133" t="str">
        <f t="shared" si="33"/>
        <v/>
      </c>
    </row>
    <row r="487" spans="60:63" x14ac:dyDescent="0.2">
      <c r="BH487" s="131" t="str">
        <f t="shared" si="30"/>
        <v/>
      </c>
      <c r="BI487" s="132" t="str">
        <f t="shared" si="31"/>
        <v/>
      </c>
      <c r="BJ487" s="133" t="str">
        <f t="shared" si="32"/>
        <v/>
      </c>
      <c r="BK487" s="133" t="str">
        <f t="shared" si="33"/>
        <v/>
      </c>
    </row>
    <row r="488" spans="60:63" x14ac:dyDescent="0.2">
      <c r="BH488" s="131" t="str">
        <f t="shared" si="30"/>
        <v/>
      </c>
      <c r="BI488" s="132" t="str">
        <f t="shared" si="31"/>
        <v/>
      </c>
      <c r="BJ488" s="133" t="str">
        <f t="shared" si="32"/>
        <v/>
      </c>
      <c r="BK488" s="133" t="str">
        <f t="shared" si="33"/>
        <v/>
      </c>
    </row>
    <row r="489" spans="60:63" x14ac:dyDescent="0.2">
      <c r="BH489" s="131" t="str">
        <f t="shared" si="30"/>
        <v/>
      </c>
      <c r="BI489" s="132" t="str">
        <f t="shared" si="31"/>
        <v/>
      </c>
      <c r="BJ489" s="133" t="str">
        <f t="shared" si="32"/>
        <v/>
      </c>
      <c r="BK489" s="133" t="str">
        <f t="shared" si="33"/>
        <v/>
      </c>
    </row>
    <row r="490" spans="60:63" x14ac:dyDescent="0.2">
      <c r="BH490" s="131" t="str">
        <f t="shared" si="30"/>
        <v/>
      </c>
      <c r="BI490" s="132" t="str">
        <f t="shared" si="31"/>
        <v/>
      </c>
      <c r="BJ490" s="133" t="str">
        <f t="shared" si="32"/>
        <v/>
      </c>
      <c r="BK490" s="133" t="str">
        <f t="shared" si="33"/>
        <v/>
      </c>
    </row>
    <row r="491" spans="60:63" x14ac:dyDescent="0.2">
      <c r="BH491" s="131" t="str">
        <f t="shared" si="30"/>
        <v/>
      </c>
      <c r="BI491" s="132" t="str">
        <f t="shared" si="31"/>
        <v/>
      </c>
      <c r="BJ491" s="133" t="str">
        <f t="shared" si="32"/>
        <v/>
      </c>
      <c r="BK491" s="133" t="str">
        <f t="shared" si="33"/>
        <v/>
      </c>
    </row>
  </sheetData>
  <sheetProtection password="CD43" sheet="1" objects="1" scenarios="1" formatColumns="0" formatRows="0" insertRows="0" deleteRows="0" sort="0" autoFilter="0"/>
  <autoFilter ref="A2:W2"/>
  <mergeCells count="13">
    <mergeCell ref="AA1:AA2"/>
    <mergeCell ref="E1:H1"/>
    <mergeCell ref="I1:L1"/>
    <mergeCell ref="BH349:BK350"/>
    <mergeCell ref="A142:C142"/>
    <mergeCell ref="A143:D143"/>
    <mergeCell ref="Z1:Z2"/>
    <mergeCell ref="M1:P1"/>
    <mergeCell ref="Q1:T1"/>
    <mergeCell ref="U1:W1"/>
    <mergeCell ref="X1:X2"/>
    <mergeCell ref="Y1:Y2"/>
    <mergeCell ref="Y143:AA143"/>
  </mergeCells>
  <printOptions horizontalCentered="1" verticalCentered="1"/>
  <pageMargins left="0.7" right="0.7" top="0.75" bottom="0.75" header="0.3" footer="0.3"/>
  <pageSetup paperSize="17" scale="51" fitToHeight="30" orientation="landscape" r:id="rId1"/>
  <headerFooter>
    <oddHeader>&amp;L&amp;A Tracking Log&amp;R&amp;P of &amp;N</oddHeader>
  </headerFooter>
  <drawing r:id="rId2"/>
  <legacyDrawing r:id="rId3"/>
  <controls>
    <mc:AlternateContent xmlns:mc="http://schemas.openxmlformats.org/markup-compatibility/2006">
      <mc:Choice Requires="x14">
        <control shapeId="2053" r:id="rId4" name="pwiInfo">
          <controlPr defaultSize="0" print="0" autoLine="0" r:id="rId5">
            <anchor moveWithCells="1">
              <from>
                <xdr:col>60</xdr:col>
                <xdr:colOff>866775</xdr:colOff>
                <xdr:row>348</xdr:row>
                <xdr:rowOff>114300</xdr:rowOff>
              </from>
              <to>
                <xdr:col>61</xdr:col>
                <xdr:colOff>1314450</xdr:colOff>
                <xdr:row>348</xdr:row>
                <xdr:rowOff>581025</xdr:rowOff>
              </to>
            </anchor>
          </controlPr>
        </control>
      </mc:Choice>
      <mc:Fallback>
        <control shapeId="2053" r:id="rId4" name="pwiInfo"/>
      </mc:Fallback>
    </mc:AlternateContent>
    <mc:AlternateContent xmlns:mc="http://schemas.openxmlformats.org/markup-compatibility/2006">
      <mc:Choice Requires="x14">
        <control shapeId="2050" r:id="rId6" name="log">
          <controlPr defaultSize="0" print="0" autoLine="0" r:id="rId7">
            <anchor moveWithCells="1">
              <from>
                <xdr:col>59</xdr:col>
                <xdr:colOff>1133475</xdr:colOff>
                <xdr:row>348</xdr:row>
                <xdr:rowOff>114300</xdr:rowOff>
              </from>
              <to>
                <xdr:col>60</xdr:col>
                <xdr:colOff>704850</xdr:colOff>
                <xdr:row>348</xdr:row>
                <xdr:rowOff>581025</xdr:rowOff>
              </to>
            </anchor>
          </controlPr>
        </control>
      </mc:Choice>
      <mc:Fallback>
        <control shapeId="2050" r:id="rId6" name="log"/>
      </mc:Fallback>
    </mc:AlternateContent>
    <mc:AlternateContent xmlns:mc="http://schemas.openxmlformats.org/markup-compatibility/2006">
      <mc:Choice Requires="x14">
        <control shapeId="2051" r:id="rId8" name="summary">
          <controlPr defaultSize="0" print="0" autoFill="0" autoLine="0" r:id="rId9">
            <anchor moveWithCells="1">
              <from>
                <xdr:col>3</xdr:col>
                <xdr:colOff>1257300</xdr:colOff>
                <xdr:row>0</xdr:row>
                <xdr:rowOff>104775</xdr:rowOff>
              </from>
              <to>
                <xdr:col>3</xdr:col>
                <xdr:colOff>2590800</xdr:colOff>
                <xdr:row>1</xdr:row>
                <xdr:rowOff>190500</xdr:rowOff>
              </to>
            </anchor>
          </controlPr>
        </control>
      </mc:Choice>
      <mc:Fallback>
        <control shapeId="2051" r:id="rId8" name="summary"/>
      </mc:Fallback>
    </mc:AlternateContent>
    <mc:AlternateContent xmlns:mc="http://schemas.openxmlformats.org/markup-compatibility/2006">
      <mc:Choice Requires="x14">
        <control shapeId="2052" r:id="rId10" name="printSumm">
          <controlPr defaultSize="0" print="0" autoLine="0" r:id="rId11">
            <anchor moveWithCells="1">
              <from>
                <xdr:col>61</xdr:col>
                <xdr:colOff>1447800</xdr:colOff>
                <xdr:row>348</xdr:row>
                <xdr:rowOff>114300</xdr:rowOff>
              </from>
              <to>
                <xdr:col>62</xdr:col>
                <xdr:colOff>1114425</xdr:colOff>
                <xdr:row>348</xdr:row>
                <xdr:rowOff>581025</xdr:rowOff>
              </to>
            </anchor>
          </controlPr>
        </control>
      </mc:Choice>
      <mc:Fallback>
        <control shapeId="2052" r:id="rId10" name="printSumm"/>
      </mc:Fallback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FC1233"/>
  <sheetViews>
    <sheetView topLeftCell="B1" zoomScale="60" zoomScaleNormal="60" zoomScalePageLayoutView="40" workbookViewId="0">
      <pane xSplit="4" ySplit="2" topLeftCell="F3" activePane="bottomRight" state="frozen"/>
      <selection activeCell="B1" sqref="B1"/>
      <selection pane="topRight" activeCell="F1" sqref="F1"/>
      <selection pane="bottomLeft" activeCell="B3" sqref="B3"/>
      <selection pane="bottomRight" activeCell="F3" sqref="F3"/>
    </sheetView>
  </sheetViews>
  <sheetFormatPr defaultColWidth="9.140625" defaultRowHeight="15" x14ac:dyDescent="0.2"/>
  <cols>
    <col min="1" max="1" width="7.7109375" style="8" hidden="1" customWidth="1"/>
    <col min="2" max="2" width="25.5703125" style="20" customWidth="1"/>
    <col min="3" max="3" width="28.7109375" style="22" hidden="1" customWidth="1"/>
    <col min="4" max="4" width="52.5703125" style="32" customWidth="1"/>
    <col min="5" max="5" width="11.28515625" style="32" customWidth="1"/>
    <col min="6" max="6" width="9.5703125" style="24" customWidth="1"/>
    <col min="7" max="7" width="9.140625" style="24" customWidth="1"/>
    <col min="8" max="8" width="7.7109375" style="26" customWidth="1"/>
    <col min="9" max="9" width="10.85546875" style="26" bestFit="1" customWidth="1"/>
    <col min="10" max="10" width="7.7109375" style="26" customWidth="1"/>
    <col min="11" max="11" width="10.7109375" style="24" customWidth="1"/>
    <col min="12" max="12" width="9.5703125" style="25" customWidth="1"/>
    <col min="13" max="13" width="9.140625" style="25" customWidth="1"/>
    <col min="14" max="16" width="7.7109375" style="25" customWidth="1"/>
    <col min="17" max="17" width="11.7109375" style="25" customWidth="1"/>
    <col min="18" max="18" width="9" style="25" customWidth="1"/>
    <col min="19" max="19" width="8.7109375" style="25" customWidth="1"/>
    <col min="20" max="20" width="7.7109375" style="26" customWidth="1"/>
    <col min="21" max="21" width="11.7109375" style="25" customWidth="1"/>
    <col min="22" max="23" width="9.140625" style="26" customWidth="1"/>
    <col min="24" max="24" width="7.7109375" style="26" customWidth="1"/>
    <col min="25" max="25" width="11.7109375" style="25" customWidth="1"/>
    <col min="26" max="26" width="9.5703125" style="25" customWidth="1"/>
    <col min="27" max="27" width="7.7109375" style="25" customWidth="1"/>
    <col min="28" max="28" width="11.7109375" style="25" customWidth="1"/>
    <col min="29" max="29" width="8.7109375" style="25" customWidth="1"/>
    <col min="30" max="30" width="10" style="25" customWidth="1"/>
    <col min="31" max="31" width="9.5703125" style="25" customWidth="1"/>
    <col min="32" max="32" width="54.7109375" style="7" customWidth="1"/>
    <col min="33" max="33" width="9.140625" style="7"/>
    <col min="34" max="34" width="24.140625" style="7" customWidth="1"/>
    <col min="35" max="37" width="32.5703125" style="7" customWidth="1"/>
    <col min="38" max="38" width="29.28515625" style="7" bestFit="1" customWidth="1"/>
    <col min="39" max="48" width="9.140625" style="7"/>
    <col min="49" max="49" width="9.140625" style="9"/>
    <col min="50" max="50" width="14.85546875" style="9" customWidth="1"/>
    <col min="51" max="51" width="22" style="9" customWidth="1"/>
    <col min="52" max="52" width="4" style="7" customWidth="1"/>
    <col min="53" max="54" width="9.140625" style="7"/>
    <col min="55" max="55" width="18" style="7" bestFit="1" customWidth="1"/>
    <col min="56" max="56" width="17" style="7" bestFit="1" customWidth="1"/>
    <col min="57" max="57" width="6.42578125" style="7" customWidth="1"/>
    <col min="58" max="59" width="31.7109375" style="14" customWidth="1"/>
    <col min="60" max="63" width="31.7109375" style="15" customWidth="1"/>
    <col min="64" max="64" width="5.140625" style="8" customWidth="1"/>
    <col min="65" max="127" width="9.140625" style="8"/>
    <col min="128" max="128" width="40.7109375" style="8" customWidth="1"/>
    <col min="129" max="153" width="9.140625" style="8"/>
    <col min="154" max="155" width="9.140625" style="8" customWidth="1"/>
    <col min="157" max="159" width="9.140625" style="8" hidden="1" customWidth="1"/>
    <col min="160" max="16384" width="9.140625" style="8"/>
  </cols>
  <sheetData>
    <row r="1" spans="1:159" s="198" customFormat="1" ht="24.95" customHeight="1" x14ac:dyDescent="0.2">
      <c r="A1" s="186"/>
      <c r="B1" s="188"/>
      <c r="C1" s="190"/>
      <c r="D1" s="192"/>
      <c r="E1" s="184"/>
      <c r="F1" s="263" t="s">
        <v>19</v>
      </c>
      <c r="G1" s="264"/>
      <c r="H1" s="264"/>
      <c r="I1" s="264"/>
      <c r="J1" s="264"/>
      <c r="K1" s="265"/>
      <c r="L1" s="263" t="s">
        <v>20</v>
      </c>
      <c r="M1" s="264"/>
      <c r="N1" s="264"/>
      <c r="O1" s="264"/>
      <c r="P1" s="264"/>
      <c r="Q1" s="265"/>
      <c r="R1" s="263" t="s">
        <v>21</v>
      </c>
      <c r="S1" s="264"/>
      <c r="T1" s="264"/>
      <c r="U1" s="265"/>
      <c r="V1" s="264" t="s">
        <v>22</v>
      </c>
      <c r="W1" s="264"/>
      <c r="X1" s="264"/>
      <c r="Y1" s="265"/>
      <c r="Z1" s="263" t="s">
        <v>23</v>
      </c>
      <c r="AA1" s="264"/>
      <c r="AB1" s="265"/>
      <c r="AC1" s="278" t="s">
        <v>24</v>
      </c>
      <c r="AD1" s="276" t="s">
        <v>25</v>
      </c>
      <c r="AE1" s="276" t="s">
        <v>26</v>
      </c>
      <c r="AF1" s="261" t="s">
        <v>27</v>
      </c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5"/>
      <c r="AX1" s="195"/>
      <c r="AY1" s="195"/>
      <c r="AZ1" s="194"/>
      <c r="BA1" s="194"/>
      <c r="BB1" s="194"/>
      <c r="BC1" s="194"/>
      <c r="BD1" s="194"/>
      <c r="BE1" s="194"/>
      <c r="BF1" s="196"/>
      <c r="BG1" s="196"/>
      <c r="BH1" s="197"/>
      <c r="BI1" s="197"/>
      <c r="BJ1" s="197"/>
      <c r="BK1" s="197"/>
      <c r="EZ1" s="199"/>
    </row>
    <row r="2" spans="1:159" s="200" customFormat="1" ht="93" customHeight="1" x14ac:dyDescent="0.2">
      <c r="A2" s="187" t="s">
        <v>52</v>
      </c>
      <c r="B2" s="189" t="s">
        <v>17</v>
      </c>
      <c r="C2" s="191" t="s">
        <v>53</v>
      </c>
      <c r="D2" s="193" t="s">
        <v>18</v>
      </c>
      <c r="E2" s="185" t="s">
        <v>40</v>
      </c>
      <c r="F2" s="158" t="s">
        <v>28</v>
      </c>
      <c r="G2" s="159" t="s">
        <v>29</v>
      </c>
      <c r="H2" s="160" t="s">
        <v>30</v>
      </c>
      <c r="I2" s="161" t="s">
        <v>33</v>
      </c>
      <c r="J2" s="161" t="s">
        <v>34</v>
      </c>
      <c r="K2" s="162" t="s">
        <v>54</v>
      </c>
      <c r="L2" s="158" t="s">
        <v>28</v>
      </c>
      <c r="M2" s="159" t="s">
        <v>29</v>
      </c>
      <c r="N2" s="163" t="s">
        <v>30</v>
      </c>
      <c r="O2" s="161" t="s">
        <v>33</v>
      </c>
      <c r="P2" s="161" t="s">
        <v>34</v>
      </c>
      <c r="Q2" s="162" t="s">
        <v>54</v>
      </c>
      <c r="R2" s="158" t="s">
        <v>28</v>
      </c>
      <c r="S2" s="159" t="s">
        <v>29</v>
      </c>
      <c r="T2" s="160" t="s">
        <v>30</v>
      </c>
      <c r="U2" s="164" t="s">
        <v>54</v>
      </c>
      <c r="V2" s="165" t="s">
        <v>28</v>
      </c>
      <c r="W2" s="166" t="s">
        <v>29</v>
      </c>
      <c r="X2" s="160" t="s">
        <v>30</v>
      </c>
      <c r="Y2" s="162" t="s">
        <v>54</v>
      </c>
      <c r="Z2" s="165" t="s">
        <v>28</v>
      </c>
      <c r="AA2" s="166" t="s">
        <v>29</v>
      </c>
      <c r="AB2" s="162" t="s">
        <v>54</v>
      </c>
      <c r="AC2" s="279"/>
      <c r="AD2" s="277" t="s">
        <v>35</v>
      </c>
      <c r="AE2" s="277" t="s">
        <v>35</v>
      </c>
      <c r="AF2" s="262"/>
      <c r="AG2" s="195"/>
      <c r="AH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</row>
    <row r="3" spans="1:159" s="200" customFormat="1" ht="30" customHeight="1" x14ac:dyDescent="0.2">
      <c r="A3" s="141"/>
      <c r="B3" s="149"/>
      <c r="C3" s="151"/>
      <c r="D3" s="33"/>
      <c r="E3" s="33"/>
      <c r="F3" s="220"/>
      <c r="G3" s="221"/>
      <c r="H3" s="226"/>
      <c r="I3" s="226"/>
      <c r="J3" s="226"/>
      <c r="K3" s="224"/>
      <c r="L3" s="220"/>
      <c r="M3" s="221"/>
      <c r="N3" s="226"/>
      <c r="O3" s="226"/>
      <c r="P3" s="226"/>
      <c r="Q3" s="224"/>
      <c r="R3" s="220"/>
      <c r="S3" s="221"/>
      <c r="T3" s="226"/>
      <c r="U3" s="226"/>
      <c r="V3" s="220"/>
      <c r="W3" s="221"/>
      <c r="X3" s="226"/>
      <c r="Y3" s="226"/>
      <c r="Z3" s="220"/>
      <c r="AA3" s="221"/>
      <c r="AB3" s="226"/>
      <c r="AC3" s="220"/>
      <c r="AD3" s="168">
        <f t="shared" ref="AD3:AD19" si="0">IF(ISBLANK(Z3),IF(ISBLANK(V3),IF(ISBLANK(R3),IF(ISBLANK(L3),IF(ISBLANK(F3),0,$F$234),$L$234),$R$234),$V$234),$Z$234)</f>
        <v>0</v>
      </c>
      <c r="AE3" s="168">
        <f t="shared" ref="AE3:AE34" si="1">IF(ISBLANK(AC3),IF(ISBLANK(W3),IF(ISBLANK(S3),IF(ISBLANK(M3),IF(ISBLANK(G3),0,$G$234),$M$234),$S$234),$W$234),$AC$234)</f>
        <v>0</v>
      </c>
      <c r="AF3" s="169"/>
      <c r="AG3" s="195"/>
      <c r="AH3" s="195"/>
      <c r="AN3" s="201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FC3" s="200" t="str">
        <f t="shared" ref="FC3:FC66" si="2">IF(EY3="","I",EY3)</f>
        <v>I</v>
      </c>
    </row>
    <row r="4" spans="1:159" s="200" customFormat="1" ht="30" customHeight="1" x14ac:dyDescent="0.2">
      <c r="A4" s="142"/>
      <c r="B4" s="146"/>
      <c r="C4" s="151"/>
      <c r="D4" s="33"/>
      <c r="E4" s="33"/>
      <c r="F4" s="220"/>
      <c r="G4" s="221"/>
      <c r="H4" s="226"/>
      <c r="I4" s="226"/>
      <c r="J4" s="226"/>
      <c r="K4" s="224"/>
      <c r="L4" s="220"/>
      <c r="M4" s="221"/>
      <c r="N4" s="226"/>
      <c r="O4" s="226"/>
      <c r="P4" s="226"/>
      <c r="Q4" s="224"/>
      <c r="R4" s="220"/>
      <c r="S4" s="221"/>
      <c r="T4" s="226"/>
      <c r="U4" s="226"/>
      <c r="V4" s="220"/>
      <c r="W4" s="221"/>
      <c r="X4" s="226"/>
      <c r="Y4" s="226"/>
      <c r="Z4" s="220"/>
      <c r="AA4" s="221"/>
      <c r="AB4" s="226"/>
      <c r="AC4" s="220"/>
      <c r="AD4" s="168">
        <f t="shared" si="0"/>
        <v>0</v>
      </c>
      <c r="AE4" s="168">
        <f t="shared" si="1"/>
        <v>0</v>
      </c>
      <c r="AF4" s="169"/>
      <c r="AG4" s="195"/>
      <c r="AH4" s="195"/>
      <c r="AN4" s="201"/>
      <c r="AO4" s="195"/>
      <c r="AP4" s="195"/>
      <c r="AQ4" s="195"/>
      <c r="AR4" s="195"/>
      <c r="AS4" s="195"/>
      <c r="AT4" s="195"/>
      <c r="AU4" s="195"/>
      <c r="AV4" s="195"/>
      <c r="AW4" s="195"/>
      <c r="AX4" s="195"/>
      <c r="AY4" s="195"/>
      <c r="AZ4" s="195"/>
      <c r="FC4" s="200" t="str">
        <f t="shared" si="2"/>
        <v>I</v>
      </c>
    </row>
    <row r="5" spans="1:159" s="200" customFormat="1" ht="30" customHeight="1" x14ac:dyDescent="0.2">
      <c r="A5" s="142"/>
      <c r="B5" s="146"/>
      <c r="C5" s="151"/>
      <c r="D5" s="33"/>
      <c r="E5" s="33"/>
      <c r="F5" s="220"/>
      <c r="G5" s="221"/>
      <c r="H5" s="226"/>
      <c r="I5" s="226"/>
      <c r="J5" s="226"/>
      <c r="K5" s="224"/>
      <c r="L5" s="220"/>
      <c r="M5" s="221"/>
      <c r="N5" s="226"/>
      <c r="O5" s="226"/>
      <c r="P5" s="226"/>
      <c r="Q5" s="224"/>
      <c r="R5" s="220"/>
      <c r="S5" s="221"/>
      <c r="T5" s="226"/>
      <c r="U5" s="226"/>
      <c r="V5" s="220"/>
      <c r="W5" s="221"/>
      <c r="X5" s="226"/>
      <c r="Y5" s="226"/>
      <c r="Z5" s="220"/>
      <c r="AA5" s="221"/>
      <c r="AB5" s="226"/>
      <c r="AC5" s="220"/>
      <c r="AD5" s="168">
        <f t="shared" si="0"/>
        <v>0</v>
      </c>
      <c r="AE5" s="168">
        <f t="shared" si="1"/>
        <v>0</v>
      </c>
      <c r="AF5" s="169"/>
      <c r="AG5" s="195"/>
      <c r="AH5" s="195"/>
      <c r="AN5" s="201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FC5" s="200" t="str">
        <f t="shared" si="2"/>
        <v>I</v>
      </c>
    </row>
    <row r="6" spans="1:159" s="200" customFormat="1" ht="30" customHeight="1" x14ac:dyDescent="0.2">
      <c r="A6" s="142"/>
      <c r="B6" s="146"/>
      <c r="C6" s="151"/>
      <c r="D6" s="33"/>
      <c r="E6" s="33"/>
      <c r="F6" s="220"/>
      <c r="G6" s="221"/>
      <c r="H6" s="226"/>
      <c r="I6" s="226"/>
      <c r="J6" s="226"/>
      <c r="K6" s="224"/>
      <c r="L6" s="220"/>
      <c r="M6" s="221"/>
      <c r="N6" s="226"/>
      <c r="O6" s="226"/>
      <c r="P6" s="226"/>
      <c r="Q6" s="224"/>
      <c r="R6" s="220"/>
      <c r="S6" s="221"/>
      <c r="T6" s="226"/>
      <c r="U6" s="226"/>
      <c r="V6" s="220"/>
      <c r="W6" s="221"/>
      <c r="X6" s="226"/>
      <c r="Y6" s="226"/>
      <c r="Z6" s="220"/>
      <c r="AA6" s="221"/>
      <c r="AB6" s="226"/>
      <c r="AC6" s="220"/>
      <c r="AD6" s="168">
        <f t="shared" si="0"/>
        <v>0</v>
      </c>
      <c r="AE6" s="168">
        <f t="shared" si="1"/>
        <v>0</v>
      </c>
      <c r="AF6" s="169"/>
      <c r="AG6" s="195"/>
      <c r="AH6" s="195"/>
      <c r="AN6" s="201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FC6" s="200" t="str">
        <f t="shared" si="2"/>
        <v>I</v>
      </c>
    </row>
    <row r="7" spans="1:159" s="200" customFormat="1" ht="30" customHeight="1" x14ac:dyDescent="0.2">
      <c r="A7" s="142"/>
      <c r="B7" s="146"/>
      <c r="C7" s="151"/>
      <c r="D7" s="33"/>
      <c r="E7" s="33"/>
      <c r="F7" s="220"/>
      <c r="G7" s="221"/>
      <c r="H7" s="226"/>
      <c r="I7" s="226"/>
      <c r="J7" s="226"/>
      <c r="K7" s="224"/>
      <c r="L7" s="220"/>
      <c r="M7" s="221"/>
      <c r="N7" s="226"/>
      <c r="O7" s="226"/>
      <c r="P7" s="226"/>
      <c r="Q7" s="224"/>
      <c r="R7" s="220"/>
      <c r="S7" s="221"/>
      <c r="T7" s="226"/>
      <c r="U7" s="226"/>
      <c r="V7" s="220"/>
      <c r="W7" s="221"/>
      <c r="X7" s="226"/>
      <c r="Y7" s="226"/>
      <c r="Z7" s="220"/>
      <c r="AA7" s="221"/>
      <c r="AB7" s="226"/>
      <c r="AC7" s="220"/>
      <c r="AD7" s="168">
        <f t="shared" si="0"/>
        <v>0</v>
      </c>
      <c r="AE7" s="168">
        <f t="shared" si="1"/>
        <v>0</v>
      </c>
      <c r="AF7" s="169"/>
      <c r="AG7" s="195"/>
      <c r="AH7" s="195"/>
      <c r="AN7" s="201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FC7" s="200" t="str">
        <f t="shared" si="2"/>
        <v>I</v>
      </c>
    </row>
    <row r="8" spans="1:159" s="200" customFormat="1" ht="30" customHeight="1" x14ac:dyDescent="0.2">
      <c r="A8" s="142"/>
      <c r="B8" s="146"/>
      <c r="C8" s="151"/>
      <c r="D8" s="33"/>
      <c r="E8" s="34"/>
      <c r="F8" s="220"/>
      <c r="G8" s="221"/>
      <c r="H8" s="226"/>
      <c r="I8" s="226"/>
      <c r="J8" s="226"/>
      <c r="K8" s="224"/>
      <c r="L8" s="220"/>
      <c r="M8" s="221"/>
      <c r="N8" s="226"/>
      <c r="O8" s="226"/>
      <c r="P8" s="226"/>
      <c r="Q8" s="224"/>
      <c r="R8" s="220"/>
      <c r="S8" s="221"/>
      <c r="T8" s="226"/>
      <c r="U8" s="226"/>
      <c r="V8" s="220"/>
      <c r="W8" s="221"/>
      <c r="X8" s="226"/>
      <c r="Y8" s="226"/>
      <c r="Z8" s="220"/>
      <c r="AA8" s="221"/>
      <c r="AB8" s="226"/>
      <c r="AC8" s="220"/>
      <c r="AD8" s="168">
        <f t="shared" si="0"/>
        <v>0</v>
      </c>
      <c r="AE8" s="168">
        <f t="shared" si="1"/>
        <v>0</v>
      </c>
      <c r="AF8" s="169"/>
      <c r="AG8" s="195"/>
      <c r="AH8" s="195"/>
      <c r="AN8" s="201"/>
      <c r="AO8" s="195"/>
      <c r="AP8" s="195"/>
      <c r="AQ8" s="195"/>
      <c r="AR8" s="195"/>
      <c r="AS8" s="195"/>
      <c r="AT8" s="195"/>
      <c r="AU8" s="195"/>
      <c r="AV8" s="195"/>
      <c r="AW8" s="195"/>
      <c r="AX8" s="195"/>
      <c r="AY8" s="195"/>
      <c r="AZ8" s="195"/>
      <c r="FC8" s="200" t="str">
        <f t="shared" si="2"/>
        <v>I</v>
      </c>
    </row>
    <row r="9" spans="1:159" s="200" customFormat="1" ht="30" customHeight="1" x14ac:dyDescent="0.2">
      <c r="A9" s="142"/>
      <c r="B9" s="146"/>
      <c r="C9" s="151"/>
      <c r="D9" s="33"/>
      <c r="E9" s="34"/>
      <c r="F9" s="220"/>
      <c r="G9" s="221"/>
      <c r="H9" s="226"/>
      <c r="I9" s="226"/>
      <c r="J9" s="226"/>
      <c r="K9" s="224"/>
      <c r="L9" s="220"/>
      <c r="M9" s="221"/>
      <c r="N9" s="226"/>
      <c r="O9" s="226"/>
      <c r="P9" s="226"/>
      <c r="Q9" s="224"/>
      <c r="R9" s="220"/>
      <c r="S9" s="221"/>
      <c r="T9" s="226"/>
      <c r="U9" s="226"/>
      <c r="V9" s="220"/>
      <c r="W9" s="221"/>
      <c r="X9" s="226"/>
      <c r="Y9" s="226"/>
      <c r="Z9" s="220"/>
      <c r="AA9" s="221"/>
      <c r="AB9" s="226"/>
      <c r="AC9" s="220"/>
      <c r="AD9" s="168">
        <f t="shared" si="0"/>
        <v>0</v>
      </c>
      <c r="AE9" s="168">
        <f t="shared" si="1"/>
        <v>0</v>
      </c>
      <c r="AF9" s="169"/>
      <c r="AG9" s="195"/>
      <c r="AH9" s="195"/>
      <c r="AN9" s="201"/>
      <c r="AO9" s="195"/>
      <c r="AP9" s="195"/>
      <c r="AQ9" s="195"/>
      <c r="AR9" s="195"/>
      <c r="AS9" s="195"/>
      <c r="AT9" s="195"/>
      <c r="AU9" s="195"/>
      <c r="AV9" s="195"/>
      <c r="AW9" s="195"/>
      <c r="AX9" s="195"/>
      <c r="AY9" s="195"/>
      <c r="AZ9" s="195"/>
      <c r="FC9" s="200" t="str">
        <f t="shared" si="2"/>
        <v>I</v>
      </c>
    </row>
    <row r="10" spans="1:159" s="200" customFormat="1" ht="30" customHeight="1" x14ac:dyDescent="0.2">
      <c r="A10" s="142"/>
      <c r="B10" s="146"/>
      <c r="C10" s="151"/>
      <c r="D10" s="33"/>
      <c r="E10" s="33"/>
      <c r="F10" s="220"/>
      <c r="G10" s="221"/>
      <c r="H10" s="226"/>
      <c r="I10" s="226"/>
      <c r="J10" s="226"/>
      <c r="K10" s="224"/>
      <c r="L10" s="220"/>
      <c r="M10" s="221"/>
      <c r="N10" s="226"/>
      <c r="O10" s="226"/>
      <c r="P10" s="226"/>
      <c r="Q10" s="224"/>
      <c r="R10" s="220"/>
      <c r="S10" s="221"/>
      <c r="T10" s="226"/>
      <c r="U10" s="226"/>
      <c r="V10" s="220"/>
      <c r="W10" s="221"/>
      <c r="X10" s="226"/>
      <c r="Y10" s="226"/>
      <c r="Z10" s="220"/>
      <c r="AA10" s="221"/>
      <c r="AB10" s="226"/>
      <c r="AC10" s="220"/>
      <c r="AD10" s="168">
        <f t="shared" si="0"/>
        <v>0</v>
      </c>
      <c r="AE10" s="168">
        <f t="shared" si="1"/>
        <v>0</v>
      </c>
      <c r="AF10" s="169"/>
      <c r="AG10" s="195"/>
      <c r="AH10" s="195"/>
      <c r="AN10" s="201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FC10" s="200" t="str">
        <f t="shared" si="2"/>
        <v>I</v>
      </c>
    </row>
    <row r="11" spans="1:159" s="200" customFormat="1" ht="30" customHeight="1" x14ac:dyDescent="0.2">
      <c r="A11" s="142"/>
      <c r="B11" s="146"/>
      <c r="C11" s="151"/>
      <c r="D11" s="33"/>
      <c r="E11" s="34"/>
      <c r="F11" s="220"/>
      <c r="G11" s="221"/>
      <c r="H11" s="226"/>
      <c r="I11" s="226"/>
      <c r="J11" s="226"/>
      <c r="K11" s="224"/>
      <c r="L11" s="220"/>
      <c r="M11" s="221"/>
      <c r="N11" s="226"/>
      <c r="O11" s="226"/>
      <c r="P11" s="226"/>
      <c r="Q11" s="224"/>
      <c r="R11" s="220"/>
      <c r="S11" s="221"/>
      <c r="T11" s="226"/>
      <c r="U11" s="226"/>
      <c r="V11" s="220"/>
      <c r="W11" s="221"/>
      <c r="X11" s="226"/>
      <c r="Y11" s="226"/>
      <c r="Z11" s="220"/>
      <c r="AA11" s="221"/>
      <c r="AB11" s="226"/>
      <c r="AC11" s="220"/>
      <c r="AD11" s="168">
        <f t="shared" si="0"/>
        <v>0</v>
      </c>
      <c r="AE11" s="168">
        <f t="shared" si="1"/>
        <v>0</v>
      </c>
      <c r="AF11" s="169"/>
      <c r="AG11" s="195"/>
      <c r="AH11" s="195"/>
      <c r="AN11" s="201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FC11" s="200" t="str">
        <f t="shared" si="2"/>
        <v>I</v>
      </c>
    </row>
    <row r="12" spans="1:159" s="200" customFormat="1" ht="30" customHeight="1" x14ac:dyDescent="0.2">
      <c r="A12" s="142"/>
      <c r="B12" s="146"/>
      <c r="C12" s="151"/>
      <c r="D12" s="33"/>
      <c r="E12" s="34"/>
      <c r="F12" s="220"/>
      <c r="G12" s="221"/>
      <c r="H12" s="226"/>
      <c r="I12" s="226"/>
      <c r="J12" s="226"/>
      <c r="K12" s="224"/>
      <c r="L12" s="220"/>
      <c r="M12" s="221"/>
      <c r="N12" s="226"/>
      <c r="O12" s="226"/>
      <c r="P12" s="226"/>
      <c r="Q12" s="224"/>
      <c r="R12" s="220"/>
      <c r="S12" s="221"/>
      <c r="T12" s="226"/>
      <c r="U12" s="226"/>
      <c r="V12" s="220"/>
      <c r="W12" s="221"/>
      <c r="X12" s="226"/>
      <c r="Y12" s="226"/>
      <c r="Z12" s="220"/>
      <c r="AA12" s="221"/>
      <c r="AB12" s="226"/>
      <c r="AC12" s="220"/>
      <c r="AD12" s="168">
        <f t="shared" si="0"/>
        <v>0</v>
      </c>
      <c r="AE12" s="168">
        <f t="shared" si="1"/>
        <v>0</v>
      </c>
      <c r="AF12" s="169"/>
      <c r="AG12" s="195"/>
      <c r="AH12" s="195"/>
      <c r="AN12" s="201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FC12" s="200" t="str">
        <f t="shared" si="2"/>
        <v>I</v>
      </c>
    </row>
    <row r="13" spans="1:159" s="200" customFormat="1" ht="30" customHeight="1" x14ac:dyDescent="0.2">
      <c r="A13" s="142"/>
      <c r="B13" s="146"/>
      <c r="C13" s="151"/>
      <c r="D13" s="34"/>
      <c r="E13" s="34"/>
      <c r="F13" s="220"/>
      <c r="G13" s="221"/>
      <c r="H13" s="226"/>
      <c r="I13" s="226"/>
      <c r="J13" s="226"/>
      <c r="K13" s="224"/>
      <c r="L13" s="220"/>
      <c r="M13" s="221"/>
      <c r="N13" s="226"/>
      <c r="O13" s="226"/>
      <c r="P13" s="226"/>
      <c r="Q13" s="224"/>
      <c r="R13" s="220"/>
      <c r="S13" s="221"/>
      <c r="T13" s="226"/>
      <c r="U13" s="226"/>
      <c r="V13" s="220"/>
      <c r="W13" s="221"/>
      <c r="X13" s="226"/>
      <c r="Y13" s="226"/>
      <c r="Z13" s="220"/>
      <c r="AA13" s="221"/>
      <c r="AB13" s="226"/>
      <c r="AC13" s="220"/>
      <c r="AD13" s="168">
        <f t="shared" si="0"/>
        <v>0</v>
      </c>
      <c r="AE13" s="168">
        <f t="shared" si="1"/>
        <v>0</v>
      </c>
      <c r="AF13" s="169"/>
      <c r="AG13" s="195"/>
      <c r="AH13" s="195"/>
      <c r="AN13" s="201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FC13" s="200" t="str">
        <f t="shared" si="2"/>
        <v>I</v>
      </c>
    </row>
    <row r="14" spans="1:159" s="200" customFormat="1" ht="30" customHeight="1" x14ac:dyDescent="0.2">
      <c r="A14" s="142"/>
      <c r="B14" s="146"/>
      <c r="C14" s="151"/>
      <c r="D14" s="33"/>
      <c r="E14" s="34"/>
      <c r="F14" s="220"/>
      <c r="G14" s="221"/>
      <c r="H14" s="226"/>
      <c r="I14" s="226"/>
      <c r="J14" s="226"/>
      <c r="K14" s="224"/>
      <c r="L14" s="220"/>
      <c r="M14" s="221"/>
      <c r="N14" s="226"/>
      <c r="O14" s="226"/>
      <c r="P14" s="226"/>
      <c r="Q14" s="224"/>
      <c r="R14" s="220"/>
      <c r="S14" s="221"/>
      <c r="T14" s="226"/>
      <c r="U14" s="226"/>
      <c r="V14" s="220"/>
      <c r="W14" s="221"/>
      <c r="X14" s="226"/>
      <c r="Y14" s="226"/>
      <c r="Z14" s="220"/>
      <c r="AA14" s="221"/>
      <c r="AB14" s="226"/>
      <c r="AC14" s="220"/>
      <c r="AD14" s="168">
        <f t="shared" si="0"/>
        <v>0</v>
      </c>
      <c r="AE14" s="168">
        <f t="shared" si="1"/>
        <v>0</v>
      </c>
      <c r="AF14" s="169"/>
      <c r="AG14" s="195"/>
      <c r="AH14" s="195"/>
      <c r="AN14" s="201"/>
      <c r="AO14" s="195"/>
      <c r="AP14" s="195"/>
      <c r="AQ14" s="195"/>
      <c r="AR14" s="195"/>
      <c r="AS14" s="195"/>
      <c r="AT14" s="195"/>
      <c r="AU14" s="195"/>
      <c r="AV14" s="195"/>
      <c r="AW14" s="195"/>
      <c r="AX14" s="195"/>
      <c r="AY14" s="195"/>
      <c r="AZ14" s="195"/>
      <c r="FC14" s="200" t="str">
        <f t="shared" si="2"/>
        <v>I</v>
      </c>
    </row>
    <row r="15" spans="1:159" s="200" customFormat="1" ht="30" customHeight="1" x14ac:dyDescent="0.2">
      <c r="A15" s="142"/>
      <c r="B15" s="146"/>
      <c r="C15" s="151"/>
      <c r="D15" s="34"/>
      <c r="E15" s="34"/>
      <c r="F15" s="220"/>
      <c r="G15" s="221"/>
      <c r="H15" s="226"/>
      <c r="I15" s="226"/>
      <c r="J15" s="226"/>
      <c r="K15" s="224"/>
      <c r="L15" s="220"/>
      <c r="M15" s="221"/>
      <c r="N15" s="226"/>
      <c r="O15" s="226"/>
      <c r="P15" s="226"/>
      <c r="Q15" s="224"/>
      <c r="R15" s="220"/>
      <c r="S15" s="221"/>
      <c r="T15" s="226"/>
      <c r="U15" s="226"/>
      <c r="V15" s="220"/>
      <c r="W15" s="221"/>
      <c r="X15" s="226"/>
      <c r="Y15" s="226"/>
      <c r="Z15" s="220"/>
      <c r="AA15" s="221"/>
      <c r="AB15" s="226"/>
      <c r="AC15" s="220"/>
      <c r="AD15" s="168">
        <f t="shared" si="0"/>
        <v>0</v>
      </c>
      <c r="AE15" s="168">
        <f t="shared" si="1"/>
        <v>0</v>
      </c>
      <c r="AF15" s="169"/>
      <c r="AG15" s="195"/>
      <c r="AH15" s="195"/>
      <c r="AN15" s="201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FC15" s="200" t="str">
        <f t="shared" si="2"/>
        <v>I</v>
      </c>
    </row>
    <row r="16" spans="1:159" s="200" customFormat="1" ht="30" customHeight="1" x14ac:dyDescent="0.2">
      <c r="A16" s="142"/>
      <c r="B16" s="146"/>
      <c r="C16" s="151"/>
      <c r="D16" s="33"/>
      <c r="E16" s="34"/>
      <c r="F16" s="220"/>
      <c r="G16" s="221"/>
      <c r="H16" s="226"/>
      <c r="I16" s="226"/>
      <c r="J16" s="226"/>
      <c r="K16" s="224"/>
      <c r="L16" s="220"/>
      <c r="M16" s="221"/>
      <c r="N16" s="226"/>
      <c r="O16" s="226"/>
      <c r="P16" s="226"/>
      <c r="Q16" s="224"/>
      <c r="R16" s="220"/>
      <c r="S16" s="221"/>
      <c r="T16" s="226"/>
      <c r="U16" s="226"/>
      <c r="V16" s="220"/>
      <c r="W16" s="221"/>
      <c r="X16" s="226"/>
      <c r="Y16" s="226"/>
      <c r="Z16" s="220"/>
      <c r="AA16" s="221"/>
      <c r="AB16" s="226"/>
      <c r="AC16" s="220"/>
      <c r="AD16" s="168">
        <f t="shared" si="0"/>
        <v>0</v>
      </c>
      <c r="AE16" s="168">
        <f t="shared" si="1"/>
        <v>0</v>
      </c>
      <c r="AF16" s="169"/>
      <c r="AG16" s="195"/>
      <c r="AH16" s="195"/>
      <c r="AN16" s="201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FC16" s="200" t="str">
        <f t="shared" si="2"/>
        <v>I</v>
      </c>
    </row>
    <row r="17" spans="1:159" s="200" customFormat="1" ht="30" customHeight="1" x14ac:dyDescent="0.2">
      <c r="A17" s="142"/>
      <c r="B17" s="146"/>
      <c r="C17" s="151"/>
      <c r="D17" s="56"/>
      <c r="E17" s="34"/>
      <c r="F17" s="220"/>
      <c r="G17" s="221"/>
      <c r="H17" s="226"/>
      <c r="I17" s="226"/>
      <c r="J17" s="226"/>
      <c r="K17" s="224"/>
      <c r="L17" s="220"/>
      <c r="M17" s="221"/>
      <c r="N17" s="226"/>
      <c r="O17" s="226"/>
      <c r="P17" s="226"/>
      <c r="Q17" s="224"/>
      <c r="R17" s="220"/>
      <c r="S17" s="221"/>
      <c r="T17" s="226"/>
      <c r="U17" s="226"/>
      <c r="V17" s="220"/>
      <c r="W17" s="221"/>
      <c r="X17" s="226"/>
      <c r="Y17" s="226"/>
      <c r="Z17" s="220"/>
      <c r="AA17" s="221"/>
      <c r="AB17" s="226"/>
      <c r="AC17" s="220"/>
      <c r="AD17" s="168">
        <f t="shared" si="0"/>
        <v>0</v>
      </c>
      <c r="AE17" s="168">
        <f t="shared" si="1"/>
        <v>0</v>
      </c>
      <c r="AF17" s="169"/>
      <c r="AG17" s="195"/>
      <c r="AH17" s="195"/>
      <c r="AN17" s="201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FC17" s="200" t="str">
        <f t="shared" si="2"/>
        <v>I</v>
      </c>
    </row>
    <row r="18" spans="1:159" s="200" customFormat="1" ht="30" customHeight="1" x14ac:dyDescent="0.2">
      <c r="A18" s="142"/>
      <c r="B18" s="146"/>
      <c r="C18" s="151"/>
      <c r="D18" s="57"/>
      <c r="E18" s="34"/>
      <c r="F18" s="220"/>
      <c r="G18" s="221"/>
      <c r="H18" s="226"/>
      <c r="I18" s="226"/>
      <c r="J18" s="226"/>
      <c r="K18" s="224"/>
      <c r="L18" s="220"/>
      <c r="M18" s="221"/>
      <c r="N18" s="226"/>
      <c r="O18" s="226"/>
      <c r="P18" s="226"/>
      <c r="Q18" s="224"/>
      <c r="R18" s="220"/>
      <c r="S18" s="221"/>
      <c r="T18" s="226"/>
      <c r="U18" s="226"/>
      <c r="V18" s="220"/>
      <c r="W18" s="221"/>
      <c r="X18" s="226"/>
      <c r="Y18" s="226"/>
      <c r="Z18" s="220"/>
      <c r="AA18" s="221"/>
      <c r="AB18" s="226"/>
      <c r="AC18" s="220"/>
      <c r="AD18" s="168">
        <f t="shared" si="0"/>
        <v>0</v>
      </c>
      <c r="AE18" s="168">
        <f t="shared" si="1"/>
        <v>0</v>
      </c>
      <c r="AF18" s="169"/>
      <c r="AG18" s="195"/>
      <c r="AH18" s="195"/>
      <c r="AN18" s="201"/>
      <c r="AO18" s="195"/>
      <c r="AP18" s="195"/>
      <c r="AQ18" s="195"/>
      <c r="AR18" s="195"/>
      <c r="AS18" s="195"/>
      <c r="AT18" s="195"/>
      <c r="AU18" s="195"/>
      <c r="AV18" s="195"/>
      <c r="AW18" s="195"/>
      <c r="AX18" s="195"/>
      <c r="AY18" s="195"/>
      <c r="AZ18" s="195"/>
      <c r="FC18" s="200" t="str">
        <f t="shared" si="2"/>
        <v>I</v>
      </c>
    </row>
    <row r="19" spans="1:159" s="200" customFormat="1" ht="30" customHeight="1" x14ac:dyDescent="0.2">
      <c r="A19" s="142"/>
      <c r="B19" s="146"/>
      <c r="C19" s="151"/>
      <c r="D19" s="57"/>
      <c r="E19" s="34"/>
      <c r="F19" s="220"/>
      <c r="G19" s="221"/>
      <c r="H19" s="226"/>
      <c r="I19" s="226"/>
      <c r="J19" s="226"/>
      <c r="K19" s="224"/>
      <c r="L19" s="220"/>
      <c r="M19" s="221"/>
      <c r="N19" s="226"/>
      <c r="O19" s="226"/>
      <c r="P19" s="226"/>
      <c r="Q19" s="224"/>
      <c r="R19" s="220"/>
      <c r="S19" s="221"/>
      <c r="T19" s="226"/>
      <c r="U19" s="226"/>
      <c r="V19" s="220"/>
      <c r="W19" s="221"/>
      <c r="X19" s="226"/>
      <c r="Y19" s="226"/>
      <c r="Z19" s="220"/>
      <c r="AA19" s="221"/>
      <c r="AB19" s="226"/>
      <c r="AC19" s="220"/>
      <c r="AD19" s="168">
        <f t="shared" si="0"/>
        <v>0</v>
      </c>
      <c r="AE19" s="168">
        <f t="shared" si="1"/>
        <v>0</v>
      </c>
      <c r="AF19" s="169"/>
      <c r="AG19" s="195"/>
      <c r="AH19" s="195"/>
      <c r="AN19" s="201"/>
      <c r="AO19" s="195"/>
      <c r="AP19" s="195"/>
      <c r="AQ19" s="195"/>
      <c r="AR19" s="195"/>
      <c r="AS19" s="195"/>
      <c r="AT19" s="195"/>
      <c r="AU19" s="195"/>
      <c r="AV19" s="195"/>
      <c r="AW19" s="195"/>
      <c r="AX19" s="195"/>
      <c r="AY19" s="195"/>
      <c r="AZ19" s="195"/>
      <c r="FC19" s="200" t="str">
        <f t="shared" si="2"/>
        <v>I</v>
      </c>
    </row>
    <row r="20" spans="1:159" s="200" customFormat="1" ht="30" customHeight="1" x14ac:dyDescent="0.2">
      <c r="A20" s="142"/>
      <c r="B20" s="146"/>
      <c r="C20" s="151"/>
      <c r="D20" s="57"/>
      <c r="E20" s="58"/>
      <c r="F20" s="220"/>
      <c r="G20" s="221"/>
      <c r="H20" s="226"/>
      <c r="I20" s="226"/>
      <c r="J20" s="226"/>
      <c r="K20" s="224"/>
      <c r="L20" s="220"/>
      <c r="M20" s="221"/>
      <c r="N20" s="226"/>
      <c r="O20" s="226"/>
      <c r="P20" s="226"/>
      <c r="Q20" s="224"/>
      <c r="R20" s="220"/>
      <c r="S20" s="221"/>
      <c r="T20" s="226"/>
      <c r="U20" s="226"/>
      <c r="V20" s="220"/>
      <c r="W20" s="221"/>
      <c r="X20" s="226"/>
      <c r="Y20" s="226"/>
      <c r="Z20" s="220"/>
      <c r="AA20" s="221"/>
      <c r="AB20" s="226"/>
      <c r="AC20" s="220"/>
      <c r="AD20" s="168">
        <f t="shared" ref="AD20:AD68" si="3">IF(ISBLANK(Z20),IF(ISBLANK(V20),IF(ISBLANK(R20),IF(ISBLANK(L20),IF(ISBLANK(F20),0,$F$234),$L$234),$R$234),$V$234),$Z$234)</f>
        <v>0</v>
      </c>
      <c r="AE20" s="168">
        <f t="shared" si="1"/>
        <v>0</v>
      </c>
      <c r="AF20" s="169"/>
      <c r="AG20" s="195"/>
      <c r="AH20" s="195"/>
      <c r="AN20" s="201"/>
      <c r="AO20" s="195"/>
      <c r="AP20" s="195"/>
      <c r="AQ20" s="195"/>
      <c r="AR20" s="195"/>
      <c r="AS20" s="195"/>
      <c r="AT20" s="195"/>
      <c r="AU20" s="195"/>
      <c r="AV20" s="195"/>
      <c r="AW20" s="195"/>
      <c r="AX20" s="195"/>
      <c r="AY20" s="195"/>
      <c r="AZ20" s="195"/>
      <c r="FC20" s="200" t="str">
        <f t="shared" si="2"/>
        <v>I</v>
      </c>
    </row>
    <row r="21" spans="1:159" s="200" customFormat="1" ht="30" customHeight="1" x14ac:dyDescent="0.2">
      <c r="A21" s="142"/>
      <c r="B21" s="146"/>
      <c r="C21" s="151"/>
      <c r="D21" s="57"/>
      <c r="E21" s="58"/>
      <c r="F21" s="220"/>
      <c r="G21" s="221"/>
      <c r="H21" s="226"/>
      <c r="I21" s="226"/>
      <c r="J21" s="226"/>
      <c r="K21" s="224"/>
      <c r="L21" s="220"/>
      <c r="M21" s="221"/>
      <c r="N21" s="226"/>
      <c r="O21" s="226"/>
      <c r="P21" s="226"/>
      <c r="Q21" s="224"/>
      <c r="R21" s="220"/>
      <c r="S21" s="221"/>
      <c r="T21" s="226"/>
      <c r="U21" s="226"/>
      <c r="V21" s="220"/>
      <c r="W21" s="221"/>
      <c r="X21" s="226"/>
      <c r="Y21" s="226"/>
      <c r="Z21" s="220"/>
      <c r="AA21" s="221"/>
      <c r="AB21" s="226"/>
      <c r="AC21" s="220"/>
      <c r="AD21" s="168">
        <f t="shared" si="3"/>
        <v>0</v>
      </c>
      <c r="AE21" s="168">
        <f t="shared" si="1"/>
        <v>0</v>
      </c>
      <c r="AF21" s="169"/>
      <c r="AG21" s="195"/>
      <c r="AH21" s="195"/>
      <c r="AN21" s="201"/>
      <c r="AO21" s="195"/>
      <c r="AP21" s="195"/>
      <c r="AQ21" s="195"/>
      <c r="AR21" s="195"/>
      <c r="AS21" s="195"/>
      <c r="AT21" s="195"/>
      <c r="AU21" s="195"/>
      <c r="AV21" s="195"/>
      <c r="AW21" s="195"/>
      <c r="AX21" s="195"/>
      <c r="AY21" s="195"/>
      <c r="AZ21" s="195"/>
      <c r="FC21" s="200" t="str">
        <f t="shared" si="2"/>
        <v>I</v>
      </c>
    </row>
    <row r="22" spans="1:159" s="200" customFormat="1" ht="30" customHeight="1" x14ac:dyDescent="0.2">
      <c r="A22" s="142"/>
      <c r="B22" s="146"/>
      <c r="C22" s="151"/>
      <c r="D22" s="57"/>
      <c r="E22" s="58"/>
      <c r="F22" s="220"/>
      <c r="G22" s="221"/>
      <c r="H22" s="226"/>
      <c r="I22" s="226"/>
      <c r="J22" s="226"/>
      <c r="K22" s="224"/>
      <c r="L22" s="220"/>
      <c r="M22" s="221"/>
      <c r="N22" s="226"/>
      <c r="O22" s="226"/>
      <c r="P22" s="226"/>
      <c r="Q22" s="224"/>
      <c r="R22" s="220"/>
      <c r="S22" s="221"/>
      <c r="T22" s="226"/>
      <c r="U22" s="226"/>
      <c r="V22" s="220"/>
      <c r="W22" s="221"/>
      <c r="X22" s="226"/>
      <c r="Y22" s="226"/>
      <c r="Z22" s="220"/>
      <c r="AA22" s="221"/>
      <c r="AB22" s="226"/>
      <c r="AC22" s="220"/>
      <c r="AD22" s="168">
        <f t="shared" si="3"/>
        <v>0</v>
      </c>
      <c r="AE22" s="168">
        <f t="shared" si="1"/>
        <v>0</v>
      </c>
      <c r="AF22" s="169"/>
      <c r="AG22" s="195"/>
      <c r="AH22" s="195"/>
      <c r="AN22" s="201"/>
      <c r="AO22" s="195"/>
      <c r="AP22" s="195"/>
      <c r="AQ22" s="195"/>
      <c r="AR22" s="195"/>
      <c r="AS22" s="195"/>
      <c r="AT22" s="195"/>
      <c r="AU22" s="195"/>
      <c r="AV22" s="195"/>
      <c r="AW22" s="195"/>
      <c r="AX22" s="195"/>
      <c r="AY22" s="195"/>
      <c r="AZ22" s="195"/>
      <c r="FC22" s="200" t="str">
        <f t="shared" si="2"/>
        <v>I</v>
      </c>
    </row>
    <row r="23" spans="1:159" s="200" customFormat="1" ht="30" customHeight="1" x14ac:dyDescent="0.2">
      <c r="A23" s="142"/>
      <c r="B23" s="146"/>
      <c r="C23" s="151"/>
      <c r="D23" s="57"/>
      <c r="E23" s="58"/>
      <c r="F23" s="220"/>
      <c r="G23" s="221"/>
      <c r="H23" s="226"/>
      <c r="I23" s="226"/>
      <c r="J23" s="226"/>
      <c r="K23" s="224"/>
      <c r="L23" s="220"/>
      <c r="M23" s="221"/>
      <c r="N23" s="226"/>
      <c r="O23" s="226"/>
      <c r="P23" s="226"/>
      <c r="Q23" s="224"/>
      <c r="R23" s="220"/>
      <c r="S23" s="221"/>
      <c r="T23" s="226"/>
      <c r="U23" s="226"/>
      <c r="V23" s="220"/>
      <c r="W23" s="221"/>
      <c r="X23" s="226"/>
      <c r="Y23" s="226"/>
      <c r="Z23" s="220"/>
      <c r="AA23" s="221"/>
      <c r="AB23" s="226"/>
      <c r="AC23" s="220"/>
      <c r="AD23" s="168">
        <f t="shared" si="3"/>
        <v>0</v>
      </c>
      <c r="AE23" s="168">
        <f t="shared" si="1"/>
        <v>0</v>
      </c>
      <c r="AF23" s="169"/>
      <c r="AG23" s="195"/>
      <c r="AH23" s="195"/>
      <c r="AN23" s="201"/>
      <c r="AO23" s="195"/>
      <c r="AP23" s="195"/>
      <c r="AQ23" s="195"/>
      <c r="AR23" s="195"/>
      <c r="AS23" s="195"/>
      <c r="AT23" s="195"/>
      <c r="AU23" s="195"/>
      <c r="AV23" s="195"/>
      <c r="AW23" s="195"/>
      <c r="AX23" s="195"/>
      <c r="AY23" s="195"/>
      <c r="AZ23" s="195"/>
      <c r="FC23" s="200" t="str">
        <f t="shared" si="2"/>
        <v>I</v>
      </c>
    </row>
    <row r="24" spans="1:159" s="200" customFormat="1" ht="30" customHeight="1" x14ac:dyDescent="0.2">
      <c r="A24" s="142"/>
      <c r="B24" s="146"/>
      <c r="C24" s="151"/>
      <c r="D24" s="56"/>
      <c r="E24" s="59"/>
      <c r="F24" s="220"/>
      <c r="G24" s="221"/>
      <c r="H24" s="226"/>
      <c r="I24" s="226"/>
      <c r="J24" s="226"/>
      <c r="K24" s="224"/>
      <c r="L24" s="220"/>
      <c r="M24" s="221"/>
      <c r="N24" s="226"/>
      <c r="O24" s="226"/>
      <c r="P24" s="226"/>
      <c r="Q24" s="224"/>
      <c r="R24" s="220"/>
      <c r="S24" s="221"/>
      <c r="T24" s="226"/>
      <c r="U24" s="226"/>
      <c r="V24" s="220"/>
      <c r="W24" s="221"/>
      <c r="X24" s="226"/>
      <c r="Y24" s="226"/>
      <c r="Z24" s="220"/>
      <c r="AA24" s="221"/>
      <c r="AB24" s="226"/>
      <c r="AC24" s="220"/>
      <c r="AD24" s="168">
        <f t="shared" si="3"/>
        <v>0</v>
      </c>
      <c r="AE24" s="168">
        <f t="shared" si="1"/>
        <v>0</v>
      </c>
      <c r="AF24" s="169"/>
      <c r="AG24" s="195"/>
      <c r="AH24" s="195"/>
      <c r="AN24" s="201"/>
      <c r="AO24" s="195"/>
      <c r="AP24" s="195"/>
      <c r="AQ24" s="195"/>
      <c r="AR24" s="195"/>
      <c r="AS24" s="195"/>
      <c r="AT24" s="195"/>
      <c r="AU24" s="195"/>
      <c r="AV24" s="195"/>
      <c r="AW24" s="195"/>
      <c r="AX24" s="195"/>
      <c r="AY24" s="195"/>
      <c r="AZ24" s="195"/>
      <c r="FC24" s="200" t="str">
        <f t="shared" si="2"/>
        <v>I</v>
      </c>
    </row>
    <row r="25" spans="1:159" s="200" customFormat="1" ht="30" customHeight="1" x14ac:dyDescent="0.2">
      <c r="A25" s="142"/>
      <c r="B25" s="146"/>
      <c r="C25" s="151"/>
      <c r="D25" s="57"/>
      <c r="E25" s="58"/>
      <c r="F25" s="220"/>
      <c r="G25" s="221"/>
      <c r="H25" s="226"/>
      <c r="I25" s="226"/>
      <c r="J25" s="226"/>
      <c r="K25" s="224"/>
      <c r="L25" s="220"/>
      <c r="M25" s="221"/>
      <c r="N25" s="226"/>
      <c r="O25" s="226"/>
      <c r="P25" s="226"/>
      <c r="Q25" s="224"/>
      <c r="R25" s="220"/>
      <c r="S25" s="221"/>
      <c r="T25" s="226"/>
      <c r="U25" s="226"/>
      <c r="V25" s="220"/>
      <c r="W25" s="221"/>
      <c r="X25" s="226"/>
      <c r="Y25" s="226"/>
      <c r="Z25" s="220"/>
      <c r="AA25" s="221"/>
      <c r="AB25" s="226"/>
      <c r="AC25" s="220"/>
      <c r="AD25" s="168">
        <f t="shared" si="3"/>
        <v>0</v>
      </c>
      <c r="AE25" s="168">
        <f t="shared" si="1"/>
        <v>0</v>
      </c>
      <c r="AF25" s="169"/>
      <c r="AG25" s="195"/>
      <c r="AH25" s="195"/>
      <c r="AN25" s="201"/>
      <c r="AO25" s="195"/>
      <c r="AP25" s="195"/>
      <c r="AQ25" s="195"/>
      <c r="AR25" s="195"/>
      <c r="AS25" s="195"/>
      <c r="AT25" s="195"/>
      <c r="AU25" s="195"/>
      <c r="AV25" s="195"/>
      <c r="AW25" s="195"/>
      <c r="AX25" s="195"/>
      <c r="AY25" s="195"/>
      <c r="AZ25" s="195"/>
      <c r="FC25" s="200" t="str">
        <f t="shared" si="2"/>
        <v>I</v>
      </c>
    </row>
    <row r="26" spans="1:159" s="200" customFormat="1" ht="30" customHeight="1" x14ac:dyDescent="0.2">
      <c r="A26" s="142"/>
      <c r="B26" s="146"/>
      <c r="C26" s="152"/>
      <c r="D26" s="50"/>
      <c r="E26" s="60"/>
      <c r="F26" s="220"/>
      <c r="G26" s="221"/>
      <c r="H26" s="226"/>
      <c r="I26" s="226"/>
      <c r="J26" s="226"/>
      <c r="K26" s="224"/>
      <c r="L26" s="220"/>
      <c r="M26" s="221"/>
      <c r="N26" s="226"/>
      <c r="O26" s="226"/>
      <c r="P26" s="226"/>
      <c r="Q26" s="224"/>
      <c r="R26" s="220"/>
      <c r="S26" s="221"/>
      <c r="T26" s="226"/>
      <c r="U26" s="226"/>
      <c r="V26" s="220"/>
      <c r="W26" s="221"/>
      <c r="X26" s="226"/>
      <c r="Y26" s="226"/>
      <c r="Z26" s="220"/>
      <c r="AA26" s="221"/>
      <c r="AB26" s="226"/>
      <c r="AC26" s="220"/>
      <c r="AD26" s="168">
        <f t="shared" si="3"/>
        <v>0</v>
      </c>
      <c r="AE26" s="168">
        <f t="shared" si="1"/>
        <v>0</v>
      </c>
      <c r="AF26" s="169"/>
      <c r="AG26" s="195"/>
      <c r="AH26" s="195"/>
      <c r="AN26" s="201"/>
      <c r="AO26" s="195"/>
      <c r="AP26" s="195"/>
      <c r="AQ26" s="195"/>
      <c r="AR26" s="195"/>
      <c r="AS26" s="195"/>
      <c r="AT26" s="195"/>
      <c r="AU26" s="195"/>
      <c r="AV26" s="195"/>
      <c r="AW26" s="195"/>
      <c r="AX26" s="195"/>
      <c r="AY26" s="195"/>
      <c r="AZ26" s="195"/>
      <c r="FC26" s="200" t="str">
        <f t="shared" si="2"/>
        <v>I</v>
      </c>
    </row>
    <row r="27" spans="1:159" s="200" customFormat="1" ht="30" customHeight="1" x14ac:dyDescent="0.2">
      <c r="A27" s="142"/>
      <c r="B27" s="146"/>
      <c r="C27" s="152"/>
      <c r="D27" s="50"/>
      <c r="E27" s="60"/>
      <c r="F27" s="220"/>
      <c r="G27" s="221"/>
      <c r="H27" s="226"/>
      <c r="I27" s="226"/>
      <c r="J27" s="226"/>
      <c r="K27" s="224"/>
      <c r="L27" s="220"/>
      <c r="M27" s="221"/>
      <c r="N27" s="226"/>
      <c r="O27" s="226"/>
      <c r="P27" s="226"/>
      <c r="Q27" s="224"/>
      <c r="R27" s="220"/>
      <c r="S27" s="221"/>
      <c r="T27" s="226"/>
      <c r="U27" s="226"/>
      <c r="V27" s="220"/>
      <c r="W27" s="221"/>
      <c r="X27" s="226"/>
      <c r="Y27" s="226"/>
      <c r="Z27" s="220"/>
      <c r="AA27" s="221"/>
      <c r="AB27" s="226"/>
      <c r="AC27" s="220"/>
      <c r="AD27" s="168">
        <f t="shared" si="3"/>
        <v>0</v>
      </c>
      <c r="AE27" s="168">
        <f t="shared" si="1"/>
        <v>0</v>
      </c>
      <c r="AF27" s="169"/>
      <c r="AG27" s="195"/>
      <c r="AH27" s="195"/>
      <c r="AN27" s="201"/>
      <c r="AO27" s="195"/>
      <c r="AP27" s="195"/>
      <c r="AQ27" s="195"/>
      <c r="AR27" s="195"/>
      <c r="AS27" s="195"/>
      <c r="AT27" s="195"/>
      <c r="AU27" s="195"/>
      <c r="AV27" s="195"/>
      <c r="AW27" s="195"/>
      <c r="AX27" s="195"/>
      <c r="AY27" s="195"/>
      <c r="AZ27" s="195"/>
      <c r="FC27" s="200" t="str">
        <f t="shared" si="2"/>
        <v>I</v>
      </c>
    </row>
    <row r="28" spans="1:159" s="200" customFormat="1" ht="30" customHeight="1" x14ac:dyDescent="0.2">
      <c r="A28" s="142"/>
      <c r="B28" s="146"/>
      <c r="C28" s="152"/>
      <c r="D28" s="50"/>
      <c r="E28" s="60"/>
      <c r="F28" s="220"/>
      <c r="G28" s="221"/>
      <c r="H28" s="226"/>
      <c r="I28" s="226"/>
      <c r="J28" s="226"/>
      <c r="K28" s="224"/>
      <c r="L28" s="220"/>
      <c r="M28" s="221"/>
      <c r="N28" s="226"/>
      <c r="O28" s="226"/>
      <c r="P28" s="226"/>
      <c r="Q28" s="224"/>
      <c r="R28" s="220"/>
      <c r="S28" s="221"/>
      <c r="T28" s="226"/>
      <c r="U28" s="226"/>
      <c r="V28" s="220"/>
      <c r="W28" s="221"/>
      <c r="X28" s="226"/>
      <c r="Y28" s="226"/>
      <c r="Z28" s="220"/>
      <c r="AA28" s="221"/>
      <c r="AB28" s="226"/>
      <c r="AC28" s="220"/>
      <c r="AD28" s="168">
        <f t="shared" si="3"/>
        <v>0</v>
      </c>
      <c r="AE28" s="168">
        <f t="shared" si="1"/>
        <v>0</v>
      </c>
      <c r="AF28" s="169"/>
      <c r="AG28" s="195"/>
      <c r="AH28" s="195"/>
      <c r="AN28" s="201"/>
      <c r="AO28" s="195"/>
      <c r="AP28" s="195"/>
      <c r="AQ28" s="195"/>
      <c r="AR28" s="195"/>
      <c r="AS28" s="195"/>
      <c r="AT28" s="195"/>
      <c r="AU28" s="195"/>
      <c r="AV28" s="195"/>
      <c r="AW28" s="195"/>
      <c r="AX28" s="195"/>
      <c r="AY28" s="195"/>
      <c r="AZ28" s="195"/>
      <c r="FC28" s="200" t="str">
        <f t="shared" si="2"/>
        <v>I</v>
      </c>
    </row>
    <row r="29" spans="1:159" s="200" customFormat="1" ht="30" customHeight="1" x14ac:dyDescent="0.2">
      <c r="A29" s="142"/>
      <c r="B29" s="146"/>
      <c r="C29" s="152"/>
      <c r="D29" s="50"/>
      <c r="E29" s="60"/>
      <c r="F29" s="220"/>
      <c r="G29" s="221"/>
      <c r="H29" s="226"/>
      <c r="I29" s="226"/>
      <c r="J29" s="226"/>
      <c r="K29" s="224"/>
      <c r="L29" s="220"/>
      <c r="M29" s="221"/>
      <c r="N29" s="226"/>
      <c r="O29" s="226"/>
      <c r="P29" s="226"/>
      <c r="Q29" s="224"/>
      <c r="R29" s="220"/>
      <c r="S29" s="221"/>
      <c r="T29" s="226"/>
      <c r="U29" s="226"/>
      <c r="V29" s="220"/>
      <c r="W29" s="221"/>
      <c r="X29" s="226"/>
      <c r="Y29" s="226"/>
      <c r="Z29" s="220"/>
      <c r="AA29" s="221"/>
      <c r="AB29" s="226"/>
      <c r="AC29" s="220"/>
      <c r="AD29" s="168">
        <f t="shared" si="3"/>
        <v>0</v>
      </c>
      <c r="AE29" s="168">
        <f t="shared" si="1"/>
        <v>0</v>
      </c>
      <c r="AF29" s="169"/>
      <c r="AG29" s="195"/>
      <c r="AH29" s="195"/>
      <c r="AN29" s="201"/>
      <c r="AO29" s="195"/>
      <c r="AP29" s="195"/>
      <c r="AQ29" s="195"/>
      <c r="AR29" s="195"/>
      <c r="AS29" s="195"/>
      <c r="AT29" s="195"/>
      <c r="AU29" s="195"/>
      <c r="AV29" s="195"/>
      <c r="AW29" s="195"/>
      <c r="AX29" s="195"/>
      <c r="AY29" s="195"/>
      <c r="AZ29" s="195"/>
      <c r="FC29" s="200" t="str">
        <f t="shared" si="2"/>
        <v>I</v>
      </c>
    </row>
    <row r="30" spans="1:159" s="200" customFormat="1" ht="30" customHeight="1" x14ac:dyDescent="0.2">
      <c r="A30" s="142"/>
      <c r="B30" s="146"/>
      <c r="C30" s="152"/>
      <c r="D30" s="49"/>
      <c r="E30" s="61"/>
      <c r="F30" s="220"/>
      <c r="G30" s="221"/>
      <c r="H30" s="226"/>
      <c r="I30" s="226"/>
      <c r="J30" s="226"/>
      <c r="K30" s="224"/>
      <c r="L30" s="220"/>
      <c r="M30" s="221"/>
      <c r="N30" s="226"/>
      <c r="O30" s="226"/>
      <c r="P30" s="226"/>
      <c r="Q30" s="224"/>
      <c r="R30" s="220"/>
      <c r="S30" s="221"/>
      <c r="T30" s="226"/>
      <c r="U30" s="226"/>
      <c r="V30" s="220"/>
      <c r="W30" s="221"/>
      <c r="X30" s="226"/>
      <c r="Y30" s="226"/>
      <c r="Z30" s="220"/>
      <c r="AA30" s="221"/>
      <c r="AB30" s="226"/>
      <c r="AC30" s="220"/>
      <c r="AD30" s="168">
        <f t="shared" si="3"/>
        <v>0</v>
      </c>
      <c r="AE30" s="168">
        <f t="shared" si="1"/>
        <v>0</v>
      </c>
      <c r="AF30" s="169"/>
      <c r="AG30" s="195"/>
      <c r="AH30" s="195"/>
      <c r="AN30" s="201"/>
      <c r="AO30" s="195"/>
      <c r="AP30" s="195"/>
      <c r="AQ30" s="195"/>
      <c r="AR30" s="195"/>
      <c r="AS30" s="195"/>
      <c r="AT30" s="195"/>
      <c r="AU30" s="195"/>
      <c r="AV30" s="195"/>
      <c r="AW30" s="195"/>
      <c r="AX30" s="195"/>
      <c r="AY30" s="195"/>
      <c r="AZ30" s="195"/>
      <c r="FC30" s="200" t="str">
        <f t="shared" si="2"/>
        <v>I</v>
      </c>
    </row>
    <row r="31" spans="1:159" s="200" customFormat="1" ht="30" customHeight="1" x14ac:dyDescent="0.2">
      <c r="A31" s="142"/>
      <c r="B31" s="146"/>
      <c r="C31" s="152"/>
      <c r="D31" s="49"/>
      <c r="E31" s="61"/>
      <c r="F31" s="220"/>
      <c r="G31" s="221"/>
      <c r="H31" s="226"/>
      <c r="I31" s="226"/>
      <c r="J31" s="226"/>
      <c r="K31" s="224"/>
      <c r="L31" s="220"/>
      <c r="M31" s="221"/>
      <c r="N31" s="226"/>
      <c r="O31" s="226"/>
      <c r="P31" s="226"/>
      <c r="Q31" s="224"/>
      <c r="R31" s="220"/>
      <c r="S31" s="221"/>
      <c r="T31" s="226"/>
      <c r="U31" s="226"/>
      <c r="V31" s="220"/>
      <c r="W31" s="221"/>
      <c r="X31" s="226"/>
      <c r="Y31" s="226"/>
      <c r="Z31" s="220"/>
      <c r="AA31" s="221"/>
      <c r="AB31" s="226"/>
      <c r="AC31" s="220"/>
      <c r="AD31" s="168">
        <f t="shared" si="3"/>
        <v>0</v>
      </c>
      <c r="AE31" s="168">
        <f t="shared" si="1"/>
        <v>0</v>
      </c>
      <c r="AF31" s="169"/>
      <c r="AG31" s="195"/>
      <c r="AH31" s="195"/>
      <c r="AN31" s="201"/>
      <c r="AO31" s="195"/>
      <c r="AP31" s="195"/>
      <c r="AQ31" s="195"/>
      <c r="AR31" s="195"/>
      <c r="AS31" s="195"/>
      <c r="AT31" s="195"/>
      <c r="AU31" s="195"/>
      <c r="AV31" s="195"/>
      <c r="AW31" s="195"/>
      <c r="AX31" s="195"/>
      <c r="AY31" s="195"/>
      <c r="AZ31" s="195"/>
      <c r="FC31" s="200" t="str">
        <f t="shared" si="2"/>
        <v>I</v>
      </c>
    </row>
    <row r="32" spans="1:159" s="200" customFormat="1" ht="30" customHeight="1" x14ac:dyDescent="0.2">
      <c r="A32" s="142"/>
      <c r="B32" s="146"/>
      <c r="C32" s="152"/>
      <c r="D32" s="50"/>
      <c r="E32" s="60"/>
      <c r="F32" s="220"/>
      <c r="G32" s="221"/>
      <c r="H32" s="226"/>
      <c r="I32" s="226"/>
      <c r="J32" s="226"/>
      <c r="K32" s="224"/>
      <c r="L32" s="220"/>
      <c r="M32" s="221"/>
      <c r="N32" s="226"/>
      <c r="O32" s="226"/>
      <c r="P32" s="226"/>
      <c r="Q32" s="224"/>
      <c r="R32" s="220"/>
      <c r="S32" s="221"/>
      <c r="T32" s="226"/>
      <c r="U32" s="226"/>
      <c r="V32" s="220"/>
      <c r="W32" s="221"/>
      <c r="X32" s="226"/>
      <c r="Y32" s="226"/>
      <c r="Z32" s="220"/>
      <c r="AA32" s="221"/>
      <c r="AB32" s="226"/>
      <c r="AC32" s="220"/>
      <c r="AD32" s="168">
        <f t="shared" si="3"/>
        <v>0</v>
      </c>
      <c r="AE32" s="168">
        <f t="shared" si="1"/>
        <v>0</v>
      </c>
      <c r="AF32" s="169"/>
      <c r="AG32" s="195"/>
      <c r="AH32" s="195"/>
      <c r="AN32" s="201"/>
      <c r="AO32" s="195"/>
      <c r="AP32" s="195"/>
      <c r="AQ32" s="195"/>
      <c r="AR32" s="195"/>
      <c r="AS32" s="195"/>
      <c r="AT32" s="195"/>
      <c r="AU32" s="195"/>
      <c r="AV32" s="195"/>
      <c r="AW32" s="195"/>
      <c r="AX32" s="195"/>
      <c r="AY32" s="195"/>
      <c r="AZ32" s="195"/>
      <c r="FC32" s="200" t="str">
        <f t="shared" si="2"/>
        <v>I</v>
      </c>
    </row>
    <row r="33" spans="1:159" s="200" customFormat="1" ht="30" customHeight="1" x14ac:dyDescent="0.2">
      <c r="A33" s="142"/>
      <c r="B33" s="146"/>
      <c r="C33" s="152"/>
      <c r="D33" s="50"/>
      <c r="E33" s="60"/>
      <c r="F33" s="220"/>
      <c r="G33" s="221"/>
      <c r="H33" s="226"/>
      <c r="I33" s="226"/>
      <c r="J33" s="226"/>
      <c r="K33" s="224"/>
      <c r="L33" s="220"/>
      <c r="M33" s="221"/>
      <c r="N33" s="226"/>
      <c r="O33" s="226"/>
      <c r="P33" s="226"/>
      <c r="Q33" s="224"/>
      <c r="R33" s="220"/>
      <c r="S33" s="221"/>
      <c r="T33" s="226"/>
      <c r="U33" s="226"/>
      <c r="V33" s="220"/>
      <c r="W33" s="221"/>
      <c r="X33" s="226"/>
      <c r="Y33" s="226"/>
      <c r="Z33" s="220"/>
      <c r="AA33" s="221"/>
      <c r="AB33" s="226"/>
      <c r="AC33" s="220"/>
      <c r="AD33" s="168">
        <f t="shared" si="3"/>
        <v>0</v>
      </c>
      <c r="AE33" s="168">
        <f t="shared" si="1"/>
        <v>0</v>
      </c>
      <c r="AF33" s="169"/>
      <c r="AG33" s="195"/>
      <c r="AH33" s="195"/>
      <c r="AN33" s="201"/>
      <c r="AO33" s="195"/>
      <c r="AP33" s="195"/>
      <c r="AQ33" s="195"/>
      <c r="AR33" s="195"/>
      <c r="AS33" s="195"/>
      <c r="AT33" s="195"/>
      <c r="AU33" s="195"/>
      <c r="AV33" s="195"/>
      <c r="AW33" s="195"/>
      <c r="AX33" s="195"/>
      <c r="AY33" s="195"/>
      <c r="AZ33" s="195"/>
      <c r="FC33" s="200" t="str">
        <f t="shared" si="2"/>
        <v>I</v>
      </c>
    </row>
    <row r="34" spans="1:159" s="200" customFormat="1" ht="30" customHeight="1" x14ac:dyDescent="0.2">
      <c r="A34" s="142"/>
      <c r="B34" s="146"/>
      <c r="C34" s="152"/>
      <c r="D34" s="49"/>
      <c r="E34" s="61"/>
      <c r="F34" s="220"/>
      <c r="G34" s="221"/>
      <c r="H34" s="226"/>
      <c r="I34" s="226"/>
      <c r="J34" s="226"/>
      <c r="K34" s="224"/>
      <c r="L34" s="220"/>
      <c r="M34" s="221"/>
      <c r="N34" s="226"/>
      <c r="O34" s="226"/>
      <c r="P34" s="226"/>
      <c r="Q34" s="224"/>
      <c r="R34" s="220"/>
      <c r="S34" s="221"/>
      <c r="T34" s="226"/>
      <c r="U34" s="226"/>
      <c r="V34" s="220"/>
      <c r="W34" s="221"/>
      <c r="X34" s="226"/>
      <c r="Y34" s="226"/>
      <c r="Z34" s="220"/>
      <c r="AA34" s="221"/>
      <c r="AB34" s="226"/>
      <c r="AC34" s="220"/>
      <c r="AD34" s="168">
        <f t="shared" si="3"/>
        <v>0</v>
      </c>
      <c r="AE34" s="168">
        <f t="shared" si="1"/>
        <v>0</v>
      </c>
      <c r="AF34" s="169"/>
      <c r="AG34" s="195"/>
      <c r="AH34" s="195"/>
      <c r="AN34" s="201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195"/>
      <c r="AZ34" s="195"/>
      <c r="FC34" s="200" t="str">
        <f t="shared" si="2"/>
        <v>I</v>
      </c>
    </row>
    <row r="35" spans="1:159" s="200" customFormat="1" ht="30" customHeight="1" x14ac:dyDescent="0.2">
      <c r="A35" s="142"/>
      <c r="B35" s="146"/>
      <c r="C35" s="152"/>
      <c r="D35" s="49"/>
      <c r="E35" s="61"/>
      <c r="F35" s="220"/>
      <c r="G35" s="221"/>
      <c r="H35" s="226"/>
      <c r="I35" s="226"/>
      <c r="J35" s="226"/>
      <c r="K35" s="224"/>
      <c r="L35" s="220"/>
      <c r="M35" s="221"/>
      <c r="N35" s="226"/>
      <c r="O35" s="226"/>
      <c r="P35" s="226"/>
      <c r="Q35" s="224"/>
      <c r="R35" s="220"/>
      <c r="S35" s="221"/>
      <c r="T35" s="226"/>
      <c r="U35" s="226"/>
      <c r="V35" s="220"/>
      <c r="W35" s="221"/>
      <c r="X35" s="226"/>
      <c r="Y35" s="226"/>
      <c r="Z35" s="220"/>
      <c r="AA35" s="221"/>
      <c r="AB35" s="226"/>
      <c r="AC35" s="220"/>
      <c r="AD35" s="168">
        <f t="shared" si="3"/>
        <v>0</v>
      </c>
      <c r="AE35" s="168">
        <f t="shared" ref="AE35:AE66" si="4">IF(ISBLANK(AC35),IF(ISBLANK(W35),IF(ISBLANK(S35),IF(ISBLANK(M35),IF(ISBLANK(G35),0,$G$234),$M$234),$S$234),$W$234),$AC$234)</f>
        <v>0</v>
      </c>
      <c r="AF35" s="169"/>
      <c r="AG35" s="195"/>
      <c r="AH35" s="195"/>
      <c r="AN35" s="201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FC35" s="200" t="str">
        <f t="shared" si="2"/>
        <v>I</v>
      </c>
    </row>
    <row r="36" spans="1:159" s="200" customFormat="1" ht="30" customHeight="1" x14ac:dyDescent="0.2">
      <c r="A36" s="142"/>
      <c r="B36" s="146"/>
      <c r="C36" s="152"/>
      <c r="D36" s="50"/>
      <c r="E36" s="60"/>
      <c r="F36" s="220"/>
      <c r="G36" s="221"/>
      <c r="H36" s="226"/>
      <c r="I36" s="226"/>
      <c r="J36" s="226"/>
      <c r="K36" s="224"/>
      <c r="L36" s="220"/>
      <c r="M36" s="221"/>
      <c r="N36" s="226"/>
      <c r="O36" s="226"/>
      <c r="P36" s="226"/>
      <c r="Q36" s="224"/>
      <c r="R36" s="220"/>
      <c r="S36" s="221"/>
      <c r="T36" s="226"/>
      <c r="U36" s="226"/>
      <c r="V36" s="220"/>
      <c r="W36" s="221"/>
      <c r="X36" s="226"/>
      <c r="Y36" s="226"/>
      <c r="Z36" s="220"/>
      <c r="AA36" s="221"/>
      <c r="AB36" s="226"/>
      <c r="AC36" s="220"/>
      <c r="AD36" s="168">
        <f t="shared" si="3"/>
        <v>0</v>
      </c>
      <c r="AE36" s="168">
        <f t="shared" si="4"/>
        <v>0</v>
      </c>
      <c r="AF36" s="169"/>
      <c r="AG36" s="195"/>
      <c r="AH36" s="195"/>
      <c r="AN36" s="201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FC36" s="200" t="str">
        <f t="shared" si="2"/>
        <v>I</v>
      </c>
    </row>
    <row r="37" spans="1:159" s="200" customFormat="1" ht="30" customHeight="1" x14ac:dyDescent="0.2">
      <c r="A37" s="142"/>
      <c r="B37" s="146"/>
      <c r="C37" s="152"/>
      <c r="D37" s="50"/>
      <c r="E37" s="60"/>
      <c r="F37" s="220"/>
      <c r="G37" s="221"/>
      <c r="H37" s="226"/>
      <c r="I37" s="226"/>
      <c r="J37" s="226"/>
      <c r="K37" s="224"/>
      <c r="L37" s="220"/>
      <c r="M37" s="221"/>
      <c r="N37" s="226"/>
      <c r="O37" s="226"/>
      <c r="P37" s="226"/>
      <c r="Q37" s="224"/>
      <c r="R37" s="220"/>
      <c r="S37" s="221"/>
      <c r="T37" s="226"/>
      <c r="U37" s="226"/>
      <c r="V37" s="220"/>
      <c r="W37" s="221"/>
      <c r="X37" s="226"/>
      <c r="Y37" s="226"/>
      <c r="Z37" s="220"/>
      <c r="AA37" s="221"/>
      <c r="AB37" s="226"/>
      <c r="AC37" s="220"/>
      <c r="AD37" s="168">
        <f t="shared" si="3"/>
        <v>0</v>
      </c>
      <c r="AE37" s="168">
        <f t="shared" si="4"/>
        <v>0</v>
      </c>
      <c r="AF37" s="169"/>
      <c r="AG37" s="195"/>
      <c r="AH37" s="195"/>
      <c r="AN37" s="201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FC37" s="200" t="str">
        <f t="shared" si="2"/>
        <v>I</v>
      </c>
    </row>
    <row r="38" spans="1:159" s="200" customFormat="1" ht="30" customHeight="1" x14ac:dyDescent="0.2">
      <c r="A38" s="142"/>
      <c r="B38" s="146"/>
      <c r="C38" s="152"/>
      <c r="D38" s="50"/>
      <c r="E38" s="60"/>
      <c r="F38" s="220"/>
      <c r="G38" s="221"/>
      <c r="H38" s="226"/>
      <c r="I38" s="226"/>
      <c r="J38" s="226"/>
      <c r="K38" s="224"/>
      <c r="L38" s="220"/>
      <c r="M38" s="221"/>
      <c r="N38" s="226"/>
      <c r="O38" s="226"/>
      <c r="P38" s="226"/>
      <c r="Q38" s="224"/>
      <c r="R38" s="220"/>
      <c r="S38" s="221"/>
      <c r="T38" s="226"/>
      <c r="U38" s="226"/>
      <c r="V38" s="220"/>
      <c r="W38" s="221"/>
      <c r="X38" s="226"/>
      <c r="Y38" s="226"/>
      <c r="Z38" s="220"/>
      <c r="AA38" s="221"/>
      <c r="AB38" s="226"/>
      <c r="AC38" s="220"/>
      <c r="AD38" s="168">
        <f t="shared" si="3"/>
        <v>0</v>
      </c>
      <c r="AE38" s="168">
        <f t="shared" si="4"/>
        <v>0</v>
      </c>
      <c r="AF38" s="169"/>
      <c r="AG38" s="195"/>
      <c r="AH38" s="195"/>
      <c r="AN38" s="201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FC38" s="200" t="str">
        <f t="shared" si="2"/>
        <v>I</v>
      </c>
    </row>
    <row r="39" spans="1:159" s="200" customFormat="1" ht="30" customHeight="1" x14ac:dyDescent="0.2">
      <c r="A39" s="142"/>
      <c r="B39" s="146"/>
      <c r="C39" s="152"/>
      <c r="D39" s="49"/>
      <c r="E39" s="61"/>
      <c r="F39" s="220"/>
      <c r="G39" s="221"/>
      <c r="H39" s="226"/>
      <c r="I39" s="226"/>
      <c r="J39" s="226"/>
      <c r="K39" s="224"/>
      <c r="L39" s="220"/>
      <c r="M39" s="221"/>
      <c r="N39" s="226"/>
      <c r="O39" s="226"/>
      <c r="P39" s="226"/>
      <c r="Q39" s="224"/>
      <c r="R39" s="220"/>
      <c r="S39" s="221"/>
      <c r="T39" s="226"/>
      <c r="U39" s="226"/>
      <c r="V39" s="220"/>
      <c r="W39" s="221"/>
      <c r="X39" s="226"/>
      <c r="Y39" s="226"/>
      <c r="Z39" s="220"/>
      <c r="AA39" s="221"/>
      <c r="AB39" s="226"/>
      <c r="AC39" s="220"/>
      <c r="AD39" s="168">
        <f t="shared" si="3"/>
        <v>0</v>
      </c>
      <c r="AE39" s="168">
        <f t="shared" si="4"/>
        <v>0</v>
      </c>
      <c r="AF39" s="169"/>
      <c r="AG39" s="195"/>
      <c r="AH39" s="195"/>
      <c r="AN39" s="201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FC39" s="200" t="str">
        <f t="shared" si="2"/>
        <v>I</v>
      </c>
    </row>
    <row r="40" spans="1:159" s="200" customFormat="1" ht="30" customHeight="1" x14ac:dyDescent="0.2">
      <c r="A40" s="142"/>
      <c r="B40" s="146"/>
      <c r="C40" s="152"/>
      <c r="D40" s="50"/>
      <c r="E40" s="60"/>
      <c r="F40" s="220"/>
      <c r="G40" s="221"/>
      <c r="H40" s="226"/>
      <c r="I40" s="226"/>
      <c r="J40" s="226"/>
      <c r="K40" s="224"/>
      <c r="L40" s="220"/>
      <c r="M40" s="221"/>
      <c r="N40" s="226"/>
      <c r="O40" s="226"/>
      <c r="P40" s="226"/>
      <c r="Q40" s="224"/>
      <c r="R40" s="220"/>
      <c r="S40" s="221"/>
      <c r="T40" s="226"/>
      <c r="U40" s="226"/>
      <c r="V40" s="220"/>
      <c r="W40" s="221"/>
      <c r="X40" s="226"/>
      <c r="Y40" s="226"/>
      <c r="Z40" s="220"/>
      <c r="AA40" s="221"/>
      <c r="AB40" s="226"/>
      <c r="AC40" s="220"/>
      <c r="AD40" s="168">
        <f t="shared" si="3"/>
        <v>0</v>
      </c>
      <c r="AE40" s="168">
        <f t="shared" si="4"/>
        <v>0</v>
      </c>
      <c r="AF40" s="169"/>
      <c r="AG40" s="195"/>
      <c r="AH40" s="195"/>
      <c r="AN40" s="201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FC40" s="200" t="str">
        <f t="shared" si="2"/>
        <v>I</v>
      </c>
    </row>
    <row r="41" spans="1:159" s="200" customFormat="1" ht="30" customHeight="1" x14ac:dyDescent="0.2">
      <c r="A41" s="142"/>
      <c r="B41" s="146"/>
      <c r="C41" s="152"/>
      <c r="D41" s="50"/>
      <c r="E41" s="60"/>
      <c r="F41" s="220"/>
      <c r="G41" s="221"/>
      <c r="H41" s="226"/>
      <c r="I41" s="226"/>
      <c r="J41" s="226"/>
      <c r="K41" s="224"/>
      <c r="L41" s="220"/>
      <c r="M41" s="221"/>
      <c r="N41" s="226"/>
      <c r="O41" s="226"/>
      <c r="P41" s="226"/>
      <c r="Q41" s="224"/>
      <c r="R41" s="220"/>
      <c r="S41" s="221"/>
      <c r="T41" s="226"/>
      <c r="U41" s="226"/>
      <c r="V41" s="220"/>
      <c r="W41" s="221"/>
      <c r="X41" s="226"/>
      <c r="Y41" s="226"/>
      <c r="Z41" s="220"/>
      <c r="AA41" s="221"/>
      <c r="AB41" s="226"/>
      <c r="AC41" s="220"/>
      <c r="AD41" s="168">
        <f t="shared" si="3"/>
        <v>0</v>
      </c>
      <c r="AE41" s="168">
        <f t="shared" si="4"/>
        <v>0</v>
      </c>
      <c r="AF41" s="169"/>
      <c r="AG41" s="195"/>
      <c r="AH41" s="195"/>
      <c r="AN41" s="201"/>
      <c r="AO41" s="195"/>
      <c r="AP41" s="195"/>
      <c r="AQ41" s="195"/>
      <c r="AR41" s="195"/>
      <c r="AS41" s="195"/>
      <c r="AT41" s="195"/>
      <c r="AU41" s="195"/>
      <c r="AV41" s="195"/>
      <c r="AW41" s="195"/>
      <c r="AX41" s="195"/>
      <c r="AY41" s="195"/>
      <c r="AZ41" s="195"/>
      <c r="FC41" s="200" t="str">
        <f t="shared" si="2"/>
        <v>I</v>
      </c>
    </row>
    <row r="42" spans="1:159" s="200" customFormat="1" ht="30" customHeight="1" x14ac:dyDescent="0.2">
      <c r="A42" s="142"/>
      <c r="B42" s="146"/>
      <c r="C42" s="152"/>
      <c r="D42" s="50"/>
      <c r="E42" s="60"/>
      <c r="F42" s="220"/>
      <c r="G42" s="221"/>
      <c r="H42" s="226"/>
      <c r="I42" s="226"/>
      <c r="J42" s="226"/>
      <c r="K42" s="224"/>
      <c r="L42" s="220"/>
      <c r="M42" s="221"/>
      <c r="N42" s="226"/>
      <c r="O42" s="226"/>
      <c r="P42" s="226"/>
      <c r="Q42" s="224"/>
      <c r="R42" s="220"/>
      <c r="S42" s="221"/>
      <c r="T42" s="226"/>
      <c r="U42" s="226"/>
      <c r="V42" s="220"/>
      <c r="W42" s="221"/>
      <c r="X42" s="226"/>
      <c r="Y42" s="226"/>
      <c r="Z42" s="220"/>
      <c r="AA42" s="221"/>
      <c r="AB42" s="226"/>
      <c r="AC42" s="220"/>
      <c r="AD42" s="168">
        <f t="shared" si="3"/>
        <v>0</v>
      </c>
      <c r="AE42" s="168">
        <f t="shared" si="4"/>
        <v>0</v>
      </c>
      <c r="AF42" s="169"/>
      <c r="AG42" s="195"/>
      <c r="AH42" s="195"/>
      <c r="AN42" s="201"/>
      <c r="AO42" s="195"/>
      <c r="AP42" s="195"/>
      <c r="AQ42" s="195"/>
      <c r="AR42" s="195"/>
      <c r="AS42" s="195"/>
      <c r="AT42" s="195"/>
      <c r="AU42" s="195"/>
      <c r="AV42" s="195"/>
      <c r="AW42" s="195"/>
      <c r="AX42" s="195"/>
      <c r="AY42" s="195"/>
      <c r="AZ42" s="195"/>
      <c r="FC42" s="200" t="str">
        <f t="shared" si="2"/>
        <v>I</v>
      </c>
    </row>
    <row r="43" spans="1:159" s="200" customFormat="1" ht="30" customHeight="1" x14ac:dyDescent="0.2">
      <c r="A43" s="142"/>
      <c r="B43" s="146"/>
      <c r="C43" s="152"/>
      <c r="D43" s="50"/>
      <c r="E43" s="60"/>
      <c r="F43" s="220"/>
      <c r="G43" s="221"/>
      <c r="H43" s="226"/>
      <c r="I43" s="226"/>
      <c r="J43" s="226"/>
      <c r="K43" s="224"/>
      <c r="L43" s="220"/>
      <c r="M43" s="221"/>
      <c r="N43" s="226"/>
      <c r="O43" s="226"/>
      <c r="P43" s="226"/>
      <c r="Q43" s="224"/>
      <c r="R43" s="220"/>
      <c r="S43" s="221"/>
      <c r="T43" s="226"/>
      <c r="U43" s="226"/>
      <c r="V43" s="220"/>
      <c r="W43" s="221"/>
      <c r="X43" s="226"/>
      <c r="Y43" s="226"/>
      <c r="Z43" s="220"/>
      <c r="AA43" s="221"/>
      <c r="AB43" s="226"/>
      <c r="AC43" s="220"/>
      <c r="AD43" s="168">
        <f t="shared" si="3"/>
        <v>0</v>
      </c>
      <c r="AE43" s="168">
        <f t="shared" si="4"/>
        <v>0</v>
      </c>
      <c r="AF43" s="169"/>
      <c r="AG43" s="195"/>
      <c r="AH43" s="195"/>
      <c r="AN43" s="201"/>
      <c r="AO43" s="195"/>
      <c r="AP43" s="195"/>
      <c r="AQ43" s="195"/>
      <c r="AR43" s="195"/>
      <c r="AS43" s="195"/>
      <c r="AT43" s="195"/>
      <c r="AU43" s="195"/>
      <c r="AV43" s="195"/>
      <c r="AW43" s="195"/>
      <c r="AX43" s="195"/>
      <c r="AY43" s="195"/>
      <c r="AZ43" s="195"/>
      <c r="FC43" s="200" t="str">
        <f t="shared" si="2"/>
        <v>I</v>
      </c>
    </row>
    <row r="44" spans="1:159" s="200" customFormat="1" ht="30" customHeight="1" x14ac:dyDescent="0.2">
      <c r="A44" s="142"/>
      <c r="B44" s="146"/>
      <c r="C44" s="152"/>
      <c r="D44" s="50"/>
      <c r="E44" s="60"/>
      <c r="F44" s="220"/>
      <c r="G44" s="221"/>
      <c r="H44" s="226"/>
      <c r="I44" s="226"/>
      <c r="J44" s="226"/>
      <c r="K44" s="224"/>
      <c r="L44" s="220"/>
      <c r="M44" s="221"/>
      <c r="N44" s="226"/>
      <c r="O44" s="226"/>
      <c r="P44" s="226"/>
      <c r="Q44" s="224"/>
      <c r="R44" s="220"/>
      <c r="S44" s="221"/>
      <c r="T44" s="226"/>
      <c r="U44" s="226"/>
      <c r="V44" s="220"/>
      <c r="W44" s="221"/>
      <c r="X44" s="226"/>
      <c r="Y44" s="226"/>
      <c r="Z44" s="220"/>
      <c r="AA44" s="221"/>
      <c r="AB44" s="226"/>
      <c r="AC44" s="220"/>
      <c r="AD44" s="168">
        <f t="shared" si="3"/>
        <v>0</v>
      </c>
      <c r="AE44" s="168">
        <f t="shared" si="4"/>
        <v>0</v>
      </c>
      <c r="AF44" s="169"/>
      <c r="AG44" s="195"/>
      <c r="AH44" s="195"/>
      <c r="AN44" s="201"/>
      <c r="AO44" s="195"/>
      <c r="AP44" s="195"/>
      <c r="AQ44" s="195"/>
      <c r="AR44" s="195"/>
      <c r="AS44" s="195"/>
      <c r="AT44" s="195"/>
      <c r="AU44" s="195"/>
      <c r="AV44" s="195"/>
      <c r="AW44" s="195"/>
      <c r="AX44" s="195"/>
      <c r="AY44" s="195"/>
      <c r="AZ44" s="195"/>
      <c r="FC44" s="200" t="str">
        <f t="shared" si="2"/>
        <v>I</v>
      </c>
    </row>
    <row r="45" spans="1:159" s="200" customFormat="1" ht="30" customHeight="1" x14ac:dyDescent="0.2">
      <c r="A45" s="142"/>
      <c r="B45" s="146"/>
      <c r="C45" s="152"/>
      <c r="D45" s="50"/>
      <c r="E45" s="60"/>
      <c r="F45" s="220"/>
      <c r="G45" s="221"/>
      <c r="H45" s="226"/>
      <c r="I45" s="226"/>
      <c r="J45" s="226"/>
      <c r="K45" s="224"/>
      <c r="L45" s="220"/>
      <c r="M45" s="221"/>
      <c r="N45" s="226"/>
      <c r="O45" s="226"/>
      <c r="P45" s="226"/>
      <c r="Q45" s="224"/>
      <c r="R45" s="220"/>
      <c r="S45" s="221"/>
      <c r="T45" s="226"/>
      <c r="U45" s="226"/>
      <c r="V45" s="220"/>
      <c r="W45" s="221"/>
      <c r="X45" s="226"/>
      <c r="Y45" s="226"/>
      <c r="Z45" s="220"/>
      <c r="AA45" s="221"/>
      <c r="AB45" s="226"/>
      <c r="AC45" s="220"/>
      <c r="AD45" s="168">
        <f t="shared" si="3"/>
        <v>0</v>
      </c>
      <c r="AE45" s="168">
        <f t="shared" si="4"/>
        <v>0</v>
      </c>
      <c r="AF45" s="169"/>
      <c r="AG45" s="195"/>
      <c r="AH45" s="195"/>
      <c r="AN45" s="201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FC45" s="200" t="str">
        <f t="shared" si="2"/>
        <v>I</v>
      </c>
    </row>
    <row r="46" spans="1:159" s="200" customFormat="1" ht="30" customHeight="1" x14ac:dyDescent="0.2">
      <c r="A46" s="142"/>
      <c r="B46" s="146"/>
      <c r="C46" s="152"/>
      <c r="D46" s="50"/>
      <c r="E46" s="60"/>
      <c r="F46" s="220"/>
      <c r="G46" s="221"/>
      <c r="H46" s="226"/>
      <c r="I46" s="226"/>
      <c r="J46" s="226"/>
      <c r="K46" s="224"/>
      <c r="L46" s="220"/>
      <c r="M46" s="221"/>
      <c r="N46" s="226"/>
      <c r="O46" s="226"/>
      <c r="P46" s="226"/>
      <c r="Q46" s="224"/>
      <c r="R46" s="220"/>
      <c r="S46" s="221"/>
      <c r="T46" s="226"/>
      <c r="U46" s="226"/>
      <c r="V46" s="220"/>
      <c r="W46" s="221"/>
      <c r="X46" s="226"/>
      <c r="Y46" s="226"/>
      <c r="Z46" s="220"/>
      <c r="AA46" s="221"/>
      <c r="AB46" s="226"/>
      <c r="AC46" s="220"/>
      <c r="AD46" s="168">
        <f t="shared" si="3"/>
        <v>0</v>
      </c>
      <c r="AE46" s="168">
        <f t="shared" si="4"/>
        <v>0</v>
      </c>
      <c r="AF46" s="169"/>
      <c r="AG46" s="195"/>
      <c r="AH46" s="195"/>
      <c r="AN46" s="201"/>
      <c r="AO46" s="195"/>
      <c r="AP46" s="195"/>
      <c r="AQ46" s="195"/>
      <c r="AR46" s="195"/>
      <c r="AS46" s="195"/>
      <c r="AT46" s="195"/>
      <c r="AU46" s="195"/>
      <c r="AV46" s="195"/>
      <c r="AW46" s="195"/>
      <c r="AX46" s="195"/>
      <c r="AY46" s="195"/>
      <c r="AZ46" s="195"/>
      <c r="FC46" s="200" t="str">
        <f t="shared" si="2"/>
        <v>I</v>
      </c>
    </row>
    <row r="47" spans="1:159" s="200" customFormat="1" ht="30" customHeight="1" x14ac:dyDescent="0.2">
      <c r="A47" s="142"/>
      <c r="B47" s="146"/>
      <c r="C47" s="152"/>
      <c r="D47" s="50"/>
      <c r="E47" s="60"/>
      <c r="F47" s="220"/>
      <c r="G47" s="221"/>
      <c r="H47" s="226"/>
      <c r="I47" s="226"/>
      <c r="J47" s="226"/>
      <c r="K47" s="224"/>
      <c r="L47" s="220"/>
      <c r="M47" s="221"/>
      <c r="N47" s="226"/>
      <c r="O47" s="226"/>
      <c r="P47" s="226"/>
      <c r="Q47" s="224"/>
      <c r="R47" s="220"/>
      <c r="S47" s="221"/>
      <c r="T47" s="226"/>
      <c r="U47" s="226"/>
      <c r="V47" s="220"/>
      <c r="W47" s="221"/>
      <c r="X47" s="226"/>
      <c r="Y47" s="226"/>
      <c r="Z47" s="220"/>
      <c r="AA47" s="221"/>
      <c r="AB47" s="226"/>
      <c r="AC47" s="220"/>
      <c r="AD47" s="168">
        <f t="shared" si="3"/>
        <v>0</v>
      </c>
      <c r="AE47" s="168">
        <f t="shared" si="4"/>
        <v>0</v>
      </c>
      <c r="AF47" s="169"/>
      <c r="AG47" s="195"/>
      <c r="AH47" s="195"/>
      <c r="AN47" s="201"/>
      <c r="AO47" s="195"/>
      <c r="AP47" s="195"/>
      <c r="AQ47" s="195"/>
      <c r="AR47" s="195"/>
      <c r="AS47" s="195"/>
      <c r="AT47" s="195"/>
      <c r="AU47" s="195"/>
      <c r="AV47" s="195"/>
      <c r="AW47" s="195"/>
      <c r="AX47" s="195"/>
      <c r="AY47" s="195"/>
      <c r="AZ47" s="195"/>
      <c r="FC47" s="200" t="str">
        <f t="shared" si="2"/>
        <v>I</v>
      </c>
    </row>
    <row r="48" spans="1:159" s="200" customFormat="1" ht="30" customHeight="1" x14ac:dyDescent="0.2">
      <c r="A48" s="142"/>
      <c r="B48" s="146"/>
      <c r="C48" s="152"/>
      <c r="D48" s="50"/>
      <c r="E48" s="60"/>
      <c r="F48" s="220"/>
      <c r="G48" s="221"/>
      <c r="H48" s="226"/>
      <c r="I48" s="226"/>
      <c r="J48" s="226"/>
      <c r="K48" s="224"/>
      <c r="L48" s="220"/>
      <c r="M48" s="221"/>
      <c r="N48" s="226"/>
      <c r="O48" s="226"/>
      <c r="P48" s="226"/>
      <c r="Q48" s="224"/>
      <c r="R48" s="220"/>
      <c r="S48" s="221"/>
      <c r="T48" s="226"/>
      <c r="U48" s="226"/>
      <c r="V48" s="220"/>
      <c r="W48" s="221"/>
      <c r="X48" s="226"/>
      <c r="Y48" s="226"/>
      <c r="Z48" s="220"/>
      <c r="AA48" s="221"/>
      <c r="AB48" s="226"/>
      <c r="AC48" s="220"/>
      <c r="AD48" s="168">
        <f t="shared" si="3"/>
        <v>0</v>
      </c>
      <c r="AE48" s="168">
        <f t="shared" si="4"/>
        <v>0</v>
      </c>
      <c r="AF48" s="169"/>
      <c r="AG48" s="195"/>
      <c r="AH48" s="195"/>
      <c r="AN48" s="201"/>
      <c r="AO48" s="195"/>
      <c r="AP48" s="195"/>
      <c r="AQ48" s="195"/>
      <c r="AR48" s="195"/>
      <c r="AS48" s="195"/>
      <c r="AT48" s="195"/>
      <c r="AU48" s="195"/>
      <c r="AV48" s="195"/>
      <c r="AW48" s="195"/>
      <c r="AX48" s="195"/>
      <c r="AY48" s="195"/>
      <c r="AZ48" s="195"/>
      <c r="FC48" s="200" t="str">
        <f t="shared" si="2"/>
        <v>I</v>
      </c>
    </row>
    <row r="49" spans="1:159" s="200" customFormat="1" ht="30" customHeight="1" x14ac:dyDescent="0.2">
      <c r="A49" s="142"/>
      <c r="B49" s="146"/>
      <c r="C49" s="152"/>
      <c r="D49" s="50"/>
      <c r="E49" s="60"/>
      <c r="F49" s="220"/>
      <c r="G49" s="221"/>
      <c r="H49" s="226"/>
      <c r="I49" s="226"/>
      <c r="J49" s="226"/>
      <c r="K49" s="224"/>
      <c r="L49" s="220"/>
      <c r="M49" s="221"/>
      <c r="N49" s="226"/>
      <c r="O49" s="226"/>
      <c r="P49" s="226"/>
      <c r="Q49" s="224"/>
      <c r="R49" s="220"/>
      <c r="S49" s="221"/>
      <c r="T49" s="226"/>
      <c r="U49" s="226"/>
      <c r="V49" s="220"/>
      <c r="W49" s="221"/>
      <c r="X49" s="226"/>
      <c r="Y49" s="226"/>
      <c r="Z49" s="220"/>
      <c r="AA49" s="221"/>
      <c r="AB49" s="226"/>
      <c r="AC49" s="220"/>
      <c r="AD49" s="168">
        <f t="shared" si="3"/>
        <v>0</v>
      </c>
      <c r="AE49" s="168">
        <f t="shared" si="4"/>
        <v>0</v>
      </c>
      <c r="AF49" s="169"/>
      <c r="AG49" s="195"/>
      <c r="AH49" s="195"/>
      <c r="AN49" s="201"/>
      <c r="AO49" s="195"/>
      <c r="AP49" s="195"/>
      <c r="AQ49" s="195"/>
      <c r="AR49" s="195"/>
      <c r="AS49" s="195"/>
      <c r="AT49" s="195"/>
      <c r="AU49" s="195"/>
      <c r="AV49" s="195"/>
      <c r="AW49" s="195"/>
      <c r="AX49" s="195"/>
      <c r="AY49" s="195"/>
      <c r="AZ49" s="195"/>
      <c r="FC49" s="200" t="str">
        <f t="shared" si="2"/>
        <v>I</v>
      </c>
    </row>
    <row r="50" spans="1:159" s="200" customFormat="1" ht="30" customHeight="1" x14ac:dyDescent="0.2">
      <c r="A50" s="142"/>
      <c r="B50" s="146"/>
      <c r="C50" s="152"/>
      <c r="D50" s="50"/>
      <c r="E50" s="60"/>
      <c r="F50" s="220"/>
      <c r="G50" s="221"/>
      <c r="H50" s="226"/>
      <c r="I50" s="226"/>
      <c r="J50" s="226"/>
      <c r="K50" s="224"/>
      <c r="L50" s="220"/>
      <c r="M50" s="221"/>
      <c r="N50" s="226"/>
      <c r="O50" s="226"/>
      <c r="P50" s="226"/>
      <c r="Q50" s="224"/>
      <c r="R50" s="220"/>
      <c r="S50" s="221"/>
      <c r="T50" s="226"/>
      <c r="U50" s="226"/>
      <c r="V50" s="220"/>
      <c r="W50" s="221"/>
      <c r="X50" s="226"/>
      <c r="Y50" s="226"/>
      <c r="Z50" s="220"/>
      <c r="AA50" s="221"/>
      <c r="AB50" s="226"/>
      <c r="AC50" s="220"/>
      <c r="AD50" s="168">
        <f t="shared" si="3"/>
        <v>0</v>
      </c>
      <c r="AE50" s="168">
        <f t="shared" si="4"/>
        <v>0</v>
      </c>
      <c r="AF50" s="169"/>
      <c r="AG50" s="195"/>
      <c r="AH50" s="195"/>
      <c r="AN50" s="201"/>
      <c r="AO50" s="195"/>
      <c r="AP50" s="195"/>
      <c r="AQ50" s="195"/>
      <c r="AR50" s="195"/>
      <c r="AS50" s="195"/>
      <c r="AT50" s="195"/>
      <c r="AU50" s="195"/>
      <c r="AV50" s="195"/>
      <c r="AW50" s="195"/>
      <c r="AX50" s="195"/>
      <c r="AY50" s="195"/>
      <c r="AZ50" s="195"/>
      <c r="FC50" s="200" t="str">
        <f t="shared" si="2"/>
        <v>I</v>
      </c>
    </row>
    <row r="51" spans="1:159" s="200" customFormat="1" ht="30" customHeight="1" x14ac:dyDescent="0.2">
      <c r="A51" s="142"/>
      <c r="B51" s="146"/>
      <c r="C51" s="152"/>
      <c r="D51" s="49"/>
      <c r="E51" s="61"/>
      <c r="F51" s="220"/>
      <c r="G51" s="221"/>
      <c r="H51" s="226"/>
      <c r="I51" s="226"/>
      <c r="J51" s="226"/>
      <c r="K51" s="224"/>
      <c r="L51" s="220"/>
      <c r="M51" s="221"/>
      <c r="N51" s="226"/>
      <c r="O51" s="226"/>
      <c r="P51" s="226"/>
      <c r="Q51" s="224"/>
      <c r="R51" s="220"/>
      <c r="S51" s="221"/>
      <c r="T51" s="226"/>
      <c r="U51" s="226"/>
      <c r="V51" s="220"/>
      <c r="W51" s="221"/>
      <c r="X51" s="226"/>
      <c r="Y51" s="226"/>
      <c r="Z51" s="220"/>
      <c r="AA51" s="221"/>
      <c r="AB51" s="226"/>
      <c r="AC51" s="220"/>
      <c r="AD51" s="168">
        <f t="shared" si="3"/>
        <v>0</v>
      </c>
      <c r="AE51" s="168">
        <f t="shared" si="4"/>
        <v>0</v>
      </c>
      <c r="AF51" s="169"/>
      <c r="AG51" s="195"/>
      <c r="AH51" s="195"/>
      <c r="AN51" s="201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FC51" s="200" t="str">
        <f t="shared" si="2"/>
        <v>I</v>
      </c>
    </row>
    <row r="52" spans="1:159" s="200" customFormat="1" ht="30" customHeight="1" x14ac:dyDescent="0.2">
      <c r="A52" s="142"/>
      <c r="B52" s="146"/>
      <c r="C52" s="152"/>
      <c r="D52" s="49"/>
      <c r="E52" s="61"/>
      <c r="F52" s="220"/>
      <c r="G52" s="221"/>
      <c r="H52" s="226"/>
      <c r="I52" s="226"/>
      <c r="J52" s="226"/>
      <c r="K52" s="224"/>
      <c r="L52" s="220"/>
      <c r="M52" s="221"/>
      <c r="N52" s="226"/>
      <c r="O52" s="226"/>
      <c r="P52" s="226"/>
      <c r="Q52" s="224"/>
      <c r="R52" s="220"/>
      <c r="S52" s="221"/>
      <c r="T52" s="226"/>
      <c r="U52" s="226"/>
      <c r="V52" s="220"/>
      <c r="W52" s="221"/>
      <c r="X52" s="226"/>
      <c r="Y52" s="226"/>
      <c r="Z52" s="220"/>
      <c r="AA52" s="221"/>
      <c r="AB52" s="226"/>
      <c r="AC52" s="220"/>
      <c r="AD52" s="168">
        <f t="shared" si="3"/>
        <v>0</v>
      </c>
      <c r="AE52" s="168">
        <f t="shared" si="4"/>
        <v>0</v>
      </c>
      <c r="AF52" s="169"/>
      <c r="AG52" s="195"/>
      <c r="AH52" s="195"/>
      <c r="AN52" s="201"/>
      <c r="AO52" s="195"/>
      <c r="AP52" s="195"/>
      <c r="AQ52" s="195"/>
      <c r="AR52" s="195"/>
      <c r="AS52" s="195"/>
      <c r="AT52" s="195"/>
      <c r="AU52" s="195"/>
      <c r="AV52" s="195"/>
      <c r="AW52" s="195"/>
      <c r="AX52" s="195"/>
      <c r="AY52" s="195"/>
      <c r="AZ52" s="195"/>
      <c r="FC52" s="200" t="str">
        <f t="shared" si="2"/>
        <v>I</v>
      </c>
    </row>
    <row r="53" spans="1:159" s="200" customFormat="1" ht="30" customHeight="1" x14ac:dyDescent="0.2">
      <c r="A53" s="142"/>
      <c r="B53" s="146"/>
      <c r="C53" s="152"/>
      <c r="D53" s="50"/>
      <c r="E53" s="60"/>
      <c r="F53" s="220"/>
      <c r="G53" s="221"/>
      <c r="H53" s="226"/>
      <c r="I53" s="226"/>
      <c r="J53" s="226"/>
      <c r="K53" s="224"/>
      <c r="L53" s="220"/>
      <c r="M53" s="221"/>
      <c r="N53" s="226"/>
      <c r="O53" s="226"/>
      <c r="P53" s="226"/>
      <c r="Q53" s="224"/>
      <c r="R53" s="220"/>
      <c r="S53" s="221"/>
      <c r="T53" s="226"/>
      <c r="U53" s="226"/>
      <c r="V53" s="220"/>
      <c r="W53" s="221"/>
      <c r="X53" s="226"/>
      <c r="Y53" s="226"/>
      <c r="Z53" s="220"/>
      <c r="AA53" s="221"/>
      <c r="AB53" s="226"/>
      <c r="AC53" s="220"/>
      <c r="AD53" s="168">
        <f t="shared" si="3"/>
        <v>0</v>
      </c>
      <c r="AE53" s="168">
        <f t="shared" si="4"/>
        <v>0</v>
      </c>
      <c r="AF53" s="169"/>
      <c r="AG53" s="195"/>
      <c r="AH53" s="195"/>
      <c r="AN53" s="201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FC53" s="200" t="str">
        <f t="shared" si="2"/>
        <v>I</v>
      </c>
    </row>
    <row r="54" spans="1:159" s="200" customFormat="1" ht="30" customHeight="1" x14ac:dyDescent="0.2">
      <c r="A54" s="142"/>
      <c r="B54" s="146"/>
      <c r="C54" s="152"/>
      <c r="D54" s="50"/>
      <c r="E54" s="60"/>
      <c r="F54" s="220"/>
      <c r="G54" s="221"/>
      <c r="H54" s="226"/>
      <c r="I54" s="226"/>
      <c r="J54" s="226"/>
      <c r="K54" s="224"/>
      <c r="L54" s="220"/>
      <c r="M54" s="221"/>
      <c r="N54" s="226"/>
      <c r="O54" s="226"/>
      <c r="P54" s="226"/>
      <c r="Q54" s="224"/>
      <c r="R54" s="220"/>
      <c r="S54" s="221"/>
      <c r="T54" s="226"/>
      <c r="U54" s="226"/>
      <c r="V54" s="220"/>
      <c r="W54" s="221"/>
      <c r="X54" s="226"/>
      <c r="Y54" s="226"/>
      <c r="Z54" s="220"/>
      <c r="AA54" s="221"/>
      <c r="AB54" s="226"/>
      <c r="AC54" s="220"/>
      <c r="AD54" s="168">
        <f t="shared" si="3"/>
        <v>0</v>
      </c>
      <c r="AE54" s="168">
        <f t="shared" si="4"/>
        <v>0</v>
      </c>
      <c r="AF54" s="169"/>
      <c r="AG54" s="195"/>
      <c r="AH54" s="195"/>
      <c r="AN54" s="201"/>
      <c r="AO54" s="195"/>
      <c r="AP54" s="195"/>
      <c r="AQ54" s="195"/>
      <c r="AR54" s="195"/>
      <c r="AS54" s="195"/>
      <c r="AT54" s="195"/>
      <c r="AU54" s="195"/>
      <c r="AV54" s="195"/>
      <c r="AW54" s="195"/>
      <c r="AX54" s="195"/>
      <c r="AY54" s="195"/>
      <c r="AZ54" s="195"/>
      <c r="FC54" s="200" t="str">
        <f t="shared" si="2"/>
        <v>I</v>
      </c>
    </row>
    <row r="55" spans="1:159" s="200" customFormat="1" ht="30" customHeight="1" x14ac:dyDescent="0.2">
      <c r="A55" s="142"/>
      <c r="B55" s="146"/>
      <c r="C55" s="152"/>
      <c r="D55" s="50"/>
      <c r="E55" s="60"/>
      <c r="F55" s="220"/>
      <c r="G55" s="221"/>
      <c r="H55" s="226"/>
      <c r="I55" s="226"/>
      <c r="J55" s="226"/>
      <c r="K55" s="224"/>
      <c r="L55" s="220"/>
      <c r="M55" s="221"/>
      <c r="N55" s="226"/>
      <c r="O55" s="226"/>
      <c r="P55" s="226"/>
      <c r="Q55" s="224"/>
      <c r="R55" s="220"/>
      <c r="S55" s="221"/>
      <c r="T55" s="226"/>
      <c r="U55" s="226"/>
      <c r="V55" s="220"/>
      <c r="W55" s="221"/>
      <c r="X55" s="226"/>
      <c r="Y55" s="226"/>
      <c r="Z55" s="220"/>
      <c r="AA55" s="221"/>
      <c r="AB55" s="226"/>
      <c r="AC55" s="220"/>
      <c r="AD55" s="168">
        <f t="shared" si="3"/>
        <v>0</v>
      </c>
      <c r="AE55" s="168">
        <f t="shared" si="4"/>
        <v>0</v>
      </c>
      <c r="AF55" s="169"/>
      <c r="AG55" s="195"/>
      <c r="AH55" s="195"/>
      <c r="AN55" s="201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FC55" s="200" t="str">
        <f t="shared" si="2"/>
        <v>I</v>
      </c>
    </row>
    <row r="56" spans="1:159" s="200" customFormat="1" ht="30" customHeight="1" x14ac:dyDescent="0.2">
      <c r="A56" s="142"/>
      <c r="B56" s="146"/>
      <c r="C56" s="152"/>
      <c r="D56" s="50"/>
      <c r="E56" s="60"/>
      <c r="F56" s="220"/>
      <c r="G56" s="221"/>
      <c r="H56" s="226"/>
      <c r="I56" s="226"/>
      <c r="J56" s="226"/>
      <c r="K56" s="224"/>
      <c r="L56" s="220"/>
      <c r="M56" s="221"/>
      <c r="N56" s="226"/>
      <c r="O56" s="226"/>
      <c r="P56" s="226"/>
      <c r="Q56" s="224"/>
      <c r="R56" s="220"/>
      <c r="S56" s="221"/>
      <c r="T56" s="226"/>
      <c r="U56" s="226"/>
      <c r="V56" s="220"/>
      <c r="W56" s="221"/>
      <c r="X56" s="226"/>
      <c r="Y56" s="226"/>
      <c r="Z56" s="220"/>
      <c r="AA56" s="221"/>
      <c r="AB56" s="226"/>
      <c r="AC56" s="220"/>
      <c r="AD56" s="168">
        <f t="shared" si="3"/>
        <v>0</v>
      </c>
      <c r="AE56" s="168">
        <f t="shared" si="4"/>
        <v>0</v>
      </c>
      <c r="AF56" s="169"/>
      <c r="AG56" s="195"/>
      <c r="AH56" s="195"/>
      <c r="AN56" s="201"/>
      <c r="AO56" s="195"/>
      <c r="AP56" s="195"/>
      <c r="AQ56" s="195"/>
      <c r="AR56" s="195"/>
      <c r="AS56" s="195"/>
      <c r="AT56" s="195"/>
      <c r="AU56" s="195"/>
      <c r="AV56" s="195"/>
      <c r="AW56" s="195"/>
      <c r="AX56" s="195"/>
      <c r="AY56" s="195"/>
      <c r="AZ56" s="195"/>
      <c r="FC56" s="200" t="str">
        <f t="shared" si="2"/>
        <v>I</v>
      </c>
    </row>
    <row r="57" spans="1:159" s="200" customFormat="1" ht="30" customHeight="1" x14ac:dyDescent="0.2">
      <c r="A57" s="142"/>
      <c r="B57" s="146"/>
      <c r="C57" s="152"/>
      <c r="D57" s="50"/>
      <c r="E57" s="60"/>
      <c r="F57" s="220"/>
      <c r="G57" s="221"/>
      <c r="H57" s="226"/>
      <c r="I57" s="226"/>
      <c r="J57" s="226"/>
      <c r="K57" s="224"/>
      <c r="L57" s="220"/>
      <c r="M57" s="221"/>
      <c r="N57" s="226"/>
      <c r="O57" s="226"/>
      <c r="P57" s="226"/>
      <c r="Q57" s="224"/>
      <c r="R57" s="220"/>
      <c r="S57" s="221"/>
      <c r="T57" s="226"/>
      <c r="U57" s="226"/>
      <c r="V57" s="220"/>
      <c r="W57" s="221"/>
      <c r="X57" s="226"/>
      <c r="Y57" s="226"/>
      <c r="Z57" s="220"/>
      <c r="AA57" s="221"/>
      <c r="AB57" s="226"/>
      <c r="AC57" s="220"/>
      <c r="AD57" s="168">
        <f t="shared" si="3"/>
        <v>0</v>
      </c>
      <c r="AE57" s="168">
        <f t="shared" si="4"/>
        <v>0</v>
      </c>
      <c r="AF57" s="169"/>
      <c r="AG57" s="195"/>
      <c r="AH57" s="195"/>
      <c r="AN57" s="201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FC57" s="200" t="str">
        <f t="shared" si="2"/>
        <v>I</v>
      </c>
    </row>
    <row r="58" spans="1:159" s="200" customFormat="1" ht="30" customHeight="1" x14ac:dyDescent="0.2">
      <c r="A58" s="142"/>
      <c r="B58" s="146"/>
      <c r="C58" s="152"/>
      <c r="D58" s="50"/>
      <c r="E58" s="36"/>
      <c r="F58" s="220"/>
      <c r="G58" s="221"/>
      <c r="H58" s="226"/>
      <c r="I58" s="226"/>
      <c r="J58" s="226"/>
      <c r="K58" s="224"/>
      <c r="L58" s="220"/>
      <c r="M58" s="221"/>
      <c r="N58" s="226"/>
      <c r="O58" s="226"/>
      <c r="P58" s="226"/>
      <c r="Q58" s="224"/>
      <c r="R58" s="220"/>
      <c r="S58" s="221"/>
      <c r="T58" s="226"/>
      <c r="U58" s="226"/>
      <c r="V58" s="220"/>
      <c r="W58" s="221"/>
      <c r="X58" s="226"/>
      <c r="Y58" s="226"/>
      <c r="Z58" s="220"/>
      <c r="AA58" s="221"/>
      <c r="AB58" s="226"/>
      <c r="AC58" s="220"/>
      <c r="AD58" s="168">
        <f t="shared" si="3"/>
        <v>0</v>
      </c>
      <c r="AE58" s="168">
        <f t="shared" si="4"/>
        <v>0</v>
      </c>
      <c r="AF58" s="169"/>
      <c r="AG58" s="195"/>
      <c r="AH58" s="195"/>
      <c r="AN58" s="201"/>
      <c r="AO58" s="195"/>
      <c r="AP58" s="195"/>
      <c r="AQ58" s="195"/>
      <c r="AR58" s="195"/>
      <c r="AS58" s="195"/>
      <c r="AT58" s="195"/>
      <c r="AU58" s="195"/>
      <c r="AV58" s="195"/>
      <c r="AW58" s="195"/>
      <c r="AX58" s="195"/>
      <c r="AY58" s="195"/>
      <c r="AZ58" s="195"/>
      <c r="FC58" s="200" t="str">
        <f t="shared" si="2"/>
        <v>I</v>
      </c>
    </row>
    <row r="59" spans="1:159" s="200" customFormat="1" ht="30" customHeight="1" x14ac:dyDescent="0.2">
      <c r="A59" s="142"/>
      <c r="B59" s="146"/>
      <c r="C59" s="152"/>
      <c r="D59" s="50"/>
      <c r="E59" s="36"/>
      <c r="F59" s="220"/>
      <c r="G59" s="221"/>
      <c r="H59" s="226"/>
      <c r="I59" s="226"/>
      <c r="J59" s="226"/>
      <c r="K59" s="224"/>
      <c r="L59" s="220"/>
      <c r="M59" s="221"/>
      <c r="N59" s="226"/>
      <c r="O59" s="226"/>
      <c r="P59" s="226"/>
      <c r="Q59" s="224"/>
      <c r="R59" s="220"/>
      <c r="S59" s="221"/>
      <c r="T59" s="226"/>
      <c r="U59" s="226"/>
      <c r="V59" s="220"/>
      <c r="W59" s="221"/>
      <c r="X59" s="226"/>
      <c r="Y59" s="226"/>
      <c r="Z59" s="220"/>
      <c r="AA59" s="221"/>
      <c r="AB59" s="226"/>
      <c r="AC59" s="220"/>
      <c r="AD59" s="168">
        <f t="shared" si="3"/>
        <v>0</v>
      </c>
      <c r="AE59" s="168">
        <f t="shared" si="4"/>
        <v>0</v>
      </c>
      <c r="AF59" s="169"/>
      <c r="AG59" s="195"/>
      <c r="AH59" s="195"/>
      <c r="AN59" s="201"/>
      <c r="AO59" s="195"/>
      <c r="AP59" s="195"/>
      <c r="AQ59" s="195"/>
      <c r="AR59" s="195"/>
      <c r="AS59" s="195"/>
      <c r="AT59" s="195"/>
      <c r="AU59" s="195"/>
      <c r="AV59" s="195"/>
      <c r="AW59" s="195"/>
      <c r="AX59" s="195"/>
      <c r="AY59" s="195"/>
      <c r="AZ59" s="195"/>
      <c r="FC59" s="200" t="str">
        <f t="shared" si="2"/>
        <v>I</v>
      </c>
    </row>
    <row r="60" spans="1:159" s="202" customFormat="1" ht="30" customHeight="1" x14ac:dyDescent="0.2">
      <c r="A60" s="142"/>
      <c r="B60" s="146"/>
      <c r="C60" s="153"/>
      <c r="D60" s="51"/>
      <c r="E60" s="38"/>
      <c r="F60" s="220"/>
      <c r="G60" s="221"/>
      <c r="H60" s="226"/>
      <c r="I60" s="226"/>
      <c r="J60" s="226"/>
      <c r="K60" s="224"/>
      <c r="L60" s="220"/>
      <c r="M60" s="221"/>
      <c r="N60" s="226"/>
      <c r="O60" s="226"/>
      <c r="P60" s="226"/>
      <c r="Q60" s="224"/>
      <c r="R60" s="220"/>
      <c r="S60" s="221"/>
      <c r="T60" s="226"/>
      <c r="U60" s="226"/>
      <c r="V60" s="220"/>
      <c r="W60" s="221"/>
      <c r="X60" s="226"/>
      <c r="Y60" s="226"/>
      <c r="Z60" s="220"/>
      <c r="AA60" s="221"/>
      <c r="AB60" s="226"/>
      <c r="AC60" s="220"/>
      <c r="AD60" s="168">
        <f t="shared" si="3"/>
        <v>0</v>
      </c>
      <c r="AE60" s="168">
        <f t="shared" si="4"/>
        <v>0</v>
      </c>
      <c r="AF60" s="169"/>
      <c r="AG60" s="195"/>
      <c r="AH60" s="195"/>
      <c r="AN60" s="203"/>
      <c r="AO60" s="203"/>
      <c r="AP60" s="203"/>
      <c r="AQ60" s="203"/>
      <c r="AR60" s="203"/>
      <c r="AS60" s="203"/>
      <c r="AT60" s="203"/>
      <c r="AU60" s="195"/>
      <c r="AV60" s="203"/>
      <c r="AW60" s="203"/>
      <c r="AX60" s="195"/>
      <c r="AY60" s="195"/>
      <c r="AZ60" s="203"/>
      <c r="BU60" s="204"/>
      <c r="BV60" s="204"/>
      <c r="BW60" s="204"/>
      <c r="BX60" s="204"/>
      <c r="BY60" s="204"/>
      <c r="BZ60" s="204"/>
      <c r="CA60" s="204"/>
      <c r="CB60" s="204"/>
      <c r="CC60" s="204"/>
      <c r="CD60" s="204"/>
      <c r="CE60" s="204"/>
      <c r="CF60" s="204"/>
      <c r="CG60" s="204"/>
      <c r="CH60" s="204"/>
      <c r="CI60" s="204"/>
      <c r="CJ60" s="204"/>
      <c r="CK60" s="204"/>
      <c r="CL60" s="204"/>
      <c r="CM60" s="204"/>
      <c r="CN60" s="204"/>
      <c r="CO60" s="204"/>
      <c r="CP60" s="204"/>
      <c r="CQ60" s="204"/>
      <c r="CR60" s="204"/>
      <c r="CS60" s="204"/>
      <c r="CT60" s="204"/>
      <c r="CU60" s="204"/>
      <c r="CV60" s="204"/>
      <c r="CW60" s="204"/>
      <c r="CX60" s="204"/>
      <c r="CY60" s="204"/>
      <c r="CZ60" s="204"/>
      <c r="DA60" s="204"/>
      <c r="DB60" s="204"/>
      <c r="DC60" s="204"/>
      <c r="DD60" s="204"/>
      <c r="DE60" s="204"/>
      <c r="DF60" s="204"/>
      <c r="DG60" s="204"/>
      <c r="DH60" s="204"/>
      <c r="DI60" s="204"/>
      <c r="DJ60" s="204"/>
      <c r="DK60" s="204"/>
      <c r="DL60" s="204"/>
      <c r="DM60" s="204"/>
      <c r="DN60" s="204"/>
      <c r="DO60" s="204"/>
      <c r="DP60" s="204"/>
      <c r="DQ60" s="204"/>
      <c r="DR60" s="204"/>
      <c r="DS60" s="204"/>
      <c r="DT60" s="204"/>
      <c r="DU60" s="204"/>
      <c r="DV60" s="204"/>
      <c r="DW60" s="204"/>
      <c r="DX60" s="204"/>
      <c r="DY60" s="204"/>
      <c r="DZ60" s="204"/>
      <c r="EA60" s="204"/>
      <c r="EB60" s="204"/>
      <c r="EC60" s="204"/>
      <c r="ED60" s="204"/>
      <c r="EE60" s="204"/>
      <c r="EF60" s="204"/>
      <c r="EG60" s="204"/>
      <c r="EH60" s="204"/>
      <c r="EI60" s="204"/>
      <c r="EJ60" s="204"/>
      <c r="EK60" s="204"/>
      <c r="EL60" s="204"/>
      <c r="EM60" s="204"/>
      <c r="EN60" s="204"/>
      <c r="EO60" s="204"/>
      <c r="EP60" s="204"/>
      <c r="EQ60" s="204"/>
      <c r="ER60" s="204"/>
      <c r="ES60" s="204"/>
      <c r="ET60" s="204"/>
      <c r="EU60" s="204"/>
      <c r="EV60" s="204"/>
      <c r="EW60" s="204"/>
      <c r="EX60" s="204"/>
      <c r="FC60" s="200" t="str">
        <f t="shared" si="2"/>
        <v>I</v>
      </c>
    </row>
    <row r="61" spans="1:159" s="202" customFormat="1" ht="30" customHeight="1" x14ac:dyDescent="0.2">
      <c r="A61" s="142"/>
      <c r="B61" s="146"/>
      <c r="C61" s="153"/>
      <c r="D61" s="51"/>
      <c r="E61" s="38"/>
      <c r="F61" s="220"/>
      <c r="G61" s="221"/>
      <c r="H61" s="226"/>
      <c r="I61" s="226"/>
      <c r="J61" s="226"/>
      <c r="K61" s="224"/>
      <c r="L61" s="220"/>
      <c r="M61" s="221"/>
      <c r="N61" s="226"/>
      <c r="O61" s="226"/>
      <c r="P61" s="226"/>
      <c r="Q61" s="224"/>
      <c r="R61" s="220"/>
      <c r="S61" s="221"/>
      <c r="T61" s="226"/>
      <c r="U61" s="226"/>
      <c r="V61" s="220"/>
      <c r="W61" s="221"/>
      <c r="X61" s="226"/>
      <c r="Y61" s="226"/>
      <c r="Z61" s="220"/>
      <c r="AA61" s="221"/>
      <c r="AB61" s="226"/>
      <c r="AC61" s="220"/>
      <c r="AD61" s="168">
        <f t="shared" si="3"/>
        <v>0</v>
      </c>
      <c r="AE61" s="168">
        <f t="shared" si="4"/>
        <v>0</v>
      </c>
      <c r="AF61" s="169"/>
      <c r="AG61" s="195"/>
      <c r="AH61" s="195"/>
      <c r="AN61" s="203"/>
      <c r="AO61" s="203"/>
      <c r="AP61" s="203"/>
      <c r="AQ61" s="203"/>
      <c r="AR61" s="203"/>
      <c r="AS61" s="203"/>
      <c r="AT61" s="203"/>
      <c r="AU61" s="195"/>
      <c r="AV61" s="203"/>
      <c r="AW61" s="203"/>
      <c r="AX61" s="195"/>
      <c r="AY61" s="195"/>
      <c r="AZ61" s="203"/>
      <c r="BU61" s="204"/>
      <c r="BV61" s="204"/>
      <c r="BW61" s="204"/>
      <c r="BX61" s="204"/>
      <c r="BY61" s="204"/>
      <c r="BZ61" s="204"/>
      <c r="CA61" s="204"/>
      <c r="CB61" s="204"/>
      <c r="CC61" s="204"/>
      <c r="CD61" s="204"/>
      <c r="CE61" s="204"/>
      <c r="CF61" s="204"/>
      <c r="CG61" s="204"/>
      <c r="CH61" s="204"/>
      <c r="CI61" s="204"/>
      <c r="CJ61" s="204"/>
      <c r="CK61" s="204"/>
      <c r="CL61" s="204"/>
      <c r="CM61" s="204"/>
      <c r="CN61" s="204"/>
      <c r="CO61" s="204"/>
      <c r="CP61" s="204"/>
      <c r="CQ61" s="204"/>
      <c r="CR61" s="204"/>
      <c r="CS61" s="204"/>
      <c r="CT61" s="204"/>
      <c r="CU61" s="204"/>
      <c r="CV61" s="204"/>
      <c r="CW61" s="204"/>
      <c r="CX61" s="204"/>
      <c r="CY61" s="204"/>
      <c r="CZ61" s="204"/>
      <c r="DA61" s="204"/>
      <c r="DB61" s="204"/>
      <c r="DC61" s="204"/>
      <c r="DD61" s="204"/>
      <c r="DE61" s="204"/>
      <c r="DF61" s="204"/>
      <c r="DG61" s="204"/>
      <c r="DH61" s="204"/>
      <c r="DI61" s="204"/>
      <c r="DJ61" s="204"/>
      <c r="DK61" s="204"/>
      <c r="DL61" s="204"/>
      <c r="DM61" s="204"/>
      <c r="DN61" s="204"/>
      <c r="DO61" s="204"/>
      <c r="DP61" s="204"/>
      <c r="DQ61" s="204"/>
      <c r="DR61" s="204"/>
      <c r="DS61" s="204"/>
      <c r="DT61" s="204"/>
      <c r="DU61" s="204"/>
      <c r="DV61" s="204"/>
      <c r="DW61" s="204"/>
      <c r="DX61" s="204"/>
      <c r="DY61" s="204"/>
      <c r="DZ61" s="204"/>
      <c r="EA61" s="204"/>
      <c r="EB61" s="204"/>
      <c r="EC61" s="204"/>
      <c r="ED61" s="204"/>
      <c r="EE61" s="204"/>
      <c r="EF61" s="204"/>
      <c r="EG61" s="204"/>
      <c r="EH61" s="204"/>
      <c r="EI61" s="204"/>
      <c r="EJ61" s="204"/>
      <c r="EK61" s="204"/>
      <c r="EL61" s="204"/>
      <c r="EM61" s="204"/>
      <c r="EN61" s="204"/>
      <c r="EO61" s="204"/>
      <c r="EP61" s="204"/>
      <c r="EQ61" s="204"/>
      <c r="ER61" s="204"/>
      <c r="ES61" s="204"/>
      <c r="ET61" s="204"/>
      <c r="EU61" s="204"/>
      <c r="EV61" s="204"/>
      <c r="EW61" s="204"/>
      <c r="EX61" s="204"/>
      <c r="FC61" s="200" t="str">
        <f t="shared" si="2"/>
        <v>I</v>
      </c>
    </row>
    <row r="62" spans="1:159" s="202" customFormat="1" ht="30" customHeight="1" x14ac:dyDescent="0.2">
      <c r="A62" s="142"/>
      <c r="B62" s="146"/>
      <c r="C62" s="153"/>
      <c r="D62" s="51"/>
      <c r="E62" s="38"/>
      <c r="F62" s="220"/>
      <c r="G62" s="221"/>
      <c r="H62" s="226"/>
      <c r="I62" s="226"/>
      <c r="J62" s="226"/>
      <c r="K62" s="224"/>
      <c r="L62" s="220"/>
      <c r="M62" s="221"/>
      <c r="N62" s="226"/>
      <c r="O62" s="226"/>
      <c r="P62" s="226"/>
      <c r="Q62" s="224"/>
      <c r="R62" s="220"/>
      <c r="S62" s="221"/>
      <c r="T62" s="226"/>
      <c r="U62" s="226"/>
      <c r="V62" s="220"/>
      <c r="W62" s="221"/>
      <c r="X62" s="226"/>
      <c r="Y62" s="226"/>
      <c r="Z62" s="220"/>
      <c r="AA62" s="221"/>
      <c r="AB62" s="226"/>
      <c r="AC62" s="220"/>
      <c r="AD62" s="168">
        <f t="shared" si="3"/>
        <v>0</v>
      </c>
      <c r="AE62" s="168">
        <f t="shared" si="4"/>
        <v>0</v>
      </c>
      <c r="AF62" s="169"/>
      <c r="AG62" s="195"/>
      <c r="AH62" s="195"/>
      <c r="AN62" s="203"/>
      <c r="AO62" s="203"/>
      <c r="AP62" s="203"/>
      <c r="AQ62" s="203"/>
      <c r="AR62" s="203"/>
      <c r="AS62" s="203"/>
      <c r="AT62" s="203"/>
      <c r="AU62" s="195"/>
      <c r="AV62" s="203"/>
      <c r="AW62" s="203"/>
      <c r="AX62" s="195"/>
      <c r="AY62" s="195"/>
      <c r="AZ62" s="203"/>
      <c r="BU62" s="204"/>
      <c r="BV62" s="204"/>
      <c r="BW62" s="204"/>
      <c r="BX62" s="204"/>
      <c r="BY62" s="204"/>
      <c r="BZ62" s="204"/>
      <c r="CA62" s="204"/>
      <c r="CB62" s="204"/>
      <c r="CC62" s="204"/>
      <c r="CD62" s="204"/>
      <c r="CE62" s="204"/>
      <c r="CF62" s="204"/>
      <c r="CG62" s="204"/>
      <c r="CH62" s="204"/>
      <c r="CI62" s="204"/>
      <c r="CJ62" s="204"/>
      <c r="CK62" s="204"/>
      <c r="CL62" s="204"/>
      <c r="CM62" s="204"/>
      <c r="CN62" s="204"/>
      <c r="CO62" s="204"/>
      <c r="CP62" s="204"/>
      <c r="CQ62" s="204"/>
      <c r="CR62" s="204"/>
      <c r="CS62" s="204"/>
      <c r="CT62" s="204"/>
      <c r="CU62" s="204"/>
      <c r="CV62" s="204"/>
      <c r="CW62" s="204"/>
      <c r="CX62" s="204"/>
      <c r="CY62" s="204"/>
      <c r="CZ62" s="204"/>
      <c r="DA62" s="204"/>
      <c r="DB62" s="204"/>
      <c r="DC62" s="204"/>
      <c r="DD62" s="204"/>
      <c r="DE62" s="204"/>
      <c r="DF62" s="204"/>
      <c r="DG62" s="204"/>
      <c r="DH62" s="204"/>
      <c r="DI62" s="204"/>
      <c r="DJ62" s="204"/>
      <c r="DK62" s="204"/>
      <c r="DL62" s="204"/>
      <c r="DM62" s="204"/>
      <c r="DN62" s="204"/>
      <c r="DO62" s="204"/>
      <c r="DP62" s="204"/>
      <c r="DQ62" s="204"/>
      <c r="DR62" s="204"/>
      <c r="DS62" s="204"/>
      <c r="DT62" s="204"/>
      <c r="DU62" s="204"/>
      <c r="DV62" s="204"/>
      <c r="DW62" s="204"/>
      <c r="DX62" s="204"/>
      <c r="DY62" s="204"/>
      <c r="DZ62" s="204"/>
      <c r="EA62" s="204"/>
      <c r="EB62" s="204"/>
      <c r="EC62" s="204"/>
      <c r="ED62" s="204"/>
      <c r="EE62" s="204"/>
      <c r="EF62" s="204"/>
      <c r="EG62" s="204"/>
      <c r="EH62" s="204"/>
      <c r="EI62" s="204"/>
      <c r="EJ62" s="204"/>
      <c r="EK62" s="204"/>
      <c r="EL62" s="204"/>
      <c r="EM62" s="204"/>
      <c r="EN62" s="204"/>
      <c r="EO62" s="204"/>
      <c r="EP62" s="204"/>
      <c r="EQ62" s="204"/>
      <c r="ER62" s="204"/>
      <c r="ES62" s="204"/>
      <c r="ET62" s="204"/>
      <c r="EU62" s="204"/>
      <c r="EV62" s="204"/>
      <c r="EW62" s="204"/>
      <c r="EX62" s="204"/>
      <c r="FC62" s="200" t="str">
        <f t="shared" si="2"/>
        <v>I</v>
      </c>
    </row>
    <row r="63" spans="1:159" s="202" customFormat="1" ht="30" customHeight="1" x14ac:dyDescent="0.2">
      <c r="A63" s="142"/>
      <c r="B63" s="146"/>
      <c r="C63" s="153"/>
      <c r="D63" s="51"/>
      <c r="E63" s="38"/>
      <c r="F63" s="220"/>
      <c r="G63" s="221"/>
      <c r="H63" s="226"/>
      <c r="I63" s="226"/>
      <c r="J63" s="226"/>
      <c r="K63" s="224"/>
      <c r="L63" s="220"/>
      <c r="M63" s="221"/>
      <c r="N63" s="226"/>
      <c r="O63" s="226"/>
      <c r="P63" s="226"/>
      <c r="Q63" s="224"/>
      <c r="R63" s="220"/>
      <c r="S63" s="221"/>
      <c r="T63" s="226"/>
      <c r="U63" s="226"/>
      <c r="V63" s="220"/>
      <c r="W63" s="221"/>
      <c r="X63" s="226"/>
      <c r="Y63" s="226"/>
      <c r="Z63" s="220"/>
      <c r="AA63" s="221"/>
      <c r="AB63" s="226"/>
      <c r="AC63" s="220"/>
      <c r="AD63" s="168">
        <f t="shared" si="3"/>
        <v>0</v>
      </c>
      <c r="AE63" s="168">
        <f t="shared" si="4"/>
        <v>0</v>
      </c>
      <c r="AF63" s="169"/>
      <c r="AG63" s="195"/>
      <c r="AH63" s="195"/>
      <c r="AN63" s="203"/>
      <c r="AO63" s="203"/>
      <c r="AP63" s="203"/>
      <c r="AQ63" s="203"/>
      <c r="AR63" s="203"/>
      <c r="AS63" s="203"/>
      <c r="AT63" s="203"/>
      <c r="AU63" s="195"/>
      <c r="AV63" s="203"/>
      <c r="AW63" s="203"/>
      <c r="AX63" s="195"/>
      <c r="AY63" s="195"/>
      <c r="AZ63" s="203"/>
      <c r="BU63" s="204"/>
      <c r="BV63" s="204"/>
      <c r="BW63" s="204"/>
      <c r="BX63" s="204"/>
      <c r="BY63" s="204"/>
      <c r="BZ63" s="204"/>
      <c r="CA63" s="204"/>
      <c r="CB63" s="204"/>
      <c r="CC63" s="204"/>
      <c r="CD63" s="204"/>
      <c r="CE63" s="204"/>
      <c r="CF63" s="204"/>
      <c r="CG63" s="204"/>
      <c r="CH63" s="204"/>
      <c r="CI63" s="204"/>
      <c r="CJ63" s="204"/>
      <c r="CK63" s="204"/>
      <c r="CL63" s="204"/>
      <c r="CM63" s="204"/>
      <c r="CN63" s="204"/>
      <c r="CO63" s="204"/>
      <c r="CP63" s="204"/>
      <c r="CQ63" s="204"/>
      <c r="CR63" s="204"/>
      <c r="CS63" s="204"/>
      <c r="CT63" s="204"/>
      <c r="CU63" s="204"/>
      <c r="CV63" s="204"/>
      <c r="CW63" s="204"/>
      <c r="CX63" s="204"/>
      <c r="CY63" s="204"/>
      <c r="CZ63" s="204"/>
      <c r="DA63" s="204"/>
      <c r="DB63" s="204"/>
      <c r="DC63" s="204"/>
      <c r="DD63" s="204"/>
      <c r="DE63" s="204"/>
      <c r="DF63" s="204"/>
      <c r="DG63" s="204"/>
      <c r="DH63" s="204"/>
      <c r="DI63" s="204"/>
      <c r="DJ63" s="204"/>
      <c r="DK63" s="204"/>
      <c r="DL63" s="204"/>
      <c r="DM63" s="204"/>
      <c r="DN63" s="204"/>
      <c r="DO63" s="204"/>
      <c r="DP63" s="204"/>
      <c r="DQ63" s="204"/>
      <c r="DR63" s="204"/>
      <c r="DS63" s="204"/>
      <c r="DT63" s="204"/>
      <c r="DU63" s="204"/>
      <c r="DV63" s="204"/>
      <c r="DW63" s="204"/>
      <c r="DX63" s="204"/>
      <c r="DY63" s="204"/>
      <c r="DZ63" s="204"/>
      <c r="EA63" s="204"/>
      <c r="EB63" s="204"/>
      <c r="EC63" s="204"/>
      <c r="ED63" s="204"/>
      <c r="EE63" s="204"/>
      <c r="EF63" s="204"/>
      <c r="EG63" s="204"/>
      <c r="EH63" s="204"/>
      <c r="EI63" s="204"/>
      <c r="EJ63" s="204"/>
      <c r="EK63" s="204"/>
      <c r="EL63" s="204"/>
      <c r="EM63" s="204"/>
      <c r="EN63" s="204"/>
      <c r="EO63" s="204"/>
      <c r="EP63" s="204"/>
      <c r="EQ63" s="204"/>
      <c r="ER63" s="204"/>
      <c r="ES63" s="204"/>
      <c r="ET63" s="204"/>
      <c r="EU63" s="204"/>
      <c r="EV63" s="204"/>
      <c r="EW63" s="204"/>
      <c r="EX63" s="204"/>
      <c r="FC63" s="200" t="str">
        <f t="shared" si="2"/>
        <v>I</v>
      </c>
    </row>
    <row r="64" spans="1:159" s="202" customFormat="1" ht="30" customHeight="1" x14ac:dyDescent="0.2">
      <c r="A64" s="142"/>
      <c r="B64" s="146"/>
      <c r="C64" s="153"/>
      <c r="D64" s="51"/>
      <c r="E64" s="38"/>
      <c r="F64" s="220"/>
      <c r="G64" s="221"/>
      <c r="H64" s="226"/>
      <c r="I64" s="226"/>
      <c r="J64" s="226"/>
      <c r="K64" s="224"/>
      <c r="L64" s="220"/>
      <c r="M64" s="221"/>
      <c r="N64" s="226"/>
      <c r="O64" s="226"/>
      <c r="P64" s="226"/>
      <c r="Q64" s="224"/>
      <c r="R64" s="220"/>
      <c r="S64" s="221"/>
      <c r="T64" s="226"/>
      <c r="U64" s="226"/>
      <c r="V64" s="220"/>
      <c r="W64" s="221"/>
      <c r="X64" s="226"/>
      <c r="Y64" s="226"/>
      <c r="Z64" s="220"/>
      <c r="AA64" s="221"/>
      <c r="AB64" s="226"/>
      <c r="AC64" s="220"/>
      <c r="AD64" s="168">
        <f t="shared" si="3"/>
        <v>0</v>
      </c>
      <c r="AE64" s="168">
        <f t="shared" si="4"/>
        <v>0</v>
      </c>
      <c r="AF64" s="169"/>
      <c r="AG64" s="195"/>
      <c r="AH64" s="195"/>
      <c r="AN64" s="203"/>
      <c r="AO64" s="203"/>
      <c r="AP64" s="203"/>
      <c r="AQ64" s="203"/>
      <c r="AR64" s="203"/>
      <c r="AS64" s="203"/>
      <c r="AT64" s="203"/>
      <c r="AU64" s="195"/>
      <c r="AV64" s="203"/>
      <c r="AW64" s="203"/>
      <c r="AX64" s="195"/>
      <c r="AY64" s="195"/>
      <c r="AZ64" s="203"/>
      <c r="BU64" s="204"/>
      <c r="BV64" s="204"/>
      <c r="BW64" s="204"/>
      <c r="BX64" s="204"/>
      <c r="BY64" s="204"/>
      <c r="BZ64" s="204"/>
      <c r="CA64" s="204"/>
      <c r="CB64" s="204"/>
      <c r="CC64" s="204"/>
      <c r="CD64" s="204"/>
      <c r="CE64" s="204"/>
      <c r="CF64" s="204"/>
      <c r="CG64" s="204"/>
      <c r="CH64" s="204"/>
      <c r="CI64" s="204"/>
      <c r="CJ64" s="204"/>
      <c r="CK64" s="204"/>
      <c r="CL64" s="204"/>
      <c r="CM64" s="204"/>
      <c r="CN64" s="204"/>
      <c r="CO64" s="204"/>
      <c r="CP64" s="204"/>
      <c r="CQ64" s="204"/>
      <c r="CR64" s="204"/>
      <c r="CS64" s="204"/>
      <c r="CT64" s="204"/>
      <c r="CU64" s="204"/>
      <c r="CV64" s="204"/>
      <c r="CW64" s="204"/>
      <c r="CX64" s="204"/>
      <c r="CY64" s="204"/>
      <c r="CZ64" s="204"/>
      <c r="DA64" s="204"/>
      <c r="DB64" s="204"/>
      <c r="DC64" s="204"/>
      <c r="DD64" s="204"/>
      <c r="DE64" s="204"/>
      <c r="DF64" s="204"/>
      <c r="DG64" s="204"/>
      <c r="DH64" s="204"/>
      <c r="DI64" s="204"/>
      <c r="DJ64" s="204"/>
      <c r="DK64" s="204"/>
      <c r="DL64" s="204"/>
      <c r="DM64" s="204"/>
      <c r="DN64" s="204"/>
      <c r="DO64" s="204"/>
      <c r="DP64" s="204"/>
      <c r="DQ64" s="204"/>
      <c r="DR64" s="204"/>
      <c r="DS64" s="204"/>
      <c r="DT64" s="204"/>
      <c r="DU64" s="204"/>
      <c r="DV64" s="204"/>
      <c r="DW64" s="204"/>
      <c r="DX64" s="204"/>
      <c r="DY64" s="204"/>
      <c r="DZ64" s="204"/>
      <c r="EA64" s="204"/>
      <c r="EB64" s="204"/>
      <c r="EC64" s="204"/>
      <c r="ED64" s="204"/>
      <c r="EE64" s="204"/>
      <c r="EF64" s="204"/>
      <c r="EG64" s="204"/>
      <c r="EH64" s="204"/>
      <c r="EI64" s="204"/>
      <c r="EJ64" s="204"/>
      <c r="EK64" s="204"/>
      <c r="EL64" s="204"/>
      <c r="EM64" s="204"/>
      <c r="EN64" s="204"/>
      <c r="EO64" s="204"/>
      <c r="EP64" s="204"/>
      <c r="EQ64" s="204"/>
      <c r="ER64" s="204"/>
      <c r="ES64" s="204"/>
      <c r="ET64" s="204"/>
      <c r="EU64" s="204"/>
      <c r="EV64" s="204"/>
      <c r="EW64" s="204"/>
      <c r="EX64" s="204"/>
      <c r="FC64" s="200" t="str">
        <f t="shared" si="2"/>
        <v>I</v>
      </c>
    </row>
    <row r="65" spans="1:159" s="202" customFormat="1" ht="30" customHeight="1" x14ac:dyDescent="0.2">
      <c r="A65" s="142"/>
      <c r="B65" s="146"/>
      <c r="C65" s="153"/>
      <c r="D65" s="51"/>
      <c r="E65" s="38"/>
      <c r="F65" s="220"/>
      <c r="G65" s="221"/>
      <c r="H65" s="226"/>
      <c r="I65" s="226"/>
      <c r="J65" s="226"/>
      <c r="K65" s="224"/>
      <c r="L65" s="220"/>
      <c r="M65" s="221"/>
      <c r="N65" s="226"/>
      <c r="O65" s="226"/>
      <c r="P65" s="226"/>
      <c r="Q65" s="224"/>
      <c r="R65" s="220"/>
      <c r="S65" s="221"/>
      <c r="T65" s="226"/>
      <c r="U65" s="226"/>
      <c r="V65" s="220"/>
      <c r="W65" s="221"/>
      <c r="X65" s="226"/>
      <c r="Y65" s="226"/>
      <c r="Z65" s="220"/>
      <c r="AA65" s="221"/>
      <c r="AB65" s="226"/>
      <c r="AC65" s="220"/>
      <c r="AD65" s="168">
        <f t="shared" si="3"/>
        <v>0</v>
      </c>
      <c r="AE65" s="168">
        <f t="shared" si="4"/>
        <v>0</v>
      </c>
      <c r="AF65" s="169"/>
      <c r="AG65" s="195"/>
      <c r="AH65" s="195"/>
      <c r="AN65" s="203"/>
      <c r="AO65" s="203"/>
      <c r="AP65" s="203"/>
      <c r="AQ65" s="203"/>
      <c r="AR65" s="203"/>
      <c r="AS65" s="203"/>
      <c r="AT65" s="203"/>
      <c r="AU65" s="195"/>
      <c r="AV65" s="203"/>
      <c r="AW65" s="203"/>
      <c r="AX65" s="195"/>
      <c r="AY65" s="195"/>
      <c r="AZ65" s="203"/>
      <c r="BU65" s="204"/>
      <c r="BV65" s="204"/>
      <c r="BW65" s="204"/>
      <c r="BX65" s="204"/>
      <c r="BY65" s="204"/>
      <c r="BZ65" s="204"/>
      <c r="CA65" s="204"/>
      <c r="CB65" s="204"/>
      <c r="CC65" s="204"/>
      <c r="CD65" s="204"/>
      <c r="CE65" s="204"/>
      <c r="CF65" s="204"/>
      <c r="CG65" s="204"/>
      <c r="CH65" s="204"/>
      <c r="CI65" s="204"/>
      <c r="CJ65" s="204"/>
      <c r="CK65" s="204"/>
      <c r="CL65" s="204"/>
      <c r="CM65" s="204"/>
      <c r="CN65" s="204"/>
      <c r="CO65" s="204"/>
      <c r="CP65" s="204"/>
      <c r="CQ65" s="204"/>
      <c r="CR65" s="204"/>
      <c r="CS65" s="204"/>
      <c r="CT65" s="204"/>
      <c r="CU65" s="204"/>
      <c r="CV65" s="204"/>
      <c r="CW65" s="204"/>
      <c r="CX65" s="204"/>
      <c r="CY65" s="204"/>
      <c r="CZ65" s="204"/>
      <c r="DA65" s="204"/>
      <c r="DB65" s="204"/>
      <c r="DC65" s="204"/>
      <c r="DD65" s="204"/>
      <c r="DE65" s="204"/>
      <c r="DF65" s="204"/>
      <c r="DG65" s="204"/>
      <c r="DH65" s="204"/>
      <c r="DI65" s="204"/>
      <c r="DJ65" s="204"/>
      <c r="DK65" s="204"/>
      <c r="DL65" s="204"/>
      <c r="DM65" s="204"/>
      <c r="DN65" s="204"/>
      <c r="DO65" s="204"/>
      <c r="DP65" s="204"/>
      <c r="DQ65" s="204"/>
      <c r="DR65" s="204"/>
      <c r="DS65" s="204"/>
      <c r="DT65" s="204"/>
      <c r="DU65" s="204"/>
      <c r="DV65" s="204"/>
      <c r="DW65" s="204"/>
      <c r="DX65" s="204"/>
      <c r="DY65" s="204"/>
      <c r="DZ65" s="204"/>
      <c r="EA65" s="204"/>
      <c r="EB65" s="204"/>
      <c r="EC65" s="204"/>
      <c r="ED65" s="204"/>
      <c r="EE65" s="204"/>
      <c r="EF65" s="204"/>
      <c r="EG65" s="204"/>
      <c r="EH65" s="204"/>
      <c r="EI65" s="204"/>
      <c r="EJ65" s="204"/>
      <c r="EK65" s="204"/>
      <c r="EL65" s="204"/>
      <c r="EM65" s="204"/>
      <c r="EN65" s="204"/>
      <c r="EO65" s="204"/>
      <c r="EP65" s="204"/>
      <c r="EQ65" s="204"/>
      <c r="ER65" s="204"/>
      <c r="ES65" s="204"/>
      <c r="ET65" s="204"/>
      <c r="EU65" s="204"/>
      <c r="EV65" s="204"/>
      <c r="EW65" s="204"/>
      <c r="EX65" s="204"/>
      <c r="FC65" s="200" t="str">
        <f t="shared" si="2"/>
        <v>I</v>
      </c>
    </row>
    <row r="66" spans="1:159" s="202" customFormat="1" ht="30" customHeight="1" x14ac:dyDescent="0.2">
      <c r="A66" s="142"/>
      <c r="B66" s="146"/>
      <c r="C66" s="153"/>
      <c r="D66" s="51"/>
      <c r="E66" s="38"/>
      <c r="F66" s="220"/>
      <c r="G66" s="221"/>
      <c r="H66" s="226"/>
      <c r="I66" s="226"/>
      <c r="J66" s="226"/>
      <c r="K66" s="224"/>
      <c r="L66" s="220"/>
      <c r="M66" s="221"/>
      <c r="N66" s="226"/>
      <c r="O66" s="226"/>
      <c r="P66" s="226"/>
      <c r="Q66" s="224"/>
      <c r="R66" s="220"/>
      <c r="S66" s="221"/>
      <c r="T66" s="226"/>
      <c r="U66" s="226"/>
      <c r="V66" s="220"/>
      <c r="W66" s="221"/>
      <c r="X66" s="226"/>
      <c r="Y66" s="226"/>
      <c r="Z66" s="220"/>
      <c r="AA66" s="221"/>
      <c r="AB66" s="226"/>
      <c r="AC66" s="220"/>
      <c r="AD66" s="168">
        <f t="shared" si="3"/>
        <v>0</v>
      </c>
      <c r="AE66" s="168">
        <f t="shared" si="4"/>
        <v>0</v>
      </c>
      <c r="AF66" s="169"/>
      <c r="AG66" s="195"/>
      <c r="AH66" s="195"/>
      <c r="AN66" s="203"/>
      <c r="AO66" s="203"/>
      <c r="AP66" s="203"/>
      <c r="AQ66" s="203"/>
      <c r="AR66" s="203"/>
      <c r="AS66" s="203"/>
      <c r="AT66" s="203"/>
      <c r="AU66" s="195"/>
      <c r="AV66" s="203"/>
      <c r="AW66" s="203"/>
      <c r="AX66" s="195"/>
      <c r="AY66" s="195"/>
      <c r="AZ66" s="203"/>
      <c r="BU66" s="204"/>
      <c r="BV66" s="204"/>
      <c r="BW66" s="204"/>
      <c r="BX66" s="204"/>
      <c r="BY66" s="204"/>
      <c r="BZ66" s="204"/>
      <c r="CA66" s="204"/>
      <c r="CB66" s="204"/>
      <c r="CC66" s="204"/>
      <c r="CD66" s="204"/>
      <c r="CE66" s="204"/>
      <c r="CF66" s="204"/>
      <c r="CG66" s="204"/>
      <c r="CH66" s="204"/>
      <c r="CI66" s="204"/>
      <c r="CJ66" s="204"/>
      <c r="CK66" s="204"/>
      <c r="CL66" s="204"/>
      <c r="CM66" s="204"/>
      <c r="CN66" s="204"/>
      <c r="CO66" s="204"/>
      <c r="CP66" s="204"/>
      <c r="CQ66" s="204"/>
      <c r="CR66" s="204"/>
      <c r="CS66" s="204"/>
      <c r="CT66" s="204"/>
      <c r="CU66" s="204"/>
      <c r="CV66" s="204"/>
      <c r="CW66" s="204"/>
      <c r="CX66" s="204"/>
      <c r="CY66" s="204"/>
      <c r="CZ66" s="204"/>
      <c r="DA66" s="204"/>
      <c r="DB66" s="204"/>
      <c r="DC66" s="204"/>
      <c r="DD66" s="204"/>
      <c r="DE66" s="204"/>
      <c r="DF66" s="204"/>
      <c r="DG66" s="204"/>
      <c r="DH66" s="204"/>
      <c r="DI66" s="204"/>
      <c r="DJ66" s="204"/>
      <c r="DK66" s="204"/>
      <c r="DL66" s="204"/>
      <c r="DM66" s="204"/>
      <c r="DN66" s="204"/>
      <c r="DO66" s="204"/>
      <c r="DP66" s="204"/>
      <c r="DQ66" s="204"/>
      <c r="DR66" s="204"/>
      <c r="DS66" s="204"/>
      <c r="DT66" s="204"/>
      <c r="DU66" s="204"/>
      <c r="DV66" s="204"/>
      <c r="DW66" s="204"/>
      <c r="DX66" s="204"/>
      <c r="DY66" s="204"/>
      <c r="DZ66" s="204"/>
      <c r="EA66" s="204"/>
      <c r="EB66" s="204"/>
      <c r="EC66" s="204"/>
      <c r="ED66" s="204"/>
      <c r="EE66" s="204"/>
      <c r="EF66" s="204"/>
      <c r="EG66" s="204"/>
      <c r="EH66" s="204"/>
      <c r="EI66" s="204"/>
      <c r="EJ66" s="204"/>
      <c r="EK66" s="204"/>
      <c r="EL66" s="204"/>
      <c r="EM66" s="204"/>
      <c r="EN66" s="204"/>
      <c r="EO66" s="204"/>
      <c r="EP66" s="204"/>
      <c r="EQ66" s="204"/>
      <c r="ER66" s="204"/>
      <c r="ES66" s="204"/>
      <c r="ET66" s="204"/>
      <c r="EU66" s="204"/>
      <c r="EV66" s="204"/>
      <c r="EW66" s="204"/>
      <c r="EX66" s="204"/>
      <c r="FC66" s="200" t="str">
        <f t="shared" si="2"/>
        <v>I</v>
      </c>
    </row>
    <row r="67" spans="1:159" s="202" customFormat="1" ht="30" customHeight="1" x14ac:dyDescent="0.2">
      <c r="A67" s="142"/>
      <c r="B67" s="146"/>
      <c r="C67" s="153"/>
      <c r="D67" s="51"/>
      <c r="E67" s="38"/>
      <c r="F67" s="220"/>
      <c r="G67" s="221"/>
      <c r="H67" s="226"/>
      <c r="I67" s="226"/>
      <c r="J67" s="226"/>
      <c r="K67" s="224"/>
      <c r="L67" s="220"/>
      <c r="M67" s="221"/>
      <c r="N67" s="226"/>
      <c r="O67" s="226"/>
      <c r="P67" s="226"/>
      <c r="Q67" s="224"/>
      <c r="R67" s="220"/>
      <c r="S67" s="221"/>
      <c r="T67" s="226"/>
      <c r="U67" s="226"/>
      <c r="V67" s="220"/>
      <c r="W67" s="221"/>
      <c r="X67" s="226"/>
      <c r="Y67" s="226"/>
      <c r="Z67" s="220"/>
      <c r="AA67" s="221"/>
      <c r="AB67" s="226"/>
      <c r="AC67" s="220"/>
      <c r="AD67" s="168">
        <f t="shared" si="3"/>
        <v>0</v>
      </c>
      <c r="AE67" s="168">
        <f t="shared" ref="AE67:AE73" si="5">IF(ISBLANK(AC67),IF(ISBLANK(W67),IF(ISBLANK(S67),IF(ISBLANK(M67),IF(ISBLANK(G67),0,$G$234),$M$234),$S$234),$W$234),$AC$234)</f>
        <v>0</v>
      </c>
      <c r="AF67" s="169"/>
      <c r="AG67" s="195"/>
      <c r="AH67" s="195"/>
      <c r="AN67" s="203"/>
      <c r="AO67" s="203"/>
      <c r="AP67" s="203"/>
      <c r="AQ67" s="203"/>
      <c r="AR67" s="203"/>
      <c r="AS67" s="203"/>
      <c r="AT67" s="203"/>
      <c r="AU67" s="195"/>
      <c r="AV67" s="203"/>
      <c r="AW67" s="203"/>
      <c r="AX67" s="195"/>
      <c r="AY67" s="195"/>
      <c r="AZ67" s="203"/>
      <c r="BU67" s="204"/>
      <c r="BV67" s="204"/>
      <c r="BW67" s="204"/>
      <c r="BX67" s="204"/>
      <c r="BY67" s="204"/>
      <c r="BZ67" s="204"/>
      <c r="CA67" s="204"/>
      <c r="CB67" s="204"/>
      <c r="CC67" s="204"/>
      <c r="CD67" s="204"/>
      <c r="CE67" s="204"/>
      <c r="CF67" s="204"/>
      <c r="CG67" s="204"/>
      <c r="CH67" s="204"/>
      <c r="CI67" s="204"/>
      <c r="CJ67" s="204"/>
      <c r="CK67" s="204"/>
      <c r="CL67" s="204"/>
      <c r="CM67" s="204"/>
      <c r="CN67" s="204"/>
      <c r="CO67" s="204"/>
      <c r="CP67" s="204"/>
      <c r="CQ67" s="204"/>
      <c r="CR67" s="204"/>
      <c r="CS67" s="204"/>
      <c r="CT67" s="204"/>
      <c r="CU67" s="204"/>
      <c r="CV67" s="204"/>
      <c r="CW67" s="204"/>
      <c r="CX67" s="204"/>
      <c r="CY67" s="204"/>
      <c r="CZ67" s="204"/>
      <c r="DA67" s="204"/>
      <c r="DB67" s="204"/>
      <c r="DC67" s="204"/>
      <c r="DD67" s="204"/>
      <c r="DE67" s="204"/>
      <c r="DF67" s="204"/>
      <c r="DG67" s="204"/>
      <c r="DH67" s="204"/>
      <c r="DI67" s="204"/>
      <c r="DJ67" s="204"/>
      <c r="DK67" s="204"/>
      <c r="DL67" s="204"/>
      <c r="DM67" s="204"/>
      <c r="DN67" s="204"/>
      <c r="DO67" s="204"/>
      <c r="DP67" s="204"/>
      <c r="DQ67" s="204"/>
      <c r="DR67" s="204"/>
      <c r="DS67" s="204"/>
      <c r="DT67" s="204"/>
      <c r="DU67" s="204"/>
      <c r="DV67" s="204"/>
      <c r="DW67" s="204"/>
      <c r="DX67" s="204"/>
      <c r="DY67" s="204"/>
      <c r="DZ67" s="204"/>
      <c r="EA67" s="204"/>
      <c r="EB67" s="204"/>
      <c r="EC67" s="204"/>
      <c r="ED67" s="204"/>
      <c r="EE67" s="204"/>
      <c r="EF67" s="204"/>
      <c r="EG67" s="204"/>
      <c r="EH67" s="204"/>
      <c r="EI67" s="204"/>
      <c r="EJ67" s="204"/>
      <c r="EK67" s="204"/>
      <c r="EL67" s="204"/>
      <c r="EM67" s="204"/>
      <c r="EN67" s="204"/>
      <c r="EO67" s="204"/>
      <c r="EP67" s="204"/>
      <c r="EQ67" s="204"/>
      <c r="ER67" s="204"/>
      <c r="ES67" s="204"/>
      <c r="ET67" s="204"/>
      <c r="EU67" s="204"/>
      <c r="EV67" s="204"/>
      <c r="EW67" s="204"/>
      <c r="EX67" s="204"/>
      <c r="FC67" s="200" t="str">
        <f t="shared" ref="FC67:FC130" si="6">IF(EY67="","I",EY67)</f>
        <v>I</v>
      </c>
    </row>
    <row r="68" spans="1:159" s="202" customFormat="1" ht="30" customHeight="1" x14ac:dyDescent="0.2">
      <c r="A68" s="142"/>
      <c r="B68" s="146"/>
      <c r="C68" s="153"/>
      <c r="D68" s="51"/>
      <c r="E68" s="38"/>
      <c r="F68" s="220"/>
      <c r="G68" s="221"/>
      <c r="H68" s="226"/>
      <c r="I68" s="226"/>
      <c r="J68" s="226"/>
      <c r="K68" s="224"/>
      <c r="L68" s="220"/>
      <c r="M68" s="221"/>
      <c r="N68" s="226"/>
      <c r="O68" s="226"/>
      <c r="P68" s="226"/>
      <c r="Q68" s="224"/>
      <c r="R68" s="220"/>
      <c r="S68" s="221"/>
      <c r="T68" s="226"/>
      <c r="U68" s="226"/>
      <c r="V68" s="220"/>
      <c r="W68" s="221"/>
      <c r="X68" s="226"/>
      <c r="Y68" s="226"/>
      <c r="Z68" s="220"/>
      <c r="AA68" s="221"/>
      <c r="AB68" s="226"/>
      <c r="AC68" s="220"/>
      <c r="AD68" s="168">
        <f t="shared" si="3"/>
        <v>0</v>
      </c>
      <c r="AE68" s="168">
        <f t="shared" si="5"/>
        <v>0</v>
      </c>
      <c r="AF68" s="169"/>
      <c r="AG68" s="195"/>
      <c r="AH68" s="195"/>
      <c r="AN68" s="203"/>
      <c r="AO68" s="203"/>
      <c r="AP68" s="203"/>
      <c r="AQ68" s="203"/>
      <c r="AR68" s="203"/>
      <c r="AS68" s="203"/>
      <c r="AT68" s="203"/>
      <c r="AU68" s="195"/>
      <c r="AV68" s="203"/>
      <c r="AW68" s="203"/>
      <c r="AX68" s="195"/>
      <c r="AY68" s="195"/>
      <c r="AZ68" s="203"/>
      <c r="BU68" s="204"/>
      <c r="BV68" s="204"/>
      <c r="BW68" s="204"/>
      <c r="BX68" s="204"/>
      <c r="BY68" s="204"/>
      <c r="BZ68" s="204"/>
      <c r="CA68" s="204"/>
      <c r="CB68" s="204"/>
      <c r="CC68" s="204"/>
      <c r="CD68" s="204"/>
      <c r="CE68" s="204"/>
      <c r="CF68" s="204"/>
      <c r="CG68" s="204"/>
      <c r="CH68" s="204"/>
      <c r="CI68" s="204"/>
      <c r="CJ68" s="204"/>
      <c r="CK68" s="204"/>
      <c r="CL68" s="204"/>
      <c r="CM68" s="204"/>
      <c r="CN68" s="204"/>
      <c r="CO68" s="204"/>
      <c r="CP68" s="204"/>
      <c r="CQ68" s="204"/>
      <c r="CR68" s="204"/>
      <c r="CS68" s="204"/>
      <c r="CT68" s="204"/>
      <c r="CU68" s="204"/>
      <c r="CV68" s="204"/>
      <c r="CW68" s="204"/>
      <c r="CX68" s="204"/>
      <c r="CY68" s="204"/>
      <c r="CZ68" s="204"/>
      <c r="DA68" s="204"/>
      <c r="DB68" s="204"/>
      <c r="DC68" s="204"/>
      <c r="DD68" s="204"/>
      <c r="DE68" s="204"/>
      <c r="DF68" s="204"/>
      <c r="DG68" s="204"/>
      <c r="DH68" s="204"/>
      <c r="DI68" s="204"/>
      <c r="DJ68" s="204"/>
      <c r="DK68" s="204"/>
      <c r="DL68" s="204"/>
      <c r="DM68" s="204"/>
      <c r="DN68" s="204"/>
      <c r="DO68" s="204"/>
      <c r="DP68" s="204"/>
      <c r="DQ68" s="204"/>
      <c r="DR68" s="204"/>
      <c r="DS68" s="204"/>
      <c r="DT68" s="204"/>
      <c r="DU68" s="204"/>
      <c r="DV68" s="204"/>
      <c r="DW68" s="204"/>
      <c r="DX68" s="204"/>
      <c r="DY68" s="204"/>
      <c r="DZ68" s="204"/>
      <c r="EA68" s="204"/>
      <c r="EB68" s="204"/>
      <c r="EC68" s="204"/>
      <c r="ED68" s="204"/>
      <c r="EE68" s="204"/>
      <c r="EF68" s="204"/>
      <c r="EG68" s="204"/>
      <c r="EH68" s="204"/>
      <c r="EI68" s="204"/>
      <c r="EJ68" s="204"/>
      <c r="EK68" s="204"/>
      <c r="EL68" s="204"/>
      <c r="EM68" s="204"/>
      <c r="EN68" s="204"/>
      <c r="EO68" s="204"/>
      <c r="EP68" s="204"/>
      <c r="EQ68" s="204"/>
      <c r="ER68" s="204"/>
      <c r="ES68" s="204"/>
      <c r="ET68" s="204"/>
      <c r="EU68" s="204"/>
      <c r="EV68" s="204"/>
      <c r="EW68" s="204"/>
      <c r="EX68" s="204"/>
      <c r="FC68" s="200" t="str">
        <f t="shared" si="6"/>
        <v>I</v>
      </c>
    </row>
    <row r="69" spans="1:159" s="202" customFormat="1" ht="30" customHeight="1" x14ac:dyDescent="0.2">
      <c r="A69" s="142"/>
      <c r="B69" s="146"/>
      <c r="C69" s="153"/>
      <c r="D69" s="51"/>
      <c r="E69" s="38"/>
      <c r="F69" s="220"/>
      <c r="G69" s="221"/>
      <c r="H69" s="226"/>
      <c r="I69" s="226"/>
      <c r="J69" s="226"/>
      <c r="K69" s="224"/>
      <c r="L69" s="220"/>
      <c r="M69" s="221"/>
      <c r="N69" s="226"/>
      <c r="O69" s="226"/>
      <c r="P69" s="226"/>
      <c r="Q69" s="224"/>
      <c r="R69" s="220"/>
      <c r="S69" s="221"/>
      <c r="T69" s="226"/>
      <c r="U69" s="226"/>
      <c r="V69" s="220"/>
      <c r="W69" s="221"/>
      <c r="X69" s="226"/>
      <c r="Y69" s="226"/>
      <c r="Z69" s="220"/>
      <c r="AA69" s="221"/>
      <c r="AB69" s="226"/>
      <c r="AC69" s="220"/>
      <c r="AD69" s="168">
        <f>IF(ISBLANK(Z69),IF(ISBLANK(V69),IF(ISBLANK(R69),IF(ISBLANK(L69),IF(ISBLANK(F69),0,$F$234),$L$234),$R$234),$V$234),$Z$234)</f>
        <v>0</v>
      </c>
      <c r="AE69" s="168">
        <f t="shared" si="5"/>
        <v>0</v>
      </c>
      <c r="AF69" s="169"/>
      <c r="AG69" s="195"/>
      <c r="AH69" s="195"/>
      <c r="AN69" s="203"/>
      <c r="AO69" s="203"/>
      <c r="AP69" s="203"/>
      <c r="AQ69" s="203"/>
      <c r="AR69" s="203"/>
      <c r="AS69" s="203"/>
      <c r="AT69" s="203"/>
      <c r="AU69" s="195"/>
      <c r="AV69" s="203"/>
      <c r="AW69" s="203"/>
      <c r="AX69" s="195"/>
      <c r="AY69" s="195"/>
      <c r="AZ69" s="203"/>
      <c r="BU69" s="204"/>
      <c r="BV69" s="204"/>
      <c r="BW69" s="204"/>
      <c r="BX69" s="204"/>
      <c r="BY69" s="204"/>
      <c r="BZ69" s="204"/>
      <c r="CA69" s="204"/>
      <c r="CB69" s="204"/>
      <c r="CC69" s="204"/>
      <c r="CD69" s="204"/>
      <c r="CE69" s="204"/>
      <c r="CF69" s="204"/>
      <c r="CG69" s="204"/>
      <c r="CH69" s="204"/>
      <c r="CI69" s="204"/>
      <c r="CJ69" s="204"/>
      <c r="CK69" s="204"/>
      <c r="CL69" s="204"/>
      <c r="CM69" s="204"/>
      <c r="CN69" s="204"/>
      <c r="CO69" s="204"/>
      <c r="CP69" s="204"/>
      <c r="CQ69" s="204"/>
      <c r="CR69" s="204"/>
      <c r="CS69" s="204"/>
      <c r="CT69" s="204"/>
      <c r="CU69" s="204"/>
      <c r="CV69" s="204"/>
      <c r="CW69" s="204"/>
      <c r="CX69" s="204"/>
      <c r="CY69" s="204"/>
      <c r="CZ69" s="204"/>
      <c r="DA69" s="204"/>
      <c r="DB69" s="204"/>
      <c r="DC69" s="204"/>
      <c r="DD69" s="204"/>
      <c r="DE69" s="204"/>
      <c r="DF69" s="204"/>
      <c r="DG69" s="204"/>
      <c r="DH69" s="204"/>
      <c r="DI69" s="204"/>
      <c r="DJ69" s="204"/>
      <c r="DK69" s="204"/>
      <c r="DL69" s="204"/>
      <c r="DM69" s="204"/>
      <c r="DN69" s="204"/>
      <c r="DO69" s="204"/>
      <c r="DP69" s="204"/>
      <c r="DQ69" s="204"/>
      <c r="DR69" s="204"/>
      <c r="DS69" s="204"/>
      <c r="DT69" s="204"/>
      <c r="DU69" s="204"/>
      <c r="DV69" s="204"/>
      <c r="DW69" s="204"/>
      <c r="DX69" s="204"/>
      <c r="DY69" s="204"/>
      <c r="DZ69" s="204"/>
      <c r="EA69" s="204"/>
      <c r="EB69" s="204"/>
      <c r="EC69" s="204"/>
      <c r="ED69" s="204"/>
      <c r="EE69" s="204"/>
      <c r="EF69" s="204"/>
      <c r="EG69" s="204"/>
      <c r="EH69" s="204"/>
      <c r="EI69" s="204"/>
      <c r="EJ69" s="204"/>
      <c r="EK69" s="204"/>
      <c r="EL69" s="204"/>
      <c r="EM69" s="204"/>
      <c r="EN69" s="204"/>
      <c r="EO69" s="204"/>
      <c r="EP69" s="204"/>
      <c r="EQ69" s="204"/>
      <c r="ER69" s="204"/>
      <c r="ES69" s="204"/>
      <c r="ET69" s="204"/>
      <c r="EU69" s="204"/>
      <c r="EV69" s="204"/>
      <c r="EW69" s="204"/>
      <c r="EX69" s="204"/>
      <c r="FC69" s="200" t="str">
        <f t="shared" si="6"/>
        <v>I</v>
      </c>
    </row>
    <row r="70" spans="1:159" s="202" customFormat="1" ht="30" customHeight="1" x14ac:dyDescent="0.2">
      <c r="A70" s="142"/>
      <c r="B70" s="146"/>
      <c r="C70" s="153"/>
      <c r="D70" s="51"/>
      <c r="E70" s="38"/>
      <c r="F70" s="220"/>
      <c r="G70" s="221"/>
      <c r="H70" s="226"/>
      <c r="I70" s="226"/>
      <c r="J70" s="226"/>
      <c r="K70" s="224"/>
      <c r="L70" s="220"/>
      <c r="M70" s="221"/>
      <c r="N70" s="226"/>
      <c r="O70" s="226"/>
      <c r="P70" s="226"/>
      <c r="Q70" s="224"/>
      <c r="R70" s="220"/>
      <c r="S70" s="221"/>
      <c r="T70" s="226"/>
      <c r="U70" s="226"/>
      <c r="V70" s="220"/>
      <c r="W70" s="221"/>
      <c r="X70" s="226"/>
      <c r="Y70" s="226"/>
      <c r="Z70" s="220"/>
      <c r="AA70" s="221"/>
      <c r="AB70" s="226"/>
      <c r="AC70" s="220"/>
      <c r="AD70" s="168">
        <f>IF(ISBLANK(Z70),IF(ISBLANK(V70),IF(ISBLANK(R70),IF(ISBLANK(L70),IF(ISBLANK(F70),0,$F$234),$L$234),$R$234),$V$234),$Z$234)</f>
        <v>0</v>
      </c>
      <c r="AE70" s="168">
        <f t="shared" si="5"/>
        <v>0</v>
      </c>
      <c r="AF70" s="169"/>
      <c r="AG70" s="195"/>
      <c r="AH70" s="195"/>
      <c r="AN70" s="203"/>
      <c r="AO70" s="203"/>
      <c r="AP70" s="203"/>
      <c r="AQ70" s="203"/>
      <c r="AR70" s="203"/>
      <c r="AS70" s="203"/>
      <c r="AT70" s="203"/>
      <c r="AU70" s="195"/>
      <c r="AV70" s="203"/>
      <c r="AW70" s="203"/>
      <c r="AX70" s="195"/>
      <c r="AY70" s="195"/>
      <c r="AZ70" s="203"/>
      <c r="BU70" s="204"/>
      <c r="BV70" s="204"/>
      <c r="BW70" s="204"/>
      <c r="BX70" s="204"/>
      <c r="BY70" s="204"/>
      <c r="BZ70" s="204"/>
      <c r="CA70" s="204"/>
      <c r="CB70" s="204"/>
      <c r="CC70" s="204"/>
      <c r="CD70" s="204"/>
      <c r="CE70" s="204"/>
      <c r="CF70" s="204"/>
      <c r="CG70" s="204"/>
      <c r="CH70" s="204"/>
      <c r="CI70" s="204"/>
      <c r="CJ70" s="204"/>
      <c r="CK70" s="204"/>
      <c r="CL70" s="204"/>
      <c r="CM70" s="204"/>
      <c r="CN70" s="204"/>
      <c r="CO70" s="204"/>
      <c r="CP70" s="204"/>
      <c r="CQ70" s="204"/>
      <c r="CR70" s="204"/>
      <c r="CS70" s="204"/>
      <c r="CT70" s="204"/>
      <c r="CU70" s="204"/>
      <c r="CV70" s="204"/>
      <c r="CW70" s="204"/>
      <c r="CX70" s="204"/>
      <c r="CY70" s="204"/>
      <c r="CZ70" s="204"/>
      <c r="DA70" s="204"/>
      <c r="DB70" s="204"/>
      <c r="DC70" s="204"/>
      <c r="DD70" s="204"/>
      <c r="DE70" s="204"/>
      <c r="DF70" s="204"/>
      <c r="DG70" s="204"/>
      <c r="DH70" s="204"/>
      <c r="DI70" s="204"/>
      <c r="DJ70" s="204"/>
      <c r="DK70" s="204"/>
      <c r="DL70" s="204"/>
      <c r="DM70" s="204"/>
      <c r="DN70" s="204"/>
      <c r="DO70" s="204"/>
      <c r="DP70" s="204"/>
      <c r="DQ70" s="204"/>
      <c r="DR70" s="204"/>
      <c r="DS70" s="204"/>
      <c r="DT70" s="204"/>
      <c r="DU70" s="204"/>
      <c r="DV70" s="204"/>
      <c r="DW70" s="204"/>
      <c r="DX70" s="204"/>
      <c r="DY70" s="204"/>
      <c r="DZ70" s="204"/>
      <c r="EA70" s="204"/>
      <c r="EB70" s="204"/>
      <c r="EC70" s="204"/>
      <c r="ED70" s="204"/>
      <c r="EE70" s="204"/>
      <c r="EF70" s="204"/>
      <c r="EG70" s="204"/>
      <c r="EH70" s="204"/>
      <c r="EI70" s="204"/>
      <c r="EJ70" s="204"/>
      <c r="EK70" s="204"/>
      <c r="EL70" s="204"/>
      <c r="EM70" s="204"/>
      <c r="EN70" s="204"/>
      <c r="EO70" s="204"/>
      <c r="EP70" s="204"/>
      <c r="EQ70" s="204"/>
      <c r="ER70" s="204"/>
      <c r="ES70" s="204"/>
      <c r="ET70" s="204"/>
      <c r="EU70" s="204"/>
      <c r="EV70" s="204"/>
      <c r="EW70" s="204"/>
      <c r="EX70" s="204"/>
      <c r="FC70" s="200" t="str">
        <f t="shared" si="6"/>
        <v>I</v>
      </c>
    </row>
    <row r="71" spans="1:159" s="202" customFormat="1" ht="30" customHeight="1" x14ac:dyDescent="0.2">
      <c r="A71" s="142"/>
      <c r="B71" s="146"/>
      <c r="C71" s="153"/>
      <c r="D71" s="51"/>
      <c r="E71" s="38"/>
      <c r="F71" s="220"/>
      <c r="G71" s="221"/>
      <c r="H71" s="226"/>
      <c r="I71" s="226"/>
      <c r="J71" s="226"/>
      <c r="K71" s="224"/>
      <c r="L71" s="220"/>
      <c r="M71" s="221"/>
      <c r="N71" s="226"/>
      <c r="O71" s="226"/>
      <c r="P71" s="226"/>
      <c r="Q71" s="224"/>
      <c r="R71" s="220"/>
      <c r="S71" s="221"/>
      <c r="T71" s="226"/>
      <c r="U71" s="226"/>
      <c r="V71" s="220"/>
      <c r="W71" s="221"/>
      <c r="X71" s="226"/>
      <c r="Y71" s="226"/>
      <c r="Z71" s="220"/>
      <c r="AA71" s="221"/>
      <c r="AB71" s="226"/>
      <c r="AC71" s="220"/>
      <c r="AD71" s="168">
        <f>IF(ISBLANK(Z71),IF(ISBLANK(V71),IF(ISBLANK(R71),IF(ISBLANK(L71),IF(ISBLANK(F71),0,$F$234),$L$234),$R$234),$V$234),$Z$234)</f>
        <v>0</v>
      </c>
      <c r="AE71" s="168">
        <f t="shared" si="5"/>
        <v>0</v>
      </c>
      <c r="AF71" s="169"/>
      <c r="AG71" s="195"/>
      <c r="AH71" s="195"/>
      <c r="AN71" s="203"/>
      <c r="AO71" s="203"/>
      <c r="AP71" s="203"/>
      <c r="AQ71" s="203"/>
      <c r="AR71" s="203"/>
      <c r="AS71" s="203"/>
      <c r="AT71" s="203"/>
      <c r="AU71" s="195"/>
      <c r="AV71" s="203"/>
      <c r="AW71" s="203"/>
      <c r="AX71" s="195"/>
      <c r="AY71" s="195"/>
      <c r="AZ71" s="203"/>
      <c r="BU71" s="204"/>
      <c r="BV71" s="204"/>
      <c r="BW71" s="204"/>
      <c r="BX71" s="204"/>
      <c r="BY71" s="204"/>
      <c r="BZ71" s="204"/>
      <c r="CA71" s="204"/>
      <c r="CB71" s="204"/>
      <c r="CC71" s="204"/>
      <c r="CD71" s="204"/>
      <c r="CE71" s="204"/>
      <c r="CF71" s="204"/>
      <c r="CG71" s="204"/>
      <c r="CH71" s="204"/>
      <c r="CI71" s="204"/>
      <c r="CJ71" s="204"/>
      <c r="CK71" s="204"/>
      <c r="CL71" s="204"/>
      <c r="CM71" s="204"/>
      <c r="CN71" s="204"/>
      <c r="CO71" s="204"/>
      <c r="CP71" s="204"/>
      <c r="CQ71" s="204"/>
      <c r="CR71" s="204"/>
      <c r="CS71" s="204"/>
      <c r="CT71" s="204"/>
      <c r="CU71" s="204"/>
      <c r="CV71" s="204"/>
      <c r="CW71" s="204"/>
      <c r="CX71" s="204"/>
      <c r="CY71" s="204"/>
      <c r="CZ71" s="204"/>
      <c r="DA71" s="204"/>
      <c r="DB71" s="204"/>
      <c r="DC71" s="204"/>
      <c r="DD71" s="204"/>
      <c r="DE71" s="204"/>
      <c r="DF71" s="204"/>
      <c r="DG71" s="204"/>
      <c r="DH71" s="204"/>
      <c r="DI71" s="204"/>
      <c r="DJ71" s="204"/>
      <c r="DK71" s="204"/>
      <c r="DL71" s="204"/>
      <c r="DM71" s="204"/>
      <c r="DN71" s="204"/>
      <c r="DO71" s="204"/>
      <c r="DP71" s="204"/>
      <c r="DQ71" s="204"/>
      <c r="DR71" s="204"/>
      <c r="DS71" s="204"/>
      <c r="DT71" s="204"/>
      <c r="DU71" s="204"/>
      <c r="DV71" s="204"/>
      <c r="DW71" s="204"/>
      <c r="DX71" s="204"/>
      <c r="DY71" s="204"/>
      <c r="DZ71" s="204"/>
      <c r="EA71" s="204"/>
      <c r="EB71" s="204"/>
      <c r="EC71" s="204"/>
      <c r="ED71" s="204"/>
      <c r="EE71" s="204"/>
      <c r="EF71" s="204"/>
      <c r="EG71" s="204"/>
      <c r="EH71" s="204"/>
      <c r="EI71" s="204"/>
      <c r="EJ71" s="204"/>
      <c r="EK71" s="204"/>
      <c r="EL71" s="204"/>
      <c r="EM71" s="204"/>
      <c r="EN71" s="204"/>
      <c r="EO71" s="204"/>
      <c r="EP71" s="204"/>
      <c r="EQ71" s="204"/>
      <c r="ER71" s="204"/>
      <c r="ES71" s="204"/>
      <c r="ET71" s="204"/>
      <c r="EU71" s="204"/>
      <c r="EV71" s="204"/>
      <c r="EW71" s="204"/>
      <c r="EX71" s="204"/>
      <c r="FC71" s="200" t="str">
        <f t="shared" si="6"/>
        <v>I</v>
      </c>
    </row>
    <row r="72" spans="1:159" s="202" customFormat="1" ht="30" customHeight="1" x14ac:dyDescent="0.2">
      <c r="A72" s="142"/>
      <c r="B72" s="146"/>
      <c r="C72" s="153"/>
      <c r="D72" s="51"/>
      <c r="E72" s="38"/>
      <c r="F72" s="220"/>
      <c r="G72" s="221"/>
      <c r="H72" s="226"/>
      <c r="I72" s="226"/>
      <c r="J72" s="226"/>
      <c r="K72" s="224"/>
      <c r="L72" s="220"/>
      <c r="M72" s="221"/>
      <c r="N72" s="226"/>
      <c r="O72" s="226"/>
      <c r="P72" s="226"/>
      <c r="Q72" s="224"/>
      <c r="R72" s="220"/>
      <c r="S72" s="221"/>
      <c r="T72" s="226"/>
      <c r="U72" s="226"/>
      <c r="V72" s="220"/>
      <c r="W72" s="221"/>
      <c r="X72" s="226"/>
      <c r="Y72" s="226"/>
      <c r="Z72" s="220"/>
      <c r="AA72" s="221"/>
      <c r="AB72" s="226"/>
      <c r="AC72" s="220"/>
      <c r="AD72" s="168">
        <f>IF(ISBLANK(Z72),IF(ISBLANK(V72),IF(ISBLANK(R72),IF(ISBLANK(L72),IF(ISBLANK(F72),0,$F$234),$L$234),$R$234),$V$234),$Z$234)</f>
        <v>0</v>
      </c>
      <c r="AE72" s="168">
        <f t="shared" si="5"/>
        <v>0</v>
      </c>
      <c r="AF72" s="169"/>
      <c r="AG72" s="195"/>
      <c r="AH72" s="195"/>
      <c r="AN72" s="203"/>
      <c r="AO72" s="203"/>
      <c r="AP72" s="203"/>
      <c r="AQ72" s="203"/>
      <c r="AR72" s="203"/>
      <c r="AS72" s="203"/>
      <c r="AT72" s="203"/>
      <c r="AU72" s="195"/>
      <c r="AV72" s="203"/>
      <c r="AW72" s="203"/>
      <c r="AX72" s="195"/>
      <c r="AY72" s="195"/>
      <c r="AZ72" s="203"/>
      <c r="BU72" s="204"/>
      <c r="BV72" s="204"/>
      <c r="BW72" s="204"/>
      <c r="BX72" s="204"/>
      <c r="BY72" s="204"/>
      <c r="BZ72" s="204"/>
      <c r="CA72" s="204"/>
      <c r="CB72" s="204"/>
      <c r="CC72" s="204"/>
      <c r="CD72" s="204"/>
      <c r="CE72" s="204"/>
      <c r="CF72" s="204"/>
      <c r="CG72" s="204"/>
      <c r="CH72" s="204"/>
      <c r="CI72" s="204"/>
      <c r="CJ72" s="204"/>
      <c r="CK72" s="204"/>
      <c r="CL72" s="204"/>
      <c r="CM72" s="204"/>
      <c r="CN72" s="204"/>
      <c r="CO72" s="204"/>
      <c r="CP72" s="204"/>
      <c r="CQ72" s="204"/>
      <c r="CR72" s="204"/>
      <c r="CS72" s="204"/>
      <c r="CT72" s="204"/>
      <c r="CU72" s="204"/>
      <c r="CV72" s="204"/>
      <c r="CW72" s="204"/>
      <c r="CX72" s="204"/>
      <c r="CY72" s="204"/>
      <c r="CZ72" s="204"/>
      <c r="DA72" s="204"/>
      <c r="DB72" s="204"/>
      <c r="DC72" s="204"/>
      <c r="DD72" s="204"/>
      <c r="DE72" s="204"/>
      <c r="DF72" s="204"/>
      <c r="DG72" s="204"/>
      <c r="DH72" s="204"/>
      <c r="DI72" s="204"/>
      <c r="DJ72" s="204"/>
      <c r="DK72" s="204"/>
      <c r="DL72" s="204"/>
      <c r="DM72" s="204"/>
      <c r="DN72" s="204"/>
      <c r="DO72" s="204"/>
      <c r="DP72" s="204"/>
      <c r="DQ72" s="204"/>
      <c r="DR72" s="204"/>
      <c r="DS72" s="204"/>
      <c r="DT72" s="204"/>
      <c r="DU72" s="204"/>
      <c r="DV72" s="204"/>
      <c r="DW72" s="204"/>
      <c r="DX72" s="204"/>
      <c r="DY72" s="204"/>
      <c r="DZ72" s="204"/>
      <c r="EA72" s="204"/>
      <c r="EB72" s="204"/>
      <c r="EC72" s="204"/>
      <c r="ED72" s="204"/>
      <c r="EE72" s="204"/>
      <c r="EF72" s="204"/>
      <c r="EG72" s="204"/>
      <c r="EH72" s="204"/>
      <c r="EI72" s="204"/>
      <c r="EJ72" s="204"/>
      <c r="EK72" s="204"/>
      <c r="EL72" s="204"/>
      <c r="EM72" s="204"/>
      <c r="EN72" s="204"/>
      <c r="EO72" s="204"/>
      <c r="EP72" s="204"/>
      <c r="EQ72" s="204"/>
      <c r="ER72" s="204"/>
      <c r="ES72" s="204"/>
      <c r="ET72" s="204"/>
      <c r="EU72" s="204"/>
      <c r="EV72" s="204"/>
      <c r="EW72" s="204"/>
      <c r="EX72" s="204"/>
      <c r="FC72" s="200" t="str">
        <f t="shared" si="6"/>
        <v>I</v>
      </c>
    </row>
    <row r="73" spans="1:159" s="202" customFormat="1" ht="29.1" customHeight="1" x14ac:dyDescent="0.2">
      <c r="A73" s="142"/>
      <c r="B73" s="146"/>
      <c r="C73" s="153"/>
      <c r="D73" s="51"/>
      <c r="E73" s="38"/>
      <c r="F73" s="220"/>
      <c r="G73" s="221"/>
      <c r="H73" s="226"/>
      <c r="I73" s="226"/>
      <c r="J73" s="226"/>
      <c r="K73" s="224"/>
      <c r="L73" s="220"/>
      <c r="M73" s="221"/>
      <c r="N73" s="226"/>
      <c r="O73" s="226"/>
      <c r="P73" s="226"/>
      <c r="Q73" s="224"/>
      <c r="R73" s="220"/>
      <c r="S73" s="221"/>
      <c r="T73" s="226"/>
      <c r="U73" s="226"/>
      <c r="V73" s="220"/>
      <c r="W73" s="221"/>
      <c r="X73" s="226"/>
      <c r="Y73" s="226"/>
      <c r="Z73" s="220"/>
      <c r="AA73" s="221"/>
      <c r="AB73" s="226"/>
      <c r="AC73" s="220"/>
      <c r="AD73" s="168">
        <f>IF(ISBLANK(Z73),IF(ISBLANK(V73),IF(ISBLANK(R73),IF(ISBLANK(L73),IF(ISBLANK(F73),0,$F$234),$L$234),$R$234),$V$234),$Z$234)</f>
        <v>0</v>
      </c>
      <c r="AE73" s="168">
        <f t="shared" si="5"/>
        <v>0</v>
      </c>
      <c r="AF73" s="169"/>
      <c r="AG73" s="195"/>
      <c r="AH73" s="195"/>
      <c r="AN73" s="203"/>
      <c r="AO73" s="203"/>
      <c r="AP73" s="203"/>
      <c r="AQ73" s="203"/>
      <c r="AR73" s="203"/>
      <c r="AS73" s="203"/>
      <c r="AT73" s="203"/>
      <c r="AU73" s="195"/>
      <c r="AV73" s="203"/>
      <c r="AW73" s="203"/>
      <c r="AX73" s="195"/>
      <c r="AY73" s="195"/>
      <c r="AZ73" s="203"/>
      <c r="BU73" s="204"/>
      <c r="BV73" s="204"/>
      <c r="BW73" s="204"/>
      <c r="BX73" s="204"/>
      <c r="BY73" s="204"/>
      <c r="BZ73" s="204"/>
      <c r="CA73" s="204"/>
      <c r="CB73" s="204"/>
      <c r="CC73" s="204"/>
      <c r="CD73" s="204"/>
      <c r="CE73" s="204"/>
      <c r="CF73" s="204"/>
      <c r="CG73" s="204"/>
      <c r="CH73" s="204"/>
      <c r="CI73" s="204"/>
      <c r="CJ73" s="204"/>
      <c r="CK73" s="204"/>
      <c r="CL73" s="204"/>
      <c r="CM73" s="204"/>
      <c r="CN73" s="204"/>
      <c r="CO73" s="204"/>
      <c r="CP73" s="204"/>
      <c r="CQ73" s="204"/>
      <c r="CR73" s="204"/>
      <c r="CS73" s="204"/>
      <c r="CT73" s="204"/>
      <c r="CU73" s="204"/>
      <c r="CV73" s="204"/>
      <c r="CW73" s="204"/>
      <c r="CX73" s="204"/>
      <c r="CY73" s="204"/>
      <c r="CZ73" s="204"/>
      <c r="DA73" s="204"/>
      <c r="DB73" s="204"/>
      <c r="DC73" s="204"/>
      <c r="DD73" s="204"/>
      <c r="DE73" s="204"/>
      <c r="DF73" s="204"/>
      <c r="DG73" s="204"/>
      <c r="DH73" s="204"/>
      <c r="DI73" s="204"/>
      <c r="DJ73" s="204"/>
      <c r="DK73" s="204"/>
      <c r="DL73" s="204"/>
      <c r="DM73" s="204"/>
      <c r="DN73" s="204"/>
      <c r="DO73" s="204"/>
      <c r="DP73" s="204"/>
      <c r="DQ73" s="204"/>
      <c r="DR73" s="204"/>
      <c r="DS73" s="204"/>
      <c r="DT73" s="204"/>
      <c r="DU73" s="204"/>
      <c r="DV73" s="204"/>
      <c r="DW73" s="204"/>
      <c r="DX73" s="204"/>
      <c r="DY73" s="204"/>
      <c r="DZ73" s="204"/>
      <c r="EA73" s="204"/>
      <c r="EB73" s="204"/>
      <c r="EC73" s="204"/>
      <c r="ED73" s="204"/>
      <c r="EE73" s="204"/>
      <c r="EF73" s="204"/>
      <c r="EG73" s="204"/>
      <c r="EH73" s="204"/>
      <c r="EI73" s="204"/>
      <c r="EJ73" s="204"/>
      <c r="EK73" s="204"/>
      <c r="EL73" s="204"/>
      <c r="EM73" s="204"/>
      <c r="EN73" s="204"/>
      <c r="EO73" s="204"/>
      <c r="EP73" s="204"/>
      <c r="EQ73" s="204"/>
      <c r="ER73" s="204"/>
      <c r="ES73" s="204"/>
      <c r="ET73" s="204"/>
      <c r="EU73" s="204"/>
      <c r="EV73" s="204"/>
      <c r="EW73" s="204"/>
      <c r="EX73" s="204"/>
      <c r="FC73" s="200" t="str">
        <f t="shared" si="6"/>
        <v>I</v>
      </c>
    </row>
    <row r="74" spans="1:159" s="202" customFormat="1" ht="29.1" customHeight="1" x14ac:dyDescent="0.2">
      <c r="A74" s="142"/>
      <c r="B74" s="146"/>
      <c r="C74" s="153"/>
      <c r="D74" s="51"/>
      <c r="E74" s="38"/>
      <c r="F74" s="220"/>
      <c r="G74" s="221"/>
      <c r="H74" s="226"/>
      <c r="I74" s="226"/>
      <c r="J74" s="226"/>
      <c r="K74" s="224"/>
      <c r="L74" s="220"/>
      <c r="M74" s="221"/>
      <c r="N74" s="226"/>
      <c r="O74" s="226"/>
      <c r="P74" s="226"/>
      <c r="Q74" s="224"/>
      <c r="R74" s="220"/>
      <c r="S74" s="221"/>
      <c r="T74" s="226"/>
      <c r="U74" s="226"/>
      <c r="V74" s="220"/>
      <c r="W74" s="221"/>
      <c r="X74" s="226"/>
      <c r="Y74" s="226"/>
      <c r="Z74" s="220"/>
      <c r="AA74" s="221"/>
      <c r="AB74" s="226"/>
      <c r="AC74" s="220"/>
      <c r="AD74" s="168">
        <f t="shared" ref="AD74:AD137" si="7">IF(ISBLANK(Z74),IF(ISBLANK(V74),IF(ISBLANK(R74),IF(ISBLANK(L74),IF(ISBLANK(F74),0,$F$234),$L$234),$R$234),$V$234),$Z$234)</f>
        <v>0</v>
      </c>
      <c r="AE74" s="168">
        <f t="shared" ref="AE74:AE137" si="8">IF(ISBLANK(AC74),IF(ISBLANK(W74),IF(ISBLANK(S74),IF(ISBLANK(M74),IF(ISBLANK(G74),0,$G$234),$M$234),$S$234),$W$234),$AC$234)</f>
        <v>0</v>
      </c>
      <c r="AF74" s="169"/>
      <c r="AG74" s="195"/>
      <c r="AH74" s="195"/>
      <c r="AN74" s="203"/>
      <c r="AO74" s="203"/>
      <c r="AP74" s="203"/>
      <c r="AQ74" s="203"/>
      <c r="AR74" s="203"/>
      <c r="AS74" s="203"/>
      <c r="AT74" s="203"/>
      <c r="AU74" s="195"/>
      <c r="AV74" s="203"/>
      <c r="AW74" s="203"/>
      <c r="AX74" s="195"/>
      <c r="AY74" s="195"/>
      <c r="AZ74" s="203"/>
      <c r="BU74" s="204"/>
      <c r="BV74" s="204"/>
      <c r="BW74" s="204"/>
      <c r="BX74" s="204"/>
      <c r="BY74" s="204"/>
      <c r="BZ74" s="204"/>
      <c r="CA74" s="204"/>
      <c r="CB74" s="204"/>
      <c r="CC74" s="204"/>
      <c r="CD74" s="204"/>
      <c r="CE74" s="204"/>
      <c r="CF74" s="204"/>
      <c r="CG74" s="204"/>
      <c r="CH74" s="204"/>
      <c r="CI74" s="204"/>
      <c r="CJ74" s="204"/>
      <c r="CK74" s="204"/>
      <c r="CL74" s="204"/>
      <c r="CM74" s="204"/>
      <c r="CN74" s="204"/>
      <c r="CO74" s="204"/>
      <c r="CP74" s="204"/>
      <c r="CQ74" s="204"/>
      <c r="CR74" s="204"/>
      <c r="CS74" s="204"/>
      <c r="CT74" s="204"/>
      <c r="CU74" s="204"/>
      <c r="CV74" s="204"/>
      <c r="CW74" s="204"/>
      <c r="CX74" s="204"/>
      <c r="CY74" s="204"/>
      <c r="CZ74" s="204"/>
      <c r="DA74" s="204"/>
      <c r="DB74" s="204"/>
      <c r="DC74" s="204"/>
      <c r="DD74" s="204"/>
      <c r="DE74" s="204"/>
      <c r="DF74" s="204"/>
      <c r="DG74" s="204"/>
      <c r="DH74" s="204"/>
      <c r="DI74" s="204"/>
      <c r="DJ74" s="204"/>
      <c r="DK74" s="204"/>
      <c r="DL74" s="204"/>
      <c r="DM74" s="204"/>
      <c r="DN74" s="204"/>
      <c r="DO74" s="204"/>
      <c r="DP74" s="204"/>
      <c r="DQ74" s="204"/>
      <c r="DR74" s="204"/>
      <c r="DS74" s="204"/>
      <c r="DT74" s="204"/>
      <c r="DU74" s="204"/>
      <c r="DV74" s="204"/>
      <c r="DW74" s="204"/>
      <c r="DX74" s="204"/>
      <c r="DY74" s="204"/>
      <c r="DZ74" s="204"/>
      <c r="EA74" s="204"/>
      <c r="EB74" s="204"/>
      <c r="EC74" s="204"/>
      <c r="ED74" s="204"/>
      <c r="EE74" s="204"/>
      <c r="EF74" s="204"/>
      <c r="EG74" s="204"/>
      <c r="EH74" s="204"/>
      <c r="EI74" s="204"/>
      <c r="EJ74" s="204"/>
      <c r="EK74" s="204"/>
      <c r="EL74" s="204"/>
      <c r="EM74" s="204"/>
      <c r="EN74" s="204"/>
      <c r="EO74" s="204"/>
      <c r="EP74" s="204"/>
      <c r="EQ74" s="204"/>
      <c r="ER74" s="204"/>
      <c r="ES74" s="204"/>
      <c r="ET74" s="204"/>
      <c r="EU74" s="204"/>
      <c r="EV74" s="204"/>
      <c r="EW74" s="204"/>
      <c r="EX74" s="204"/>
      <c r="FC74" s="200" t="str">
        <f t="shared" si="6"/>
        <v>I</v>
      </c>
    </row>
    <row r="75" spans="1:159" s="202" customFormat="1" ht="29.1" customHeight="1" x14ac:dyDescent="0.2">
      <c r="A75" s="142"/>
      <c r="B75" s="146"/>
      <c r="C75" s="153"/>
      <c r="D75" s="51"/>
      <c r="E75" s="38"/>
      <c r="F75" s="220"/>
      <c r="G75" s="221"/>
      <c r="H75" s="226"/>
      <c r="I75" s="226"/>
      <c r="J75" s="226"/>
      <c r="K75" s="224"/>
      <c r="L75" s="220"/>
      <c r="M75" s="221"/>
      <c r="N75" s="226"/>
      <c r="O75" s="226"/>
      <c r="P75" s="226"/>
      <c r="Q75" s="224"/>
      <c r="R75" s="220"/>
      <c r="S75" s="221"/>
      <c r="T75" s="226"/>
      <c r="U75" s="226"/>
      <c r="V75" s="220"/>
      <c r="W75" s="221"/>
      <c r="X75" s="226"/>
      <c r="Y75" s="226"/>
      <c r="Z75" s="220"/>
      <c r="AA75" s="221"/>
      <c r="AB75" s="226"/>
      <c r="AC75" s="220"/>
      <c r="AD75" s="168">
        <f t="shared" si="7"/>
        <v>0</v>
      </c>
      <c r="AE75" s="168">
        <f t="shared" si="8"/>
        <v>0</v>
      </c>
      <c r="AF75" s="169"/>
      <c r="AG75" s="195"/>
      <c r="AH75" s="195"/>
      <c r="AN75" s="203"/>
      <c r="AO75" s="203"/>
      <c r="AP75" s="203"/>
      <c r="AQ75" s="203"/>
      <c r="AR75" s="203"/>
      <c r="AS75" s="203"/>
      <c r="AT75" s="203"/>
      <c r="AU75" s="195"/>
      <c r="AV75" s="203"/>
      <c r="AW75" s="203"/>
      <c r="AX75" s="195"/>
      <c r="AY75" s="195"/>
      <c r="AZ75" s="203"/>
      <c r="BU75" s="204"/>
      <c r="BV75" s="204"/>
      <c r="BW75" s="204"/>
      <c r="BX75" s="204"/>
      <c r="BY75" s="204"/>
      <c r="BZ75" s="204"/>
      <c r="CA75" s="204"/>
      <c r="CB75" s="204"/>
      <c r="CC75" s="204"/>
      <c r="CD75" s="204"/>
      <c r="CE75" s="204"/>
      <c r="CF75" s="204"/>
      <c r="CG75" s="204"/>
      <c r="CH75" s="204"/>
      <c r="CI75" s="204"/>
      <c r="CJ75" s="204"/>
      <c r="CK75" s="204"/>
      <c r="CL75" s="204"/>
      <c r="CM75" s="204"/>
      <c r="CN75" s="204"/>
      <c r="CO75" s="204"/>
      <c r="CP75" s="204"/>
      <c r="CQ75" s="204"/>
      <c r="CR75" s="204"/>
      <c r="CS75" s="204"/>
      <c r="CT75" s="204"/>
      <c r="CU75" s="204"/>
      <c r="CV75" s="204"/>
      <c r="CW75" s="204"/>
      <c r="CX75" s="204"/>
      <c r="CY75" s="204"/>
      <c r="CZ75" s="204"/>
      <c r="DA75" s="204"/>
      <c r="DB75" s="204"/>
      <c r="DC75" s="204"/>
      <c r="DD75" s="204"/>
      <c r="DE75" s="204"/>
      <c r="DF75" s="204"/>
      <c r="DG75" s="204"/>
      <c r="DH75" s="204"/>
      <c r="DI75" s="204"/>
      <c r="DJ75" s="204"/>
      <c r="DK75" s="204"/>
      <c r="DL75" s="204"/>
      <c r="DM75" s="204"/>
      <c r="DN75" s="204"/>
      <c r="DO75" s="204"/>
      <c r="DP75" s="204"/>
      <c r="DQ75" s="204"/>
      <c r="DR75" s="204"/>
      <c r="DS75" s="204"/>
      <c r="DT75" s="204"/>
      <c r="DU75" s="204"/>
      <c r="DV75" s="204"/>
      <c r="DW75" s="204"/>
      <c r="DX75" s="204"/>
      <c r="DY75" s="204"/>
      <c r="DZ75" s="204"/>
      <c r="EA75" s="204"/>
      <c r="EB75" s="204"/>
      <c r="EC75" s="204"/>
      <c r="ED75" s="204"/>
      <c r="EE75" s="204"/>
      <c r="EF75" s="204"/>
      <c r="EG75" s="204"/>
      <c r="EH75" s="204"/>
      <c r="EI75" s="204"/>
      <c r="EJ75" s="204"/>
      <c r="EK75" s="204"/>
      <c r="EL75" s="204"/>
      <c r="EM75" s="204"/>
      <c r="EN75" s="204"/>
      <c r="EO75" s="204"/>
      <c r="EP75" s="204"/>
      <c r="EQ75" s="204"/>
      <c r="ER75" s="204"/>
      <c r="ES75" s="204"/>
      <c r="ET75" s="204"/>
      <c r="EU75" s="204"/>
      <c r="EV75" s="204"/>
      <c r="EW75" s="204"/>
      <c r="EX75" s="204"/>
      <c r="FC75" s="200" t="str">
        <f t="shared" si="6"/>
        <v>I</v>
      </c>
    </row>
    <row r="76" spans="1:159" s="202" customFormat="1" ht="29.1" customHeight="1" x14ac:dyDescent="0.2">
      <c r="A76" s="142"/>
      <c r="B76" s="146"/>
      <c r="C76" s="153"/>
      <c r="D76" s="51"/>
      <c r="E76" s="38"/>
      <c r="F76" s="220"/>
      <c r="G76" s="221"/>
      <c r="H76" s="226"/>
      <c r="I76" s="226"/>
      <c r="J76" s="226"/>
      <c r="K76" s="224"/>
      <c r="L76" s="220"/>
      <c r="M76" s="221"/>
      <c r="N76" s="226"/>
      <c r="O76" s="226"/>
      <c r="P76" s="226"/>
      <c r="Q76" s="224"/>
      <c r="R76" s="220"/>
      <c r="S76" s="221"/>
      <c r="T76" s="226"/>
      <c r="U76" s="226"/>
      <c r="V76" s="220"/>
      <c r="W76" s="221"/>
      <c r="X76" s="226"/>
      <c r="Y76" s="226"/>
      <c r="Z76" s="220"/>
      <c r="AA76" s="221"/>
      <c r="AB76" s="226"/>
      <c r="AC76" s="220"/>
      <c r="AD76" s="168">
        <f t="shared" si="7"/>
        <v>0</v>
      </c>
      <c r="AE76" s="168">
        <f t="shared" si="8"/>
        <v>0</v>
      </c>
      <c r="AF76" s="169"/>
      <c r="AG76" s="195"/>
      <c r="AH76" s="195"/>
      <c r="AN76" s="203"/>
      <c r="AO76" s="203"/>
      <c r="AP76" s="203"/>
      <c r="AQ76" s="203"/>
      <c r="AR76" s="203"/>
      <c r="AS76" s="203"/>
      <c r="AT76" s="203"/>
      <c r="AU76" s="195"/>
      <c r="AV76" s="203"/>
      <c r="AW76" s="203"/>
      <c r="AX76" s="195"/>
      <c r="AY76" s="195"/>
      <c r="AZ76" s="203"/>
      <c r="BU76" s="204"/>
      <c r="BV76" s="204"/>
      <c r="BW76" s="204"/>
      <c r="BX76" s="204"/>
      <c r="BY76" s="204"/>
      <c r="BZ76" s="204"/>
      <c r="CA76" s="204"/>
      <c r="CB76" s="204"/>
      <c r="CC76" s="204"/>
      <c r="CD76" s="204"/>
      <c r="CE76" s="204"/>
      <c r="CF76" s="204"/>
      <c r="CG76" s="204"/>
      <c r="CH76" s="204"/>
      <c r="CI76" s="204"/>
      <c r="CJ76" s="204"/>
      <c r="CK76" s="204"/>
      <c r="CL76" s="204"/>
      <c r="CM76" s="204"/>
      <c r="CN76" s="204"/>
      <c r="CO76" s="204"/>
      <c r="CP76" s="204"/>
      <c r="CQ76" s="204"/>
      <c r="CR76" s="204"/>
      <c r="CS76" s="204"/>
      <c r="CT76" s="204"/>
      <c r="CU76" s="204"/>
      <c r="CV76" s="204"/>
      <c r="CW76" s="204"/>
      <c r="CX76" s="204"/>
      <c r="CY76" s="204"/>
      <c r="CZ76" s="204"/>
      <c r="DA76" s="204"/>
      <c r="DB76" s="204"/>
      <c r="DC76" s="204"/>
      <c r="DD76" s="204"/>
      <c r="DE76" s="204"/>
      <c r="DF76" s="204"/>
      <c r="DG76" s="204"/>
      <c r="DH76" s="204"/>
      <c r="DI76" s="204"/>
      <c r="DJ76" s="204"/>
      <c r="DK76" s="204"/>
      <c r="DL76" s="204"/>
      <c r="DM76" s="204"/>
      <c r="DN76" s="204"/>
      <c r="DO76" s="204"/>
      <c r="DP76" s="204"/>
      <c r="DQ76" s="204"/>
      <c r="DR76" s="204"/>
      <c r="DS76" s="204"/>
      <c r="DT76" s="204"/>
      <c r="DU76" s="204"/>
      <c r="DV76" s="204"/>
      <c r="DW76" s="204"/>
      <c r="DX76" s="204"/>
      <c r="DY76" s="204"/>
      <c r="DZ76" s="204"/>
      <c r="EA76" s="204"/>
      <c r="EB76" s="204"/>
      <c r="EC76" s="204"/>
      <c r="ED76" s="204"/>
      <c r="EE76" s="204"/>
      <c r="EF76" s="204"/>
      <c r="EG76" s="204"/>
      <c r="EH76" s="204"/>
      <c r="EI76" s="204"/>
      <c r="EJ76" s="204"/>
      <c r="EK76" s="204"/>
      <c r="EL76" s="204"/>
      <c r="EM76" s="204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FC76" s="200" t="str">
        <f t="shared" si="6"/>
        <v>I</v>
      </c>
    </row>
    <row r="77" spans="1:159" s="202" customFormat="1" ht="29.1" customHeight="1" x14ac:dyDescent="0.2">
      <c r="A77" s="142"/>
      <c r="B77" s="146"/>
      <c r="C77" s="153"/>
      <c r="D77" s="51"/>
      <c r="E77" s="38"/>
      <c r="F77" s="220"/>
      <c r="G77" s="221"/>
      <c r="H77" s="226"/>
      <c r="I77" s="226"/>
      <c r="J77" s="226"/>
      <c r="K77" s="224"/>
      <c r="L77" s="220"/>
      <c r="M77" s="221"/>
      <c r="N77" s="226"/>
      <c r="O77" s="226"/>
      <c r="P77" s="226"/>
      <c r="Q77" s="224"/>
      <c r="R77" s="220"/>
      <c r="S77" s="221"/>
      <c r="T77" s="226"/>
      <c r="U77" s="226"/>
      <c r="V77" s="220"/>
      <c r="W77" s="221"/>
      <c r="X77" s="226"/>
      <c r="Y77" s="226"/>
      <c r="Z77" s="220"/>
      <c r="AA77" s="221"/>
      <c r="AB77" s="226"/>
      <c r="AC77" s="220"/>
      <c r="AD77" s="168">
        <f t="shared" si="7"/>
        <v>0</v>
      </c>
      <c r="AE77" s="168">
        <f t="shared" si="8"/>
        <v>0</v>
      </c>
      <c r="AF77" s="169"/>
      <c r="AG77" s="195"/>
      <c r="AH77" s="195"/>
      <c r="AN77" s="203"/>
      <c r="AO77" s="203"/>
      <c r="AP77" s="203"/>
      <c r="AQ77" s="203"/>
      <c r="AR77" s="203"/>
      <c r="AS77" s="203"/>
      <c r="AT77" s="203"/>
      <c r="AU77" s="195"/>
      <c r="AV77" s="203"/>
      <c r="AW77" s="203"/>
      <c r="AX77" s="195"/>
      <c r="AY77" s="195"/>
      <c r="AZ77" s="203"/>
      <c r="BU77" s="204"/>
      <c r="BV77" s="204"/>
      <c r="BW77" s="204"/>
      <c r="BX77" s="204"/>
      <c r="BY77" s="204"/>
      <c r="BZ77" s="204"/>
      <c r="CA77" s="204"/>
      <c r="CB77" s="204"/>
      <c r="CC77" s="204"/>
      <c r="CD77" s="204"/>
      <c r="CE77" s="204"/>
      <c r="CF77" s="204"/>
      <c r="CG77" s="204"/>
      <c r="CH77" s="204"/>
      <c r="CI77" s="204"/>
      <c r="CJ77" s="204"/>
      <c r="CK77" s="204"/>
      <c r="CL77" s="204"/>
      <c r="CM77" s="204"/>
      <c r="CN77" s="204"/>
      <c r="CO77" s="204"/>
      <c r="CP77" s="204"/>
      <c r="CQ77" s="204"/>
      <c r="CR77" s="204"/>
      <c r="CS77" s="204"/>
      <c r="CT77" s="204"/>
      <c r="CU77" s="204"/>
      <c r="CV77" s="204"/>
      <c r="CW77" s="204"/>
      <c r="CX77" s="204"/>
      <c r="CY77" s="204"/>
      <c r="CZ77" s="204"/>
      <c r="DA77" s="204"/>
      <c r="DB77" s="204"/>
      <c r="DC77" s="204"/>
      <c r="DD77" s="204"/>
      <c r="DE77" s="204"/>
      <c r="DF77" s="204"/>
      <c r="DG77" s="204"/>
      <c r="DH77" s="204"/>
      <c r="DI77" s="204"/>
      <c r="DJ77" s="204"/>
      <c r="DK77" s="204"/>
      <c r="DL77" s="204"/>
      <c r="DM77" s="204"/>
      <c r="DN77" s="204"/>
      <c r="DO77" s="204"/>
      <c r="DP77" s="204"/>
      <c r="DQ77" s="204"/>
      <c r="DR77" s="204"/>
      <c r="DS77" s="204"/>
      <c r="DT77" s="204"/>
      <c r="DU77" s="204"/>
      <c r="DV77" s="204"/>
      <c r="DW77" s="204"/>
      <c r="DX77" s="204"/>
      <c r="DY77" s="204"/>
      <c r="DZ77" s="204"/>
      <c r="EA77" s="204"/>
      <c r="EB77" s="204"/>
      <c r="EC77" s="204"/>
      <c r="ED77" s="204"/>
      <c r="EE77" s="204"/>
      <c r="EF77" s="204"/>
      <c r="EG77" s="204"/>
      <c r="EH77" s="204"/>
      <c r="EI77" s="204"/>
      <c r="EJ77" s="204"/>
      <c r="EK77" s="204"/>
      <c r="EL77" s="204"/>
      <c r="EM77" s="204"/>
      <c r="EN77" s="204"/>
      <c r="EO77" s="204"/>
      <c r="EP77" s="204"/>
      <c r="EQ77" s="204"/>
      <c r="ER77" s="204"/>
      <c r="ES77" s="204"/>
      <c r="ET77" s="204"/>
      <c r="EU77" s="204"/>
      <c r="EV77" s="204"/>
      <c r="EW77" s="204"/>
      <c r="EX77" s="204"/>
      <c r="FC77" s="200" t="str">
        <f t="shared" si="6"/>
        <v>I</v>
      </c>
    </row>
    <row r="78" spans="1:159" s="202" customFormat="1" ht="29.1" customHeight="1" x14ac:dyDescent="0.2">
      <c r="A78" s="142"/>
      <c r="B78" s="146"/>
      <c r="C78" s="153"/>
      <c r="D78" s="51"/>
      <c r="E78" s="38"/>
      <c r="F78" s="220"/>
      <c r="G78" s="221"/>
      <c r="H78" s="226"/>
      <c r="I78" s="226"/>
      <c r="J78" s="226"/>
      <c r="K78" s="224"/>
      <c r="L78" s="220"/>
      <c r="M78" s="221"/>
      <c r="N78" s="226"/>
      <c r="O78" s="226"/>
      <c r="P78" s="226"/>
      <c r="Q78" s="224"/>
      <c r="R78" s="220"/>
      <c r="S78" s="221"/>
      <c r="T78" s="226"/>
      <c r="U78" s="226"/>
      <c r="V78" s="220"/>
      <c r="W78" s="221"/>
      <c r="X78" s="226"/>
      <c r="Y78" s="226"/>
      <c r="Z78" s="220"/>
      <c r="AA78" s="221"/>
      <c r="AB78" s="226"/>
      <c r="AC78" s="220"/>
      <c r="AD78" s="168">
        <f t="shared" si="7"/>
        <v>0</v>
      </c>
      <c r="AE78" s="168">
        <f t="shared" si="8"/>
        <v>0</v>
      </c>
      <c r="AF78" s="169"/>
      <c r="AG78" s="195"/>
      <c r="AH78" s="195"/>
      <c r="AN78" s="203"/>
      <c r="AO78" s="203"/>
      <c r="AP78" s="203"/>
      <c r="AQ78" s="203"/>
      <c r="AR78" s="203"/>
      <c r="AS78" s="203"/>
      <c r="AT78" s="203"/>
      <c r="AU78" s="195"/>
      <c r="AV78" s="203"/>
      <c r="AW78" s="203"/>
      <c r="AX78" s="195"/>
      <c r="AY78" s="195"/>
      <c r="AZ78" s="203"/>
      <c r="BU78" s="204"/>
      <c r="BV78" s="204"/>
      <c r="BW78" s="204"/>
      <c r="BX78" s="204"/>
      <c r="BY78" s="204"/>
      <c r="BZ78" s="204"/>
      <c r="CA78" s="204"/>
      <c r="CB78" s="204"/>
      <c r="CC78" s="204"/>
      <c r="CD78" s="204"/>
      <c r="CE78" s="204"/>
      <c r="CF78" s="204"/>
      <c r="CG78" s="204"/>
      <c r="CH78" s="204"/>
      <c r="CI78" s="204"/>
      <c r="CJ78" s="204"/>
      <c r="CK78" s="204"/>
      <c r="CL78" s="204"/>
      <c r="CM78" s="204"/>
      <c r="CN78" s="204"/>
      <c r="CO78" s="204"/>
      <c r="CP78" s="204"/>
      <c r="CQ78" s="204"/>
      <c r="CR78" s="204"/>
      <c r="CS78" s="204"/>
      <c r="CT78" s="204"/>
      <c r="CU78" s="204"/>
      <c r="CV78" s="204"/>
      <c r="CW78" s="204"/>
      <c r="CX78" s="204"/>
      <c r="CY78" s="204"/>
      <c r="CZ78" s="204"/>
      <c r="DA78" s="204"/>
      <c r="DB78" s="204"/>
      <c r="DC78" s="204"/>
      <c r="DD78" s="204"/>
      <c r="DE78" s="204"/>
      <c r="DF78" s="204"/>
      <c r="DG78" s="204"/>
      <c r="DH78" s="204"/>
      <c r="DI78" s="204"/>
      <c r="DJ78" s="204"/>
      <c r="DK78" s="204"/>
      <c r="DL78" s="204"/>
      <c r="DM78" s="204"/>
      <c r="DN78" s="204"/>
      <c r="DO78" s="204"/>
      <c r="DP78" s="204"/>
      <c r="DQ78" s="204"/>
      <c r="DR78" s="204"/>
      <c r="DS78" s="204"/>
      <c r="DT78" s="204"/>
      <c r="DU78" s="204"/>
      <c r="DV78" s="204"/>
      <c r="DW78" s="204"/>
      <c r="DX78" s="204"/>
      <c r="DY78" s="204"/>
      <c r="DZ78" s="204"/>
      <c r="EA78" s="204"/>
      <c r="EB78" s="204"/>
      <c r="EC78" s="204"/>
      <c r="ED78" s="204"/>
      <c r="EE78" s="204"/>
      <c r="EF78" s="204"/>
      <c r="EG78" s="204"/>
      <c r="EH78" s="204"/>
      <c r="EI78" s="204"/>
      <c r="EJ78" s="204"/>
      <c r="EK78" s="204"/>
      <c r="EL78" s="204"/>
      <c r="EM78" s="204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FC78" s="200" t="str">
        <f t="shared" si="6"/>
        <v>I</v>
      </c>
    </row>
    <row r="79" spans="1:159" s="202" customFormat="1" ht="29.1" customHeight="1" x14ac:dyDescent="0.2">
      <c r="A79" s="142"/>
      <c r="B79" s="146"/>
      <c r="C79" s="153"/>
      <c r="D79" s="51"/>
      <c r="E79" s="38"/>
      <c r="F79" s="220"/>
      <c r="G79" s="221"/>
      <c r="H79" s="226"/>
      <c r="I79" s="226"/>
      <c r="J79" s="226"/>
      <c r="K79" s="224"/>
      <c r="L79" s="220"/>
      <c r="M79" s="221"/>
      <c r="N79" s="226"/>
      <c r="O79" s="226"/>
      <c r="P79" s="226"/>
      <c r="Q79" s="224"/>
      <c r="R79" s="220"/>
      <c r="S79" s="221"/>
      <c r="T79" s="226"/>
      <c r="U79" s="226"/>
      <c r="V79" s="220"/>
      <c r="W79" s="221"/>
      <c r="X79" s="226"/>
      <c r="Y79" s="226"/>
      <c r="Z79" s="220"/>
      <c r="AA79" s="221"/>
      <c r="AB79" s="226"/>
      <c r="AC79" s="220"/>
      <c r="AD79" s="168">
        <f t="shared" si="7"/>
        <v>0</v>
      </c>
      <c r="AE79" s="168">
        <f t="shared" si="8"/>
        <v>0</v>
      </c>
      <c r="AF79" s="169"/>
      <c r="AG79" s="195"/>
      <c r="AH79" s="195"/>
      <c r="AN79" s="203"/>
      <c r="AO79" s="203"/>
      <c r="AP79" s="203"/>
      <c r="AQ79" s="203"/>
      <c r="AR79" s="203"/>
      <c r="AS79" s="203"/>
      <c r="AT79" s="203"/>
      <c r="AU79" s="195"/>
      <c r="AV79" s="203"/>
      <c r="AW79" s="203"/>
      <c r="AX79" s="195"/>
      <c r="AY79" s="195"/>
      <c r="AZ79" s="203"/>
      <c r="BU79" s="204"/>
      <c r="BV79" s="204"/>
      <c r="BW79" s="204"/>
      <c r="BX79" s="204"/>
      <c r="BY79" s="204"/>
      <c r="BZ79" s="204"/>
      <c r="CA79" s="204"/>
      <c r="CB79" s="204"/>
      <c r="CC79" s="204"/>
      <c r="CD79" s="204"/>
      <c r="CE79" s="204"/>
      <c r="CF79" s="204"/>
      <c r="CG79" s="204"/>
      <c r="CH79" s="204"/>
      <c r="CI79" s="204"/>
      <c r="CJ79" s="204"/>
      <c r="CK79" s="204"/>
      <c r="CL79" s="204"/>
      <c r="CM79" s="204"/>
      <c r="CN79" s="204"/>
      <c r="CO79" s="204"/>
      <c r="CP79" s="204"/>
      <c r="CQ79" s="204"/>
      <c r="CR79" s="204"/>
      <c r="CS79" s="204"/>
      <c r="CT79" s="204"/>
      <c r="CU79" s="204"/>
      <c r="CV79" s="204"/>
      <c r="CW79" s="204"/>
      <c r="CX79" s="204"/>
      <c r="CY79" s="204"/>
      <c r="CZ79" s="204"/>
      <c r="DA79" s="204"/>
      <c r="DB79" s="204"/>
      <c r="DC79" s="204"/>
      <c r="DD79" s="204"/>
      <c r="DE79" s="204"/>
      <c r="DF79" s="204"/>
      <c r="DG79" s="204"/>
      <c r="DH79" s="204"/>
      <c r="DI79" s="204"/>
      <c r="DJ79" s="204"/>
      <c r="DK79" s="204"/>
      <c r="DL79" s="204"/>
      <c r="DM79" s="204"/>
      <c r="DN79" s="204"/>
      <c r="DO79" s="204"/>
      <c r="DP79" s="204"/>
      <c r="DQ79" s="204"/>
      <c r="DR79" s="204"/>
      <c r="DS79" s="204"/>
      <c r="DT79" s="204"/>
      <c r="DU79" s="204"/>
      <c r="DV79" s="204"/>
      <c r="DW79" s="204"/>
      <c r="DX79" s="204"/>
      <c r="DY79" s="204"/>
      <c r="DZ79" s="204"/>
      <c r="EA79" s="204"/>
      <c r="EB79" s="204"/>
      <c r="EC79" s="204"/>
      <c r="ED79" s="204"/>
      <c r="EE79" s="204"/>
      <c r="EF79" s="204"/>
      <c r="EG79" s="204"/>
      <c r="EH79" s="204"/>
      <c r="EI79" s="204"/>
      <c r="EJ79" s="204"/>
      <c r="EK79" s="204"/>
      <c r="EL79" s="204"/>
      <c r="EM79" s="204"/>
      <c r="EN79" s="204"/>
      <c r="EO79" s="204"/>
      <c r="EP79" s="204"/>
      <c r="EQ79" s="204"/>
      <c r="ER79" s="204"/>
      <c r="ES79" s="204"/>
      <c r="ET79" s="204"/>
      <c r="EU79" s="204"/>
      <c r="EV79" s="204"/>
      <c r="EW79" s="204"/>
      <c r="EX79" s="204"/>
      <c r="FC79" s="200" t="str">
        <f t="shared" si="6"/>
        <v>I</v>
      </c>
    </row>
    <row r="80" spans="1:159" s="202" customFormat="1" ht="29.1" customHeight="1" x14ac:dyDescent="0.2">
      <c r="A80" s="142"/>
      <c r="B80" s="146"/>
      <c r="C80" s="153"/>
      <c r="D80" s="51"/>
      <c r="E80" s="38"/>
      <c r="F80" s="220"/>
      <c r="G80" s="221"/>
      <c r="H80" s="226"/>
      <c r="I80" s="226"/>
      <c r="J80" s="226"/>
      <c r="K80" s="224"/>
      <c r="L80" s="220"/>
      <c r="M80" s="221"/>
      <c r="N80" s="226"/>
      <c r="O80" s="226"/>
      <c r="P80" s="226"/>
      <c r="Q80" s="224"/>
      <c r="R80" s="220"/>
      <c r="S80" s="221"/>
      <c r="T80" s="226"/>
      <c r="U80" s="226"/>
      <c r="V80" s="220"/>
      <c r="W80" s="221"/>
      <c r="X80" s="226"/>
      <c r="Y80" s="226"/>
      <c r="Z80" s="220"/>
      <c r="AA80" s="221"/>
      <c r="AB80" s="226"/>
      <c r="AC80" s="220"/>
      <c r="AD80" s="168">
        <f t="shared" si="7"/>
        <v>0</v>
      </c>
      <c r="AE80" s="168">
        <f t="shared" si="8"/>
        <v>0</v>
      </c>
      <c r="AF80" s="169"/>
      <c r="AG80" s="195"/>
      <c r="AH80" s="195"/>
      <c r="AN80" s="203"/>
      <c r="AO80" s="203"/>
      <c r="AP80" s="203"/>
      <c r="AQ80" s="203"/>
      <c r="AR80" s="203"/>
      <c r="AS80" s="203"/>
      <c r="AT80" s="203"/>
      <c r="AU80" s="195"/>
      <c r="AV80" s="203"/>
      <c r="AW80" s="203"/>
      <c r="AX80" s="195"/>
      <c r="AY80" s="195"/>
      <c r="AZ80" s="203"/>
      <c r="BU80" s="204"/>
      <c r="BV80" s="204"/>
      <c r="BW80" s="204"/>
      <c r="BX80" s="204"/>
      <c r="BY80" s="204"/>
      <c r="BZ80" s="204"/>
      <c r="CA80" s="204"/>
      <c r="CB80" s="204"/>
      <c r="CC80" s="204"/>
      <c r="CD80" s="204"/>
      <c r="CE80" s="204"/>
      <c r="CF80" s="204"/>
      <c r="CG80" s="204"/>
      <c r="CH80" s="204"/>
      <c r="CI80" s="204"/>
      <c r="CJ80" s="204"/>
      <c r="CK80" s="204"/>
      <c r="CL80" s="204"/>
      <c r="CM80" s="204"/>
      <c r="CN80" s="204"/>
      <c r="CO80" s="204"/>
      <c r="CP80" s="204"/>
      <c r="CQ80" s="204"/>
      <c r="CR80" s="204"/>
      <c r="CS80" s="204"/>
      <c r="CT80" s="204"/>
      <c r="CU80" s="204"/>
      <c r="CV80" s="204"/>
      <c r="CW80" s="204"/>
      <c r="CX80" s="204"/>
      <c r="CY80" s="204"/>
      <c r="CZ80" s="204"/>
      <c r="DA80" s="204"/>
      <c r="DB80" s="204"/>
      <c r="DC80" s="204"/>
      <c r="DD80" s="204"/>
      <c r="DE80" s="204"/>
      <c r="DF80" s="204"/>
      <c r="DG80" s="204"/>
      <c r="DH80" s="204"/>
      <c r="DI80" s="204"/>
      <c r="DJ80" s="204"/>
      <c r="DK80" s="204"/>
      <c r="DL80" s="204"/>
      <c r="DM80" s="204"/>
      <c r="DN80" s="204"/>
      <c r="DO80" s="204"/>
      <c r="DP80" s="204"/>
      <c r="DQ80" s="204"/>
      <c r="DR80" s="204"/>
      <c r="DS80" s="204"/>
      <c r="DT80" s="204"/>
      <c r="DU80" s="204"/>
      <c r="DV80" s="204"/>
      <c r="DW80" s="204"/>
      <c r="DX80" s="204"/>
      <c r="DY80" s="204"/>
      <c r="DZ80" s="204"/>
      <c r="EA80" s="204"/>
      <c r="EB80" s="204"/>
      <c r="EC80" s="204"/>
      <c r="ED80" s="204"/>
      <c r="EE80" s="204"/>
      <c r="EF80" s="204"/>
      <c r="EG80" s="204"/>
      <c r="EH80" s="204"/>
      <c r="EI80" s="204"/>
      <c r="EJ80" s="204"/>
      <c r="EK80" s="204"/>
      <c r="EL80" s="204"/>
      <c r="EM80" s="204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FC80" s="200" t="str">
        <f t="shared" si="6"/>
        <v>I</v>
      </c>
    </row>
    <row r="81" spans="1:159" s="202" customFormat="1" ht="29.1" customHeight="1" x14ac:dyDescent="0.2">
      <c r="A81" s="142"/>
      <c r="B81" s="146"/>
      <c r="C81" s="153"/>
      <c r="D81" s="51"/>
      <c r="E81" s="38"/>
      <c r="F81" s="220"/>
      <c r="G81" s="221"/>
      <c r="H81" s="226"/>
      <c r="I81" s="226"/>
      <c r="J81" s="226"/>
      <c r="K81" s="224"/>
      <c r="L81" s="220"/>
      <c r="M81" s="221"/>
      <c r="N81" s="226"/>
      <c r="O81" s="226"/>
      <c r="P81" s="226"/>
      <c r="Q81" s="224"/>
      <c r="R81" s="220"/>
      <c r="S81" s="221"/>
      <c r="T81" s="226"/>
      <c r="U81" s="226"/>
      <c r="V81" s="220"/>
      <c r="W81" s="221"/>
      <c r="X81" s="226"/>
      <c r="Y81" s="226"/>
      <c r="Z81" s="220"/>
      <c r="AA81" s="221"/>
      <c r="AB81" s="226"/>
      <c r="AC81" s="220"/>
      <c r="AD81" s="168">
        <f t="shared" si="7"/>
        <v>0</v>
      </c>
      <c r="AE81" s="168">
        <f t="shared" si="8"/>
        <v>0</v>
      </c>
      <c r="AF81" s="169"/>
      <c r="AG81" s="195"/>
      <c r="AH81" s="195"/>
      <c r="AN81" s="203"/>
      <c r="AO81" s="203"/>
      <c r="AP81" s="203"/>
      <c r="AQ81" s="203"/>
      <c r="AR81" s="203"/>
      <c r="AS81" s="203"/>
      <c r="AT81" s="203"/>
      <c r="AU81" s="195"/>
      <c r="AV81" s="203"/>
      <c r="AW81" s="203"/>
      <c r="AX81" s="195"/>
      <c r="AY81" s="195"/>
      <c r="AZ81" s="203"/>
      <c r="BU81" s="204"/>
      <c r="BV81" s="204"/>
      <c r="BW81" s="204"/>
      <c r="BX81" s="204"/>
      <c r="BY81" s="204"/>
      <c r="BZ81" s="204"/>
      <c r="CA81" s="204"/>
      <c r="CB81" s="204"/>
      <c r="CC81" s="204"/>
      <c r="CD81" s="204"/>
      <c r="CE81" s="204"/>
      <c r="CF81" s="204"/>
      <c r="CG81" s="204"/>
      <c r="CH81" s="204"/>
      <c r="CI81" s="204"/>
      <c r="CJ81" s="204"/>
      <c r="CK81" s="204"/>
      <c r="CL81" s="204"/>
      <c r="CM81" s="204"/>
      <c r="CN81" s="204"/>
      <c r="CO81" s="204"/>
      <c r="CP81" s="204"/>
      <c r="CQ81" s="204"/>
      <c r="CR81" s="204"/>
      <c r="CS81" s="204"/>
      <c r="CT81" s="204"/>
      <c r="CU81" s="204"/>
      <c r="CV81" s="204"/>
      <c r="CW81" s="204"/>
      <c r="CX81" s="204"/>
      <c r="CY81" s="204"/>
      <c r="CZ81" s="204"/>
      <c r="DA81" s="204"/>
      <c r="DB81" s="204"/>
      <c r="DC81" s="204"/>
      <c r="DD81" s="204"/>
      <c r="DE81" s="204"/>
      <c r="DF81" s="204"/>
      <c r="DG81" s="204"/>
      <c r="DH81" s="204"/>
      <c r="DI81" s="204"/>
      <c r="DJ81" s="204"/>
      <c r="DK81" s="204"/>
      <c r="DL81" s="204"/>
      <c r="DM81" s="204"/>
      <c r="DN81" s="204"/>
      <c r="DO81" s="204"/>
      <c r="DP81" s="204"/>
      <c r="DQ81" s="204"/>
      <c r="DR81" s="204"/>
      <c r="DS81" s="204"/>
      <c r="DT81" s="204"/>
      <c r="DU81" s="204"/>
      <c r="DV81" s="204"/>
      <c r="DW81" s="204"/>
      <c r="DX81" s="204"/>
      <c r="DY81" s="204"/>
      <c r="DZ81" s="204"/>
      <c r="EA81" s="204"/>
      <c r="EB81" s="204"/>
      <c r="EC81" s="204"/>
      <c r="ED81" s="204"/>
      <c r="EE81" s="204"/>
      <c r="EF81" s="204"/>
      <c r="EG81" s="204"/>
      <c r="EH81" s="204"/>
      <c r="EI81" s="204"/>
      <c r="EJ81" s="204"/>
      <c r="EK81" s="204"/>
      <c r="EL81" s="204"/>
      <c r="EM81" s="204"/>
      <c r="EN81" s="204"/>
      <c r="EO81" s="204"/>
      <c r="EP81" s="204"/>
      <c r="EQ81" s="204"/>
      <c r="ER81" s="204"/>
      <c r="ES81" s="204"/>
      <c r="ET81" s="204"/>
      <c r="EU81" s="204"/>
      <c r="EV81" s="204"/>
      <c r="EW81" s="204"/>
      <c r="EX81" s="204"/>
      <c r="FC81" s="200" t="str">
        <f t="shared" si="6"/>
        <v>I</v>
      </c>
    </row>
    <row r="82" spans="1:159" s="202" customFormat="1" ht="29.1" customHeight="1" x14ac:dyDescent="0.2">
      <c r="A82" s="142"/>
      <c r="B82" s="146"/>
      <c r="C82" s="153"/>
      <c r="D82" s="51"/>
      <c r="E82" s="38"/>
      <c r="F82" s="220"/>
      <c r="G82" s="221"/>
      <c r="H82" s="226"/>
      <c r="I82" s="226"/>
      <c r="J82" s="226"/>
      <c r="K82" s="224"/>
      <c r="L82" s="220"/>
      <c r="M82" s="221"/>
      <c r="N82" s="226"/>
      <c r="O82" s="226"/>
      <c r="P82" s="226"/>
      <c r="Q82" s="224"/>
      <c r="R82" s="220"/>
      <c r="S82" s="221"/>
      <c r="T82" s="226"/>
      <c r="U82" s="226"/>
      <c r="V82" s="220"/>
      <c r="W82" s="221"/>
      <c r="X82" s="226"/>
      <c r="Y82" s="226"/>
      <c r="Z82" s="220"/>
      <c r="AA82" s="221"/>
      <c r="AB82" s="226"/>
      <c r="AC82" s="220"/>
      <c r="AD82" s="168">
        <f t="shared" si="7"/>
        <v>0</v>
      </c>
      <c r="AE82" s="168">
        <f t="shared" si="8"/>
        <v>0</v>
      </c>
      <c r="AF82" s="169"/>
      <c r="AG82" s="195"/>
      <c r="AH82" s="195"/>
      <c r="AN82" s="203"/>
      <c r="AO82" s="203"/>
      <c r="AP82" s="203"/>
      <c r="AQ82" s="203"/>
      <c r="AR82" s="203"/>
      <c r="AS82" s="203"/>
      <c r="AT82" s="203"/>
      <c r="AU82" s="195"/>
      <c r="AV82" s="203"/>
      <c r="AW82" s="203"/>
      <c r="AX82" s="195"/>
      <c r="AY82" s="195"/>
      <c r="AZ82" s="203"/>
      <c r="BU82" s="204"/>
      <c r="BV82" s="204"/>
      <c r="BW82" s="204"/>
      <c r="BX82" s="204"/>
      <c r="BY82" s="204"/>
      <c r="BZ82" s="204"/>
      <c r="CA82" s="204"/>
      <c r="CB82" s="204"/>
      <c r="CC82" s="204"/>
      <c r="CD82" s="204"/>
      <c r="CE82" s="204"/>
      <c r="CF82" s="204"/>
      <c r="CG82" s="204"/>
      <c r="CH82" s="204"/>
      <c r="CI82" s="204"/>
      <c r="CJ82" s="204"/>
      <c r="CK82" s="204"/>
      <c r="CL82" s="204"/>
      <c r="CM82" s="204"/>
      <c r="CN82" s="204"/>
      <c r="CO82" s="204"/>
      <c r="CP82" s="204"/>
      <c r="CQ82" s="204"/>
      <c r="CR82" s="204"/>
      <c r="CS82" s="204"/>
      <c r="CT82" s="204"/>
      <c r="CU82" s="204"/>
      <c r="CV82" s="204"/>
      <c r="CW82" s="204"/>
      <c r="CX82" s="204"/>
      <c r="CY82" s="204"/>
      <c r="CZ82" s="204"/>
      <c r="DA82" s="204"/>
      <c r="DB82" s="204"/>
      <c r="DC82" s="204"/>
      <c r="DD82" s="204"/>
      <c r="DE82" s="204"/>
      <c r="DF82" s="204"/>
      <c r="DG82" s="204"/>
      <c r="DH82" s="204"/>
      <c r="DI82" s="204"/>
      <c r="DJ82" s="204"/>
      <c r="DK82" s="204"/>
      <c r="DL82" s="204"/>
      <c r="DM82" s="204"/>
      <c r="DN82" s="204"/>
      <c r="DO82" s="204"/>
      <c r="DP82" s="204"/>
      <c r="DQ82" s="204"/>
      <c r="DR82" s="204"/>
      <c r="DS82" s="204"/>
      <c r="DT82" s="204"/>
      <c r="DU82" s="204"/>
      <c r="DV82" s="204"/>
      <c r="DW82" s="204"/>
      <c r="DX82" s="204"/>
      <c r="DY82" s="204"/>
      <c r="DZ82" s="204"/>
      <c r="EA82" s="204"/>
      <c r="EB82" s="204"/>
      <c r="EC82" s="204"/>
      <c r="ED82" s="204"/>
      <c r="EE82" s="204"/>
      <c r="EF82" s="204"/>
      <c r="EG82" s="204"/>
      <c r="EH82" s="204"/>
      <c r="EI82" s="204"/>
      <c r="EJ82" s="204"/>
      <c r="EK82" s="204"/>
      <c r="EL82" s="204"/>
      <c r="EM82" s="204"/>
      <c r="EN82" s="204"/>
      <c r="EO82" s="204"/>
      <c r="EP82" s="204"/>
      <c r="EQ82" s="204"/>
      <c r="ER82" s="204"/>
      <c r="ES82" s="204"/>
      <c r="ET82" s="204"/>
      <c r="EU82" s="204"/>
      <c r="EV82" s="204"/>
      <c r="EW82" s="204"/>
      <c r="EX82" s="204"/>
      <c r="FC82" s="200" t="str">
        <f t="shared" si="6"/>
        <v>I</v>
      </c>
    </row>
    <row r="83" spans="1:159" s="202" customFormat="1" ht="29.1" customHeight="1" x14ac:dyDescent="0.2">
      <c r="A83" s="142"/>
      <c r="B83" s="146"/>
      <c r="C83" s="153"/>
      <c r="D83" s="51"/>
      <c r="E83" s="38"/>
      <c r="F83" s="220"/>
      <c r="G83" s="221"/>
      <c r="H83" s="226"/>
      <c r="I83" s="226"/>
      <c r="J83" s="226"/>
      <c r="K83" s="224"/>
      <c r="L83" s="220"/>
      <c r="M83" s="221"/>
      <c r="N83" s="226"/>
      <c r="O83" s="226"/>
      <c r="P83" s="226"/>
      <c r="Q83" s="224"/>
      <c r="R83" s="220"/>
      <c r="S83" s="221"/>
      <c r="T83" s="226"/>
      <c r="U83" s="226"/>
      <c r="V83" s="220"/>
      <c r="W83" s="221"/>
      <c r="X83" s="226"/>
      <c r="Y83" s="226"/>
      <c r="Z83" s="220"/>
      <c r="AA83" s="221"/>
      <c r="AB83" s="226"/>
      <c r="AC83" s="220"/>
      <c r="AD83" s="168">
        <f t="shared" si="7"/>
        <v>0</v>
      </c>
      <c r="AE83" s="168">
        <f t="shared" si="8"/>
        <v>0</v>
      </c>
      <c r="AF83" s="169"/>
      <c r="AG83" s="195"/>
      <c r="AH83" s="195"/>
      <c r="AN83" s="203"/>
      <c r="AO83" s="203"/>
      <c r="AP83" s="203"/>
      <c r="AQ83" s="203"/>
      <c r="AR83" s="203"/>
      <c r="AS83" s="203"/>
      <c r="AT83" s="203"/>
      <c r="AU83" s="195"/>
      <c r="AV83" s="203"/>
      <c r="AW83" s="203"/>
      <c r="AX83" s="195"/>
      <c r="AY83" s="195"/>
      <c r="AZ83" s="203"/>
      <c r="BU83" s="204"/>
      <c r="BV83" s="204"/>
      <c r="BW83" s="204"/>
      <c r="BX83" s="204"/>
      <c r="BY83" s="204"/>
      <c r="BZ83" s="204"/>
      <c r="CA83" s="204"/>
      <c r="CB83" s="204"/>
      <c r="CC83" s="204"/>
      <c r="CD83" s="204"/>
      <c r="CE83" s="204"/>
      <c r="CF83" s="204"/>
      <c r="CG83" s="204"/>
      <c r="CH83" s="204"/>
      <c r="CI83" s="204"/>
      <c r="CJ83" s="204"/>
      <c r="CK83" s="204"/>
      <c r="CL83" s="204"/>
      <c r="CM83" s="204"/>
      <c r="CN83" s="204"/>
      <c r="CO83" s="204"/>
      <c r="CP83" s="204"/>
      <c r="CQ83" s="204"/>
      <c r="CR83" s="204"/>
      <c r="CS83" s="204"/>
      <c r="CT83" s="204"/>
      <c r="CU83" s="204"/>
      <c r="CV83" s="204"/>
      <c r="CW83" s="204"/>
      <c r="CX83" s="204"/>
      <c r="CY83" s="204"/>
      <c r="CZ83" s="204"/>
      <c r="DA83" s="204"/>
      <c r="DB83" s="204"/>
      <c r="DC83" s="204"/>
      <c r="DD83" s="204"/>
      <c r="DE83" s="204"/>
      <c r="DF83" s="204"/>
      <c r="DG83" s="204"/>
      <c r="DH83" s="204"/>
      <c r="DI83" s="204"/>
      <c r="DJ83" s="204"/>
      <c r="DK83" s="204"/>
      <c r="DL83" s="204"/>
      <c r="DM83" s="204"/>
      <c r="DN83" s="204"/>
      <c r="DO83" s="204"/>
      <c r="DP83" s="204"/>
      <c r="DQ83" s="204"/>
      <c r="DR83" s="204"/>
      <c r="DS83" s="204"/>
      <c r="DT83" s="204"/>
      <c r="DU83" s="204"/>
      <c r="DV83" s="204"/>
      <c r="DW83" s="204"/>
      <c r="DX83" s="204"/>
      <c r="DY83" s="204"/>
      <c r="DZ83" s="204"/>
      <c r="EA83" s="204"/>
      <c r="EB83" s="204"/>
      <c r="EC83" s="204"/>
      <c r="ED83" s="204"/>
      <c r="EE83" s="204"/>
      <c r="EF83" s="204"/>
      <c r="EG83" s="204"/>
      <c r="EH83" s="204"/>
      <c r="EI83" s="204"/>
      <c r="EJ83" s="204"/>
      <c r="EK83" s="204"/>
      <c r="EL83" s="204"/>
      <c r="EM83" s="204"/>
      <c r="EN83" s="204"/>
      <c r="EO83" s="204"/>
      <c r="EP83" s="204"/>
      <c r="EQ83" s="204"/>
      <c r="ER83" s="204"/>
      <c r="ES83" s="204"/>
      <c r="ET83" s="204"/>
      <c r="EU83" s="204"/>
      <c r="EV83" s="204"/>
      <c r="EW83" s="204"/>
      <c r="EX83" s="204"/>
      <c r="FC83" s="200" t="str">
        <f t="shared" si="6"/>
        <v>I</v>
      </c>
    </row>
    <row r="84" spans="1:159" s="202" customFormat="1" ht="29.1" customHeight="1" x14ac:dyDescent="0.2">
      <c r="A84" s="142"/>
      <c r="B84" s="146"/>
      <c r="C84" s="153"/>
      <c r="D84" s="51"/>
      <c r="E84" s="38"/>
      <c r="F84" s="220"/>
      <c r="G84" s="221"/>
      <c r="H84" s="226"/>
      <c r="I84" s="226"/>
      <c r="J84" s="226"/>
      <c r="K84" s="224"/>
      <c r="L84" s="220"/>
      <c r="M84" s="221"/>
      <c r="N84" s="226"/>
      <c r="O84" s="226"/>
      <c r="P84" s="226"/>
      <c r="Q84" s="224"/>
      <c r="R84" s="220"/>
      <c r="S84" s="221"/>
      <c r="T84" s="226"/>
      <c r="U84" s="226"/>
      <c r="V84" s="220"/>
      <c r="W84" s="221"/>
      <c r="X84" s="226"/>
      <c r="Y84" s="226"/>
      <c r="Z84" s="220"/>
      <c r="AA84" s="221"/>
      <c r="AB84" s="226"/>
      <c r="AC84" s="220"/>
      <c r="AD84" s="168">
        <f t="shared" si="7"/>
        <v>0</v>
      </c>
      <c r="AE84" s="168">
        <f t="shared" si="8"/>
        <v>0</v>
      </c>
      <c r="AF84" s="169"/>
      <c r="AG84" s="195"/>
      <c r="AH84" s="195"/>
      <c r="AN84" s="203"/>
      <c r="AO84" s="203"/>
      <c r="AP84" s="203"/>
      <c r="AQ84" s="203"/>
      <c r="AR84" s="203"/>
      <c r="AS84" s="203"/>
      <c r="AT84" s="203"/>
      <c r="AU84" s="195"/>
      <c r="AV84" s="203"/>
      <c r="AW84" s="203"/>
      <c r="AX84" s="195"/>
      <c r="AY84" s="195"/>
      <c r="AZ84" s="203"/>
      <c r="BU84" s="204"/>
      <c r="BV84" s="204"/>
      <c r="BW84" s="204"/>
      <c r="BX84" s="204"/>
      <c r="BY84" s="204"/>
      <c r="BZ84" s="204"/>
      <c r="CA84" s="204"/>
      <c r="CB84" s="204"/>
      <c r="CC84" s="204"/>
      <c r="CD84" s="204"/>
      <c r="CE84" s="204"/>
      <c r="CF84" s="204"/>
      <c r="CG84" s="204"/>
      <c r="CH84" s="204"/>
      <c r="CI84" s="204"/>
      <c r="CJ84" s="204"/>
      <c r="CK84" s="204"/>
      <c r="CL84" s="204"/>
      <c r="CM84" s="204"/>
      <c r="CN84" s="204"/>
      <c r="CO84" s="204"/>
      <c r="CP84" s="204"/>
      <c r="CQ84" s="204"/>
      <c r="CR84" s="204"/>
      <c r="CS84" s="204"/>
      <c r="CT84" s="204"/>
      <c r="CU84" s="204"/>
      <c r="CV84" s="204"/>
      <c r="CW84" s="204"/>
      <c r="CX84" s="204"/>
      <c r="CY84" s="204"/>
      <c r="CZ84" s="204"/>
      <c r="DA84" s="204"/>
      <c r="DB84" s="204"/>
      <c r="DC84" s="204"/>
      <c r="DD84" s="204"/>
      <c r="DE84" s="204"/>
      <c r="DF84" s="204"/>
      <c r="DG84" s="204"/>
      <c r="DH84" s="204"/>
      <c r="DI84" s="204"/>
      <c r="DJ84" s="204"/>
      <c r="DK84" s="204"/>
      <c r="DL84" s="204"/>
      <c r="DM84" s="204"/>
      <c r="DN84" s="204"/>
      <c r="DO84" s="204"/>
      <c r="DP84" s="204"/>
      <c r="DQ84" s="204"/>
      <c r="DR84" s="204"/>
      <c r="DS84" s="204"/>
      <c r="DT84" s="204"/>
      <c r="DU84" s="204"/>
      <c r="DV84" s="204"/>
      <c r="DW84" s="204"/>
      <c r="DX84" s="204"/>
      <c r="DY84" s="204"/>
      <c r="DZ84" s="204"/>
      <c r="EA84" s="204"/>
      <c r="EB84" s="204"/>
      <c r="EC84" s="204"/>
      <c r="ED84" s="204"/>
      <c r="EE84" s="204"/>
      <c r="EF84" s="204"/>
      <c r="EG84" s="204"/>
      <c r="EH84" s="204"/>
      <c r="EI84" s="204"/>
      <c r="EJ84" s="204"/>
      <c r="EK84" s="204"/>
      <c r="EL84" s="204"/>
      <c r="EM84" s="204"/>
      <c r="EN84" s="204"/>
      <c r="EO84" s="204"/>
      <c r="EP84" s="204"/>
      <c r="EQ84" s="204"/>
      <c r="ER84" s="204"/>
      <c r="ES84" s="204"/>
      <c r="ET84" s="204"/>
      <c r="EU84" s="204"/>
      <c r="EV84" s="204"/>
      <c r="EW84" s="204"/>
      <c r="EX84" s="204"/>
      <c r="FC84" s="200" t="str">
        <f t="shared" si="6"/>
        <v>I</v>
      </c>
    </row>
    <row r="85" spans="1:159" s="202" customFormat="1" ht="29.1" customHeight="1" x14ac:dyDescent="0.2">
      <c r="A85" s="142"/>
      <c r="B85" s="146"/>
      <c r="C85" s="153"/>
      <c r="D85" s="51"/>
      <c r="E85" s="38"/>
      <c r="F85" s="220"/>
      <c r="G85" s="221"/>
      <c r="H85" s="226"/>
      <c r="I85" s="226"/>
      <c r="J85" s="226"/>
      <c r="K85" s="224"/>
      <c r="L85" s="220"/>
      <c r="M85" s="221"/>
      <c r="N85" s="226"/>
      <c r="O85" s="226"/>
      <c r="P85" s="226"/>
      <c r="Q85" s="224"/>
      <c r="R85" s="220"/>
      <c r="S85" s="221"/>
      <c r="T85" s="226"/>
      <c r="U85" s="226"/>
      <c r="V85" s="220"/>
      <c r="W85" s="221"/>
      <c r="X85" s="226"/>
      <c r="Y85" s="226"/>
      <c r="Z85" s="220"/>
      <c r="AA85" s="221"/>
      <c r="AB85" s="226"/>
      <c r="AC85" s="220"/>
      <c r="AD85" s="168">
        <f t="shared" si="7"/>
        <v>0</v>
      </c>
      <c r="AE85" s="168">
        <f t="shared" si="8"/>
        <v>0</v>
      </c>
      <c r="AF85" s="169"/>
      <c r="AG85" s="195"/>
      <c r="AH85" s="195"/>
      <c r="AN85" s="203"/>
      <c r="AO85" s="203"/>
      <c r="AP85" s="203"/>
      <c r="AQ85" s="203"/>
      <c r="AR85" s="203"/>
      <c r="AS85" s="203"/>
      <c r="AT85" s="203"/>
      <c r="AU85" s="195"/>
      <c r="AV85" s="203"/>
      <c r="AW85" s="203"/>
      <c r="AX85" s="195"/>
      <c r="AY85" s="195"/>
      <c r="AZ85" s="203"/>
      <c r="BU85" s="204"/>
      <c r="BV85" s="204"/>
      <c r="BW85" s="204"/>
      <c r="BX85" s="204"/>
      <c r="BY85" s="204"/>
      <c r="BZ85" s="204"/>
      <c r="CA85" s="204"/>
      <c r="CB85" s="204"/>
      <c r="CC85" s="204"/>
      <c r="CD85" s="204"/>
      <c r="CE85" s="204"/>
      <c r="CF85" s="204"/>
      <c r="CG85" s="204"/>
      <c r="CH85" s="204"/>
      <c r="CI85" s="204"/>
      <c r="CJ85" s="204"/>
      <c r="CK85" s="204"/>
      <c r="CL85" s="204"/>
      <c r="CM85" s="204"/>
      <c r="CN85" s="204"/>
      <c r="CO85" s="204"/>
      <c r="CP85" s="204"/>
      <c r="CQ85" s="204"/>
      <c r="CR85" s="204"/>
      <c r="CS85" s="204"/>
      <c r="CT85" s="204"/>
      <c r="CU85" s="204"/>
      <c r="CV85" s="204"/>
      <c r="CW85" s="204"/>
      <c r="CX85" s="204"/>
      <c r="CY85" s="204"/>
      <c r="CZ85" s="204"/>
      <c r="DA85" s="204"/>
      <c r="DB85" s="204"/>
      <c r="DC85" s="204"/>
      <c r="DD85" s="204"/>
      <c r="DE85" s="204"/>
      <c r="DF85" s="204"/>
      <c r="DG85" s="204"/>
      <c r="DH85" s="204"/>
      <c r="DI85" s="204"/>
      <c r="DJ85" s="204"/>
      <c r="DK85" s="204"/>
      <c r="DL85" s="204"/>
      <c r="DM85" s="204"/>
      <c r="DN85" s="204"/>
      <c r="DO85" s="204"/>
      <c r="DP85" s="204"/>
      <c r="DQ85" s="204"/>
      <c r="DR85" s="204"/>
      <c r="DS85" s="204"/>
      <c r="DT85" s="204"/>
      <c r="DU85" s="204"/>
      <c r="DV85" s="204"/>
      <c r="DW85" s="204"/>
      <c r="DX85" s="204"/>
      <c r="DY85" s="204"/>
      <c r="DZ85" s="204"/>
      <c r="EA85" s="204"/>
      <c r="EB85" s="204"/>
      <c r="EC85" s="204"/>
      <c r="ED85" s="204"/>
      <c r="EE85" s="204"/>
      <c r="EF85" s="204"/>
      <c r="EG85" s="204"/>
      <c r="EH85" s="204"/>
      <c r="EI85" s="204"/>
      <c r="EJ85" s="204"/>
      <c r="EK85" s="204"/>
      <c r="EL85" s="204"/>
      <c r="EM85" s="204"/>
      <c r="EN85" s="204"/>
      <c r="EO85" s="204"/>
      <c r="EP85" s="204"/>
      <c r="EQ85" s="204"/>
      <c r="ER85" s="204"/>
      <c r="ES85" s="204"/>
      <c r="ET85" s="204"/>
      <c r="EU85" s="204"/>
      <c r="EV85" s="204"/>
      <c r="EW85" s="204"/>
      <c r="EX85" s="204"/>
      <c r="FC85" s="200" t="str">
        <f t="shared" si="6"/>
        <v>I</v>
      </c>
    </row>
    <row r="86" spans="1:159" s="202" customFormat="1" ht="29.1" customHeight="1" x14ac:dyDescent="0.2">
      <c r="A86" s="142"/>
      <c r="B86" s="146"/>
      <c r="C86" s="153"/>
      <c r="D86" s="51"/>
      <c r="E86" s="38"/>
      <c r="F86" s="220"/>
      <c r="G86" s="221"/>
      <c r="H86" s="226"/>
      <c r="I86" s="226"/>
      <c r="J86" s="226"/>
      <c r="K86" s="224"/>
      <c r="L86" s="220"/>
      <c r="M86" s="221"/>
      <c r="N86" s="226"/>
      <c r="O86" s="226"/>
      <c r="P86" s="226"/>
      <c r="Q86" s="224"/>
      <c r="R86" s="220"/>
      <c r="S86" s="221"/>
      <c r="T86" s="226"/>
      <c r="U86" s="226"/>
      <c r="V86" s="220"/>
      <c r="W86" s="221"/>
      <c r="X86" s="226"/>
      <c r="Y86" s="226"/>
      <c r="Z86" s="220"/>
      <c r="AA86" s="221"/>
      <c r="AB86" s="226"/>
      <c r="AC86" s="220"/>
      <c r="AD86" s="168">
        <f t="shared" si="7"/>
        <v>0</v>
      </c>
      <c r="AE86" s="168">
        <f t="shared" si="8"/>
        <v>0</v>
      </c>
      <c r="AF86" s="169"/>
      <c r="AG86" s="195"/>
      <c r="AH86" s="195"/>
      <c r="AN86" s="203"/>
      <c r="AO86" s="203"/>
      <c r="AP86" s="203"/>
      <c r="AQ86" s="203"/>
      <c r="AR86" s="203"/>
      <c r="AS86" s="203"/>
      <c r="AT86" s="203"/>
      <c r="AU86" s="195"/>
      <c r="AV86" s="203"/>
      <c r="AW86" s="203"/>
      <c r="AX86" s="195"/>
      <c r="AY86" s="195"/>
      <c r="AZ86" s="203"/>
      <c r="BU86" s="204"/>
      <c r="BV86" s="204"/>
      <c r="BW86" s="204"/>
      <c r="BX86" s="204"/>
      <c r="BY86" s="204"/>
      <c r="BZ86" s="204"/>
      <c r="CA86" s="204"/>
      <c r="CB86" s="204"/>
      <c r="CC86" s="204"/>
      <c r="CD86" s="204"/>
      <c r="CE86" s="204"/>
      <c r="CF86" s="204"/>
      <c r="CG86" s="204"/>
      <c r="CH86" s="204"/>
      <c r="CI86" s="204"/>
      <c r="CJ86" s="204"/>
      <c r="CK86" s="204"/>
      <c r="CL86" s="204"/>
      <c r="CM86" s="204"/>
      <c r="CN86" s="204"/>
      <c r="CO86" s="204"/>
      <c r="CP86" s="204"/>
      <c r="CQ86" s="204"/>
      <c r="CR86" s="204"/>
      <c r="CS86" s="204"/>
      <c r="CT86" s="204"/>
      <c r="CU86" s="204"/>
      <c r="CV86" s="204"/>
      <c r="CW86" s="204"/>
      <c r="CX86" s="204"/>
      <c r="CY86" s="204"/>
      <c r="CZ86" s="204"/>
      <c r="DA86" s="204"/>
      <c r="DB86" s="204"/>
      <c r="DC86" s="204"/>
      <c r="DD86" s="204"/>
      <c r="DE86" s="204"/>
      <c r="DF86" s="204"/>
      <c r="DG86" s="204"/>
      <c r="DH86" s="204"/>
      <c r="DI86" s="204"/>
      <c r="DJ86" s="204"/>
      <c r="DK86" s="204"/>
      <c r="DL86" s="204"/>
      <c r="DM86" s="204"/>
      <c r="DN86" s="204"/>
      <c r="DO86" s="204"/>
      <c r="DP86" s="204"/>
      <c r="DQ86" s="204"/>
      <c r="DR86" s="204"/>
      <c r="DS86" s="204"/>
      <c r="DT86" s="204"/>
      <c r="DU86" s="204"/>
      <c r="DV86" s="204"/>
      <c r="DW86" s="204"/>
      <c r="DX86" s="204"/>
      <c r="DY86" s="204"/>
      <c r="DZ86" s="204"/>
      <c r="EA86" s="204"/>
      <c r="EB86" s="204"/>
      <c r="EC86" s="204"/>
      <c r="ED86" s="204"/>
      <c r="EE86" s="204"/>
      <c r="EF86" s="204"/>
      <c r="EG86" s="204"/>
      <c r="EH86" s="204"/>
      <c r="EI86" s="204"/>
      <c r="EJ86" s="204"/>
      <c r="EK86" s="204"/>
      <c r="EL86" s="204"/>
      <c r="EM86" s="204"/>
      <c r="EN86" s="204"/>
      <c r="EO86" s="204"/>
      <c r="EP86" s="204"/>
      <c r="EQ86" s="204"/>
      <c r="ER86" s="204"/>
      <c r="ES86" s="204"/>
      <c r="ET86" s="204"/>
      <c r="EU86" s="204"/>
      <c r="EV86" s="204"/>
      <c r="EW86" s="204"/>
      <c r="EX86" s="204"/>
      <c r="FC86" s="200" t="str">
        <f t="shared" si="6"/>
        <v>I</v>
      </c>
    </row>
    <row r="87" spans="1:159" s="202" customFormat="1" ht="29.1" customHeight="1" x14ac:dyDescent="0.2">
      <c r="A87" s="142"/>
      <c r="B87" s="146"/>
      <c r="C87" s="153"/>
      <c r="D87" s="51"/>
      <c r="E87" s="38"/>
      <c r="F87" s="220"/>
      <c r="G87" s="221"/>
      <c r="H87" s="226"/>
      <c r="I87" s="226"/>
      <c r="J87" s="226"/>
      <c r="K87" s="224"/>
      <c r="L87" s="220"/>
      <c r="M87" s="221"/>
      <c r="N87" s="226"/>
      <c r="O87" s="226"/>
      <c r="P87" s="226"/>
      <c r="Q87" s="224"/>
      <c r="R87" s="220"/>
      <c r="S87" s="221"/>
      <c r="T87" s="226"/>
      <c r="U87" s="226"/>
      <c r="V87" s="220"/>
      <c r="W87" s="221"/>
      <c r="X87" s="226"/>
      <c r="Y87" s="226"/>
      <c r="Z87" s="220"/>
      <c r="AA87" s="221"/>
      <c r="AB87" s="226"/>
      <c r="AC87" s="220"/>
      <c r="AD87" s="168">
        <f t="shared" si="7"/>
        <v>0</v>
      </c>
      <c r="AE87" s="168">
        <f t="shared" si="8"/>
        <v>0</v>
      </c>
      <c r="AF87" s="169"/>
      <c r="AG87" s="195"/>
      <c r="AH87" s="195"/>
      <c r="AN87" s="203"/>
      <c r="AO87" s="203"/>
      <c r="AP87" s="203"/>
      <c r="AQ87" s="203"/>
      <c r="AR87" s="203"/>
      <c r="AS87" s="203"/>
      <c r="AT87" s="203"/>
      <c r="AU87" s="195"/>
      <c r="AV87" s="203"/>
      <c r="AW87" s="203"/>
      <c r="AX87" s="195"/>
      <c r="AY87" s="195"/>
      <c r="AZ87" s="203"/>
      <c r="BU87" s="204"/>
      <c r="BV87" s="204"/>
      <c r="BW87" s="204"/>
      <c r="BX87" s="204"/>
      <c r="BY87" s="204"/>
      <c r="BZ87" s="204"/>
      <c r="CA87" s="204"/>
      <c r="CB87" s="204"/>
      <c r="CC87" s="204"/>
      <c r="CD87" s="204"/>
      <c r="CE87" s="204"/>
      <c r="CF87" s="204"/>
      <c r="CG87" s="204"/>
      <c r="CH87" s="204"/>
      <c r="CI87" s="204"/>
      <c r="CJ87" s="204"/>
      <c r="CK87" s="204"/>
      <c r="CL87" s="204"/>
      <c r="CM87" s="204"/>
      <c r="CN87" s="204"/>
      <c r="CO87" s="204"/>
      <c r="CP87" s="204"/>
      <c r="CQ87" s="204"/>
      <c r="CR87" s="204"/>
      <c r="CS87" s="204"/>
      <c r="CT87" s="204"/>
      <c r="CU87" s="204"/>
      <c r="CV87" s="204"/>
      <c r="CW87" s="204"/>
      <c r="CX87" s="204"/>
      <c r="CY87" s="204"/>
      <c r="CZ87" s="204"/>
      <c r="DA87" s="204"/>
      <c r="DB87" s="204"/>
      <c r="DC87" s="204"/>
      <c r="DD87" s="204"/>
      <c r="DE87" s="204"/>
      <c r="DF87" s="204"/>
      <c r="DG87" s="204"/>
      <c r="DH87" s="204"/>
      <c r="DI87" s="204"/>
      <c r="DJ87" s="204"/>
      <c r="DK87" s="204"/>
      <c r="DL87" s="204"/>
      <c r="DM87" s="204"/>
      <c r="DN87" s="204"/>
      <c r="DO87" s="204"/>
      <c r="DP87" s="204"/>
      <c r="DQ87" s="204"/>
      <c r="DR87" s="204"/>
      <c r="DS87" s="204"/>
      <c r="DT87" s="204"/>
      <c r="DU87" s="204"/>
      <c r="DV87" s="204"/>
      <c r="DW87" s="204"/>
      <c r="DX87" s="204"/>
      <c r="DY87" s="204"/>
      <c r="DZ87" s="204"/>
      <c r="EA87" s="204"/>
      <c r="EB87" s="204"/>
      <c r="EC87" s="204"/>
      <c r="ED87" s="204"/>
      <c r="EE87" s="204"/>
      <c r="EF87" s="204"/>
      <c r="EG87" s="204"/>
      <c r="EH87" s="204"/>
      <c r="EI87" s="204"/>
      <c r="EJ87" s="204"/>
      <c r="EK87" s="204"/>
      <c r="EL87" s="204"/>
      <c r="EM87" s="204"/>
      <c r="EN87" s="204"/>
      <c r="EO87" s="204"/>
      <c r="EP87" s="204"/>
      <c r="EQ87" s="204"/>
      <c r="ER87" s="204"/>
      <c r="ES87" s="204"/>
      <c r="ET87" s="204"/>
      <c r="EU87" s="204"/>
      <c r="EV87" s="204"/>
      <c r="EW87" s="204"/>
      <c r="EX87" s="204"/>
      <c r="FC87" s="200" t="str">
        <f t="shared" si="6"/>
        <v>I</v>
      </c>
    </row>
    <row r="88" spans="1:159" s="202" customFormat="1" ht="29.1" customHeight="1" x14ac:dyDescent="0.2">
      <c r="A88" s="142"/>
      <c r="B88" s="146"/>
      <c r="C88" s="153"/>
      <c r="D88" s="51"/>
      <c r="E88" s="38"/>
      <c r="F88" s="220"/>
      <c r="G88" s="221"/>
      <c r="H88" s="226"/>
      <c r="I88" s="226"/>
      <c r="J88" s="226"/>
      <c r="K88" s="224"/>
      <c r="L88" s="220"/>
      <c r="M88" s="221"/>
      <c r="N88" s="226"/>
      <c r="O88" s="226"/>
      <c r="P88" s="226"/>
      <c r="Q88" s="224"/>
      <c r="R88" s="220"/>
      <c r="S88" s="221"/>
      <c r="T88" s="226"/>
      <c r="U88" s="226"/>
      <c r="V88" s="220"/>
      <c r="W88" s="221"/>
      <c r="X88" s="226"/>
      <c r="Y88" s="226"/>
      <c r="Z88" s="220"/>
      <c r="AA88" s="221"/>
      <c r="AB88" s="226"/>
      <c r="AC88" s="220"/>
      <c r="AD88" s="168">
        <f t="shared" si="7"/>
        <v>0</v>
      </c>
      <c r="AE88" s="168">
        <f t="shared" si="8"/>
        <v>0</v>
      </c>
      <c r="AF88" s="169"/>
      <c r="AG88" s="195"/>
      <c r="AH88" s="195"/>
      <c r="AN88" s="203"/>
      <c r="AO88" s="203"/>
      <c r="AP88" s="203"/>
      <c r="AQ88" s="203"/>
      <c r="AR88" s="203"/>
      <c r="AS88" s="203"/>
      <c r="AT88" s="203"/>
      <c r="AU88" s="195"/>
      <c r="AV88" s="203"/>
      <c r="AW88" s="203"/>
      <c r="AX88" s="195"/>
      <c r="AY88" s="195"/>
      <c r="AZ88" s="203"/>
      <c r="BU88" s="204"/>
      <c r="BV88" s="204"/>
      <c r="BW88" s="204"/>
      <c r="BX88" s="204"/>
      <c r="BY88" s="204"/>
      <c r="BZ88" s="204"/>
      <c r="CA88" s="204"/>
      <c r="CB88" s="204"/>
      <c r="CC88" s="204"/>
      <c r="CD88" s="204"/>
      <c r="CE88" s="204"/>
      <c r="CF88" s="204"/>
      <c r="CG88" s="204"/>
      <c r="CH88" s="204"/>
      <c r="CI88" s="204"/>
      <c r="CJ88" s="204"/>
      <c r="CK88" s="204"/>
      <c r="CL88" s="204"/>
      <c r="CM88" s="204"/>
      <c r="CN88" s="204"/>
      <c r="CO88" s="204"/>
      <c r="CP88" s="204"/>
      <c r="CQ88" s="204"/>
      <c r="CR88" s="204"/>
      <c r="CS88" s="204"/>
      <c r="CT88" s="204"/>
      <c r="CU88" s="204"/>
      <c r="CV88" s="204"/>
      <c r="CW88" s="204"/>
      <c r="CX88" s="204"/>
      <c r="CY88" s="204"/>
      <c r="CZ88" s="204"/>
      <c r="DA88" s="204"/>
      <c r="DB88" s="204"/>
      <c r="DC88" s="204"/>
      <c r="DD88" s="204"/>
      <c r="DE88" s="204"/>
      <c r="DF88" s="204"/>
      <c r="DG88" s="204"/>
      <c r="DH88" s="204"/>
      <c r="DI88" s="204"/>
      <c r="DJ88" s="204"/>
      <c r="DK88" s="204"/>
      <c r="DL88" s="204"/>
      <c r="DM88" s="204"/>
      <c r="DN88" s="204"/>
      <c r="DO88" s="204"/>
      <c r="DP88" s="204"/>
      <c r="DQ88" s="204"/>
      <c r="DR88" s="204"/>
      <c r="DS88" s="204"/>
      <c r="DT88" s="204"/>
      <c r="DU88" s="204"/>
      <c r="DV88" s="204"/>
      <c r="DW88" s="204"/>
      <c r="DX88" s="204"/>
      <c r="DY88" s="204"/>
      <c r="DZ88" s="204"/>
      <c r="EA88" s="204"/>
      <c r="EB88" s="204"/>
      <c r="EC88" s="204"/>
      <c r="ED88" s="204"/>
      <c r="EE88" s="204"/>
      <c r="EF88" s="204"/>
      <c r="EG88" s="204"/>
      <c r="EH88" s="204"/>
      <c r="EI88" s="204"/>
      <c r="EJ88" s="204"/>
      <c r="EK88" s="204"/>
      <c r="EL88" s="204"/>
      <c r="EM88" s="204"/>
      <c r="EN88" s="204"/>
      <c r="EO88" s="204"/>
      <c r="EP88" s="204"/>
      <c r="EQ88" s="204"/>
      <c r="ER88" s="204"/>
      <c r="ES88" s="204"/>
      <c r="ET88" s="204"/>
      <c r="EU88" s="204"/>
      <c r="EV88" s="204"/>
      <c r="EW88" s="204"/>
      <c r="EX88" s="204"/>
      <c r="FC88" s="200" t="str">
        <f t="shared" si="6"/>
        <v>I</v>
      </c>
    </row>
    <row r="89" spans="1:159" s="202" customFormat="1" ht="29.1" customHeight="1" x14ac:dyDescent="0.2">
      <c r="A89" s="142"/>
      <c r="B89" s="146"/>
      <c r="C89" s="153"/>
      <c r="D89" s="51"/>
      <c r="E89" s="38"/>
      <c r="F89" s="220"/>
      <c r="G89" s="221"/>
      <c r="H89" s="226"/>
      <c r="I89" s="226"/>
      <c r="J89" s="226"/>
      <c r="K89" s="224"/>
      <c r="L89" s="220"/>
      <c r="M89" s="221"/>
      <c r="N89" s="226"/>
      <c r="O89" s="226"/>
      <c r="P89" s="226"/>
      <c r="Q89" s="224"/>
      <c r="R89" s="220"/>
      <c r="S89" s="221"/>
      <c r="T89" s="226"/>
      <c r="U89" s="226"/>
      <c r="V89" s="220"/>
      <c r="W89" s="221"/>
      <c r="X89" s="226"/>
      <c r="Y89" s="226"/>
      <c r="Z89" s="220"/>
      <c r="AA89" s="221"/>
      <c r="AB89" s="226"/>
      <c r="AC89" s="220"/>
      <c r="AD89" s="168">
        <f t="shared" si="7"/>
        <v>0</v>
      </c>
      <c r="AE89" s="168">
        <f t="shared" si="8"/>
        <v>0</v>
      </c>
      <c r="AF89" s="169"/>
      <c r="AG89" s="195"/>
      <c r="AH89" s="195"/>
      <c r="AN89" s="203"/>
      <c r="AO89" s="203"/>
      <c r="AP89" s="203"/>
      <c r="AQ89" s="203"/>
      <c r="AR89" s="203"/>
      <c r="AS89" s="203"/>
      <c r="AT89" s="203"/>
      <c r="AU89" s="195"/>
      <c r="AV89" s="203"/>
      <c r="AW89" s="203"/>
      <c r="AX89" s="195"/>
      <c r="AY89" s="195"/>
      <c r="AZ89" s="203"/>
      <c r="BU89" s="204"/>
      <c r="BV89" s="204"/>
      <c r="BW89" s="204"/>
      <c r="BX89" s="204"/>
      <c r="BY89" s="204"/>
      <c r="BZ89" s="204"/>
      <c r="CA89" s="204"/>
      <c r="CB89" s="204"/>
      <c r="CC89" s="204"/>
      <c r="CD89" s="204"/>
      <c r="CE89" s="204"/>
      <c r="CF89" s="204"/>
      <c r="CG89" s="204"/>
      <c r="CH89" s="204"/>
      <c r="CI89" s="204"/>
      <c r="CJ89" s="204"/>
      <c r="CK89" s="204"/>
      <c r="CL89" s="204"/>
      <c r="CM89" s="204"/>
      <c r="CN89" s="204"/>
      <c r="CO89" s="204"/>
      <c r="CP89" s="204"/>
      <c r="CQ89" s="204"/>
      <c r="CR89" s="204"/>
      <c r="CS89" s="204"/>
      <c r="CT89" s="204"/>
      <c r="CU89" s="204"/>
      <c r="CV89" s="204"/>
      <c r="CW89" s="204"/>
      <c r="CX89" s="204"/>
      <c r="CY89" s="204"/>
      <c r="CZ89" s="204"/>
      <c r="DA89" s="204"/>
      <c r="DB89" s="204"/>
      <c r="DC89" s="204"/>
      <c r="DD89" s="204"/>
      <c r="DE89" s="204"/>
      <c r="DF89" s="204"/>
      <c r="DG89" s="204"/>
      <c r="DH89" s="204"/>
      <c r="DI89" s="204"/>
      <c r="DJ89" s="204"/>
      <c r="DK89" s="204"/>
      <c r="DL89" s="204"/>
      <c r="DM89" s="204"/>
      <c r="DN89" s="204"/>
      <c r="DO89" s="204"/>
      <c r="DP89" s="204"/>
      <c r="DQ89" s="204"/>
      <c r="DR89" s="204"/>
      <c r="DS89" s="204"/>
      <c r="DT89" s="204"/>
      <c r="DU89" s="204"/>
      <c r="DV89" s="204"/>
      <c r="DW89" s="204"/>
      <c r="DX89" s="204"/>
      <c r="DY89" s="204"/>
      <c r="DZ89" s="204"/>
      <c r="EA89" s="204"/>
      <c r="EB89" s="204"/>
      <c r="EC89" s="204"/>
      <c r="ED89" s="204"/>
      <c r="EE89" s="204"/>
      <c r="EF89" s="204"/>
      <c r="EG89" s="204"/>
      <c r="EH89" s="204"/>
      <c r="EI89" s="204"/>
      <c r="EJ89" s="204"/>
      <c r="EK89" s="204"/>
      <c r="EL89" s="204"/>
      <c r="EM89" s="204"/>
      <c r="EN89" s="204"/>
      <c r="EO89" s="204"/>
      <c r="EP89" s="204"/>
      <c r="EQ89" s="204"/>
      <c r="ER89" s="204"/>
      <c r="ES89" s="204"/>
      <c r="ET89" s="204"/>
      <c r="EU89" s="204"/>
      <c r="EV89" s="204"/>
      <c r="EW89" s="204"/>
      <c r="EX89" s="204"/>
      <c r="FC89" s="200" t="str">
        <f t="shared" si="6"/>
        <v>I</v>
      </c>
    </row>
    <row r="90" spans="1:159" s="202" customFormat="1" ht="29.1" customHeight="1" x14ac:dyDescent="0.2">
      <c r="A90" s="142"/>
      <c r="B90" s="146"/>
      <c r="C90" s="153"/>
      <c r="D90" s="51"/>
      <c r="E90" s="38"/>
      <c r="F90" s="220"/>
      <c r="G90" s="221"/>
      <c r="H90" s="226"/>
      <c r="I90" s="226"/>
      <c r="J90" s="226"/>
      <c r="K90" s="224"/>
      <c r="L90" s="220"/>
      <c r="M90" s="221"/>
      <c r="N90" s="226"/>
      <c r="O90" s="226"/>
      <c r="P90" s="226"/>
      <c r="Q90" s="224"/>
      <c r="R90" s="220"/>
      <c r="S90" s="221"/>
      <c r="T90" s="226"/>
      <c r="U90" s="226"/>
      <c r="V90" s="220"/>
      <c r="W90" s="221"/>
      <c r="X90" s="226"/>
      <c r="Y90" s="226"/>
      <c r="Z90" s="220"/>
      <c r="AA90" s="221"/>
      <c r="AB90" s="226"/>
      <c r="AC90" s="220"/>
      <c r="AD90" s="168">
        <f t="shared" si="7"/>
        <v>0</v>
      </c>
      <c r="AE90" s="168">
        <f t="shared" si="8"/>
        <v>0</v>
      </c>
      <c r="AF90" s="169"/>
      <c r="AG90" s="195"/>
      <c r="AH90" s="195"/>
      <c r="AN90" s="203"/>
      <c r="AO90" s="203"/>
      <c r="AP90" s="203"/>
      <c r="AQ90" s="203"/>
      <c r="AR90" s="203"/>
      <c r="AS90" s="203"/>
      <c r="AT90" s="203"/>
      <c r="AU90" s="195"/>
      <c r="AV90" s="203"/>
      <c r="AW90" s="203"/>
      <c r="AX90" s="195"/>
      <c r="AY90" s="195"/>
      <c r="AZ90" s="203"/>
      <c r="BU90" s="204"/>
      <c r="BV90" s="204"/>
      <c r="BW90" s="204"/>
      <c r="BX90" s="204"/>
      <c r="BY90" s="204"/>
      <c r="BZ90" s="204"/>
      <c r="CA90" s="204"/>
      <c r="CB90" s="204"/>
      <c r="CC90" s="204"/>
      <c r="CD90" s="204"/>
      <c r="CE90" s="204"/>
      <c r="CF90" s="204"/>
      <c r="CG90" s="204"/>
      <c r="CH90" s="204"/>
      <c r="CI90" s="204"/>
      <c r="CJ90" s="204"/>
      <c r="CK90" s="204"/>
      <c r="CL90" s="204"/>
      <c r="CM90" s="204"/>
      <c r="CN90" s="204"/>
      <c r="CO90" s="204"/>
      <c r="CP90" s="204"/>
      <c r="CQ90" s="204"/>
      <c r="CR90" s="204"/>
      <c r="CS90" s="204"/>
      <c r="CT90" s="204"/>
      <c r="CU90" s="204"/>
      <c r="CV90" s="204"/>
      <c r="CW90" s="204"/>
      <c r="CX90" s="204"/>
      <c r="CY90" s="204"/>
      <c r="CZ90" s="204"/>
      <c r="DA90" s="204"/>
      <c r="DB90" s="204"/>
      <c r="DC90" s="204"/>
      <c r="DD90" s="204"/>
      <c r="DE90" s="204"/>
      <c r="DF90" s="204"/>
      <c r="DG90" s="204"/>
      <c r="DH90" s="204"/>
      <c r="DI90" s="204"/>
      <c r="DJ90" s="204"/>
      <c r="DK90" s="204"/>
      <c r="DL90" s="204"/>
      <c r="DM90" s="204"/>
      <c r="DN90" s="204"/>
      <c r="DO90" s="204"/>
      <c r="DP90" s="204"/>
      <c r="DQ90" s="204"/>
      <c r="DR90" s="204"/>
      <c r="DS90" s="204"/>
      <c r="DT90" s="204"/>
      <c r="DU90" s="204"/>
      <c r="DV90" s="204"/>
      <c r="DW90" s="204"/>
      <c r="DX90" s="204"/>
      <c r="DY90" s="204"/>
      <c r="DZ90" s="204"/>
      <c r="EA90" s="204"/>
      <c r="EB90" s="204"/>
      <c r="EC90" s="204"/>
      <c r="ED90" s="204"/>
      <c r="EE90" s="204"/>
      <c r="EF90" s="204"/>
      <c r="EG90" s="204"/>
      <c r="EH90" s="204"/>
      <c r="EI90" s="204"/>
      <c r="EJ90" s="204"/>
      <c r="EK90" s="204"/>
      <c r="EL90" s="204"/>
      <c r="EM90" s="204"/>
      <c r="EN90" s="204"/>
      <c r="EO90" s="204"/>
      <c r="EP90" s="204"/>
      <c r="EQ90" s="204"/>
      <c r="ER90" s="204"/>
      <c r="ES90" s="204"/>
      <c r="ET90" s="204"/>
      <c r="EU90" s="204"/>
      <c r="EV90" s="204"/>
      <c r="EW90" s="204"/>
      <c r="EX90" s="204"/>
      <c r="FC90" s="200" t="str">
        <f t="shared" si="6"/>
        <v>I</v>
      </c>
    </row>
    <row r="91" spans="1:159" s="202" customFormat="1" ht="29.1" customHeight="1" x14ac:dyDescent="0.2">
      <c r="A91" s="142"/>
      <c r="B91" s="146"/>
      <c r="C91" s="153"/>
      <c r="D91" s="51"/>
      <c r="E91" s="38"/>
      <c r="F91" s="220"/>
      <c r="G91" s="221"/>
      <c r="H91" s="226"/>
      <c r="I91" s="226"/>
      <c r="J91" s="226"/>
      <c r="K91" s="224"/>
      <c r="L91" s="220"/>
      <c r="M91" s="221"/>
      <c r="N91" s="226"/>
      <c r="O91" s="226"/>
      <c r="P91" s="226"/>
      <c r="Q91" s="224"/>
      <c r="R91" s="220"/>
      <c r="S91" s="221"/>
      <c r="T91" s="226"/>
      <c r="U91" s="226"/>
      <c r="V91" s="220"/>
      <c r="W91" s="221"/>
      <c r="X91" s="226"/>
      <c r="Y91" s="226"/>
      <c r="Z91" s="220"/>
      <c r="AA91" s="221"/>
      <c r="AB91" s="226"/>
      <c r="AC91" s="220"/>
      <c r="AD91" s="168">
        <f t="shared" si="7"/>
        <v>0</v>
      </c>
      <c r="AE91" s="168">
        <f t="shared" si="8"/>
        <v>0</v>
      </c>
      <c r="AF91" s="169"/>
      <c r="AG91" s="195"/>
      <c r="AH91" s="195"/>
      <c r="AN91" s="203"/>
      <c r="AO91" s="203"/>
      <c r="AP91" s="203"/>
      <c r="AQ91" s="203"/>
      <c r="AR91" s="203"/>
      <c r="AS91" s="203"/>
      <c r="AT91" s="203"/>
      <c r="AU91" s="195"/>
      <c r="AV91" s="203"/>
      <c r="AW91" s="203"/>
      <c r="AX91" s="195"/>
      <c r="AY91" s="195"/>
      <c r="AZ91" s="203"/>
      <c r="BU91" s="204"/>
      <c r="BV91" s="204"/>
      <c r="BW91" s="204"/>
      <c r="BX91" s="204"/>
      <c r="BY91" s="204"/>
      <c r="BZ91" s="204"/>
      <c r="CA91" s="204"/>
      <c r="CB91" s="204"/>
      <c r="CC91" s="204"/>
      <c r="CD91" s="204"/>
      <c r="CE91" s="204"/>
      <c r="CF91" s="204"/>
      <c r="CG91" s="204"/>
      <c r="CH91" s="204"/>
      <c r="CI91" s="204"/>
      <c r="CJ91" s="204"/>
      <c r="CK91" s="204"/>
      <c r="CL91" s="204"/>
      <c r="CM91" s="204"/>
      <c r="CN91" s="204"/>
      <c r="CO91" s="204"/>
      <c r="CP91" s="204"/>
      <c r="CQ91" s="204"/>
      <c r="CR91" s="204"/>
      <c r="CS91" s="204"/>
      <c r="CT91" s="204"/>
      <c r="CU91" s="204"/>
      <c r="CV91" s="204"/>
      <c r="CW91" s="204"/>
      <c r="CX91" s="204"/>
      <c r="CY91" s="204"/>
      <c r="CZ91" s="204"/>
      <c r="DA91" s="204"/>
      <c r="DB91" s="204"/>
      <c r="DC91" s="204"/>
      <c r="DD91" s="204"/>
      <c r="DE91" s="204"/>
      <c r="DF91" s="204"/>
      <c r="DG91" s="204"/>
      <c r="DH91" s="204"/>
      <c r="DI91" s="204"/>
      <c r="DJ91" s="204"/>
      <c r="DK91" s="204"/>
      <c r="DL91" s="204"/>
      <c r="DM91" s="204"/>
      <c r="DN91" s="204"/>
      <c r="DO91" s="204"/>
      <c r="DP91" s="204"/>
      <c r="DQ91" s="204"/>
      <c r="DR91" s="204"/>
      <c r="DS91" s="204"/>
      <c r="DT91" s="204"/>
      <c r="DU91" s="204"/>
      <c r="DV91" s="204"/>
      <c r="DW91" s="204"/>
      <c r="DX91" s="204"/>
      <c r="DY91" s="204"/>
      <c r="DZ91" s="204"/>
      <c r="EA91" s="204"/>
      <c r="EB91" s="204"/>
      <c r="EC91" s="204"/>
      <c r="ED91" s="204"/>
      <c r="EE91" s="204"/>
      <c r="EF91" s="204"/>
      <c r="EG91" s="204"/>
      <c r="EH91" s="204"/>
      <c r="EI91" s="204"/>
      <c r="EJ91" s="204"/>
      <c r="EK91" s="204"/>
      <c r="EL91" s="204"/>
      <c r="EM91" s="204"/>
      <c r="EN91" s="204"/>
      <c r="EO91" s="204"/>
      <c r="EP91" s="204"/>
      <c r="EQ91" s="204"/>
      <c r="ER91" s="204"/>
      <c r="ES91" s="204"/>
      <c r="ET91" s="204"/>
      <c r="EU91" s="204"/>
      <c r="EV91" s="204"/>
      <c r="EW91" s="204"/>
      <c r="EX91" s="204"/>
      <c r="FC91" s="200" t="str">
        <f t="shared" si="6"/>
        <v>I</v>
      </c>
    </row>
    <row r="92" spans="1:159" s="202" customFormat="1" ht="29.1" customHeight="1" x14ac:dyDescent="0.2">
      <c r="A92" s="142"/>
      <c r="B92" s="146"/>
      <c r="C92" s="153"/>
      <c r="D92" s="51"/>
      <c r="E92" s="38"/>
      <c r="F92" s="220"/>
      <c r="G92" s="221"/>
      <c r="H92" s="226"/>
      <c r="I92" s="226"/>
      <c r="J92" s="226"/>
      <c r="K92" s="224"/>
      <c r="L92" s="220"/>
      <c r="M92" s="221"/>
      <c r="N92" s="226"/>
      <c r="O92" s="226"/>
      <c r="P92" s="226"/>
      <c r="Q92" s="224"/>
      <c r="R92" s="220"/>
      <c r="S92" s="221"/>
      <c r="T92" s="226"/>
      <c r="U92" s="226"/>
      <c r="V92" s="220"/>
      <c r="W92" s="221"/>
      <c r="X92" s="226"/>
      <c r="Y92" s="226"/>
      <c r="Z92" s="220"/>
      <c r="AA92" s="221"/>
      <c r="AB92" s="226"/>
      <c r="AC92" s="220"/>
      <c r="AD92" s="168">
        <f t="shared" si="7"/>
        <v>0</v>
      </c>
      <c r="AE92" s="168">
        <f t="shared" si="8"/>
        <v>0</v>
      </c>
      <c r="AF92" s="169"/>
      <c r="AG92" s="195"/>
      <c r="AH92" s="195"/>
      <c r="AN92" s="203"/>
      <c r="AO92" s="203"/>
      <c r="AP92" s="203"/>
      <c r="AQ92" s="203"/>
      <c r="AR92" s="203"/>
      <c r="AS92" s="203"/>
      <c r="AT92" s="203"/>
      <c r="AU92" s="195"/>
      <c r="AV92" s="203"/>
      <c r="AW92" s="203"/>
      <c r="AX92" s="195"/>
      <c r="AY92" s="195"/>
      <c r="AZ92" s="203"/>
      <c r="BU92" s="204"/>
      <c r="BV92" s="204"/>
      <c r="BW92" s="204"/>
      <c r="BX92" s="204"/>
      <c r="BY92" s="204"/>
      <c r="BZ92" s="204"/>
      <c r="CA92" s="204"/>
      <c r="CB92" s="204"/>
      <c r="CC92" s="204"/>
      <c r="CD92" s="204"/>
      <c r="CE92" s="204"/>
      <c r="CF92" s="204"/>
      <c r="CG92" s="204"/>
      <c r="CH92" s="204"/>
      <c r="CI92" s="204"/>
      <c r="CJ92" s="204"/>
      <c r="CK92" s="204"/>
      <c r="CL92" s="204"/>
      <c r="CM92" s="204"/>
      <c r="CN92" s="204"/>
      <c r="CO92" s="204"/>
      <c r="CP92" s="204"/>
      <c r="CQ92" s="204"/>
      <c r="CR92" s="204"/>
      <c r="CS92" s="204"/>
      <c r="CT92" s="204"/>
      <c r="CU92" s="204"/>
      <c r="CV92" s="204"/>
      <c r="CW92" s="204"/>
      <c r="CX92" s="204"/>
      <c r="CY92" s="204"/>
      <c r="CZ92" s="204"/>
      <c r="DA92" s="204"/>
      <c r="DB92" s="204"/>
      <c r="DC92" s="204"/>
      <c r="DD92" s="204"/>
      <c r="DE92" s="204"/>
      <c r="DF92" s="204"/>
      <c r="DG92" s="204"/>
      <c r="DH92" s="204"/>
      <c r="DI92" s="204"/>
      <c r="DJ92" s="204"/>
      <c r="DK92" s="204"/>
      <c r="DL92" s="204"/>
      <c r="DM92" s="204"/>
      <c r="DN92" s="204"/>
      <c r="DO92" s="204"/>
      <c r="DP92" s="204"/>
      <c r="DQ92" s="204"/>
      <c r="DR92" s="204"/>
      <c r="DS92" s="204"/>
      <c r="DT92" s="204"/>
      <c r="DU92" s="204"/>
      <c r="DV92" s="204"/>
      <c r="DW92" s="204"/>
      <c r="DX92" s="204"/>
      <c r="DY92" s="204"/>
      <c r="DZ92" s="204"/>
      <c r="EA92" s="204"/>
      <c r="EB92" s="204"/>
      <c r="EC92" s="204"/>
      <c r="ED92" s="204"/>
      <c r="EE92" s="204"/>
      <c r="EF92" s="204"/>
      <c r="EG92" s="204"/>
      <c r="EH92" s="204"/>
      <c r="EI92" s="204"/>
      <c r="EJ92" s="204"/>
      <c r="EK92" s="204"/>
      <c r="EL92" s="204"/>
      <c r="EM92" s="204"/>
      <c r="EN92" s="204"/>
      <c r="EO92" s="204"/>
      <c r="EP92" s="204"/>
      <c r="EQ92" s="204"/>
      <c r="ER92" s="204"/>
      <c r="ES92" s="204"/>
      <c r="ET92" s="204"/>
      <c r="EU92" s="204"/>
      <c r="EV92" s="204"/>
      <c r="EW92" s="204"/>
      <c r="EX92" s="204"/>
      <c r="FC92" s="200" t="str">
        <f t="shared" si="6"/>
        <v>I</v>
      </c>
    </row>
    <row r="93" spans="1:159" s="202" customFormat="1" ht="29.1" customHeight="1" x14ac:dyDescent="0.2">
      <c r="A93" s="142"/>
      <c r="B93" s="146"/>
      <c r="C93" s="153"/>
      <c r="D93" s="51"/>
      <c r="E93" s="38"/>
      <c r="F93" s="220"/>
      <c r="G93" s="221"/>
      <c r="H93" s="226"/>
      <c r="I93" s="226"/>
      <c r="J93" s="226"/>
      <c r="K93" s="224"/>
      <c r="L93" s="220"/>
      <c r="M93" s="221"/>
      <c r="N93" s="226"/>
      <c r="O93" s="226"/>
      <c r="P93" s="226"/>
      <c r="Q93" s="224"/>
      <c r="R93" s="220"/>
      <c r="S93" s="221"/>
      <c r="T93" s="226"/>
      <c r="U93" s="226"/>
      <c r="V93" s="220"/>
      <c r="W93" s="221"/>
      <c r="X93" s="226"/>
      <c r="Y93" s="226"/>
      <c r="Z93" s="220"/>
      <c r="AA93" s="221"/>
      <c r="AB93" s="226"/>
      <c r="AC93" s="220"/>
      <c r="AD93" s="168">
        <f t="shared" si="7"/>
        <v>0</v>
      </c>
      <c r="AE93" s="168">
        <f t="shared" si="8"/>
        <v>0</v>
      </c>
      <c r="AF93" s="169"/>
      <c r="AG93" s="195"/>
      <c r="AH93" s="195"/>
      <c r="AN93" s="203"/>
      <c r="AO93" s="203"/>
      <c r="AP93" s="203"/>
      <c r="AQ93" s="203"/>
      <c r="AR93" s="203"/>
      <c r="AS93" s="203"/>
      <c r="AT93" s="203"/>
      <c r="AU93" s="195"/>
      <c r="AV93" s="203"/>
      <c r="AW93" s="203"/>
      <c r="AX93" s="195"/>
      <c r="AY93" s="195"/>
      <c r="AZ93" s="203"/>
      <c r="BU93" s="204"/>
      <c r="BV93" s="204"/>
      <c r="BW93" s="204"/>
      <c r="BX93" s="204"/>
      <c r="BY93" s="204"/>
      <c r="BZ93" s="204"/>
      <c r="CA93" s="204"/>
      <c r="CB93" s="204"/>
      <c r="CC93" s="204"/>
      <c r="CD93" s="204"/>
      <c r="CE93" s="204"/>
      <c r="CF93" s="204"/>
      <c r="CG93" s="204"/>
      <c r="CH93" s="204"/>
      <c r="CI93" s="204"/>
      <c r="CJ93" s="204"/>
      <c r="CK93" s="204"/>
      <c r="CL93" s="204"/>
      <c r="CM93" s="204"/>
      <c r="CN93" s="204"/>
      <c r="CO93" s="204"/>
      <c r="CP93" s="204"/>
      <c r="CQ93" s="204"/>
      <c r="CR93" s="204"/>
      <c r="CS93" s="204"/>
      <c r="CT93" s="204"/>
      <c r="CU93" s="204"/>
      <c r="CV93" s="204"/>
      <c r="CW93" s="204"/>
      <c r="CX93" s="204"/>
      <c r="CY93" s="204"/>
      <c r="CZ93" s="204"/>
      <c r="DA93" s="204"/>
      <c r="DB93" s="204"/>
      <c r="DC93" s="204"/>
      <c r="DD93" s="204"/>
      <c r="DE93" s="204"/>
      <c r="DF93" s="204"/>
      <c r="DG93" s="204"/>
      <c r="DH93" s="204"/>
      <c r="DI93" s="204"/>
      <c r="DJ93" s="204"/>
      <c r="DK93" s="204"/>
      <c r="DL93" s="204"/>
      <c r="DM93" s="204"/>
      <c r="DN93" s="204"/>
      <c r="DO93" s="204"/>
      <c r="DP93" s="204"/>
      <c r="DQ93" s="204"/>
      <c r="DR93" s="204"/>
      <c r="DS93" s="204"/>
      <c r="DT93" s="204"/>
      <c r="DU93" s="204"/>
      <c r="DV93" s="204"/>
      <c r="DW93" s="204"/>
      <c r="DX93" s="204"/>
      <c r="DY93" s="204"/>
      <c r="DZ93" s="204"/>
      <c r="EA93" s="204"/>
      <c r="EB93" s="204"/>
      <c r="EC93" s="204"/>
      <c r="ED93" s="204"/>
      <c r="EE93" s="204"/>
      <c r="EF93" s="204"/>
      <c r="EG93" s="204"/>
      <c r="EH93" s="204"/>
      <c r="EI93" s="204"/>
      <c r="EJ93" s="204"/>
      <c r="EK93" s="204"/>
      <c r="EL93" s="204"/>
      <c r="EM93" s="204"/>
      <c r="EN93" s="204"/>
      <c r="EO93" s="204"/>
      <c r="EP93" s="204"/>
      <c r="EQ93" s="204"/>
      <c r="ER93" s="204"/>
      <c r="ES93" s="204"/>
      <c r="ET93" s="204"/>
      <c r="EU93" s="204"/>
      <c r="EV93" s="204"/>
      <c r="EW93" s="204"/>
      <c r="EX93" s="204"/>
      <c r="FC93" s="200" t="str">
        <f t="shared" si="6"/>
        <v>I</v>
      </c>
    </row>
    <row r="94" spans="1:159" s="202" customFormat="1" ht="29.1" customHeight="1" x14ac:dyDescent="0.2">
      <c r="A94" s="142"/>
      <c r="B94" s="146"/>
      <c r="C94" s="153"/>
      <c r="D94" s="51"/>
      <c r="E94" s="38"/>
      <c r="F94" s="220"/>
      <c r="G94" s="221"/>
      <c r="H94" s="226"/>
      <c r="I94" s="226"/>
      <c r="J94" s="226"/>
      <c r="K94" s="224"/>
      <c r="L94" s="220"/>
      <c r="M94" s="221"/>
      <c r="N94" s="226"/>
      <c r="O94" s="226"/>
      <c r="P94" s="226"/>
      <c r="Q94" s="224"/>
      <c r="R94" s="220"/>
      <c r="S94" s="221"/>
      <c r="T94" s="226"/>
      <c r="U94" s="226"/>
      <c r="V94" s="220"/>
      <c r="W94" s="221"/>
      <c r="X94" s="226"/>
      <c r="Y94" s="226"/>
      <c r="Z94" s="220"/>
      <c r="AA94" s="221"/>
      <c r="AB94" s="226"/>
      <c r="AC94" s="220"/>
      <c r="AD94" s="168">
        <f t="shared" si="7"/>
        <v>0</v>
      </c>
      <c r="AE94" s="168">
        <f t="shared" si="8"/>
        <v>0</v>
      </c>
      <c r="AF94" s="169"/>
      <c r="AG94" s="195"/>
      <c r="AH94" s="195"/>
      <c r="AN94" s="203"/>
      <c r="AO94" s="203"/>
      <c r="AP94" s="203"/>
      <c r="AQ94" s="203"/>
      <c r="AR94" s="203"/>
      <c r="AS94" s="203"/>
      <c r="AT94" s="203"/>
      <c r="AU94" s="195"/>
      <c r="AV94" s="203"/>
      <c r="AW94" s="203"/>
      <c r="AX94" s="195"/>
      <c r="AY94" s="195"/>
      <c r="AZ94" s="203"/>
      <c r="BU94" s="204"/>
      <c r="BV94" s="204"/>
      <c r="BW94" s="204"/>
      <c r="BX94" s="204"/>
      <c r="BY94" s="204"/>
      <c r="BZ94" s="204"/>
      <c r="CA94" s="204"/>
      <c r="CB94" s="204"/>
      <c r="CC94" s="204"/>
      <c r="CD94" s="204"/>
      <c r="CE94" s="204"/>
      <c r="CF94" s="204"/>
      <c r="CG94" s="204"/>
      <c r="CH94" s="204"/>
      <c r="CI94" s="204"/>
      <c r="CJ94" s="204"/>
      <c r="CK94" s="204"/>
      <c r="CL94" s="204"/>
      <c r="CM94" s="204"/>
      <c r="CN94" s="204"/>
      <c r="CO94" s="204"/>
      <c r="CP94" s="204"/>
      <c r="CQ94" s="204"/>
      <c r="CR94" s="204"/>
      <c r="CS94" s="204"/>
      <c r="CT94" s="204"/>
      <c r="CU94" s="204"/>
      <c r="CV94" s="204"/>
      <c r="CW94" s="204"/>
      <c r="CX94" s="204"/>
      <c r="CY94" s="204"/>
      <c r="CZ94" s="204"/>
      <c r="DA94" s="204"/>
      <c r="DB94" s="204"/>
      <c r="DC94" s="204"/>
      <c r="DD94" s="204"/>
      <c r="DE94" s="204"/>
      <c r="DF94" s="204"/>
      <c r="DG94" s="204"/>
      <c r="DH94" s="204"/>
      <c r="DI94" s="204"/>
      <c r="DJ94" s="204"/>
      <c r="DK94" s="204"/>
      <c r="DL94" s="204"/>
      <c r="DM94" s="204"/>
      <c r="DN94" s="204"/>
      <c r="DO94" s="204"/>
      <c r="DP94" s="204"/>
      <c r="DQ94" s="204"/>
      <c r="DR94" s="204"/>
      <c r="DS94" s="204"/>
      <c r="DT94" s="204"/>
      <c r="DU94" s="204"/>
      <c r="DV94" s="204"/>
      <c r="DW94" s="204"/>
      <c r="DX94" s="204"/>
      <c r="DY94" s="204"/>
      <c r="DZ94" s="204"/>
      <c r="EA94" s="204"/>
      <c r="EB94" s="204"/>
      <c r="EC94" s="204"/>
      <c r="ED94" s="204"/>
      <c r="EE94" s="204"/>
      <c r="EF94" s="204"/>
      <c r="EG94" s="204"/>
      <c r="EH94" s="204"/>
      <c r="EI94" s="204"/>
      <c r="EJ94" s="204"/>
      <c r="EK94" s="204"/>
      <c r="EL94" s="204"/>
      <c r="EM94" s="204"/>
      <c r="EN94" s="204"/>
      <c r="EO94" s="204"/>
      <c r="EP94" s="204"/>
      <c r="EQ94" s="204"/>
      <c r="ER94" s="204"/>
      <c r="ES94" s="204"/>
      <c r="ET94" s="204"/>
      <c r="EU94" s="204"/>
      <c r="EV94" s="204"/>
      <c r="EW94" s="204"/>
      <c r="EX94" s="204"/>
      <c r="FC94" s="200" t="str">
        <f t="shared" si="6"/>
        <v>I</v>
      </c>
    </row>
    <row r="95" spans="1:159" s="202" customFormat="1" ht="29.1" customHeight="1" x14ac:dyDescent="0.2">
      <c r="A95" s="142"/>
      <c r="B95" s="146"/>
      <c r="C95" s="153"/>
      <c r="D95" s="51"/>
      <c r="E95" s="38"/>
      <c r="F95" s="220"/>
      <c r="G95" s="221"/>
      <c r="H95" s="226"/>
      <c r="I95" s="226"/>
      <c r="J95" s="226"/>
      <c r="K95" s="224"/>
      <c r="L95" s="220"/>
      <c r="M95" s="221"/>
      <c r="N95" s="226"/>
      <c r="O95" s="226"/>
      <c r="P95" s="226"/>
      <c r="Q95" s="224"/>
      <c r="R95" s="220"/>
      <c r="S95" s="221"/>
      <c r="T95" s="226"/>
      <c r="U95" s="226"/>
      <c r="V95" s="220"/>
      <c r="W95" s="221"/>
      <c r="X95" s="226"/>
      <c r="Y95" s="226"/>
      <c r="Z95" s="220"/>
      <c r="AA95" s="221"/>
      <c r="AB95" s="226"/>
      <c r="AC95" s="220"/>
      <c r="AD95" s="168">
        <f t="shared" si="7"/>
        <v>0</v>
      </c>
      <c r="AE95" s="168">
        <f t="shared" si="8"/>
        <v>0</v>
      </c>
      <c r="AF95" s="169"/>
      <c r="AG95" s="195"/>
      <c r="AH95" s="195"/>
      <c r="AN95" s="203"/>
      <c r="AO95" s="203"/>
      <c r="AP95" s="203"/>
      <c r="AQ95" s="203"/>
      <c r="AR95" s="203"/>
      <c r="AS95" s="203"/>
      <c r="AT95" s="203"/>
      <c r="AU95" s="195"/>
      <c r="AV95" s="203"/>
      <c r="AW95" s="203"/>
      <c r="AX95" s="195"/>
      <c r="AY95" s="195"/>
      <c r="AZ95" s="203"/>
      <c r="BU95" s="204"/>
      <c r="BV95" s="204"/>
      <c r="BW95" s="204"/>
      <c r="BX95" s="204"/>
      <c r="BY95" s="204"/>
      <c r="BZ95" s="204"/>
      <c r="CA95" s="204"/>
      <c r="CB95" s="204"/>
      <c r="CC95" s="204"/>
      <c r="CD95" s="204"/>
      <c r="CE95" s="204"/>
      <c r="CF95" s="204"/>
      <c r="CG95" s="204"/>
      <c r="CH95" s="204"/>
      <c r="CI95" s="204"/>
      <c r="CJ95" s="204"/>
      <c r="CK95" s="204"/>
      <c r="CL95" s="204"/>
      <c r="CM95" s="204"/>
      <c r="CN95" s="204"/>
      <c r="CO95" s="204"/>
      <c r="CP95" s="204"/>
      <c r="CQ95" s="204"/>
      <c r="CR95" s="204"/>
      <c r="CS95" s="204"/>
      <c r="CT95" s="204"/>
      <c r="CU95" s="204"/>
      <c r="CV95" s="204"/>
      <c r="CW95" s="204"/>
      <c r="CX95" s="204"/>
      <c r="CY95" s="204"/>
      <c r="CZ95" s="204"/>
      <c r="DA95" s="204"/>
      <c r="DB95" s="204"/>
      <c r="DC95" s="204"/>
      <c r="DD95" s="204"/>
      <c r="DE95" s="204"/>
      <c r="DF95" s="204"/>
      <c r="DG95" s="204"/>
      <c r="DH95" s="204"/>
      <c r="DI95" s="204"/>
      <c r="DJ95" s="204"/>
      <c r="DK95" s="204"/>
      <c r="DL95" s="204"/>
      <c r="DM95" s="204"/>
      <c r="DN95" s="204"/>
      <c r="DO95" s="204"/>
      <c r="DP95" s="204"/>
      <c r="DQ95" s="204"/>
      <c r="DR95" s="204"/>
      <c r="DS95" s="204"/>
      <c r="DT95" s="204"/>
      <c r="DU95" s="204"/>
      <c r="DV95" s="204"/>
      <c r="DW95" s="204"/>
      <c r="DX95" s="204"/>
      <c r="DY95" s="204"/>
      <c r="DZ95" s="204"/>
      <c r="EA95" s="204"/>
      <c r="EB95" s="204"/>
      <c r="EC95" s="204"/>
      <c r="ED95" s="204"/>
      <c r="EE95" s="204"/>
      <c r="EF95" s="204"/>
      <c r="EG95" s="204"/>
      <c r="EH95" s="204"/>
      <c r="EI95" s="204"/>
      <c r="EJ95" s="204"/>
      <c r="EK95" s="204"/>
      <c r="EL95" s="204"/>
      <c r="EM95" s="204"/>
      <c r="EN95" s="204"/>
      <c r="EO95" s="204"/>
      <c r="EP95" s="204"/>
      <c r="EQ95" s="204"/>
      <c r="ER95" s="204"/>
      <c r="ES95" s="204"/>
      <c r="ET95" s="204"/>
      <c r="EU95" s="204"/>
      <c r="EV95" s="204"/>
      <c r="EW95" s="204"/>
      <c r="EX95" s="204"/>
      <c r="FC95" s="200" t="str">
        <f t="shared" si="6"/>
        <v>I</v>
      </c>
    </row>
    <row r="96" spans="1:159" s="202" customFormat="1" ht="29.1" customHeight="1" x14ac:dyDescent="0.2">
      <c r="A96" s="142"/>
      <c r="B96" s="146"/>
      <c r="C96" s="153"/>
      <c r="D96" s="51"/>
      <c r="E96" s="38"/>
      <c r="F96" s="220"/>
      <c r="G96" s="221"/>
      <c r="H96" s="226"/>
      <c r="I96" s="226"/>
      <c r="J96" s="226"/>
      <c r="K96" s="224"/>
      <c r="L96" s="220"/>
      <c r="M96" s="221"/>
      <c r="N96" s="226"/>
      <c r="O96" s="226"/>
      <c r="P96" s="226"/>
      <c r="Q96" s="224"/>
      <c r="R96" s="220"/>
      <c r="S96" s="221"/>
      <c r="T96" s="226"/>
      <c r="U96" s="226"/>
      <c r="V96" s="220"/>
      <c r="W96" s="221"/>
      <c r="X96" s="226"/>
      <c r="Y96" s="226"/>
      <c r="Z96" s="220"/>
      <c r="AA96" s="221"/>
      <c r="AB96" s="226"/>
      <c r="AC96" s="220"/>
      <c r="AD96" s="168">
        <f t="shared" si="7"/>
        <v>0</v>
      </c>
      <c r="AE96" s="168">
        <f t="shared" si="8"/>
        <v>0</v>
      </c>
      <c r="AF96" s="169"/>
      <c r="AG96" s="195"/>
      <c r="AH96" s="195"/>
      <c r="AN96" s="203"/>
      <c r="AO96" s="203"/>
      <c r="AP96" s="203"/>
      <c r="AQ96" s="203"/>
      <c r="AR96" s="203"/>
      <c r="AS96" s="203"/>
      <c r="AT96" s="203"/>
      <c r="AU96" s="195"/>
      <c r="AV96" s="203"/>
      <c r="AW96" s="203"/>
      <c r="AX96" s="195"/>
      <c r="AY96" s="195"/>
      <c r="AZ96" s="203"/>
      <c r="BU96" s="204"/>
      <c r="BV96" s="204"/>
      <c r="BW96" s="204"/>
      <c r="BX96" s="204"/>
      <c r="BY96" s="204"/>
      <c r="BZ96" s="204"/>
      <c r="CA96" s="204"/>
      <c r="CB96" s="204"/>
      <c r="CC96" s="204"/>
      <c r="CD96" s="204"/>
      <c r="CE96" s="204"/>
      <c r="CF96" s="204"/>
      <c r="CG96" s="204"/>
      <c r="CH96" s="204"/>
      <c r="CI96" s="204"/>
      <c r="CJ96" s="204"/>
      <c r="CK96" s="204"/>
      <c r="CL96" s="204"/>
      <c r="CM96" s="204"/>
      <c r="CN96" s="204"/>
      <c r="CO96" s="204"/>
      <c r="CP96" s="204"/>
      <c r="CQ96" s="204"/>
      <c r="CR96" s="204"/>
      <c r="CS96" s="204"/>
      <c r="CT96" s="204"/>
      <c r="CU96" s="204"/>
      <c r="CV96" s="204"/>
      <c r="CW96" s="204"/>
      <c r="CX96" s="204"/>
      <c r="CY96" s="204"/>
      <c r="CZ96" s="204"/>
      <c r="DA96" s="204"/>
      <c r="DB96" s="204"/>
      <c r="DC96" s="204"/>
      <c r="DD96" s="204"/>
      <c r="DE96" s="204"/>
      <c r="DF96" s="204"/>
      <c r="DG96" s="204"/>
      <c r="DH96" s="204"/>
      <c r="DI96" s="204"/>
      <c r="DJ96" s="204"/>
      <c r="DK96" s="204"/>
      <c r="DL96" s="204"/>
      <c r="DM96" s="204"/>
      <c r="DN96" s="204"/>
      <c r="DO96" s="204"/>
      <c r="DP96" s="204"/>
      <c r="DQ96" s="204"/>
      <c r="DR96" s="204"/>
      <c r="DS96" s="204"/>
      <c r="DT96" s="204"/>
      <c r="DU96" s="204"/>
      <c r="DV96" s="204"/>
      <c r="DW96" s="204"/>
      <c r="DX96" s="204"/>
      <c r="DY96" s="204"/>
      <c r="DZ96" s="204"/>
      <c r="EA96" s="204"/>
      <c r="EB96" s="204"/>
      <c r="EC96" s="204"/>
      <c r="ED96" s="204"/>
      <c r="EE96" s="204"/>
      <c r="EF96" s="204"/>
      <c r="EG96" s="204"/>
      <c r="EH96" s="204"/>
      <c r="EI96" s="204"/>
      <c r="EJ96" s="204"/>
      <c r="EK96" s="204"/>
      <c r="EL96" s="204"/>
      <c r="EM96" s="204"/>
      <c r="EN96" s="204"/>
      <c r="EO96" s="204"/>
      <c r="EP96" s="204"/>
      <c r="EQ96" s="204"/>
      <c r="ER96" s="204"/>
      <c r="ES96" s="204"/>
      <c r="ET96" s="204"/>
      <c r="EU96" s="204"/>
      <c r="EV96" s="204"/>
      <c r="EW96" s="204"/>
      <c r="EX96" s="204"/>
      <c r="FC96" s="200" t="str">
        <f t="shared" si="6"/>
        <v>I</v>
      </c>
    </row>
    <row r="97" spans="1:159" s="202" customFormat="1" ht="29.1" customHeight="1" x14ac:dyDescent="0.2">
      <c r="A97" s="142"/>
      <c r="B97" s="146"/>
      <c r="C97" s="153"/>
      <c r="D97" s="51"/>
      <c r="E97" s="38"/>
      <c r="F97" s="220"/>
      <c r="G97" s="221"/>
      <c r="H97" s="226"/>
      <c r="I97" s="226"/>
      <c r="J97" s="226"/>
      <c r="K97" s="224"/>
      <c r="L97" s="220"/>
      <c r="M97" s="221"/>
      <c r="N97" s="226"/>
      <c r="O97" s="226"/>
      <c r="P97" s="226"/>
      <c r="Q97" s="224"/>
      <c r="R97" s="220"/>
      <c r="S97" s="221"/>
      <c r="T97" s="226"/>
      <c r="U97" s="226"/>
      <c r="V97" s="220"/>
      <c r="W97" s="221"/>
      <c r="X97" s="226"/>
      <c r="Y97" s="226"/>
      <c r="Z97" s="220"/>
      <c r="AA97" s="221"/>
      <c r="AB97" s="226"/>
      <c r="AC97" s="220"/>
      <c r="AD97" s="168">
        <f t="shared" si="7"/>
        <v>0</v>
      </c>
      <c r="AE97" s="168">
        <f t="shared" si="8"/>
        <v>0</v>
      </c>
      <c r="AF97" s="169"/>
      <c r="AG97" s="195"/>
      <c r="AH97" s="195"/>
      <c r="AN97" s="203"/>
      <c r="AO97" s="203"/>
      <c r="AP97" s="203"/>
      <c r="AQ97" s="203"/>
      <c r="AR97" s="203"/>
      <c r="AS97" s="203"/>
      <c r="AT97" s="203"/>
      <c r="AU97" s="195"/>
      <c r="AV97" s="203"/>
      <c r="AW97" s="203"/>
      <c r="AX97" s="195"/>
      <c r="AY97" s="195"/>
      <c r="AZ97" s="203"/>
      <c r="BU97" s="204"/>
      <c r="BV97" s="204"/>
      <c r="BW97" s="204"/>
      <c r="BX97" s="204"/>
      <c r="BY97" s="204"/>
      <c r="BZ97" s="204"/>
      <c r="CA97" s="204"/>
      <c r="CB97" s="204"/>
      <c r="CC97" s="204"/>
      <c r="CD97" s="204"/>
      <c r="CE97" s="204"/>
      <c r="CF97" s="204"/>
      <c r="CG97" s="204"/>
      <c r="CH97" s="204"/>
      <c r="CI97" s="204"/>
      <c r="CJ97" s="204"/>
      <c r="CK97" s="204"/>
      <c r="CL97" s="204"/>
      <c r="CM97" s="204"/>
      <c r="CN97" s="204"/>
      <c r="CO97" s="204"/>
      <c r="CP97" s="204"/>
      <c r="CQ97" s="204"/>
      <c r="CR97" s="204"/>
      <c r="CS97" s="204"/>
      <c r="CT97" s="204"/>
      <c r="CU97" s="204"/>
      <c r="CV97" s="204"/>
      <c r="CW97" s="204"/>
      <c r="CX97" s="204"/>
      <c r="CY97" s="204"/>
      <c r="CZ97" s="204"/>
      <c r="DA97" s="204"/>
      <c r="DB97" s="204"/>
      <c r="DC97" s="204"/>
      <c r="DD97" s="204"/>
      <c r="DE97" s="204"/>
      <c r="DF97" s="204"/>
      <c r="DG97" s="204"/>
      <c r="DH97" s="204"/>
      <c r="DI97" s="204"/>
      <c r="DJ97" s="204"/>
      <c r="DK97" s="204"/>
      <c r="DL97" s="204"/>
      <c r="DM97" s="204"/>
      <c r="DN97" s="204"/>
      <c r="DO97" s="204"/>
      <c r="DP97" s="204"/>
      <c r="DQ97" s="204"/>
      <c r="DR97" s="204"/>
      <c r="DS97" s="204"/>
      <c r="DT97" s="204"/>
      <c r="DU97" s="204"/>
      <c r="DV97" s="204"/>
      <c r="DW97" s="204"/>
      <c r="DX97" s="204"/>
      <c r="DY97" s="204"/>
      <c r="DZ97" s="204"/>
      <c r="EA97" s="204"/>
      <c r="EB97" s="204"/>
      <c r="EC97" s="204"/>
      <c r="ED97" s="204"/>
      <c r="EE97" s="204"/>
      <c r="EF97" s="204"/>
      <c r="EG97" s="204"/>
      <c r="EH97" s="204"/>
      <c r="EI97" s="204"/>
      <c r="EJ97" s="204"/>
      <c r="EK97" s="204"/>
      <c r="EL97" s="204"/>
      <c r="EM97" s="204"/>
      <c r="EN97" s="204"/>
      <c r="EO97" s="204"/>
      <c r="EP97" s="204"/>
      <c r="EQ97" s="204"/>
      <c r="ER97" s="204"/>
      <c r="ES97" s="204"/>
      <c r="ET97" s="204"/>
      <c r="EU97" s="204"/>
      <c r="EV97" s="204"/>
      <c r="EW97" s="204"/>
      <c r="EX97" s="204"/>
      <c r="FC97" s="200" t="str">
        <f t="shared" si="6"/>
        <v>I</v>
      </c>
    </row>
    <row r="98" spans="1:159" s="202" customFormat="1" ht="29.1" customHeight="1" x14ac:dyDescent="0.2">
      <c r="A98" s="142"/>
      <c r="B98" s="146"/>
      <c r="C98" s="153"/>
      <c r="D98" s="51"/>
      <c r="E98" s="38"/>
      <c r="F98" s="220"/>
      <c r="G98" s="221"/>
      <c r="H98" s="226"/>
      <c r="I98" s="226"/>
      <c r="J98" s="226"/>
      <c r="K98" s="224"/>
      <c r="L98" s="220"/>
      <c r="M98" s="221"/>
      <c r="N98" s="226"/>
      <c r="O98" s="226"/>
      <c r="P98" s="226"/>
      <c r="Q98" s="224"/>
      <c r="R98" s="220"/>
      <c r="S98" s="221"/>
      <c r="T98" s="226"/>
      <c r="U98" s="226"/>
      <c r="V98" s="220"/>
      <c r="W98" s="221"/>
      <c r="X98" s="226"/>
      <c r="Y98" s="226"/>
      <c r="Z98" s="220"/>
      <c r="AA98" s="221"/>
      <c r="AB98" s="226"/>
      <c r="AC98" s="220"/>
      <c r="AD98" s="168">
        <f t="shared" si="7"/>
        <v>0</v>
      </c>
      <c r="AE98" s="168">
        <f t="shared" si="8"/>
        <v>0</v>
      </c>
      <c r="AF98" s="169"/>
      <c r="AG98" s="195"/>
      <c r="AH98" s="195"/>
      <c r="AN98" s="203"/>
      <c r="AO98" s="203"/>
      <c r="AP98" s="203"/>
      <c r="AQ98" s="203"/>
      <c r="AR98" s="203"/>
      <c r="AS98" s="203"/>
      <c r="AT98" s="203"/>
      <c r="AU98" s="195"/>
      <c r="AV98" s="203"/>
      <c r="AW98" s="203"/>
      <c r="AX98" s="195"/>
      <c r="AY98" s="195"/>
      <c r="AZ98" s="203"/>
      <c r="BU98" s="204"/>
      <c r="BV98" s="204"/>
      <c r="BW98" s="204"/>
      <c r="BX98" s="204"/>
      <c r="BY98" s="204"/>
      <c r="BZ98" s="204"/>
      <c r="CA98" s="204"/>
      <c r="CB98" s="204"/>
      <c r="CC98" s="204"/>
      <c r="CD98" s="204"/>
      <c r="CE98" s="204"/>
      <c r="CF98" s="204"/>
      <c r="CG98" s="204"/>
      <c r="CH98" s="204"/>
      <c r="CI98" s="204"/>
      <c r="CJ98" s="204"/>
      <c r="CK98" s="204"/>
      <c r="CL98" s="204"/>
      <c r="CM98" s="204"/>
      <c r="CN98" s="204"/>
      <c r="CO98" s="204"/>
      <c r="CP98" s="204"/>
      <c r="CQ98" s="204"/>
      <c r="CR98" s="204"/>
      <c r="CS98" s="204"/>
      <c r="CT98" s="204"/>
      <c r="CU98" s="204"/>
      <c r="CV98" s="204"/>
      <c r="CW98" s="204"/>
      <c r="CX98" s="204"/>
      <c r="CY98" s="204"/>
      <c r="CZ98" s="204"/>
      <c r="DA98" s="204"/>
      <c r="DB98" s="204"/>
      <c r="DC98" s="204"/>
      <c r="DD98" s="204"/>
      <c r="DE98" s="204"/>
      <c r="DF98" s="204"/>
      <c r="DG98" s="204"/>
      <c r="DH98" s="204"/>
      <c r="DI98" s="204"/>
      <c r="DJ98" s="204"/>
      <c r="DK98" s="204"/>
      <c r="DL98" s="204"/>
      <c r="DM98" s="204"/>
      <c r="DN98" s="204"/>
      <c r="DO98" s="204"/>
      <c r="DP98" s="204"/>
      <c r="DQ98" s="204"/>
      <c r="DR98" s="204"/>
      <c r="DS98" s="204"/>
      <c r="DT98" s="204"/>
      <c r="DU98" s="204"/>
      <c r="DV98" s="204"/>
      <c r="DW98" s="204"/>
      <c r="DX98" s="204"/>
      <c r="DY98" s="204"/>
      <c r="DZ98" s="204"/>
      <c r="EA98" s="204"/>
      <c r="EB98" s="204"/>
      <c r="EC98" s="204"/>
      <c r="ED98" s="204"/>
      <c r="EE98" s="204"/>
      <c r="EF98" s="204"/>
      <c r="EG98" s="204"/>
      <c r="EH98" s="204"/>
      <c r="EI98" s="204"/>
      <c r="EJ98" s="204"/>
      <c r="EK98" s="204"/>
      <c r="EL98" s="204"/>
      <c r="EM98" s="204"/>
      <c r="EN98" s="204"/>
      <c r="EO98" s="204"/>
      <c r="EP98" s="204"/>
      <c r="EQ98" s="204"/>
      <c r="ER98" s="204"/>
      <c r="ES98" s="204"/>
      <c r="ET98" s="204"/>
      <c r="EU98" s="204"/>
      <c r="EV98" s="204"/>
      <c r="EW98" s="204"/>
      <c r="EX98" s="204"/>
      <c r="FC98" s="200" t="str">
        <f t="shared" si="6"/>
        <v>I</v>
      </c>
    </row>
    <row r="99" spans="1:159" s="202" customFormat="1" ht="29.1" customHeight="1" x14ac:dyDescent="0.2">
      <c r="A99" s="142"/>
      <c r="B99" s="146"/>
      <c r="C99" s="153"/>
      <c r="D99" s="51"/>
      <c r="E99" s="38"/>
      <c r="F99" s="220"/>
      <c r="G99" s="221"/>
      <c r="H99" s="226"/>
      <c r="I99" s="226"/>
      <c r="J99" s="226"/>
      <c r="K99" s="224"/>
      <c r="L99" s="220"/>
      <c r="M99" s="221"/>
      <c r="N99" s="226"/>
      <c r="O99" s="226"/>
      <c r="P99" s="226"/>
      <c r="Q99" s="224"/>
      <c r="R99" s="220"/>
      <c r="S99" s="221"/>
      <c r="T99" s="226"/>
      <c r="U99" s="226"/>
      <c r="V99" s="220"/>
      <c r="W99" s="221"/>
      <c r="X99" s="226"/>
      <c r="Y99" s="226"/>
      <c r="Z99" s="220"/>
      <c r="AA99" s="221"/>
      <c r="AB99" s="226"/>
      <c r="AC99" s="220"/>
      <c r="AD99" s="168">
        <f t="shared" si="7"/>
        <v>0</v>
      </c>
      <c r="AE99" s="168">
        <f t="shared" si="8"/>
        <v>0</v>
      </c>
      <c r="AF99" s="169"/>
      <c r="AG99" s="195"/>
      <c r="AH99" s="195"/>
      <c r="AN99" s="203"/>
      <c r="AO99" s="203"/>
      <c r="AP99" s="203"/>
      <c r="AQ99" s="203"/>
      <c r="AR99" s="203"/>
      <c r="AS99" s="203"/>
      <c r="AT99" s="203"/>
      <c r="AU99" s="195"/>
      <c r="AV99" s="203"/>
      <c r="AW99" s="203"/>
      <c r="AX99" s="195"/>
      <c r="AY99" s="195"/>
      <c r="AZ99" s="203"/>
      <c r="BU99" s="204"/>
      <c r="BV99" s="204"/>
      <c r="BW99" s="204"/>
      <c r="BX99" s="204"/>
      <c r="BY99" s="204"/>
      <c r="BZ99" s="204"/>
      <c r="CA99" s="204"/>
      <c r="CB99" s="204"/>
      <c r="CC99" s="204"/>
      <c r="CD99" s="204"/>
      <c r="CE99" s="204"/>
      <c r="CF99" s="204"/>
      <c r="CG99" s="204"/>
      <c r="CH99" s="204"/>
      <c r="CI99" s="204"/>
      <c r="CJ99" s="204"/>
      <c r="CK99" s="204"/>
      <c r="CL99" s="204"/>
      <c r="CM99" s="204"/>
      <c r="CN99" s="204"/>
      <c r="CO99" s="204"/>
      <c r="CP99" s="204"/>
      <c r="CQ99" s="204"/>
      <c r="CR99" s="204"/>
      <c r="CS99" s="204"/>
      <c r="CT99" s="204"/>
      <c r="CU99" s="204"/>
      <c r="CV99" s="204"/>
      <c r="CW99" s="204"/>
      <c r="CX99" s="204"/>
      <c r="CY99" s="204"/>
      <c r="CZ99" s="204"/>
      <c r="DA99" s="204"/>
      <c r="DB99" s="204"/>
      <c r="DC99" s="204"/>
      <c r="DD99" s="204"/>
      <c r="DE99" s="204"/>
      <c r="DF99" s="204"/>
      <c r="DG99" s="204"/>
      <c r="DH99" s="204"/>
      <c r="DI99" s="204"/>
      <c r="DJ99" s="204"/>
      <c r="DK99" s="204"/>
      <c r="DL99" s="204"/>
      <c r="DM99" s="204"/>
      <c r="DN99" s="204"/>
      <c r="DO99" s="204"/>
      <c r="DP99" s="204"/>
      <c r="DQ99" s="204"/>
      <c r="DR99" s="204"/>
      <c r="DS99" s="204"/>
      <c r="DT99" s="204"/>
      <c r="DU99" s="204"/>
      <c r="DV99" s="204"/>
      <c r="DW99" s="204"/>
      <c r="DX99" s="204"/>
      <c r="DY99" s="204"/>
      <c r="DZ99" s="204"/>
      <c r="EA99" s="204"/>
      <c r="EB99" s="204"/>
      <c r="EC99" s="204"/>
      <c r="ED99" s="204"/>
      <c r="EE99" s="204"/>
      <c r="EF99" s="204"/>
      <c r="EG99" s="204"/>
      <c r="EH99" s="204"/>
      <c r="EI99" s="204"/>
      <c r="EJ99" s="204"/>
      <c r="EK99" s="204"/>
      <c r="EL99" s="204"/>
      <c r="EM99" s="204"/>
      <c r="EN99" s="204"/>
      <c r="EO99" s="204"/>
      <c r="EP99" s="204"/>
      <c r="EQ99" s="204"/>
      <c r="ER99" s="204"/>
      <c r="ES99" s="204"/>
      <c r="ET99" s="204"/>
      <c r="EU99" s="204"/>
      <c r="EV99" s="204"/>
      <c r="EW99" s="204"/>
      <c r="EX99" s="204"/>
      <c r="FC99" s="200" t="str">
        <f t="shared" si="6"/>
        <v>I</v>
      </c>
    </row>
    <row r="100" spans="1:159" s="202" customFormat="1" ht="29.1" customHeight="1" x14ac:dyDescent="0.2">
      <c r="A100" s="142"/>
      <c r="B100" s="146"/>
      <c r="C100" s="153"/>
      <c r="D100" s="51"/>
      <c r="E100" s="38"/>
      <c r="F100" s="220"/>
      <c r="G100" s="221"/>
      <c r="H100" s="226"/>
      <c r="I100" s="226"/>
      <c r="J100" s="226"/>
      <c r="K100" s="224"/>
      <c r="L100" s="220"/>
      <c r="M100" s="221"/>
      <c r="N100" s="226"/>
      <c r="O100" s="226"/>
      <c r="P100" s="226"/>
      <c r="Q100" s="224"/>
      <c r="R100" s="220"/>
      <c r="S100" s="221"/>
      <c r="T100" s="226"/>
      <c r="U100" s="226"/>
      <c r="V100" s="220"/>
      <c r="W100" s="221"/>
      <c r="X100" s="226"/>
      <c r="Y100" s="226"/>
      <c r="Z100" s="220"/>
      <c r="AA100" s="221"/>
      <c r="AB100" s="226"/>
      <c r="AC100" s="220"/>
      <c r="AD100" s="168">
        <f t="shared" si="7"/>
        <v>0</v>
      </c>
      <c r="AE100" s="168">
        <f t="shared" si="8"/>
        <v>0</v>
      </c>
      <c r="AF100" s="169"/>
      <c r="AG100" s="195"/>
      <c r="AH100" s="195"/>
      <c r="AN100" s="203"/>
      <c r="AO100" s="203"/>
      <c r="AP100" s="203"/>
      <c r="AQ100" s="203"/>
      <c r="AR100" s="203"/>
      <c r="AS100" s="203"/>
      <c r="AT100" s="203"/>
      <c r="AU100" s="195"/>
      <c r="AV100" s="203"/>
      <c r="AW100" s="203"/>
      <c r="AX100" s="195"/>
      <c r="AY100" s="195"/>
      <c r="AZ100" s="203"/>
      <c r="BU100" s="204"/>
      <c r="BV100" s="204"/>
      <c r="BW100" s="204"/>
      <c r="BX100" s="204"/>
      <c r="BY100" s="204"/>
      <c r="BZ100" s="204"/>
      <c r="CA100" s="204"/>
      <c r="CB100" s="204"/>
      <c r="CC100" s="204"/>
      <c r="CD100" s="204"/>
      <c r="CE100" s="204"/>
      <c r="CF100" s="204"/>
      <c r="CG100" s="204"/>
      <c r="CH100" s="204"/>
      <c r="CI100" s="204"/>
      <c r="CJ100" s="204"/>
      <c r="CK100" s="204"/>
      <c r="CL100" s="204"/>
      <c r="CM100" s="204"/>
      <c r="CN100" s="204"/>
      <c r="CO100" s="204"/>
      <c r="CP100" s="204"/>
      <c r="CQ100" s="204"/>
      <c r="CR100" s="204"/>
      <c r="CS100" s="204"/>
      <c r="CT100" s="204"/>
      <c r="CU100" s="204"/>
      <c r="CV100" s="204"/>
      <c r="CW100" s="204"/>
      <c r="CX100" s="204"/>
      <c r="CY100" s="204"/>
      <c r="CZ100" s="204"/>
      <c r="DA100" s="204"/>
      <c r="DB100" s="204"/>
      <c r="DC100" s="204"/>
      <c r="DD100" s="204"/>
      <c r="DE100" s="204"/>
      <c r="DF100" s="204"/>
      <c r="DG100" s="204"/>
      <c r="DH100" s="204"/>
      <c r="DI100" s="204"/>
      <c r="DJ100" s="204"/>
      <c r="DK100" s="204"/>
      <c r="DL100" s="204"/>
      <c r="DM100" s="204"/>
      <c r="DN100" s="204"/>
      <c r="DO100" s="204"/>
      <c r="DP100" s="204"/>
      <c r="DQ100" s="204"/>
      <c r="DR100" s="204"/>
      <c r="DS100" s="204"/>
      <c r="DT100" s="204"/>
      <c r="DU100" s="204"/>
      <c r="DV100" s="204"/>
      <c r="DW100" s="204"/>
      <c r="DX100" s="204"/>
      <c r="DY100" s="204"/>
      <c r="DZ100" s="204"/>
      <c r="EA100" s="204"/>
      <c r="EB100" s="204"/>
      <c r="EC100" s="204"/>
      <c r="ED100" s="204"/>
      <c r="EE100" s="204"/>
      <c r="EF100" s="204"/>
      <c r="EG100" s="204"/>
      <c r="EH100" s="204"/>
      <c r="EI100" s="204"/>
      <c r="EJ100" s="204"/>
      <c r="EK100" s="204"/>
      <c r="EL100" s="204"/>
      <c r="EM100" s="204"/>
      <c r="EN100" s="204"/>
      <c r="EO100" s="204"/>
      <c r="EP100" s="204"/>
      <c r="EQ100" s="204"/>
      <c r="ER100" s="204"/>
      <c r="ES100" s="204"/>
      <c r="ET100" s="204"/>
      <c r="EU100" s="204"/>
      <c r="EV100" s="204"/>
      <c r="EW100" s="204"/>
      <c r="EX100" s="204"/>
      <c r="FC100" s="200" t="str">
        <f t="shared" si="6"/>
        <v>I</v>
      </c>
    </row>
    <row r="101" spans="1:159" s="202" customFormat="1" ht="29.1" customHeight="1" x14ac:dyDescent="0.2">
      <c r="A101" s="142"/>
      <c r="B101" s="146"/>
      <c r="C101" s="153"/>
      <c r="D101" s="51"/>
      <c r="E101" s="38"/>
      <c r="F101" s="220"/>
      <c r="G101" s="221"/>
      <c r="H101" s="226"/>
      <c r="I101" s="226"/>
      <c r="J101" s="226"/>
      <c r="K101" s="224"/>
      <c r="L101" s="220"/>
      <c r="M101" s="221"/>
      <c r="N101" s="226"/>
      <c r="O101" s="226"/>
      <c r="P101" s="226"/>
      <c r="Q101" s="224"/>
      <c r="R101" s="220"/>
      <c r="S101" s="221"/>
      <c r="T101" s="226"/>
      <c r="U101" s="226"/>
      <c r="V101" s="220"/>
      <c r="W101" s="221"/>
      <c r="X101" s="226"/>
      <c r="Y101" s="226"/>
      <c r="Z101" s="220"/>
      <c r="AA101" s="221"/>
      <c r="AB101" s="226"/>
      <c r="AC101" s="220"/>
      <c r="AD101" s="168">
        <f t="shared" si="7"/>
        <v>0</v>
      </c>
      <c r="AE101" s="168">
        <f t="shared" si="8"/>
        <v>0</v>
      </c>
      <c r="AF101" s="169"/>
      <c r="AG101" s="195"/>
      <c r="AH101" s="195"/>
      <c r="AN101" s="203"/>
      <c r="AO101" s="203"/>
      <c r="AP101" s="203"/>
      <c r="AQ101" s="203"/>
      <c r="AR101" s="203"/>
      <c r="AS101" s="203"/>
      <c r="AT101" s="203"/>
      <c r="AU101" s="195"/>
      <c r="AV101" s="203"/>
      <c r="AW101" s="203"/>
      <c r="AX101" s="195"/>
      <c r="AY101" s="195"/>
      <c r="AZ101" s="203"/>
      <c r="BU101" s="204"/>
      <c r="BV101" s="204"/>
      <c r="BW101" s="204"/>
      <c r="BX101" s="204"/>
      <c r="BY101" s="204"/>
      <c r="BZ101" s="204"/>
      <c r="CA101" s="204"/>
      <c r="CB101" s="204"/>
      <c r="CC101" s="204"/>
      <c r="CD101" s="204"/>
      <c r="CE101" s="204"/>
      <c r="CF101" s="204"/>
      <c r="CG101" s="204"/>
      <c r="CH101" s="204"/>
      <c r="CI101" s="204"/>
      <c r="CJ101" s="204"/>
      <c r="CK101" s="204"/>
      <c r="CL101" s="204"/>
      <c r="CM101" s="204"/>
      <c r="CN101" s="204"/>
      <c r="CO101" s="204"/>
      <c r="CP101" s="204"/>
      <c r="CQ101" s="204"/>
      <c r="CR101" s="204"/>
      <c r="CS101" s="204"/>
      <c r="CT101" s="204"/>
      <c r="CU101" s="204"/>
      <c r="CV101" s="204"/>
      <c r="CW101" s="204"/>
      <c r="CX101" s="204"/>
      <c r="CY101" s="204"/>
      <c r="CZ101" s="204"/>
      <c r="DA101" s="204"/>
      <c r="DB101" s="204"/>
      <c r="DC101" s="204"/>
      <c r="DD101" s="204"/>
      <c r="DE101" s="204"/>
      <c r="DF101" s="204"/>
      <c r="DG101" s="204"/>
      <c r="DH101" s="204"/>
      <c r="DI101" s="204"/>
      <c r="DJ101" s="204"/>
      <c r="DK101" s="204"/>
      <c r="DL101" s="204"/>
      <c r="DM101" s="204"/>
      <c r="DN101" s="204"/>
      <c r="DO101" s="204"/>
      <c r="DP101" s="204"/>
      <c r="DQ101" s="204"/>
      <c r="DR101" s="204"/>
      <c r="DS101" s="204"/>
      <c r="DT101" s="204"/>
      <c r="DU101" s="204"/>
      <c r="DV101" s="204"/>
      <c r="DW101" s="204"/>
      <c r="DX101" s="204"/>
      <c r="DY101" s="204"/>
      <c r="DZ101" s="204"/>
      <c r="EA101" s="204"/>
      <c r="EB101" s="204"/>
      <c r="EC101" s="204"/>
      <c r="ED101" s="204"/>
      <c r="EE101" s="204"/>
      <c r="EF101" s="204"/>
      <c r="EG101" s="204"/>
      <c r="EH101" s="204"/>
      <c r="EI101" s="204"/>
      <c r="EJ101" s="204"/>
      <c r="EK101" s="204"/>
      <c r="EL101" s="204"/>
      <c r="EM101" s="204"/>
      <c r="EN101" s="204"/>
      <c r="EO101" s="204"/>
      <c r="EP101" s="204"/>
      <c r="EQ101" s="204"/>
      <c r="ER101" s="204"/>
      <c r="ES101" s="204"/>
      <c r="ET101" s="204"/>
      <c r="EU101" s="204"/>
      <c r="EV101" s="204"/>
      <c r="EW101" s="204"/>
      <c r="EX101" s="204"/>
      <c r="FC101" s="200" t="str">
        <f t="shared" si="6"/>
        <v>I</v>
      </c>
    </row>
    <row r="102" spans="1:159" s="202" customFormat="1" ht="29.1" customHeight="1" x14ac:dyDescent="0.2">
      <c r="A102" s="142"/>
      <c r="B102" s="146"/>
      <c r="C102" s="153"/>
      <c r="D102" s="51"/>
      <c r="E102" s="38"/>
      <c r="F102" s="220"/>
      <c r="G102" s="221"/>
      <c r="H102" s="226"/>
      <c r="I102" s="226"/>
      <c r="J102" s="226"/>
      <c r="K102" s="224"/>
      <c r="L102" s="220"/>
      <c r="M102" s="221"/>
      <c r="N102" s="226"/>
      <c r="O102" s="226"/>
      <c r="P102" s="226"/>
      <c r="Q102" s="224"/>
      <c r="R102" s="220"/>
      <c r="S102" s="221"/>
      <c r="T102" s="226"/>
      <c r="U102" s="226"/>
      <c r="V102" s="220"/>
      <c r="W102" s="221"/>
      <c r="X102" s="226"/>
      <c r="Y102" s="226"/>
      <c r="Z102" s="220"/>
      <c r="AA102" s="221"/>
      <c r="AB102" s="226"/>
      <c r="AC102" s="220"/>
      <c r="AD102" s="168">
        <f t="shared" si="7"/>
        <v>0</v>
      </c>
      <c r="AE102" s="168">
        <f t="shared" si="8"/>
        <v>0</v>
      </c>
      <c r="AF102" s="169"/>
      <c r="AG102" s="195"/>
      <c r="AH102" s="195"/>
      <c r="AN102" s="203"/>
      <c r="AO102" s="203"/>
      <c r="AP102" s="203"/>
      <c r="AQ102" s="203"/>
      <c r="AR102" s="203"/>
      <c r="AS102" s="203"/>
      <c r="AT102" s="203"/>
      <c r="AU102" s="195"/>
      <c r="AV102" s="203"/>
      <c r="AW102" s="203"/>
      <c r="AX102" s="195"/>
      <c r="AY102" s="195"/>
      <c r="AZ102" s="203"/>
      <c r="BU102" s="204"/>
      <c r="BV102" s="204"/>
      <c r="BW102" s="204"/>
      <c r="BX102" s="204"/>
      <c r="BY102" s="204"/>
      <c r="BZ102" s="204"/>
      <c r="CA102" s="204"/>
      <c r="CB102" s="204"/>
      <c r="CC102" s="204"/>
      <c r="CD102" s="204"/>
      <c r="CE102" s="204"/>
      <c r="CF102" s="204"/>
      <c r="CG102" s="204"/>
      <c r="CH102" s="204"/>
      <c r="CI102" s="204"/>
      <c r="CJ102" s="204"/>
      <c r="CK102" s="204"/>
      <c r="CL102" s="204"/>
      <c r="CM102" s="204"/>
      <c r="CN102" s="204"/>
      <c r="CO102" s="204"/>
      <c r="CP102" s="204"/>
      <c r="CQ102" s="204"/>
      <c r="CR102" s="204"/>
      <c r="CS102" s="204"/>
      <c r="CT102" s="204"/>
      <c r="CU102" s="204"/>
      <c r="CV102" s="204"/>
      <c r="CW102" s="204"/>
      <c r="CX102" s="204"/>
      <c r="CY102" s="204"/>
      <c r="CZ102" s="204"/>
      <c r="DA102" s="204"/>
      <c r="DB102" s="204"/>
      <c r="DC102" s="204"/>
      <c r="DD102" s="204"/>
      <c r="DE102" s="204"/>
      <c r="DF102" s="204"/>
      <c r="DG102" s="204"/>
      <c r="DH102" s="204"/>
      <c r="DI102" s="204"/>
      <c r="DJ102" s="204"/>
      <c r="DK102" s="204"/>
      <c r="DL102" s="204"/>
      <c r="DM102" s="204"/>
      <c r="DN102" s="204"/>
      <c r="DO102" s="204"/>
      <c r="DP102" s="204"/>
      <c r="DQ102" s="204"/>
      <c r="DR102" s="204"/>
      <c r="DS102" s="204"/>
      <c r="DT102" s="204"/>
      <c r="DU102" s="204"/>
      <c r="DV102" s="204"/>
      <c r="DW102" s="204"/>
      <c r="DX102" s="204"/>
      <c r="DY102" s="204"/>
      <c r="DZ102" s="204"/>
      <c r="EA102" s="204"/>
      <c r="EB102" s="204"/>
      <c r="EC102" s="204"/>
      <c r="ED102" s="204"/>
      <c r="EE102" s="204"/>
      <c r="EF102" s="204"/>
      <c r="EG102" s="204"/>
      <c r="EH102" s="204"/>
      <c r="EI102" s="204"/>
      <c r="EJ102" s="204"/>
      <c r="EK102" s="204"/>
      <c r="EL102" s="204"/>
      <c r="EM102" s="204"/>
      <c r="EN102" s="204"/>
      <c r="EO102" s="204"/>
      <c r="EP102" s="204"/>
      <c r="EQ102" s="204"/>
      <c r="ER102" s="204"/>
      <c r="ES102" s="204"/>
      <c r="ET102" s="204"/>
      <c r="EU102" s="204"/>
      <c r="EV102" s="204"/>
      <c r="EW102" s="204"/>
      <c r="EX102" s="204"/>
      <c r="FC102" s="200" t="str">
        <f t="shared" si="6"/>
        <v>I</v>
      </c>
    </row>
    <row r="103" spans="1:159" s="202" customFormat="1" ht="29.1" customHeight="1" x14ac:dyDescent="0.2">
      <c r="A103" s="142"/>
      <c r="B103" s="146"/>
      <c r="C103" s="153"/>
      <c r="D103" s="51"/>
      <c r="E103" s="38"/>
      <c r="F103" s="220"/>
      <c r="G103" s="221"/>
      <c r="H103" s="226"/>
      <c r="I103" s="226"/>
      <c r="J103" s="226"/>
      <c r="K103" s="224"/>
      <c r="L103" s="220"/>
      <c r="M103" s="221"/>
      <c r="N103" s="226"/>
      <c r="O103" s="226"/>
      <c r="P103" s="226"/>
      <c r="Q103" s="224"/>
      <c r="R103" s="220"/>
      <c r="S103" s="221"/>
      <c r="T103" s="226"/>
      <c r="U103" s="226"/>
      <c r="V103" s="220"/>
      <c r="W103" s="221"/>
      <c r="X103" s="226"/>
      <c r="Y103" s="226"/>
      <c r="Z103" s="220"/>
      <c r="AA103" s="221"/>
      <c r="AB103" s="226"/>
      <c r="AC103" s="220"/>
      <c r="AD103" s="168">
        <f t="shared" si="7"/>
        <v>0</v>
      </c>
      <c r="AE103" s="168">
        <f t="shared" si="8"/>
        <v>0</v>
      </c>
      <c r="AF103" s="169"/>
      <c r="AG103" s="195"/>
      <c r="AH103" s="195"/>
      <c r="AN103" s="203"/>
      <c r="AO103" s="203"/>
      <c r="AP103" s="203"/>
      <c r="AQ103" s="203"/>
      <c r="AR103" s="203"/>
      <c r="AS103" s="203"/>
      <c r="AT103" s="203"/>
      <c r="AU103" s="195"/>
      <c r="AV103" s="203"/>
      <c r="AW103" s="203"/>
      <c r="AX103" s="195"/>
      <c r="AY103" s="195"/>
      <c r="AZ103" s="203"/>
      <c r="BU103" s="204"/>
      <c r="BV103" s="204"/>
      <c r="BW103" s="204"/>
      <c r="BX103" s="204"/>
      <c r="BY103" s="204"/>
      <c r="BZ103" s="204"/>
      <c r="CA103" s="204"/>
      <c r="CB103" s="204"/>
      <c r="CC103" s="204"/>
      <c r="CD103" s="204"/>
      <c r="CE103" s="204"/>
      <c r="CF103" s="204"/>
      <c r="CG103" s="204"/>
      <c r="CH103" s="204"/>
      <c r="CI103" s="204"/>
      <c r="CJ103" s="204"/>
      <c r="CK103" s="204"/>
      <c r="CL103" s="204"/>
      <c r="CM103" s="204"/>
      <c r="CN103" s="204"/>
      <c r="CO103" s="204"/>
      <c r="CP103" s="204"/>
      <c r="CQ103" s="204"/>
      <c r="CR103" s="204"/>
      <c r="CS103" s="204"/>
      <c r="CT103" s="204"/>
      <c r="CU103" s="204"/>
      <c r="CV103" s="204"/>
      <c r="CW103" s="204"/>
      <c r="CX103" s="204"/>
      <c r="CY103" s="204"/>
      <c r="CZ103" s="204"/>
      <c r="DA103" s="204"/>
      <c r="DB103" s="204"/>
      <c r="DC103" s="204"/>
      <c r="DD103" s="204"/>
      <c r="DE103" s="204"/>
      <c r="DF103" s="204"/>
      <c r="DG103" s="204"/>
      <c r="DH103" s="204"/>
      <c r="DI103" s="204"/>
      <c r="DJ103" s="204"/>
      <c r="DK103" s="204"/>
      <c r="DL103" s="204"/>
      <c r="DM103" s="204"/>
      <c r="DN103" s="204"/>
      <c r="DO103" s="204"/>
      <c r="DP103" s="204"/>
      <c r="DQ103" s="204"/>
      <c r="DR103" s="204"/>
      <c r="DS103" s="204"/>
      <c r="DT103" s="204"/>
      <c r="DU103" s="204"/>
      <c r="DV103" s="204"/>
      <c r="DW103" s="204"/>
      <c r="DX103" s="204"/>
      <c r="DY103" s="204"/>
      <c r="DZ103" s="204"/>
      <c r="EA103" s="204"/>
      <c r="EB103" s="204"/>
      <c r="EC103" s="204"/>
      <c r="ED103" s="204"/>
      <c r="EE103" s="204"/>
      <c r="EF103" s="204"/>
      <c r="EG103" s="204"/>
      <c r="EH103" s="204"/>
      <c r="EI103" s="204"/>
      <c r="EJ103" s="204"/>
      <c r="EK103" s="204"/>
      <c r="EL103" s="204"/>
      <c r="EM103" s="204"/>
      <c r="EN103" s="204"/>
      <c r="EO103" s="204"/>
      <c r="EP103" s="204"/>
      <c r="EQ103" s="204"/>
      <c r="ER103" s="204"/>
      <c r="ES103" s="204"/>
      <c r="ET103" s="204"/>
      <c r="EU103" s="204"/>
      <c r="EV103" s="204"/>
      <c r="EW103" s="204"/>
      <c r="EX103" s="204"/>
      <c r="FC103" s="200" t="str">
        <f t="shared" si="6"/>
        <v>I</v>
      </c>
    </row>
    <row r="104" spans="1:159" s="202" customFormat="1" ht="29.1" customHeight="1" x14ac:dyDescent="0.2">
      <c r="A104" s="142"/>
      <c r="B104" s="146"/>
      <c r="C104" s="153"/>
      <c r="D104" s="51"/>
      <c r="E104" s="38"/>
      <c r="F104" s="220"/>
      <c r="G104" s="221"/>
      <c r="H104" s="226"/>
      <c r="I104" s="226"/>
      <c r="J104" s="226"/>
      <c r="K104" s="224"/>
      <c r="L104" s="220"/>
      <c r="M104" s="221"/>
      <c r="N104" s="226"/>
      <c r="O104" s="226"/>
      <c r="P104" s="226"/>
      <c r="Q104" s="224"/>
      <c r="R104" s="220"/>
      <c r="S104" s="221"/>
      <c r="T104" s="226"/>
      <c r="U104" s="226"/>
      <c r="V104" s="220"/>
      <c r="W104" s="221"/>
      <c r="X104" s="226"/>
      <c r="Y104" s="226"/>
      <c r="Z104" s="220"/>
      <c r="AA104" s="221"/>
      <c r="AB104" s="226"/>
      <c r="AC104" s="220"/>
      <c r="AD104" s="168">
        <f t="shared" si="7"/>
        <v>0</v>
      </c>
      <c r="AE104" s="168">
        <f t="shared" si="8"/>
        <v>0</v>
      </c>
      <c r="AF104" s="169"/>
      <c r="AG104" s="195"/>
      <c r="AH104" s="195"/>
      <c r="AN104" s="203"/>
      <c r="AO104" s="203"/>
      <c r="AP104" s="203"/>
      <c r="AQ104" s="203"/>
      <c r="AR104" s="203"/>
      <c r="AS104" s="203"/>
      <c r="AT104" s="203"/>
      <c r="AU104" s="195"/>
      <c r="AV104" s="203"/>
      <c r="AW104" s="203"/>
      <c r="AX104" s="195"/>
      <c r="AY104" s="195"/>
      <c r="AZ104" s="203"/>
      <c r="BU104" s="204"/>
      <c r="BV104" s="204"/>
      <c r="BW104" s="204"/>
      <c r="BX104" s="204"/>
      <c r="BY104" s="204"/>
      <c r="BZ104" s="204"/>
      <c r="CA104" s="204"/>
      <c r="CB104" s="204"/>
      <c r="CC104" s="204"/>
      <c r="CD104" s="204"/>
      <c r="CE104" s="204"/>
      <c r="CF104" s="204"/>
      <c r="CG104" s="204"/>
      <c r="CH104" s="204"/>
      <c r="CI104" s="204"/>
      <c r="CJ104" s="204"/>
      <c r="CK104" s="204"/>
      <c r="CL104" s="204"/>
      <c r="CM104" s="204"/>
      <c r="CN104" s="204"/>
      <c r="CO104" s="204"/>
      <c r="CP104" s="204"/>
      <c r="CQ104" s="204"/>
      <c r="CR104" s="204"/>
      <c r="CS104" s="204"/>
      <c r="CT104" s="204"/>
      <c r="CU104" s="204"/>
      <c r="CV104" s="204"/>
      <c r="CW104" s="204"/>
      <c r="CX104" s="204"/>
      <c r="CY104" s="204"/>
      <c r="CZ104" s="204"/>
      <c r="DA104" s="204"/>
      <c r="DB104" s="204"/>
      <c r="DC104" s="204"/>
      <c r="DD104" s="204"/>
      <c r="DE104" s="204"/>
      <c r="DF104" s="204"/>
      <c r="DG104" s="204"/>
      <c r="DH104" s="204"/>
      <c r="DI104" s="204"/>
      <c r="DJ104" s="204"/>
      <c r="DK104" s="204"/>
      <c r="DL104" s="204"/>
      <c r="DM104" s="204"/>
      <c r="DN104" s="204"/>
      <c r="DO104" s="204"/>
      <c r="DP104" s="204"/>
      <c r="DQ104" s="204"/>
      <c r="DR104" s="204"/>
      <c r="DS104" s="204"/>
      <c r="DT104" s="204"/>
      <c r="DU104" s="204"/>
      <c r="DV104" s="204"/>
      <c r="DW104" s="204"/>
      <c r="DX104" s="204"/>
      <c r="DY104" s="204"/>
      <c r="DZ104" s="204"/>
      <c r="EA104" s="204"/>
      <c r="EB104" s="204"/>
      <c r="EC104" s="204"/>
      <c r="ED104" s="204"/>
      <c r="EE104" s="204"/>
      <c r="EF104" s="204"/>
      <c r="EG104" s="204"/>
      <c r="EH104" s="204"/>
      <c r="EI104" s="204"/>
      <c r="EJ104" s="204"/>
      <c r="EK104" s="204"/>
      <c r="EL104" s="204"/>
      <c r="EM104" s="204"/>
      <c r="EN104" s="204"/>
      <c r="EO104" s="204"/>
      <c r="EP104" s="204"/>
      <c r="EQ104" s="204"/>
      <c r="ER104" s="204"/>
      <c r="ES104" s="204"/>
      <c r="ET104" s="204"/>
      <c r="EU104" s="204"/>
      <c r="EV104" s="204"/>
      <c r="EW104" s="204"/>
      <c r="EX104" s="204"/>
      <c r="FC104" s="200" t="str">
        <f t="shared" si="6"/>
        <v>I</v>
      </c>
    </row>
    <row r="105" spans="1:159" s="202" customFormat="1" ht="29.1" customHeight="1" x14ac:dyDescent="0.2">
      <c r="A105" s="142"/>
      <c r="B105" s="146"/>
      <c r="C105" s="153"/>
      <c r="D105" s="51"/>
      <c r="E105" s="38"/>
      <c r="F105" s="220"/>
      <c r="G105" s="221"/>
      <c r="H105" s="226"/>
      <c r="I105" s="226"/>
      <c r="J105" s="226"/>
      <c r="K105" s="224"/>
      <c r="L105" s="220"/>
      <c r="M105" s="221"/>
      <c r="N105" s="226"/>
      <c r="O105" s="226"/>
      <c r="P105" s="226"/>
      <c r="Q105" s="224"/>
      <c r="R105" s="220"/>
      <c r="S105" s="221"/>
      <c r="T105" s="226"/>
      <c r="U105" s="226"/>
      <c r="V105" s="220"/>
      <c r="W105" s="221"/>
      <c r="X105" s="226"/>
      <c r="Y105" s="226"/>
      <c r="Z105" s="220"/>
      <c r="AA105" s="221"/>
      <c r="AB105" s="226"/>
      <c r="AC105" s="220"/>
      <c r="AD105" s="168">
        <f t="shared" si="7"/>
        <v>0</v>
      </c>
      <c r="AE105" s="168">
        <f t="shared" si="8"/>
        <v>0</v>
      </c>
      <c r="AF105" s="169"/>
      <c r="AG105" s="195"/>
      <c r="AH105" s="195"/>
      <c r="AN105" s="203"/>
      <c r="AO105" s="203"/>
      <c r="AP105" s="203"/>
      <c r="AQ105" s="203"/>
      <c r="AR105" s="203"/>
      <c r="AS105" s="203"/>
      <c r="AT105" s="203"/>
      <c r="AU105" s="195"/>
      <c r="AV105" s="203"/>
      <c r="AW105" s="203"/>
      <c r="AX105" s="195"/>
      <c r="AY105" s="195"/>
      <c r="AZ105" s="203"/>
      <c r="BU105" s="204"/>
      <c r="BV105" s="204"/>
      <c r="BW105" s="204"/>
      <c r="BX105" s="204"/>
      <c r="BY105" s="204"/>
      <c r="BZ105" s="204"/>
      <c r="CA105" s="204"/>
      <c r="CB105" s="204"/>
      <c r="CC105" s="204"/>
      <c r="CD105" s="204"/>
      <c r="CE105" s="204"/>
      <c r="CF105" s="204"/>
      <c r="CG105" s="204"/>
      <c r="CH105" s="204"/>
      <c r="CI105" s="204"/>
      <c r="CJ105" s="204"/>
      <c r="CK105" s="204"/>
      <c r="CL105" s="204"/>
      <c r="CM105" s="204"/>
      <c r="CN105" s="204"/>
      <c r="CO105" s="204"/>
      <c r="CP105" s="204"/>
      <c r="CQ105" s="204"/>
      <c r="CR105" s="204"/>
      <c r="CS105" s="204"/>
      <c r="CT105" s="204"/>
      <c r="CU105" s="204"/>
      <c r="CV105" s="204"/>
      <c r="CW105" s="204"/>
      <c r="CX105" s="204"/>
      <c r="CY105" s="204"/>
      <c r="CZ105" s="204"/>
      <c r="DA105" s="204"/>
      <c r="DB105" s="204"/>
      <c r="DC105" s="204"/>
      <c r="DD105" s="204"/>
      <c r="DE105" s="204"/>
      <c r="DF105" s="204"/>
      <c r="DG105" s="204"/>
      <c r="DH105" s="204"/>
      <c r="DI105" s="204"/>
      <c r="DJ105" s="204"/>
      <c r="DK105" s="204"/>
      <c r="DL105" s="204"/>
      <c r="DM105" s="204"/>
      <c r="DN105" s="204"/>
      <c r="DO105" s="204"/>
      <c r="DP105" s="204"/>
      <c r="DQ105" s="204"/>
      <c r="DR105" s="204"/>
      <c r="DS105" s="204"/>
      <c r="DT105" s="204"/>
      <c r="DU105" s="204"/>
      <c r="DV105" s="204"/>
      <c r="DW105" s="204"/>
      <c r="DX105" s="204"/>
      <c r="DY105" s="204"/>
      <c r="DZ105" s="204"/>
      <c r="EA105" s="204"/>
      <c r="EB105" s="204"/>
      <c r="EC105" s="204"/>
      <c r="ED105" s="204"/>
      <c r="EE105" s="204"/>
      <c r="EF105" s="204"/>
      <c r="EG105" s="204"/>
      <c r="EH105" s="204"/>
      <c r="EI105" s="204"/>
      <c r="EJ105" s="204"/>
      <c r="EK105" s="204"/>
      <c r="EL105" s="204"/>
      <c r="EM105" s="204"/>
      <c r="EN105" s="204"/>
      <c r="EO105" s="204"/>
      <c r="EP105" s="204"/>
      <c r="EQ105" s="204"/>
      <c r="ER105" s="204"/>
      <c r="ES105" s="204"/>
      <c r="ET105" s="204"/>
      <c r="EU105" s="204"/>
      <c r="EV105" s="204"/>
      <c r="EW105" s="204"/>
      <c r="EX105" s="204"/>
      <c r="FC105" s="200" t="str">
        <f t="shared" si="6"/>
        <v>I</v>
      </c>
    </row>
    <row r="106" spans="1:159" s="202" customFormat="1" ht="29.1" customHeight="1" x14ac:dyDescent="0.2">
      <c r="A106" s="142"/>
      <c r="B106" s="146"/>
      <c r="C106" s="153"/>
      <c r="D106" s="51"/>
      <c r="E106" s="38"/>
      <c r="F106" s="220"/>
      <c r="G106" s="221"/>
      <c r="H106" s="226"/>
      <c r="I106" s="226"/>
      <c r="J106" s="226"/>
      <c r="K106" s="224"/>
      <c r="L106" s="220"/>
      <c r="M106" s="221"/>
      <c r="N106" s="226"/>
      <c r="O106" s="226"/>
      <c r="P106" s="226"/>
      <c r="Q106" s="224"/>
      <c r="R106" s="220"/>
      <c r="S106" s="221"/>
      <c r="T106" s="226"/>
      <c r="U106" s="226"/>
      <c r="V106" s="220"/>
      <c r="W106" s="221"/>
      <c r="X106" s="226"/>
      <c r="Y106" s="226"/>
      <c r="Z106" s="220"/>
      <c r="AA106" s="221"/>
      <c r="AB106" s="226"/>
      <c r="AC106" s="220"/>
      <c r="AD106" s="168">
        <f t="shared" si="7"/>
        <v>0</v>
      </c>
      <c r="AE106" s="168">
        <f t="shared" si="8"/>
        <v>0</v>
      </c>
      <c r="AF106" s="169"/>
      <c r="AG106" s="195"/>
      <c r="AH106" s="195"/>
      <c r="AN106" s="203"/>
      <c r="AO106" s="203"/>
      <c r="AP106" s="203"/>
      <c r="AQ106" s="203"/>
      <c r="AR106" s="203"/>
      <c r="AS106" s="203"/>
      <c r="AT106" s="203"/>
      <c r="AU106" s="195"/>
      <c r="AV106" s="203"/>
      <c r="AW106" s="203"/>
      <c r="AX106" s="195"/>
      <c r="AY106" s="195"/>
      <c r="AZ106" s="203"/>
      <c r="BU106" s="204"/>
      <c r="BV106" s="204"/>
      <c r="BW106" s="204"/>
      <c r="BX106" s="204"/>
      <c r="BY106" s="204"/>
      <c r="BZ106" s="204"/>
      <c r="CA106" s="204"/>
      <c r="CB106" s="204"/>
      <c r="CC106" s="204"/>
      <c r="CD106" s="204"/>
      <c r="CE106" s="204"/>
      <c r="CF106" s="204"/>
      <c r="CG106" s="204"/>
      <c r="CH106" s="204"/>
      <c r="CI106" s="204"/>
      <c r="CJ106" s="204"/>
      <c r="CK106" s="204"/>
      <c r="CL106" s="204"/>
      <c r="CM106" s="204"/>
      <c r="CN106" s="204"/>
      <c r="CO106" s="204"/>
      <c r="CP106" s="204"/>
      <c r="CQ106" s="204"/>
      <c r="CR106" s="204"/>
      <c r="CS106" s="204"/>
      <c r="CT106" s="204"/>
      <c r="CU106" s="204"/>
      <c r="CV106" s="204"/>
      <c r="CW106" s="204"/>
      <c r="CX106" s="204"/>
      <c r="CY106" s="204"/>
      <c r="CZ106" s="204"/>
      <c r="DA106" s="204"/>
      <c r="DB106" s="204"/>
      <c r="DC106" s="204"/>
      <c r="DD106" s="204"/>
      <c r="DE106" s="204"/>
      <c r="DF106" s="204"/>
      <c r="DG106" s="204"/>
      <c r="DH106" s="204"/>
      <c r="DI106" s="204"/>
      <c r="DJ106" s="204"/>
      <c r="DK106" s="204"/>
      <c r="DL106" s="204"/>
      <c r="DM106" s="204"/>
      <c r="DN106" s="204"/>
      <c r="DO106" s="204"/>
      <c r="DP106" s="204"/>
      <c r="DQ106" s="204"/>
      <c r="DR106" s="204"/>
      <c r="DS106" s="204"/>
      <c r="DT106" s="204"/>
      <c r="DU106" s="204"/>
      <c r="DV106" s="204"/>
      <c r="DW106" s="204"/>
      <c r="DX106" s="204"/>
      <c r="DY106" s="204"/>
      <c r="DZ106" s="204"/>
      <c r="EA106" s="204"/>
      <c r="EB106" s="204"/>
      <c r="EC106" s="204"/>
      <c r="ED106" s="204"/>
      <c r="EE106" s="204"/>
      <c r="EF106" s="204"/>
      <c r="EG106" s="204"/>
      <c r="EH106" s="204"/>
      <c r="EI106" s="204"/>
      <c r="EJ106" s="204"/>
      <c r="EK106" s="204"/>
      <c r="EL106" s="204"/>
      <c r="EM106" s="204"/>
      <c r="EN106" s="204"/>
      <c r="EO106" s="204"/>
      <c r="EP106" s="204"/>
      <c r="EQ106" s="204"/>
      <c r="ER106" s="204"/>
      <c r="ES106" s="204"/>
      <c r="ET106" s="204"/>
      <c r="EU106" s="204"/>
      <c r="EV106" s="204"/>
      <c r="EW106" s="204"/>
      <c r="EX106" s="204"/>
      <c r="FC106" s="200" t="str">
        <f t="shared" si="6"/>
        <v>I</v>
      </c>
    </row>
    <row r="107" spans="1:159" s="202" customFormat="1" ht="29.1" customHeight="1" x14ac:dyDescent="0.2">
      <c r="A107" s="142"/>
      <c r="B107" s="146"/>
      <c r="C107" s="153"/>
      <c r="D107" s="51"/>
      <c r="E107" s="38"/>
      <c r="F107" s="220"/>
      <c r="G107" s="221"/>
      <c r="H107" s="226"/>
      <c r="I107" s="226"/>
      <c r="J107" s="226"/>
      <c r="K107" s="224"/>
      <c r="L107" s="220"/>
      <c r="M107" s="221"/>
      <c r="N107" s="226"/>
      <c r="O107" s="226"/>
      <c r="P107" s="226"/>
      <c r="Q107" s="224"/>
      <c r="R107" s="220"/>
      <c r="S107" s="221"/>
      <c r="T107" s="226"/>
      <c r="U107" s="226"/>
      <c r="V107" s="220"/>
      <c r="W107" s="221"/>
      <c r="X107" s="226"/>
      <c r="Y107" s="226"/>
      <c r="Z107" s="220"/>
      <c r="AA107" s="221"/>
      <c r="AB107" s="226"/>
      <c r="AC107" s="220"/>
      <c r="AD107" s="168">
        <f t="shared" si="7"/>
        <v>0</v>
      </c>
      <c r="AE107" s="168">
        <f t="shared" si="8"/>
        <v>0</v>
      </c>
      <c r="AF107" s="169"/>
      <c r="AG107" s="195"/>
      <c r="AH107" s="195"/>
      <c r="AN107" s="203"/>
      <c r="AO107" s="203"/>
      <c r="AP107" s="203"/>
      <c r="AQ107" s="203"/>
      <c r="AR107" s="203"/>
      <c r="AS107" s="203"/>
      <c r="AT107" s="203"/>
      <c r="AU107" s="195"/>
      <c r="AV107" s="203"/>
      <c r="AW107" s="203"/>
      <c r="AX107" s="195"/>
      <c r="AY107" s="195"/>
      <c r="AZ107" s="203"/>
      <c r="BU107" s="204"/>
      <c r="BV107" s="204"/>
      <c r="BW107" s="204"/>
      <c r="BX107" s="204"/>
      <c r="BY107" s="204"/>
      <c r="BZ107" s="204"/>
      <c r="CA107" s="204"/>
      <c r="CB107" s="204"/>
      <c r="CC107" s="204"/>
      <c r="CD107" s="204"/>
      <c r="CE107" s="204"/>
      <c r="CF107" s="204"/>
      <c r="CG107" s="204"/>
      <c r="CH107" s="204"/>
      <c r="CI107" s="204"/>
      <c r="CJ107" s="204"/>
      <c r="CK107" s="204"/>
      <c r="CL107" s="204"/>
      <c r="CM107" s="204"/>
      <c r="CN107" s="204"/>
      <c r="CO107" s="204"/>
      <c r="CP107" s="204"/>
      <c r="CQ107" s="204"/>
      <c r="CR107" s="204"/>
      <c r="CS107" s="204"/>
      <c r="CT107" s="204"/>
      <c r="CU107" s="204"/>
      <c r="CV107" s="204"/>
      <c r="CW107" s="204"/>
      <c r="CX107" s="204"/>
      <c r="CY107" s="204"/>
      <c r="CZ107" s="204"/>
      <c r="DA107" s="204"/>
      <c r="DB107" s="204"/>
      <c r="DC107" s="204"/>
      <c r="DD107" s="204"/>
      <c r="DE107" s="204"/>
      <c r="DF107" s="204"/>
      <c r="DG107" s="204"/>
      <c r="DH107" s="204"/>
      <c r="DI107" s="204"/>
      <c r="DJ107" s="204"/>
      <c r="DK107" s="204"/>
      <c r="DL107" s="204"/>
      <c r="DM107" s="204"/>
      <c r="DN107" s="204"/>
      <c r="DO107" s="204"/>
      <c r="DP107" s="204"/>
      <c r="DQ107" s="204"/>
      <c r="DR107" s="204"/>
      <c r="DS107" s="204"/>
      <c r="DT107" s="204"/>
      <c r="DU107" s="204"/>
      <c r="DV107" s="204"/>
      <c r="DW107" s="204"/>
      <c r="DX107" s="204"/>
      <c r="DY107" s="204"/>
      <c r="DZ107" s="204"/>
      <c r="EA107" s="204"/>
      <c r="EB107" s="204"/>
      <c r="EC107" s="204"/>
      <c r="ED107" s="204"/>
      <c r="EE107" s="204"/>
      <c r="EF107" s="204"/>
      <c r="EG107" s="204"/>
      <c r="EH107" s="204"/>
      <c r="EI107" s="204"/>
      <c r="EJ107" s="204"/>
      <c r="EK107" s="204"/>
      <c r="EL107" s="204"/>
      <c r="EM107" s="204"/>
      <c r="EN107" s="204"/>
      <c r="EO107" s="204"/>
      <c r="EP107" s="204"/>
      <c r="EQ107" s="204"/>
      <c r="ER107" s="204"/>
      <c r="ES107" s="204"/>
      <c r="ET107" s="204"/>
      <c r="EU107" s="204"/>
      <c r="EV107" s="204"/>
      <c r="EW107" s="204"/>
      <c r="EX107" s="204"/>
      <c r="FC107" s="200" t="str">
        <f t="shared" si="6"/>
        <v>I</v>
      </c>
    </row>
    <row r="108" spans="1:159" s="202" customFormat="1" ht="29.1" customHeight="1" x14ac:dyDescent="0.2">
      <c r="A108" s="142"/>
      <c r="B108" s="146"/>
      <c r="C108" s="153"/>
      <c r="D108" s="51"/>
      <c r="E108" s="38"/>
      <c r="F108" s="220"/>
      <c r="G108" s="221"/>
      <c r="H108" s="226"/>
      <c r="I108" s="226"/>
      <c r="J108" s="226"/>
      <c r="K108" s="224"/>
      <c r="L108" s="220"/>
      <c r="M108" s="221"/>
      <c r="N108" s="226"/>
      <c r="O108" s="226"/>
      <c r="P108" s="226"/>
      <c r="Q108" s="224"/>
      <c r="R108" s="220"/>
      <c r="S108" s="221"/>
      <c r="T108" s="226"/>
      <c r="U108" s="226"/>
      <c r="V108" s="220"/>
      <c r="W108" s="221"/>
      <c r="X108" s="226"/>
      <c r="Y108" s="226"/>
      <c r="Z108" s="220"/>
      <c r="AA108" s="221"/>
      <c r="AB108" s="226"/>
      <c r="AC108" s="220"/>
      <c r="AD108" s="168">
        <f t="shared" si="7"/>
        <v>0</v>
      </c>
      <c r="AE108" s="168">
        <f t="shared" si="8"/>
        <v>0</v>
      </c>
      <c r="AF108" s="169"/>
      <c r="AG108" s="195"/>
      <c r="AH108" s="195"/>
      <c r="AN108" s="203"/>
      <c r="AO108" s="203"/>
      <c r="AP108" s="203"/>
      <c r="AQ108" s="203"/>
      <c r="AR108" s="203"/>
      <c r="AS108" s="203"/>
      <c r="AT108" s="203"/>
      <c r="AU108" s="195"/>
      <c r="AV108" s="203"/>
      <c r="AW108" s="203"/>
      <c r="AX108" s="195"/>
      <c r="AY108" s="195"/>
      <c r="AZ108" s="203"/>
      <c r="BU108" s="204"/>
      <c r="BV108" s="204"/>
      <c r="BW108" s="204"/>
      <c r="BX108" s="204"/>
      <c r="BY108" s="204"/>
      <c r="BZ108" s="204"/>
      <c r="CA108" s="204"/>
      <c r="CB108" s="204"/>
      <c r="CC108" s="204"/>
      <c r="CD108" s="204"/>
      <c r="CE108" s="204"/>
      <c r="CF108" s="204"/>
      <c r="CG108" s="204"/>
      <c r="CH108" s="204"/>
      <c r="CI108" s="204"/>
      <c r="CJ108" s="204"/>
      <c r="CK108" s="204"/>
      <c r="CL108" s="204"/>
      <c r="CM108" s="204"/>
      <c r="CN108" s="204"/>
      <c r="CO108" s="204"/>
      <c r="CP108" s="204"/>
      <c r="CQ108" s="204"/>
      <c r="CR108" s="204"/>
      <c r="CS108" s="204"/>
      <c r="CT108" s="204"/>
      <c r="CU108" s="204"/>
      <c r="CV108" s="204"/>
      <c r="CW108" s="204"/>
      <c r="CX108" s="204"/>
      <c r="CY108" s="204"/>
      <c r="CZ108" s="204"/>
      <c r="DA108" s="204"/>
      <c r="DB108" s="204"/>
      <c r="DC108" s="204"/>
      <c r="DD108" s="204"/>
      <c r="DE108" s="204"/>
      <c r="DF108" s="204"/>
      <c r="DG108" s="204"/>
      <c r="DH108" s="204"/>
      <c r="DI108" s="204"/>
      <c r="DJ108" s="204"/>
      <c r="DK108" s="204"/>
      <c r="DL108" s="204"/>
      <c r="DM108" s="204"/>
      <c r="DN108" s="204"/>
      <c r="DO108" s="204"/>
      <c r="DP108" s="204"/>
      <c r="DQ108" s="204"/>
      <c r="DR108" s="204"/>
      <c r="DS108" s="204"/>
      <c r="DT108" s="204"/>
      <c r="DU108" s="204"/>
      <c r="DV108" s="204"/>
      <c r="DW108" s="204"/>
      <c r="DX108" s="204"/>
      <c r="DY108" s="204"/>
      <c r="DZ108" s="204"/>
      <c r="EA108" s="204"/>
      <c r="EB108" s="204"/>
      <c r="EC108" s="204"/>
      <c r="ED108" s="204"/>
      <c r="EE108" s="204"/>
      <c r="EF108" s="204"/>
      <c r="EG108" s="204"/>
      <c r="EH108" s="204"/>
      <c r="EI108" s="204"/>
      <c r="EJ108" s="204"/>
      <c r="EK108" s="204"/>
      <c r="EL108" s="204"/>
      <c r="EM108" s="204"/>
      <c r="EN108" s="204"/>
      <c r="EO108" s="204"/>
      <c r="EP108" s="204"/>
      <c r="EQ108" s="204"/>
      <c r="ER108" s="204"/>
      <c r="ES108" s="204"/>
      <c r="ET108" s="204"/>
      <c r="EU108" s="204"/>
      <c r="EV108" s="204"/>
      <c r="EW108" s="204"/>
      <c r="EX108" s="204"/>
      <c r="FC108" s="200" t="str">
        <f t="shared" si="6"/>
        <v>I</v>
      </c>
    </row>
    <row r="109" spans="1:159" s="202" customFormat="1" ht="29.1" customHeight="1" x14ac:dyDescent="0.2">
      <c r="A109" s="142"/>
      <c r="B109" s="146"/>
      <c r="C109" s="153"/>
      <c r="D109" s="51"/>
      <c r="E109" s="38"/>
      <c r="F109" s="220"/>
      <c r="G109" s="221"/>
      <c r="H109" s="226"/>
      <c r="I109" s="226"/>
      <c r="J109" s="226"/>
      <c r="K109" s="224"/>
      <c r="L109" s="220"/>
      <c r="M109" s="221"/>
      <c r="N109" s="226"/>
      <c r="O109" s="226"/>
      <c r="P109" s="226"/>
      <c r="Q109" s="224"/>
      <c r="R109" s="220"/>
      <c r="S109" s="221"/>
      <c r="T109" s="226"/>
      <c r="U109" s="226"/>
      <c r="V109" s="220"/>
      <c r="W109" s="221"/>
      <c r="X109" s="226"/>
      <c r="Y109" s="226"/>
      <c r="Z109" s="220"/>
      <c r="AA109" s="221"/>
      <c r="AB109" s="226"/>
      <c r="AC109" s="220"/>
      <c r="AD109" s="168">
        <f t="shared" si="7"/>
        <v>0</v>
      </c>
      <c r="AE109" s="168">
        <f t="shared" si="8"/>
        <v>0</v>
      </c>
      <c r="AF109" s="169"/>
      <c r="AG109" s="195"/>
      <c r="AH109" s="195"/>
      <c r="AN109" s="203"/>
      <c r="AO109" s="203"/>
      <c r="AP109" s="203"/>
      <c r="AQ109" s="203"/>
      <c r="AR109" s="203"/>
      <c r="AS109" s="203"/>
      <c r="AT109" s="203"/>
      <c r="AU109" s="195"/>
      <c r="AV109" s="203"/>
      <c r="AW109" s="203"/>
      <c r="AX109" s="195"/>
      <c r="AY109" s="195"/>
      <c r="AZ109" s="203"/>
      <c r="BU109" s="204"/>
      <c r="BV109" s="204"/>
      <c r="BW109" s="204"/>
      <c r="BX109" s="204"/>
      <c r="BY109" s="204"/>
      <c r="BZ109" s="204"/>
      <c r="CA109" s="204"/>
      <c r="CB109" s="204"/>
      <c r="CC109" s="204"/>
      <c r="CD109" s="204"/>
      <c r="CE109" s="204"/>
      <c r="CF109" s="204"/>
      <c r="CG109" s="204"/>
      <c r="CH109" s="204"/>
      <c r="CI109" s="204"/>
      <c r="CJ109" s="204"/>
      <c r="CK109" s="204"/>
      <c r="CL109" s="204"/>
      <c r="CM109" s="204"/>
      <c r="CN109" s="204"/>
      <c r="CO109" s="204"/>
      <c r="CP109" s="204"/>
      <c r="CQ109" s="204"/>
      <c r="CR109" s="204"/>
      <c r="CS109" s="204"/>
      <c r="CT109" s="204"/>
      <c r="CU109" s="204"/>
      <c r="CV109" s="204"/>
      <c r="CW109" s="204"/>
      <c r="CX109" s="204"/>
      <c r="CY109" s="204"/>
      <c r="CZ109" s="204"/>
      <c r="DA109" s="204"/>
      <c r="DB109" s="204"/>
      <c r="DC109" s="204"/>
      <c r="DD109" s="204"/>
      <c r="DE109" s="204"/>
      <c r="DF109" s="204"/>
      <c r="DG109" s="204"/>
      <c r="DH109" s="204"/>
      <c r="DI109" s="204"/>
      <c r="DJ109" s="204"/>
      <c r="DK109" s="204"/>
      <c r="DL109" s="204"/>
      <c r="DM109" s="204"/>
      <c r="DN109" s="204"/>
      <c r="DO109" s="204"/>
      <c r="DP109" s="204"/>
      <c r="DQ109" s="204"/>
      <c r="DR109" s="204"/>
      <c r="DS109" s="204"/>
      <c r="DT109" s="204"/>
      <c r="DU109" s="204"/>
      <c r="DV109" s="204"/>
      <c r="DW109" s="204"/>
      <c r="DX109" s="204"/>
      <c r="DY109" s="204"/>
      <c r="DZ109" s="204"/>
      <c r="EA109" s="204"/>
      <c r="EB109" s="204"/>
      <c r="EC109" s="204"/>
      <c r="ED109" s="204"/>
      <c r="EE109" s="204"/>
      <c r="EF109" s="204"/>
      <c r="EG109" s="204"/>
      <c r="EH109" s="204"/>
      <c r="EI109" s="204"/>
      <c r="EJ109" s="204"/>
      <c r="EK109" s="204"/>
      <c r="EL109" s="204"/>
      <c r="EM109" s="204"/>
      <c r="EN109" s="204"/>
      <c r="EO109" s="204"/>
      <c r="EP109" s="204"/>
      <c r="EQ109" s="204"/>
      <c r="ER109" s="204"/>
      <c r="ES109" s="204"/>
      <c r="ET109" s="204"/>
      <c r="EU109" s="204"/>
      <c r="EV109" s="204"/>
      <c r="EW109" s="204"/>
      <c r="EX109" s="204"/>
      <c r="FC109" s="200" t="str">
        <f t="shared" si="6"/>
        <v>I</v>
      </c>
    </row>
    <row r="110" spans="1:159" s="202" customFormat="1" ht="29.1" customHeight="1" x14ac:dyDescent="0.2">
      <c r="A110" s="142"/>
      <c r="B110" s="146"/>
      <c r="C110" s="153"/>
      <c r="D110" s="51"/>
      <c r="E110" s="38"/>
      <c r="F110" s="220"/>
      <c r="G110" s="221"/>
      <c r="H110" s="226"/>
      <c r="I110" s="226"/>
      <c r="J110" s="226"/>
      <c r="K110" s="224"/>
      <c r="L110" s="220"/>
      <c r="M110" s="221"/>
      <c r="N110" s="226"/>
      <c r="O110" s="226"/>
      <c r="P110" s="226"/>
      <c r="Q110" s="224"/>
      <c r="R110" s="220"/>
      <c r="S110" s="221"/>
      <c r="T110" s="226"/>
      <c r="U110" s="226"/>
      <c r="V110" s="220"/>
      <c r="W110" s="221"/>
      <c r="X110" s="226"/>
      <c r="Y110" s="226"/>
      <c r="Z110" s="220"/>
      <c r="AA110" s="221"/>
      <c r="AB110" s="226"/>
      <c r="AC110" s="220"/>
      <c r="AD110" s="168">
        <f t="shared" si="7"/>
        <v>0</v>
      </c>
      <c r="AE110" s="168">
        <f t="shared" si="8"/>
        <v>0</v>
      </c>
      <c r="AF110" s="169"/>
      <c r="AG110" s="195"/>
      <c r="AH110" s="195"/>
      <c r="AN110" s="203"/>
      <c r="AO110" s="203"/>
      <c r="AP110" s="203"/>
      <c r="AQ110" s="203"/>
      <c r="AR110" s="203"/>
      <c r="AS110" s="203"/>
      <c r="AT110" s="203"/>
      <c r="AU110" s="195"/>
      <c r="AV110" s="203"/>
      <c r="AW110" s="203"/>
      <c r="AX110" s="195"/>
      <c r="AY110" s="195"/>
      <c r="AZ110" s="203"/>
      <c r="BU110" s="204"/>
      <c r="BV110" s="204"/>
      <c r="BW110" s="204"/>
      <c r="BX110" s="204"/>
      <c r="BY110" s="204"/>
      <c r="BZ110" s="204"/>
      <c r="CA110" s="204"/>
      <c r="CB110" s="204"/>
      <c r="CC110" s="204"/>
      <c r="CD110" s="204"/>
      <c r="CE110" s="204"/>
      <c r="CF110" s="204"/>
      <c r="CG110" s="204"/>
      <c r="CH110" s="204"/>
      <c r="CI110" s="204"/>
      <c r="CJ110" s="204"/>
      <c r="CK110" s="204"/>
      <c r="CL110" s="204"/>
      <c r="CM110" s="204"/>
      <c r="CN110" s="204"/>
      <c r="CO110" s="204"/>
      <c r="CP110" s="204"/>
      <c r="CQ110" s="204"/>
      <c r="CR110" s="204"/>
      <c r="CS110" s="204"/>
      <c r="CT110" s="204"/>
      <c r="CU110" s="204"/>
      <c r="CV110" s="204"/>
      <c r="CW110" s="204"/>
      <c r="CX110" s="204"/>
      <c r="CY110" s="204"/>
      <c r="CZ110" s="204"/>
      <c r="DA110" s="204"/>
      <c r="DB110" s="204"/>
      <c r="DC110" s="204"/>
      <c r="DD110" s="204"/>
      <c r="DE110" s="204"/>
      <c r="DF110" s="204"/>
      <c r="DG110" s="204"/>
      <c r="DH110" s="204"/>
      <c r="DI110" s="204"/>
      <c r="DJ110" s="204"/>
      <c r="DK110" s="204"/>
      <c r="DL110" s="204"/>
      <c r="DM110" s="204"/>
      <c r="DN110" s="204"/>
      <c r="DO110" s="204"/>
      <c r="DP110" s="204"/>
      <c r="DQ110" s="204"/>
      <c r="DR110" s="204"/>
      <c r="DS110" s="204"/>
      <c r="DT110" s="204"/>
      <c r="DU110" s="204"/>
      <c r="DV110" s="204"/>
      <c r="DW110" s="204"/>
      <c r="DX110" s="204"/>
      <c r="DY110" s="204"/>
      <c r="DZ110" s="204"/>
      <c r="EA110" s="204"/>
      <c r="EB110" s="204"/>
      <c r="EC110" s="204"/>
      <c r="ED110" s="204"/>
      <c r="EE110" s="204"/>
      <c r="EF110" s="204"/>
      <c r="EG110" s="204"/>
      <c r="EH110" s="204"/>
      <c r="EI110" s="204"/>
      <c r="EJ110" s="204"/>
      <c r="EK110" s="204"/>
      <c r="EL110" s="204"/>
      <c r="EM110" s="204"/>
      <c r="EN110" s="204"/>
      <c r="EO110" s="204"/>
      <c r="EP110" s="204"/>
      <c r="EQ110" s="204"/>
      <c r="ER110" s="204"/>
      <c r="ES110" s="204"/>
      <c r="ET110" s="204"/>
      <c r="EU110" s="204"/>
      <c r="EV110" s="204"/>
      <c r="EW110" s="204"/>
      <c r="EX110" s="204"/>
      <c r="FC110" s="200" t="str">
        <f t="shared" si="6"/>
        <v>I</v>
      </c>
    </row>
    <row r="111" spans="1:159" s="202" customFormat="1" ht="29.1" customHeight="1" x14ac:dyDescent="0.2">
      <c r="A111" s="142"/>
      <c r="B111" s="146"/>
      <c r="C111" s="153"/>
      <c r="D111" s="51"/>
      <c r="E111" s="38"/>
      <c r="F111" s="220"/>
      <c r="G111" s="221"/>
      <c r="H111" s="226"/>
      <c r="I111" s="226"/>
      <c r="J111" s="226"/>
      <c r="K111" s="224"/>
      <c r="L111" s="220"/>
      <c r="M111" s="221"/>
      <c r="N111" s="226"/>
      <c r="O111" s="226"/>
      <c r="P111" s="226"/>
      <c r="Q111" s="224"/>
      <c r="R111" s="220"/>
      <c r="S111" s="221"/>
      <c r="T111" s="226"/>
      <c r="U111" s="226"/>
      <c r="V111" s="220"/>
      <c r="W111" s="221"/>
      <c r="X111" s="226"/>
      <c r="Y111" s="226"/>
      <c r="Z111" s="220"/>
      <c r="AA111" s="221"/>
      <c r="AB111" s="226"/>
      <c r="AC111" s="220"/>
      <c r="AD111" s="168">
        <f t="shared" si="7"/>
        <v>0</v>
      </c>
      <c r="AE111" s="168">
        <f t="shared" si="8"/>
        <v>0</v>
      </c>
      <c r="AF111" s="169"/>
      <c r="AG111" s="195"/>
      <c r="AH111" s="195"/>
      <c r="AN111" s="203"/>
      <c r="AO111" s="203"/>
      <c r="AP111" s="203"/>
      <c r="AQ111" s="203"/>
      <c r="AR111" s="203"/>
      <c r="AS111" s="203"/>
      <c r="AT111" s="203"/>
      <c r="AU111" s="195"/>
      <c r="AV111" s="203"/>
      <c r="AW111" s="203"/>
      <c r="AX111" s="195"/>
      <c r="AY111" s="195"/>
      <c r="AZ111" s="203"/>
      <c r="BU111" s="204"/>
      <c r="BV111" s="204"/>
      <c r="BW111" s="204"/>
      <c r="BX111" s="204"/>
      <c r="BY111" s="204"/>
      <c r="BZ111" s="204"/>
      <c r="CA111" s="204"/>
      <c r="CB111" s="204"/>
      <c r="CC111" s="204"/>
      <c r="CD111" s="204"/>
      <c r="CE111" s="204"/>
      <c r="CF111" s="204"/>
      <c r="CG111" s="204"/>
      <c r="CH111" s="204"/>
      <c r="CI111" s="204"/>
      <c r="CJ111" s="204"/>
      <c r="CK111" s="204"/>
      <c r="CL111" s="204"/>
      <c r="CM111" s="204"/>
      <c r="CN111" s="204"/>
      <c r="CO111" s="204"/>
      <c r="CP111" s="204"/>
      <c r="CQ111" s="204"/>
      <c r="CR111" s="204"/>
      <c r="CS111" s="204"/>
      <c r="CT111" s="204"/>
      <c r="CU111" s="204"/>
      <c r="CV111" s="204"/>
      <c r="CW111" s="204"/>
      <c r="CX111" s="204"/>
      <c r="CY111" s="204"/>
      <c r="CZ111" s="204"/>
      <c r="DA111" s="204"/>
      <c r="DB111" s="204"/>
      <c r="DC111" s="204"/>
      <c r="DD111" s="204"/>
      <c r="DE111" s="204"/>
      <c r="DF111" s="204"/>
      <c r="DG111" s="204"/>
      <c r="DH111" s="204"/>
      <c r="DI111" s="204"/>
      <c r="DJ111" s="204"/>
      <c r="DK111" s="204"/>
      <c r="DL111" s="204"/>
      <c r="DM111" s="204"/>
      <c r="DN111" s="204"/>
      <c r="DO111" s="204"/>
      <c r="DP111" s="204"/>
      <c r="DQ111" s="204"/>
      <c r="DR111" s="204"/>
      <c r="DS111" s="204"/>
      <c r="DT111" s="204"/>
      <c r="DU111" s="204"/>
      <c r="DV111" s="204"/>
      <c r="DW111" s="204"/>
      <c r="DX111" s="204"/>
      <c r="DY111" s="204"/>
      <c r="DZ111" s="204"/>
      <c r="EA111" s="204"/>
      <c r="EB111" s="204"/>
      <c r="EC111" s="204"/>
      <c r="ED111" s="204"/>
      <c r="EE111" s="204"/>
      <c r="EF111" s="204"/>
      <c r="EG111" s="204"/>
      <c r="EH111" s="204"/>
      <c r="EI111" s="204"/>
      <c r="EJ111" s="204"/>
      <c r="EK111" s="204"/>
      <c r="EL111" s="204"/>
      <c r="EM111" s="204"/>
      <c r="EN111" s="204"/>
      <c r="EO111" s="204"/>
      <c r="EP111" s="204"/>
      <c r="EQ111" s="204"/>
      <c r="ER111" s="204"/>
      <c r="ES111" s="204"/>
      <c r="ET111" s="204"/>
      <c r="EU111" s="204"/>
      <c r="EV111" s="204"/>
      <c r="EW111" s="204"/>
      <c r="EX111" s="204"/>
      <c r="FC111" s="200" t="str">
        <f t="shared" si="6"/>
        <v>I</v>
      </c>
    </row>
    <row r="112" spans="1:159" s="202" customFormat="1" ht="29.1" customHeight="1" x14ac:dyDescent="0.2">
      <c r="A112" s="142"/>
      <c r="B112" s="146"/>
      <c r="C112" s="153"/>
      <c r="D112" s="51"/>
      <c r="E112" s="38"/>
      <c r="F112" s="220"/>
      <c r="G112" s="221"/>
      <c r="H112" s="226"/>
      <c r="I112" s="226"/>
      <c r="J112" s="226"/>
      <c r="K112" s="224"/>
      <c r="L112" s="220"/>
      <c r="M112" s="221"/>
      <c r="N112" s="226"/>
      <c r="O112" s="226"/>
      <c r="P112" s="226"/>
      <c r="Q112" s="224"/>
      <c r="R112" s="220"/>
      <c r="S112" s="221"/>
      <c r="T112" s="226"/>
      <c r="U112" s="226"/>
      <c r="V112" s="220"/>
      <c r="W112" s="221"/>
      <c r="X112" s="226"/>
      <c r="Y112" s="226"/>
      <c r="Z112" s="220"/>
      <c r="AA112" s="221"/>
      <c r="AB112" s="226"/>
      <c r="AC112" s="220"/>
      <c r="AD112" s="168">
        <f t="shared" si="7"/>
        <v>0</v>
      </c>
      <c r="AE112" s="168">
        <f t="shared" si="8"/>
        <v>0</v>
      </c>
      <c r="AF112" s="169"/>
      <c r="AG112" s="195"/>
      <c r="AH112" s="195"/>
      <c r="AN112" s="203"/>
      <c r="AO112" s="203"/>
      <c r="AP112" s="203"/>
      <c r="AQ112" s="203"/>
      <c r="AR112" s="203"/>
      <c r="AS112" s="203"/>
      <c r="AT112" s="203"/>
      <c r="AU112" s="195"/>
      <c r="AV112" s="203"/>
      <c r="AW112" s="203"/>
      <c r="AX112" s="195"/>
      <c r="AY112" s="195"/>
      <c r="AZ112" s="203"/>
      <c r="BU112" s="204"/>
      <c r="BV112" s="204"/>
      <c r="BW112" s="204"/>
      <c r="BX112" s="204"/>
      <c r="BY112" s="204"/>
      <c r="BZ112" s="204"/>
      <c r="CA112" s="204"/>
      <c r="CB112" s="204"/>
      <c r="CC112" s="204"/>
      <c r="CD112" s="204"/>
      <c r="CE112" s="204"/>
      <c r="CF112" s="204"/>
      <c r="CG112" s="204"/>
      <c r="CH112" s="204"/>
      <c r="CI112" s="204"/>
      <c r="CJ112" s="204"/>
      <c r="CK112" s="204"/>
      <c r="CL112" s="204"/>
      <c r="CM112" s="204"/>
      <c r="CN112" s="204"/>
      <c r="CO112" s="204"/>
      <c r="CP112" s="204"/>
      <c r="CQ112" s="204"/>
      <c r="CR112" s="204"/>
      <c r="CS112" s="204"/>
      <c r="CT112" s="204"/>
      <c r="CU112" s="204"/>
      <c r="CV112" s="204"/>
      <c r="CW112" s="204"/>
      <c r="CX112" s="204"/>
      <c r="CY112" s="204"/>
      <c r="CZ112" s="204"/>
      <c r="DA112" s="204"/>
      <c r="DB112" s="204"/>
      <c r="DC112" s="204"/>
      <c r="DD112" s="204"/>
      <c r="DE112" s="204"/>
      <c r="DF112" s="204"/>
      <c r="DG112" s="204"/>
      <c r="DH112" s="204"/>
      <c r="DI112" s="204"/>
      <c r="DJ112" s="204"/>
      <c r="DK112" s="204"/>
      <c r="DL112" s="204"/>
      <c r="DM112" s="204"/>
      <c r="DN112" s="204"/>
      <c r="DO112" s="204"/>
      <c r="DP112" s="204"/>
      <c r="DQ112" s="204"/>
      <c r="DR112" s="204"/>
      <c r="DS112" s="204"/>
      <c r="DT112" s="204"/>
      <c r="DU112" s="204"/>
      <c r="DV112" s="204"/>
      <c r="DW112" s="204"/>
      <c r="DX112" s="204"/>
      <c r="DY112" s="204"/>
      <c r="DZ112" s="204"/>
      <c r="EA112" s="204"/>
      <c r="EB112" s="204"/>
      <c r="EC112" s="204"/>
      <c r="ED112" s="204"/>
      <c r="EE112" s="204"/>
      <c r="EF112" s="204"/>
      <c r="EG112" s="204"/>
      <c r="EH112" s="204"/>
      <c r="EI112" s="204"/>
      <c r="EJ112" s="204"/>
      <c r="EK112" s="204"/>
      <c r="EL112" s="204"/>
      <c r="EM112" s="204"/>
      <c r="EN112" s="204"/>
      <c r="EO112" s="204"/>
      <c r="EP112" s="204"/>
      <c r="EQ112" s="204"/>
      <c r="ER112" s="204"/>
      <c r="ES112" s="204"/>
      <c r="ET112" s="204"/>
      <c r="EU112" s="204"/>
      <c r="EV112" s="204"/>
      <c r="EW112" s="204"/>
      <c r="EX112" s="204"/>
      <c r="FC112" s="200" t="str">
        <f t="shared" si="6"/>
        <v>I</v>
      </c>
    </row>
    <row r="113" spans="1:159" s="202" customFormat="1" ht="29.1" customHeight="1" x14ac:dyDescent="0.2">
      <c r="A113" s="142"/>
      <c r="B113" s="146"/>
      <c r="C113" s="153"/>
      <c r="D113" s="51"/>
      <c r="E113" s="38"/>
      <c r="F113" s="220"/>
      <c r="G113" s="221"/>
      <c r="H113" s="226"/>
      <c r="I113" s="226"/>
      <c r="J113" s="226"/>
      <c r="K113" s="224"/>
      <c r="L113" s="220"/>
      <c r="M113" s="221"/>
      <c r="N113" s="226"/>
      <c r="O113" s="226"/>
      <c r="P113" s="226"/>
      <c r="Q113" s="224"/>
      <c r="R113" s="220"/>
      <c r="S113" s="221"/>
      <c r="T113" s="226"/>
      <c r="U113" s="226"/>
      <c r="V113" s="220"/>
      <c r="W113" s="221"/>
      <c r="X113" s="226"/>
      <c r="Y113" s="226"/>
      <c r="Z113" s="220"/>
      <c r="AA113" s="221"/>
      <c r="AB113" s="226"/>
      <c r="AC113" s="220"/>
      <c r="AD113" s="168">
        <f t="shared" si="7"/>
        <v>0</v>
      </c>
      <c r="AE113" s="168">
        <f t="shared" si="8"/>
        <v>0</v>
      </c>
      <c r="AF113" s="169"/>
      <c r="AG113" s="195"/>
      <c r="AH113" s="195"/>
      <c r="AN113" s="203"/>
      <c r="AO113" s="203"/>
      <c r="AP113" s="203"/>
      <c r="AQ113" s="203"/>
      <c r="AR113" s="203"/>
      <c r="AS113" s="203"/>
      <c r="AT113" s="203"/>
      <c r="AU113" s="195"/>
      <c r="AV113" s="203"/>
      <c r="AW113" s="203"/>
      <c r="AX113" s="195"/>
      <c r="AY113" s="195"/>
      <c r="AZ113" s="203"/>
      <c r="BU113" s="204"/>
      <c r="BV113" s="204"/>
      <c r="BW113" s="204"/>
      <c r="BX113" s="204"/>
      <c r="BY113" s="204"/>
      <c r="BZ113" s="204"/>
      <c r="CA113" s="204"/>
      <c r="CB113" s="204"/>
      <c r="CC113" s="204"/>
      <c r="CD113" s="204"/>
      <c r="CE113" s="204"/>
      <c r="CF113" s="204"/>
      <c r="CG113" s="204"/>
      <c r="CH113" s="204"/>
      <c r="CI113" s="204"/>
      <c r="CJ113" s="204"/>
      <c r="CK113" s="204"/>
      <c r="CL113" s="204"/>
      <c r="CM113" s="204"/>
      <c r="CN113" s="204"/>
      <c r="CO113" s="204"/>
      <c r="CP113" s="204"/>
      <c r="CQ113" s="204"/>
      <c r="CR113" s="204"/>
      <c r="CS113" s="204"/>
      <c r="CT113" s="204"/>
      <c r="CU113" s="204"/>
      <c r="CV113" s="204"/>
      <c r="CW113" s="204"/>
      <c r="CX113" s="204"/>
      <c r="CY113" s="204"/>
      <c r="CZ113" s="204"/>
      <c r="DA113" s="204"/>
      <c r="DB113" s="204"/>
      <c r="DC113" s="204"/>
      <c r="DD113" s="204"/>
      <c r="DE113" s="204"/>
      <c r="DF113" s="204"/>
      <c r="DG113" s="204"/>
      <c r="DH113" s="204"/>
      <c r="DI113" s="204"/>
      <c r="DJ113" s="204"/>
      <c r="DK113" s="204"/>
      <c r="DL113" s="204"/>
      <c r="DM113" s="204"/>
      <c r="DN113" s="204"/>
      <c r="DO113" s="204"/>
      <c r="DP113" s="204"/>
      <c r="DQ113" s="204"/>
      <c r="DR113" s="204"/>
      <c r="DS113" s="204"/>
      <c r="DT113" s="204"/>
      <c r="DU113" s="204"/>
      <c r="DV113" s="204"/>
      <c r="DW113" s="204"/>
      <c r="DX113" s="204"/>
      <c r="DY113" s="204"/>
      <c r="DZ113" s="204"/>
      <c r="EA113" s="204"/>
      <c r="EB113" s="204"/>
      <c r="EC113" s="204"/>
      <c r="ED113" s="204"/>
      <c r="EE113" s="204"/>
      <c r="EF113" s="204"/>
      <c r="EG113" s="204"/>
      <c r="EH113" s="204"/>
      <c r="EI113" s="204"/>
      <c r="EJ113" s="204"/>
      <c r="EK113" s="204"/>
      <c r="EL113" s="204"/>
      <c r="EM113" s="204"/>
      <c r="EN113" s="204"/>
      <c r="EO113" s="204"/>
      <c r="EP113" s="204"/>
      <c r="EQ113" s="204"/>
      <c r="ER113" s="204"/>
      <c r="ES113" s="204"/>
      <c r="ET113" s="204"/>
      <c r="EU113" s="204"/>
      <c r="EV113" s="204"/>
      <c r="EW113" s="204"/>
      <c r="EX113" s="204"/>
      <c r="FC113" s="200" t="str">
        <f t="shared" si="6"/>
        <v>I</v>
      </c>
    </row>
    <row r="114" spans="1:159" s="202" customFormat="1" ht="29.1" customHeight="1" x14ac:dyDescent="0.2">
      <c r="A114" s="142"/>
      <c r="B114" s="146"/>
      <c r="C114" s="153"/>
      <c r="D114" s="51"/>
      <c r="E114" s="38"/>
      <c r="F114" s="220"/>
      <c r="G114" s="221"/>
      <c r="H114" s="226"/>
      <c r="I114" s="226"/>
      <c r="J114" s="226"/>
      <c r="K114" s="224"/>
      <c r="L114" s="220"/>
      <c r="M114" s="221"/>
      <c r="N114" s="226"/>
      <c r="O114" s="226"/>
      <c r="P114" s="226"/>
      <c r="Q114" s="224"/>
      <c r="R114" s="220"/>
      <c r="S114" s="221"/>
      <c r="T114" s="226"/>
      <c r="U114" s="226"/>
      <c r="V114" s="220"/>
      <c r="W114" s="221"/>
      <c r="X114" s="226"/>
      <c r="Y114" s="226"/>
      <c r="Z114" s="220"/>
      <c r="AA114" s="221"/>
      <c r="AB114" s="226"/>
      <c r="AC114" s="220"/>
      <c r="AD114" s="168">
        <f t="shared" si="7"/>
        <v>0</v>
      </c>
      <c r="AE114" s="168">
        <f t="shared" si="8"/>
        <v>0</v>
      </c>
      <c r="AF114" s="169"/>
      <c r="AG114" s="195"/>
      <c r="AH114" s="195"/>
      <c r="AN114" s="203"/>
      <c r="AO114" s="203"/>
      <c r="AP114" s="203"/>
      <c r="AQ114" s="203"/>
      <c r="AR114" s="203"/>
      <c r="AS114" s="203"/>
      <c r="AT114" s="203"/>
      <c r="AU114" s="195"/>
      <c r="AV114" s="203"/>
      <c r="AW114" s="203"/>
      <c r="AX114" s="195"/>
      <c r="AY114" s="195"/>
      <c r="AZ114" s="203"/>
      <c r="BU114" s="204"/>
      <c r="BV114" s="204"/>
      <c r="BW114" s="204"/>
      <c r="BX114" s="204"/>
      <c r="BY114" s="204"/>
      <c r="BZ114" s="204"/>
      <c r="CA114" s="204"/>
      <c r="CB114" s="204"/>
      <c r="CC114" s="204"/>
      <c r="CD114" s="204"/>
      <c r="CE114" s="204"/>
      <c r="CF114" s="204"/>
      <c r="CG114" s="204"/>
      <c r="CH114" s="204"/>
      <c r="CI114" s="204"/>
      <c r="CJ114" s="204"/>
      <c r="CK114" s="204"/>
      <c r="CL114" s="204"/>
      <c r="CM114" s="204"/>
      <c r="CN114" s="204"/>
      <c r="CO114" s="204"/>
      <c r="CP114" s="204"/>
      <c r="CQ114" s="204"/>
      <c r="CR114" s="204"/>
      <c r="CS114" s="204"/>
      <c r="CT114" s="204"/>
      <c r="CU114" s="204"/>
      <c r="CV114" s="204"/>
      <c r="CW114" s="204"/>
      <c r="CX114" s="204"/>
      <c r="CY114" s="204"/>
      <c r="CZ114" s="204"/>
      <c r="DA114" s="204"/>
      <c r="DB114" s="204"/>
      <c r="DC114" s="204"/>
      <c r="DD114" s="204"/>
      <c r="DE114" s="204"/>
      <c r="DF114" s="204"/>
      <c r="DG114" s="204"/>
      <c r="DH114" s="204"/>
      <c r="DI114" s="204"/>
      <c r="DJ114" s="204"/>
      <c r="DK114" s="204"/>
      <c r="DL114" s="204"/>
      <c r="DM114" s="204"/>
      <c r="DN114" s="204"/>
      <c r="DO114" s="204"/>
      <c r="DP114" s="204"/>
      <c r="DQ114" s="204"/>
      <c r="DR114" s="204"/>
      <c r="DS114" s="204"/>
      <c r="DT114" s="204"/>
      <c r="DU114" s="204"/>
      <c r="DV114" s="204"/>
      <c r="DW114" s="204"/>
      <c r="DX114" s="204"/>
      <c r="DY114" s="204"/>
      <c r="DZ114" s="204"/>
      <c r="EA114" s="204"/>
      <c r="EB114" s="204"/>
      <c r="EC114" s="204"/>
      <c r="ED114" s="204"/>
      <c r="EE114" s="204"/>
      <c r="EF114" s="204"/>
      <c r="EG114" s="204"/>
      <c r="EH114" s="204"/>
      <c r="EI114" s="204"/>
      <c r="EJ114" s="204"/>
      <c r="EK114" s="204"/>
      <c r="EL114" s="204"/>
      <c r="EM114" s="204"/>
      <c r="EN114" s="204"/>
      <c r="EO114" s="204"/>
      <c r="EP114" s="204"/>
      <c r="EQ114" s="204"/>
      <c r="ER114" s="204"/>
      <c r="ES114" s="204"/>
      <c r="ET114" s="204"/>
      <c r="EU114" s="204"/>
      <c r="EV114" s="204"/>
      <c r="EW114" s="204"/>
      <c r="EX114" s="204"/>
      <c r="FC114" s="200" t="str">
        <f t="shared" si="6"/>
        <v>I</v>
      </c>
    </row>
    <row r="115" spans="1:159" s="202" customFormat="1" ht="29.1" customHeight="1" x14ac:dyDescent="0.2">
      <c r="A115" s="142"/>
      <c r="B115" s="146"/>
      <c r="C115" s="153"/>
      <c r="D115" s="51"/>
      <c r="E115" s="38"/>
      <c r="F115" s="220"/>
      <c r="G115" s="221"/>
      <c r="H115" s="226"/>
      <c r="I115" s="226"/>
      <c r="J115" s="226"/>
      <c r="K115" s="224"/>
      <c r="L115" s="220"/>
      <c r="M115" s="221"/>
      <c r="N115" s="226"/>
      <c r="O115" s="226"/>
      <c r="P115" s="226"/>
      <c r="Q115" s="224"/>
      <c r="R115" s="220"/>
      <c r="S115" s="221"/>
      <c r="T115" s="226"/>
      <c r="U115" s="226"/>
      <c r="V115" s="220"/>
      <c r="W115" s="221"/>
      <c r="X115" s="226"/>
      <c r="Y115" s="226"/>
      <c r="Z115" s="220"/>
      <c r="AA115" s="221"/>
      <c r="AB115" s="226"/>
      <c r="AC115" s="220"/>
      <c r="AD115" s="168">
        <f t="shared" si="7"/>
        <v>0</v>
      </c>
      <c r="AE115" s="168">
        <f t="shared" si="8"/>
        <v>0</v>
      </c>
      <c r="AF115" s="169"/>
      <c r="AG115" s="195"/>
      <c r="AH115" s="195"/>
      <c r="AN115" s="203"/>
      <c r="AO115" s="203"/>
      <c r="AP115" s="203"/>
      <c r="AQ115" s="203"/>
      <c r="AR115" s="203"/>
      <c r="AS115" s="203"/>
      <c r="AT115" s="203"/>
      <c r="AU115" s="195"/>
      <c r="AV115" s="203"/>
      <c r="AW115" s="203"/>
      <c r="AX115" s="195"/>
      <c r="AY115" s="195"/>
      <c r="AZ115" s="203"/>
      <c r="BU115" s="204"/>
      <c r="BV115" s="204"/>
      <c r="BW115" s="204"/>
      <c r="BX115" s="204"/>
      <c r="BY115" s="204"/>
      <c r="BZ115" s="204"/>
      <c r="CA115" s="204"/>
      <c r="CB115" s="204"/>
      <c r="CC115" s="204"/>
      <c r="CD115" s="204"/>
      <c r="CE115" s="204"/>
      <c r="CF115" s="204"/>
      <c r="CG115" s="204"/>
      <c r="CH115" s="204"/>
      <c r="CI115" s="204"/>
      <c r="CJ115" s="204"/>
      <c r="CK115" s="204"/>
      <c r="CL115" s="204"/>
      <c r="CM115" s="204"/>
      <c r="CN115" s="204"/>
      <c r="CO115" s="204"/>
      <c r="CP115" s="204"/>
      <c r="CQ115" s="204"/>
      <c r="CR115" s="204"/>
      <c r="CS115" s="204"/>
      <c r="CT115" s="204"/>
      <c r="CU115" s="204"/>
      <c r="CV115" s="204"/>
      <c r="CW115" s="204"/>
      <c r="CX115" s="204"/>
      <c r="CY115" s="204"/>
      <c r="CZ115" s="204"/>
      <c r="DA115" s="204"/>
      <c r="DB115" s="204"/>
      <c r="DC115" s="204"/>
      <c r="DD115" s="204"/>
      <c r="DE115" s="204"/>
      <c r="DF115" s="204"/>
      <c r="DG115" s="204"/>
      <c r="DH115" s="204"/>
      <c r="DI115" s="204"/>
      <c r="DJ115" s="204"/>
      <c r="DK115" s="204"/>
      <c r="DL115" s="204"/>
      <c r="DM115" s="204"/>
      <c r="DN115" s="204"/>
      <c r="DO115" s="204"/>
      <c r="DP115" s="204"/>
      <c r="DQ115" s="204"/>
      <c r="DR115" s="204"/>
      <c r="DS115" s="204"/>
      <c r="DT115" s="204"/>
      <c r="DU115" s="204"/>
      <c r="DV115" s="204"/>
      <c r="DW115" s="204"/>
      <c r="DX115" s="204"/>
      <c r="DY115" s="204"/>
      <c r="DZ115" s="204"/>
      <c r="EA115" s="204"/>
      <c r="EB115" s="204"/>
      <c r="EC115" s="204"/>
      <c r="ED115" s="204"/>
      <c r="EE115" s="204"/>
      <c r="EF115" s="204"/>
      <c r="EG115" s="204"/>
      <c r="EH115" s="204"/>
      <c r="EI115" s="204"/>
      <c r="EJ115" s="204"/>
      <c r="EK115" s="204"/>
      <c r="EL115" s="204"/>
      <c r="EM115" s="204"/>
      <c r="EN115" s="204"/>
      <c r="EO115" s="204"/>
      <c r="EP115" s="204"/>
      <c r="EQ115" s="204"/>
      <c r="ER115" s="204"/>
      <c r="ES115" s="204"/>
      <c r="ET115" s="204"/>
      <c r="EU115" s="204"/>
      <c r="EV115" s="204"/>
      <c r="EW115" s="204"/>
      <c r="EX115" s="204"/>
      <c r="FC115" s="200" t="str">
        <f t="shared" si="6"/>
        <v>I</v>
      </c>
    </row>
    <row r="116" spans="1:159" s="202" customFormat="1" ht="29.1" customHeight="1" x14ac:dyDescent="0.2">
      <c r="A116" s="142"/>
      <c r="B116" s="146"/>
      <c r="C116" s="153"/>
      <c r="D116" s="51"/>
      <c r="E116" s="38"/>
      <c r="F116" s="220"/>
      <c r="G116" s="221"/>
      <c r="H116" s="226"/>
      <c r="I116" s="226"/>
      <c r="J116" s="226"/>
      <c r="K116" s="224"/>
      <c r="L116" s="220"/>
      <c r="M116" s="221"/>
      <c r="N116" s="226"/>
      <c r="O116" s="226"/>
      <c r="P116" s="226"/>
      <c r="Q116" s="224"/>
      <c r="R116" s="220"/>
      <c r="S116" s="221"/>
      <c r="T116" s="226"/>
      <c r="U116" s="226"/>
      <c r="V116" s="220"/>
      <c r="W116" s="221"/>
      <c r="X116" s="226"/>
      <c r="Y116" s="226"/>
      <c r="Z116" s="220"/>
      <c r="AA116" s="221"/>
      <c r="AB116" s="226"/>
      <c r="AC116" s="220"/>
      <c r="AD116" s="168">
        <f t="shared" si="7"/>
        <v>0</v>
      </c>
      <c r="AE116" s="168">
        <f t="shared" si="8"/>
        <v>0</v>
      </c>
      <c r="AF116" s="169"/>
      <c r="AG116" s="195"/>
      <c r="AH116" s="195"/>
      <c r="AN116" s="203"/>
      <c r="AO116" s="203"/>
      <c r="AP116" s="203"/>
      <c r="AQ116" s="203"/>
      <c r="AR116" s="203"/>
      <c r="AS116" s="203"/>
      <c r="AT116" s="203"/>
      <c r="AU116" s="195"/>
      <c r="AV116" s="203"/>
      <c r="AW116" s="203"/>
      <c r="AX116" s="195"/>
      <c r="AY116" s="195"/>
      <c r="AZ116" s="203"/>
      <c r="BU116" s="204"/>
      <c r="BV116" s="204"/>
      <c r="BW116" s="204"/>
      <c r="BX116" s="204"/>
      <c r="BY116" s="204"/>
      <c r="BZ116" s="204"/>
      <c r="CA116" s="204"/>
      <c r="CB116" s="204"/>
      <c r="CC116" s="204"/>
      <c r="CD116" s="204"/>
      <c r="CE116" s="204"/>
      <c r="CF116" s="204"/>
      <c r="CG116" s="204"/>
      <c r="CH116" s="204"/>
      <c r="CI116" s="204"/>
      <c r="CJ116" s="204"/>
      <c r="CK116" s="204"/>
      <c r="CL116" s="204"/>
      <c r="CM116" s="204"/>
      <c r="CN116" s="204"/>
      <c r="CO116" s="204"/>
      <c r="CP116" s="204"/>
      <c r="CQ116" s="204"/>
      <c r="CR116" s="204"/>
      <c r="CS116" s="204"/>
      <c r="CT116" s="204"/>
      <c r="CU116" s="204"/>
      <c r="CV116" s="204"/>
      <c r="CW116" s="204"/>
      <c r="CX116" s="204"/>
      <c r="CY116" s="204"/>
      <c r="CZ116" s="204"/>
      <c r="DA116" s="204"/>
      <c r="DB116" s="204"/>
      <c r="DC116" s="204"/>
      <c r="DD116" s="204"/>
      <c r="DE116" s="204"/>
      <c r="DF116" s="204"/>
      <c r="DG116" s="204"/>
      <c r="DH116" s="204"/>
      <c r="DI116" s="204"/>
      <c r="DJ116" s="204"/>
      <c r="DK116" s="204"/>
      <c r="DL116" s="204"/>
      <c r="DM116" s="204"/>
      <c r="DN116" s="204"/>
      <c r="DO116" s="204"/>
      <c r="DP116" s="204"/>
      <c r="DQ116" s="204"/>
      <c r="DR116" s="204"/>
      <c r="DS116" s="204"/>
      <c r="DT116" s="204"/>
      <c r="DU116" s="204"/>
      <c r="DV116" s="204"/>
      <c r="DW116" s="204"/>
      <c r="DX116" s="204"/>
      <c r="DY116" s="204"/>
      <c r="DZ116" s="204"/>
      <c r="EA116" s="204"/>
      <c r="EB116" s="204"/>
      <c r="EC116" s="204"/>
      <c r="ED116" s="204"/>
      <c r="EE116" s="204"/>
      <c r="EF116" s="204"/>
      <c r="EG116" s="204"/>
      <c r="EH116" s="204"/>
      <c r="EI116" s="204"/>
      <c r="EJ116" s="204"/>
      <c r="EK116" s="204"/>
      <c r="EL116" s="204"/>
      <c r="EM116" s="204"/>
      <c r="EN116" s="204"/>
      <c r="EO116" s="204"/>
      <c r="EP116" s="204"/>
      <c r="EQ116" s="204"/>
      <c r="ER116" s="204"/>
      <c r="ES116" s="204"/>
      <c r="ET116" s="204"/>
      <c r="EU116" s="204"/>
      <c r="EV116" s="204"/>
      <c r="EW116" s="204"/>
      <c r="EX116" s="204"/>
      <c r="FC116" s="200" t="str">
        <f t="shared" si="6"/>
        <v>I</v>
      </c>
    </row>
    <row r="117" spans="1:159" s="202" customFormat="1" ht="29.1" customHeight="1" x14ac:dyDescent="0.2">
      <c r="A117" s="142"/>
      <c r="B117" s="146"/>
      <c r="C117" s="153"/>
      <c r="D117" s="51"/>
      <c r="E117" s="38"/>
      <c r="F117" s="220"/>
      <c r="G117" s="221"/>
      <c r="H117" s="226"/>
      <c r="I117" s="226"/>
      <c r="J117" s="226"/>
      <c r="K117" s="224"/>
      <c r="L117" s="220"/>
      <c r="M117" s="221"/>
      <c r="N117" s="226"/>
      <c r="O117" s="226"/>
      <c r="P117" s="226"/>
      <c r="Q117" s="224"/>
      <c r="R117" s="220"/>
      <c r="S117" s="221"/>
      <c r="T117" s="226"/>
      <c r="U117" s="226"/>
      <c r="V117" s="220"/>
      <c r="W117" s="221"/>
      <c r="X117" s="226"/>
      <c r="Y117" s="226"/>
      <c r="Z117" s="220"/>
      <c r="AA117" s="221"/>
      <c r="AB117" s="226"/>
      <c r="AC117" s="220"/>
      <c r="AD117" s="168">
        <f t="shared" si="7"/>
        <v>0</v>
      </c>
      <c r="AE117" s="168">
        <f t="shared" si="8"/>
        <v>0</v>
      </c>
      <c r="AF117" s="169"/>
      <c r="AG117" s="195"/>
      <c r="AH117" s="195"/>
      <c r="AN117" s="203"/>
      <c r="AO117" s="203"/>
      <c r="AP117" s="203"/>
      <c r="AQ117" s="203"/>
      <c r="AR117" s="203"/>
      <c r="AS117" s="203"/>
      <c r="AT117" s="203"/>
      <c r="AU117" s="195"/>
      <c r="AV117" s="203"/>
      <c r="AW117" s="203"/>
      <c r="AX117" s="195"/>
      <c r="AY117" s="195"/>
      <c r="AZ117" s="203"/>
      <c r="BU117" s="204"/>
      <c r="BV117" s="204"/>
      <c r="BW117" s="204"/>
      <c r="BX117" s="204"/>
      <c r="BY117" s="204"/>
      <c r="BZ117" s="204"/>
      <c r="CA117" s="204"/>
      <c r="CB117" s="204"/>
      <c r="CC117" s="204"/>
      <c r="CD117" s="204"/>
      <c r="CE117" s="204"/>
      <c r="CF117" s="204"/>
      <c r="CG117" s="204"/>
      <c r="CH117" s="204"/>
      <c r="CI117" s="204"/>
      <c r="CJ117" s="204"/>
      <c r="CK117" s="204"/>
      <c r="CL117" s="204"/>
      <c r="CM117" s="204"/>
      <c r="CN117" s="204"/>
      <c r="CO117" s="204"/>
      <c r="CP117" s="204"/>
      <c r="CQ117" s="204"/>
      <c r="CR117" s="204"/>
      <c r="CS117" s="204"/>
      <c r="CT117" s="204"/>
      <c r="CU117" s="204"/>
      <c r="CV117" s="204"/>
      <c r="CW117" s="204"/>
      <c r="CX117" s="204"/>
      <c r="CY117" s="204"/>
      <c r="CZ117" s="204"/>
      <c r="DA117" s="204"/>
      <c r="DB117" s="204"/>
      <c r="DC117" s="204"/>
      <c r="DD117" s="204"/>
      <c r="DE117" s="204"/>
      <c r="DF117" s="204"/>
      <c r="DG117" s="204"/>
      <c r="DH117" s="204"/>
      <c r="DI117" s="204"/>
      <c r="DJ117" s="204"/>
      <c r="DK117" s="204"/>
      <c r="DL117" s="204"/>
      <c r="DM117" s="204"/>
      <c r="DN117" s="204"/>
      <c r="DO117" s="204"/>
      <c r="DP117" s="204"/>
      <c r="DQ117" s="204"/>
      <c r="DR117" s="204"/>
      <c r="DS117" s="204"/>
      <c r="DT117" s="204"/>
      <c r="DU117" s="204"/>
      <c r="DV117" s="204"/>
      <c r="DW117" s="204"/>
      <c r="DX117" s="204"/>
      <c r="DY117" s="204"/>
      <c r="DZ117" s="204"/>
      <c r="EA117" s="204"/>
      <c r="EB117" s="204"/>
      <c r="EC117" s="204"/>
      <c r="ED117" s="204"/>
      <c r="EE117" s="204"/>
      <c r="EF117" s="204"/>
      <c r="EG117" s="204"/>
      <c r="EH117" s="204"/>
      <c r="EI117" s="204"/>
      <c r="EJ117" s="204"/>
      <c r="EK117" s="204"/>
      <c r="EL117" s="204"/>
      <c r="EM117" s="204"/>
      <c r="EN117" s="204"/>
      <c r="EO117" s="204"/>
      <c r="EP117" s="204"/>
      <c r="EQ117" s="204"/>
      <c r="ER117" s="204"/>
      <c r="ES117" s="204"/>
      <c r="ET117" s="204"/>
      <c r="EU117" s="204"/>
      <c r="EV117" s="204"/>
      <c r="EW117" s="204"/>
      <c r="EX117" s="204"/>
      <c r="FC117" s="200" t="str">
        <f t="shared" si="6"/>
        <v>I</v>
      </c>
    </row>
    <row r="118" spans="1:159" s="202" customFormat="1" ht="29.1" customHeight="1" x14ac:dyDescent="0.2">
      <c r="A118" s="142"/>
      <c r="B118" s="146"/>
      <c r="C118" s="153"/>
      <c r="D118" s="51"/>
      <c r="E118" s="38"/>
      <c r="F118" s="220"/>
      <c r="G118" s="221"/>
      <c r="H118" s="226"/>
      <c r="I118" s="226"/>
      <c r="J118" s="226"/>
      <c r="K118" s="224"/>
      <c r="L118" s="220"/>
      <c r="M118" s="221"/>
      <c r="N118" s="226"/>
      <c r="O118" s="226"/>
      <c r="P118" s="226"/>
      <c r="Q118" s="224"/>
      <c r="R118" s="220"/>
      <c r="S118" s="221"/>
      <c r="T118" s="226"/>
      <c r="U118" s="226"/>
      <c r="V118" s="220"/>
      <c r="W118" s="221"/>
      <c r="X118" s="226"/>
      <c r="Y118" s="226"/>
      <c r="Z118" s="220"/>
      <c r="AA118" s="221"/>
      <c r="AB118" s="226"/>
      <c r="AC118" s="220"/>
      <c r="AD118" s="168">
        <f t="shared" si="7"/>
        <v>0</v>
      </c>
      <c r="AE118" s="168">
        <f t="shared" si="8"/>
        <v>0</v>
      </c>
      <c r="AF118" s="169"/>
      <c r="AG118" s="195"/>
      <c r="AH118" s="195"/>
      <c r="AN118" s="203"/>
      <c r="AO118" s="203"/>
      <c r="AP118" s="203"/>
      <c r="AQ118" s="203"/>
      <c r="AR118" s="203"/>
      <c r="AS118" s="203"/>
      <c r="AT118" s="203"/>
      <c r="AU118" s="195"/>
      <c r="AV118" s="203"/>
      <c r="AW118" s="203"/>
      <c r="AX118" s="195"/>
      <c r="AY118" s="195"/>
      <c r="AZ118" s="203"/>
      <c r="BU118" s="204"/>
      <c r="BV118" s="204"/>
      <c r="BW118" s="204"/>
      <c r="BX118" s="204"/>
      <c r="BY118" s="204"/>
      <c r="BZ118" s="204"/>
      <c r="CA118" s="204"/>
      <c r="CB118" s="204"/>
      <c r="CC118" s="204"/>
      <c r="CD118" s="204"/>
      <c r="CE118" s="204"/>
      <c r="CF118" s="204"/>
      <c r="CG118" s="204"/>
      <c r="CH118" s="204"/>
      <c r="CI118" s="204"/>
      <c r="CJ118" s="204"/>
      <c r="CK118" s="204"/>
      <c r="CL118" s="204"/>
      <c r="CM118" s="204"/>
      <c r="CN118" s="204"/>
      <c r="CO118" s="204"/>
      <c r="CP118" s="204"/>
      <c r="CQ118" s="204"/>
      <c r="CR118" s="204"/>
      <c r="CS118" s="204"/>
      <c r="CT118" s="204"/>
      <c r="CU118" s="204"/>
      <c r="CV118" s="204"/>
      <c r="CW118" s="204"/>
      <c r="CX118" s="204"/>
      <c r="CY118" s="204"/>
      <c r="CZ118" s="204"/>
      <c r="DA118" s="204"/>
      <c r="DB118" s="204"/>
      <c r="DC118" s="204"/>
      <c r="DD118" s="204"/>
      <c r="DE118" s="204"/>
      <c r="DF118" s="204"/>
      <c r="DG118" s="204"/>
      <c r="DH118" s="204"/>
      <c r="DI118" s="204"/>
      <c r="DJ118" s="204"/>
      <c r="DK118" s="204"/>
      <c r="DL118" s="204"/>
      <c r="DM118" s="204"/>
      <c r="DN118" s="204"/>
      <c r="DO118" s="204"/>
      <c r="DP118" s="204"/>
      <c r="DQ118" s="204"/>
      <c r="DR118" s="204"/>
      <c r="DS118" s="204"/>
      <c r="DT118" s="204"/>
      <c r="DU118" s="204"/>
      <c r="DV118" s="204"/>
      <c r="DW118" s="204"/>
      <c r="DX118" s="204"/>
      <c r="DY118" s="204"/>
      <c r="DZ118" s="204"/>
      <c r="EA118" s="204"/>
      <c r="EB118" s="204"/>
      <c r="EC118" s="204"/>
      <c r="ED118" s="204"/>
      <c r="EE118" s="204"/>
      <c r="EF118" s="204"/>
      <c r="EG118" s="204"/>
      <c r="EH118" s="204"/>
      <c r="EI118" s="204"/>
      <c r="EJ118" s="204"/>
      <c r="EK118" s="204"/>
      <c r="EL118" s="204"/>
      <c r="EM118" s="204"/>
      <c r="EN118" s="204"/>
      <c r="EO118" s="204"/>
      <c r="EP118" s="204"/>
      <c r="EQ118" s="204"/>
      <c r="ER118" s="204"/>
      <c r="ES118" s="204"/>
      <c r="ET118" s="204"/>
      <c r="EU118" s="204"/>
      <c r="EV118" s="204"/>
      <c r="EW118" s="204"/>
      <c r="EX118" s="204"/>
      <c r="FC118" s="200" t="str">
        <f t="shared" si="6"/>
        <v>I</v>
      </c>
    </row>
    <row r="119" spans="1:159" s="202" customFormat="1" ht="29.1" customHeight="1" x14ac:dyDescent="0.2">
      <c r="A119" s="142"/>
      <c r="B119" s="146"/>
      <c r="C119" s="153"/>
      <c r="D119" s="51"/>
      <c r="E119" s="38"/>
      <c r="F119" s="220"/>
      <c r="G119" s="221"/>
      <c r="H119" s="226"/>
      <c r="I119" s="226"/>
      <c r="J119" s="226"/>
      <c r="K119" s="224"/>
      <c r="L119" s="220"/>
      <c r="M119" s="221"/>
      <c r="N119" s="226"/>
      <c r="O119" s="226"/>
      <c r="P119" s="226"/>
      <c r="Q119" s="224"/>
      <c r="R119" s="220"/>
      <c r="S119" s="221"/>
      <c r="T119" s="226"/>
      <c r="U119" s="226"/>
      <c r="V119" s="220"/>
      <c r="W119" s="221"/>
      <c r="X119" s="226"/>
      <c r="Y119" s="226"/>
      <c r="Z119" s="220"/>
      <c r="AA119" s="221"/>
      <c r="AB119" s="226"/>
      <c r="AC119" s="220"/>
      <c r="AD119" s="168">
        <f t="shared" si="7"/>
        <v>0</v>
      </c>
      <c r="AE119" s="168">
        <f t="shared" si="8"/>
        <v>0</v>
      </c>
      <c r="AF119" s="169"/>
      <c r="AG119" s="195"/>
      <c r="AH119" s="195"/>
      <c r="AN119" s="203"/>
      <c r="AO119" s="203"/>
      <c r="AP119" s="203"/>
      <c r="AQ119" s="203"/>
      <c r="AR119" s="203"/>
      <c r="AS119" s="203"/>
      <c r="AT119" s="203"/>
      <c r="AU119" s="195"/>
      <c r="AV119" s="203"/>
      <c r="AW119" s="203"/>
      <c r="AX119" s="195"/>
      <c r="AY119" s="195"/>
      <c r="AZ119" s="203"/>
      <c r="BU119" s="204"/>
      <c r="BV119" s="204"/>
      <c r="BW119" s="204"/>
      <c r="BX119" s="204"/>
      <c r="BY119" s="204"/>
      <c r="BZ119" s="204"/>
      <c r="CA119" s="204"/>
      <c r="CB119" s="204"/>
      <c r="CC119" s="204"/>
      <c r="CD119" s="204"/>
      <c r="CE119" s="204"/>
      <c r="CF119" s="204"/>
      <c r="CG119" s="204"/>
      <c r="CH119" s="204"/>
      <c r="CI119" s="204"/>
      <c r="CJ119" s="204"/>
      <c r="CK119" s="204"/>
      <c r="CL119" s="204"/>
      <c r="CM119" s="204"/>
      <c r="CN119" s="204"/>
      <c r="CO119" s="204"/>
      <c r="CP119" s="204"/>
      <c r="CQ119" s="204"/>
      <c r="CR119" s="204"/>
      <c r="CS119" s="204"/>
      <c r="CT119" s="204"/>
      <c r="CU119" s="204"/>
      <c r="CV119" s="204"/>
      <c r="CW119" s="204"/>
      <c r="CX119" s="204"/>
      <c r="CY119" s="204"/>
      <c r="CZ119" s="204"/>
      <c r="DA119" s="204"/>
      <c r="DB119" s="204"/>
      <c r="DC119" s="204"/>
      <c r="DD119" s="204"/>
      <c r="DE119" s="204"/>
      <c r="DF119" s="204"/>
      <c r="DG119" s="204"/>
      <c r="DH119" s="204"/>
      <c r="DI119" s="204"/>
      <c r="DJ119" s="204"/>
      <c r="DK119" s="204"/>
      <c r="DL119" s="204"/>
      <c r="DM119" s="204"/>
      <c r="DN119" s="204"/>
      <c r="DO119" s="204"/>
      <c r="DP119" s="204"/>
      <c r="DQ119" s="204"/>
      <c r="DR119" s="204"/>
      <c r="DS119" s="204"/>
      <c r="DT119" s="204"/>
      <c r="DU119" s="204"/>
      <c r="DV119" s="204"/>
      <c r="DW119" s="204"/>
      <c r="DX119" s="204"/>
      <c r="DY119" s="204"/>
      <c r="DZ119" s="204"/>
      <c r="EA119" s="204"/>
      <c r="EB119" s="204"/>
      <c r="EC119" s="204"/>
      <c r="ED119" s="204"/>
      <c r="EE119" s="204"/>
      <c r="EF119" s="204"/>
      <c r="EG119" s="204"/>
      <c r="EH119" s="204"/>
      <c r="EI119" s="204"/>
      <c r="EJ119" s="204"/>
      <c r="EK119" s="204"/>
      <c r="EL119" s="204"/>
      <c r="EM119" s="204"/>
      <c r="EN119" s="204"/>
      <c r="EO119" s="204"/>
      <c r="EP119" s="204"/>
      <c r="EQ119" s="204"/>
      <c r="ER119" s="204"/>
      <c r="ES119" s="204"/>
      <c r="ET119" s="204"/>
      <c r="EU119" s="204"/>
      <c r="EV119" s="204"/>
      <c r="EW119" s="204"/>
      <c r="EX119" s="204"/>
      <c r="FC119" s="200" t="str">
        <f t="shared" si="6"/>
        <v>I</v>
      </c>
    </row>
    <row r="120" spans="1:159" s="202" customFormat="1" ht="29.1" customHeight="1" x14ac:dyDescent="0.2">
      <c r="A120" s="142"/>
      <c r="B120" s="146"/>
      <c r="C120" s="153"/>
      <c r="D120" s="51"/>
      <c r="E120" s="38"/>
      <c r="F120" s="220"/>
      <c r="G120" s="221"/>
      <c r="H120" s="226"/>
      <c r="I120" s="226"/>
      <c r="J120" s="226"/>
      <c r="K120" s="224"/>
      <c r="L120" s="220"/>
      <c r="M120" s="221"/>
      <c r="N120" s="226"/>
      <c r="O120" s="226"/>
      <c r="P120" s="226"/>
      <c r="Q120" s="224"/>
      <c r="R120" s="220"/>
      <c r="S120" s="221"/>
      <c r="T120" s="226"/>
      <c r="U120" s="226"/>
      <c r="V120" s="220"/>
      <c r="W120" s="221"/>
      <c r="X120" s="226"/>
      <c r="Y120" s="226"/>
      <c r="Z120" s="220"/>
      <c r="AA120" s="221"/>
      <c r="AB120" s="226"/>
      <c r="AC120" s="220"/>
      <c r="AD120" s="168">
        <f t="shared" si="7"/>
        <v>0</v>
      </c>
      <c r="AE120" s="168">
        <f t="shared" si="8"/>
        <v>0</v>
      </c>
      <c r="AF120" s="169"/>
      <c r="AG120" s="195"/>
      <c r="AH120" s="195"/>
      <c r="AN120" s="203"/>
      <c r="AO120" s="203"/>
      <c r="AP120" s="203"/>
      <c r="AQ120" s="203"/>
      <c r="AR120" s="203"/>
      <c r="AS120" s="203"/>
      <c r="AT120" s="203"/>
      <c r="AU120" s="195"/>
      <c r="AV120" s="203"/>
      <c r="AW120" s="203"/>
      <c r="AX120" s="195"/>
      <c r="AY120" s="195"/>
      <c r="AZ120" s="203"/>
      <c r="BU120" s="204"/>
      <c r="BV120" s="204"/>
      <c r="BW120" s="204"/>
      <c r="BX120" s="204"/>
      <c r="BY120" s="204"/>
      <c r="BZ120" s="204"/>
      <c r="CA120" s="204"/>
      <c r="CB120" s="204"/>
      <c r="CC120" s="204"/>
      <c r="CD120" s="204"/>
      <c r="CE120" s="204"/>
      <c r="CF120" s="204"/>
      <c r="CG120" s="204"/>
      <c r="CH120" s="204"/>
      <c r="CI120" s="204"/>
      <c r="CJ120" s="204"/>
      <c r="CK120" s="204"/>
      <c r="CL120" s="204"/>
      <c r="CM120" s="204"/>
      <c r="CN120" s="204"/>
      <c r="CO120" s="204"/>
      <c r="CP120" s="204"/>
      <c r="CQ120" s="204"/>
      <c r="CR120" s="204"/>
      <c r="CS120" s="204"/>
      <c r="CT120" s="204"/>
      <c r="CU120" s="204"/>
      <c r="CV120" s="204"/>
      <c r="CW120" s="204"/>
      <c r="CX120" s="204"/>
      <c r="CY120" s="204"/>
      <c r="CZ120" s="204"/>
      <c r="DA120" s="204"/>
      <c r="DB120" s="204"/>
      <c r="DC120" s="204"/>
      <c r="DD120" s="204"/>
      <c r="DE120" s="204"/>
      <c r="DF120" s="204"/>
      <c r="DG120" s="204"/>
      <c r="DH120" s="204"/>
      <c r="DI120" s="204"/>
      <c r="DJ120" s="204"/>
      <c r="DK120" s="204"/>
      <c r="DL120" s="204"/>
      <c r="DM120" s="204"/>
      <c r="DN120" s="204"/>
      <c r="DO120" s="204"/>
      <c r="DP120" s="204"/>
      <c r="DQ120" s="204"/>
      <c r="DR120" s="204"/>
      <c r="DS120" s="204"/>
      <c r="DT120" s="204"/>
      <c r="DU120" s="204"/>
      <c r="DV120" s="204"/>
      <c r="DW120" s="204"/>
      <c r="DX120" s="204"/>
      <c r="DY120" s="204"/>
      <c r="DZ120" s="204"/>
      <c r="EA120" s="204"/>
      <c r="EB120" s="204"/>
      <c r="EC120" s="204"/>
      <c r="ED120" s="204"/>
      <c r="EE120" s="204"/>
      <c r="EF120" s="204"/>
      <c r="EG120" s="204"/>
      <c r="EH120" s="204"/>
      <c r="EI120" s="204"/>
      <c r="EJ120" s="204"/>
      <c r="EK120" s="204"/>
      <c r="EL120" s="204"/>
      <c r="EM120" s="204"/>
      <c r="EN120" s="204"/>
      <c r="EO120" s="204"/>
      <c r="EP120" s="204"/>
      <c r="EQ120" s="204"/>
      <c r="ER120" s="204"/>
      <c r="ES120" s="204"/>
      <c r="ET120" s="204"/>
      <c r="EU120" s="204"/>
      <c r="EV120" s="204"/>
      <c r="EW120" s="204"/>
      <c r="EX120" s="204"/>
      <c r="FC120" s="200" t="str">
        <f t="shared" si="6"/>
        <v>I</v>
      </c>
    </row>
    <row r="121" spans="1:159" s="202" customFormat="1" ht="29.1" customHeight="1" x14ac:dyDescent="0.2">
      <c r="A121" s="142"/>
      <c r="B121" s="146"/>
      <c r="C121" s="153"/>
      <c r="D121" s="51"/>
      <c r="E121" s="38"/>
      <c r="F121" s="220"/>
      <c r="G121" s="221"/>
      <c r="H121" s="226"/>
      <c r="I121" s="226"/>
      <c r="J121" s="226"/>
      <c r="K121" s="224"/>
      <c r="L121" s="220"/>
      <c r="M121" s="221"/>
      <c r="N121" s="226"/>
      <c r="O121" s="226"/>
      <c r="P121" s="226"/>
      <c r="Q121" s="224"/>
      <c r="R121" s="220"/>
      <c r="S121" s="221"/>
      <c r="T121" s="226"/>
      <c r="U121" s="226"/>
      <c r="V121" s="220"/>
      <c r="W121" s="221"/>
      <c r="X121" s="226"/>
      <c r="Y121" s="226"/>
      <c r="Z121" s="220"/>
      <c r="AA121" s="221"/>
      <c r="AB121" s="226"/>
      <c r="AC121" s="220"/>
      <c r="AD121" s="168">
        <f t="shared" si="7"/>
        <v>0</v>
      </c>
      <c r="AE121" s="168">
        <f t="shared" si="8"/>
        <v>0</v>
      </c>
      <c r="AF121" s="169"/>
      <c r="AG121" s="195"/>
      <c r="AH121" s="195"/>
      <c r="AN121" s="203"/>
      <c r="AO121" s="203"/>
      <c r="AP121" s="203"/>
      <c r="AQ121" s="203"/>
      <c r="AR121" s="203"/>
      <c r="AS121" s="203"/>
      <c r="AT121" s="203"/>
      <c r="AU121" s="195"/>
      <c r="AV121" s="203"/>
      <c r="AW121" s="203"/>
      <c r="AX121" s="195"/>
      <c r="AY121" s="195"/>
      <c r="AZ121" s="203"/>
      <c r="BU121" s="204"/>
      <c r="BV121" s="204"/>
      <c r="BW121" s="204"/>
      <c r="BX121" s="204"/>
      <c r="BY121" s="204"/>
      <c r="BZ121" s="204"/>
      <c r="CA121" s="204"/>
      <c r="CB121" s="204"/>
      <c r="CC121" s="204"/>
      <c r="CD121" s="204"/>
      <c r="CE121" s="204"/>
      <c r="CF121" s="204"/>
      <c r="CG121" s="204"/>
      <c r="CH121" s="204"/>
      <c r="CI121" s="204"/>
      <c r="CJ121" s="204"/>
      <c r="CK121" s="204"/>
      <c r="CL121" s="204"/>
      <c r="CM121" s="204"/>
      <c r="CN121" s="204"/>
      <c r="CO121" s="204"/>
      <c r="CP121" s="204"/>
      <c r="CQ121" s="204"/>
      <c r="CR121" s="204"/>
      <c r="CS121" s="204"/>
      <c r="CT121" s="204"/>
      <c r="CU121" s="204"/>
      <c r="CV121" s="204"/>
      <c r="CW121" s="204"/>
      <c r="CX121" s="204"/>
      <c r="CY121" s="204"/>
      <c r="CZ121" s="204"/>
      <c r="DA121" s="204"/>
      <c r="DB121" s="204"/>
      <c r="DC121" s="204"/>
      <c r="DD121" s="204"/>
      <c r="DE121" s="204"/>
      <c r="DF121" s="204"/>
      <c r="DG121" s="204"/>
      <c r="DH121" s="204"/>
      <c r="DI121" s="204"/>
      <c r="DJ121" s="204"/>
      <c r="DK121" s="204"/>
      <c r="DL121" s="204"/>
      <c r="DM121" s="204"/>
      <c r="DN121" s="204"/>
      <c r="DO121" s="204"/>
      <c r="DP121" s="204"/>
      <c r="DQ121" s="204"/>
      <c r="DR121" s="204"/>
      <c r="DS121" s="204"/>
      <c r="DT121" s="204"/>
      <c r="DU121" s="204"/>
      <c r="DV121" s="204"/>
      <c r="DW121" s="204"/>
      <c r="DX121" s="204"/>
      <c r="DY121" s="204"/>
      <c r="DZ121" s="204"/>
      <c r="EA121" s="204"/>
      <c r="EB121" s="204"/>
      <c r="EC121" s="204"/>
      <c r="ED121" s="204"/>
      <c r="EE121" s="204"/>
      <c r="EF121" s="204"/>
      <c r="EG121" s="204"/>
      <c r="EH121" s="204"/>
      <c r="EI121" s="204"/>
      <c r="EJ121" s="204"/>
      <c r="EK121" s="204"/>
      <c r="EL121" s="204"/>
      <c r="EM121" s="204"/>
      <c r="EN121" s="204"/>
      <c r="EO121" s="204"/>
      <c r="EP121" s="204"/>
      <c r="EQ121" s="204"/>
      <c r="ER121" s="204"/>
      <c r="ES121" s="204"/>
      <c r="ET121" s="204"/>
      <c r="EU121" s="204"/>
      <c r="EV121" s="204"/>
      <c r="EW121" s="204"/>
      <c r="EX121" s="204"/>
      <c r="FC121" s="200" t="str">
        <f t="shared" si="6"/>
        <v>I</v>
      </c>
    </row>
    <row r="122" spans="1:159" s="202" customFormat="1" ht="29.1" customHeight="1" x14ac:dyDescent="0.2">
      <c r="A122" s="142"/>
      <c r="B122" s="146"/>
      <c r="C122" s="153"/>
      <c r="D122" s="51"/>
      <c r="E122" s="38"/>
      <c r="F122" s="220"/>
      <c r="G122" s="221"/>
      <c r="H122" s="226"/>
      <c r="I122" s="226"/>
      <c r="J122" s="226"/>
      <c r="K122" s="224"/>
      <c r="L122" s="220"/>
      <c r="M122" s="221"/>
      <c r="N122" s="226"/>
      <c r="O122" s="226"/>
      <c r="P122" s="226"/>
      <c r="Q122" s="224"/>
      <c r="R122" s="220"/>
      <c r="S122" s="221"/>
      <c r="T122" s="226"/>
      <c r="U122" s="226"/>
      <c r="V122" s="220"/>
      <c r="W122" s="221"/>
      <c r="X122" s="226"/>
      <c r="Y122" s="226"/>
      <c r="Z122" s="220"/>
      <c r="AA122" s="221"/>
      <c r="AB122" s="226"/>
      <c r="AC122" s="220"/>
      <c r="AD122" s="168">
        <f t="shared" si="7"/>
        <v>0</v>
      </c>
      <c r="AE122" s="168">
        <f t="shared" si="8"/>
        <v>0</v>
      </c>
      <c r="AF122" s="169"/>
      <c r="AG122" s="195"/>
      <c r="AH122" s="195"/>
      <c r="AN122" s="203"/>
      <c r="AO122" s="203"/>
      <c r="AP122" s="203"/>
      <c r="AQ122" s="203"/>
      <c r="AR122" s="203"/>
      <c r="AS122" s="203"/>
      <c r="AT122" s="203"/>
      <c r="AU122" s="195"/>
      <c r="AV122" s="203"/>
      <c r="AW122" s="203"/>
      <c r="AX122" s="195"/>
      <c r="AY122" s="195"/>
      <c r="AZ122" s="203"/>
      <c r="BU122" s="204"/>
      <c r="BV122" s="204"/>
      <c r="BW122" s="204"/>
      <c r="BX122" s="204"/>
      <c r="BY122" s="204"/>
      <c r="BZ122" s="204"/>
      <c r="CA122" s="204"/>
      <c r="CB122" s="204"/>
      <c r="CC122" s="204"/>
      <c r="CD122" s="204"/>
      <c r="CE122" s="204"/>
      <c r="CF122" s="204"/>
      <c r="CG122" s="204"/>
      <c r="CH122" s="204"/>
      <c r="CI122" s="204"/>
      <c r="CJ122" s="204"/>
      <c r="CK122" s="204"/>
      <c r="CL122" s="204"/>
      <c r="CM122" s="204"/>
      <c r="CN122" s="204"/>
      <c r="CO122" s="204"/>
      <c r="CP122" s="204"/>
      <c r="CQ122" s="204"/>
      <c r="CR122" s="204"/>
      <c r="CS122" s="204"/>
      <c r="CT122" s="204"/>
      <c r="CU122" s="204"/>
      <c r="CV122" s="204"/>
      <c r="CW122" s="204"/>
      <c r="CX122" s="204"/>
      <c r="CY122" s="204"/>
      <c r="CZ122" s="204"/>
      <c r="DA122" s="204"/>
      <c r="DB122" s="204"/>
      <c r="DC122" s="204"/>
      <c r="DD122" s="204"/>
      <c r="DE122" s="204"/>
      <c r="DF122" s="204"/>
      <c r="DG122" s="204"/>
      <c r="DH122" s="204"/>
      <c r="DI122" s="204"/>
      <c r="DJ122" s="204"/>
      <c r="DK122" s="204"/>
      <c r="DL122" s="204"/>
      <c r="DM122" s="204"/>
      <c r="DN122" s="204"/>
      <c r="DO122" s="204"/>
      <c r="DP122" s="204"/>
      <c r="DQ122" s="204"/>
      <c r="DR122" s="204"/>
      <c r="DS122" s="204"/>
      <c r="DT122" s="204"/>
      <c r="DU122" s="204"/>
      <c r="DV122" s="204"/>
      <c r="DW122" s="204"/>
      <c r="DX122" s="204"/>
      <c r="DY122" s="204"/>
      <c r="DZ122" s="204"/>
      <c r="EA122" s="204"/>
      <c r="EB122" s="204"/>
      <c r="EC122" s="204"/>
      <c r="ED122" s="204"/>
      <c r="EE122" s="204"/>
      <c r="EF122" s="204"/>
      <c r="EG122" s="204"/>
      <c r="EH122" s="204"/>
      <c r="EI122" s="204"/>
      <c r="EJ122" s="204"/>
      <c r="EK122" s="204"/>
      <c r="EL122" s="204"/>
      <c r="EM122" s="204"/>
      <c r="EN122" s="204"/>
      <c r="EO122" s="204"/>
      <c r="EP122" s="204"/>
      <c r="EQ122" s="204"/>
      <c r="ER122" s="204"/>
      <c r="ES122" s="204"/>
      <c r="ET122" s="204"/>
      <c r="EU122" s="204"/>
      <c r="EV122" s="204"/>
      <c r="EW122" s="204"/>
      <c r="EX122" s="204"/>
      <c r="FC122" s="200" t="str">
        <f t="shared" si="6"/>
        <v>I</v>
      </c>
    </row>
    <row r="123" spans="1:159" s="202" customFormat="1" ht="29.1" customHeight="1" x14ac:dyDescent="0.2">
      <c r="A123" s="142"/>
      <c r="B123" s="146"/>
      <c r="C123" s="153"/>
      <c r="D123" s="51"/>
      <c r="E123" s="38"/>
      <c r="F123" s="220"/>
      <c r="G123" s="221"/>
      <c r="H123" s="226"/>
      <c r="I123" s="226"/>
      <c r="J123" s="226"/>
      <c r="K123" s="224"/>
      <c r="L123" s="220"/>
      <c r="M123" s="221"/>
      <c r="N123" s="226"/>
      <c r="O123" s="226"/>
      <c r="P123" s="226"/>
      <c r="Q123" s="224"/>
      <c r="R123" s="220"/>
      <c r="S123" s="221"/>
      <c r="T123" s="226"/>
      <c r="U123" s="226"/>
      <c r="V123" s="220"/>
      <c r="W123" s="221"/>
      <c r="X123" s="226"/>
      <c r="Y123" s="226"/>
      <c r="Z123" s="220"/>
      <c r="AA123" s="221"/>
      <c r="AB123" s="226"/>
      <c r="AC123" s="220"/>
      <c r="AD123" s="168">
        <f t="shared" si="7"/>
        <v>0</v>
      </c>
      <c r="AE123" s="168">
        <f t="shared" si="8"/>
        <v>0</v>
      </c>
      <c r="AF123" s="169"/>
      <c r="AG123" s="195"/>
      <c r="AH123" s="195"/>
      <c r="AN123" s="203"/>
      <c r="AO123" s="203"/>
      <c r="AP123" s="203"/>
      <c r="AQ123" s="203"/>
      <c r="AR123" s="203"/>
      <c r="AS123" s="203"/>
      <c r="AT123" s="203"/>
      <c r="AU123" s="195"/>
      <c r="AV123" s="203"/>
      <c r="AW123" s="203"/>
      <c r="AX123" s="195"/>
      <c r="AY123" s="195"/>
      <c r="AZ123" s="203"/>
      <c r="BU123" s="204"/>
      <c r="BV123" s="204"/>
      <c r="BW123" s="204"/>
      <c r="BX123" s="204"/>
      <c r="BY123" s="204"/>
      <c r="BZ123" s="204"/>
      <c r="CA123" s="204"/>
      <c r="CB123" s="204"/>
      <c r="CC123" s="204"/>
      <c r="CD123" s="204"/>
      <c r="CE123" s="204"/>
      <c r="CF123" s="204"/>
      <c r="CG123" s="204"/>
      <c r="CH123" s="204"/>
      <c r="CI123" s="204"/>
      <c r="CJ123" s="204"/>
      <c r="CK123" s="204"/>
      <c r="CL123" s="204"/>
      <c r="CM123" s="204"/>
      <c r="CN123" s="204"/>
      <c r="CO123" s="204"/>
      <c r="CP123" s="204"/>
      <c r="CQ123" s="204"/>
      <c r="CR123" s="204"/>
      <c r="CS123" s="204"/>
      <c r="CT123" s="204"/>
      <c r="CU123" s="204"/>
      <c r="CV123" s="204"/>
      <c r="CW123" s="204"/>
      <c r="CX123" s="204"/>
      <c r="CY123" s="204"/>
      <c r="CZ123" s="204"/>
      <c r="DA123" s="204"/>
      <c r="DB123" s="204"/>
      <c r="DC123" s="204"/>
      <c r="DD123" s="204"/>
      <c r="DE123" s="204"/>
      <c r="DF123" s="204"/>
      <c r="DG123" s="204"/>
      <c r="DH123" s="204"/>
      <c r="DI123" s="204"/>
      <c r="DJ123" s="204"/>
      <c r="DK123" s="204"/>
      <c r="DL123" s="204"/>
      <c r="DM123" s="204"/>
      <c r="DN123" s="204"/>
      <c r="DO123" s="204"/>
      <c r="DP123" s="204"/>
      <c r="DQ123" s="204"/>
      <c r="DR123" s="204"/>
      <c r="DS123" s="204"/>
      <c r="DT123" s="204"/>
      <c r="DU123" s="204"/>
      <c r="DV123" s="204"/>
      <c r="DW123" s="204"/>
      <c r="DX123" s="204"/>
      <c r="DY123" s="204"/>
      <c r="DZ123" s="204"/>
      <c r="EA123" s="204"/>
      <c r="EB123" s="204"/>
      <c r="EC123" s="204"/>
      <c r="ED123" s="204"/>
      <c r="EE123" s="204"/>
      <c r="EF123" s="204"/>
      <c r="EG123" s="204"/>
      <c r="EH123" s="204"/>
      <c r="EI123" s="204"/>
      <c r="EJ123" s="204"/>
      <c r="EK123" s="204"/>
      <c r="EL123" s="204"/>
      <c r="EM123" s="204"/>
      <c r="EN123" s="204"/>
      <c r="EO123" s="204"/>
      <c r="EP123" s="204"/>
      <c r="EQ123" s="204"/>
      <c r="ER123" s="204"/>
      <c r="ES123" s="204"/>
      <c r="ET123" s="204"/>
      <c r="EU123" s="204"/>
      <c r="EV123" s="204"/>
      <c r="EW123" s="204"/>
      <c r="EX123" s="204"/>
      <c r="FC123" s="200" t="str">
        <f t="shared" si="6"/>
        <v>I</v>
      </c>
    </row>
    <row r="124" spans="1:159" s="202" customFormat="1" ht="29.1" customHeight="1" x14ac:dyDescent="0.2">
      <c r="A124" s="142"/>
      <c r="B124" s="146"/>
      <c r="C124" s="153"/>
      <c r="D124" s="51"/>
      <c r="E124" s="38"/>
      <c r="F124" s="220"/>
      <c r="G124" s="221"/>
      <c r="H124" s="226"/>
      <c r="I124" s="226"/>
      <c r="J124" s="226"/>
      <c r="K124" s="224"/>
      <c r="L124" s="220"/>
      <c r="M124" s="221"/>
      <c r="N124" s="226"/>
      <c r="O124" s="226"/>
      <c r="P124" s="226"/>
      <c r="Q124" s="224"/>
      <c r="R124" s="220"/>
      <c r="S124" s="221"/>
      <c r="T124" s="226"/>
      <c r="U124" s="226"/>
      <c r="V124" s="220"/>
      <c r="W124" s="221"/>
      <c r="X124" s="226"/>
      <c r="Y124" s="226"/>
      <c r="Z124" s="220"/>
      <c r="AA124" s="221"/>
      <c r="AB124" s="226"/>
      <c r="AC124" s="220"/>
      <c r="AD124" s="168">
        <f t="shared" si="7"/>
        <v>0</v>
      </c>
      <c r="AE124" s="168">
        <f t="shared" si="8"/>
        <v>0</v>
      </c>
      <c r="AF124" s="169"/>
      <c r="AG124" s="195"/>
      <c r="AH124" s="195"/>
      <c r="AN124" s="203"/>
      <c r="AO124" s="203"/>
      <c r="AP124" s="203"/>
      <c r="AQ124" s="203"/>
      <c r="AR124" s="203"/>
      <c r="AS124" s="203"/>
      <c r="AT124" s="203"/>
      <c r="AU124" s="195"/>
      <c r="AV124" s="203"/>
      <c r="AW124" s="203"/>
      <c r="AX124" s="195"/>
      <c r="AY124" s="195"/>
      <c r="AZ124" s="203"/>
      <c r="BU124" s="204"/>
      <c r="BV124" s="204"/>
      <c r="BW124" s="204"/>
      <c r="BX124" s="204"/>
      <c r="BY124" s="204"/>
      <c r="BZ124" s="204"/>
      <c r="CA124" s="204"/>
      <c r="CB124" s="204"/>
      <c r="CC124" s="204"/>
      <c r="CD124" s="204"/>
      <c r="CE124" s="204"/>
      <c r="CF124" s="204"/>
      <c r="CG124" s="204"/>
      <c r="CH124" s="204"/>
      <c r="CI124" s="204"/>
      <c r="CJ124" s="204"/>
      <c r="CK124" s="204"/>
      <c r="CL124" s="204"/>
      <c r="CM124" s="204"/>
      <c r="CN124" s="204"/>
      <c r="CO124" s="204"/>
      <c r="CP124" s="204"/>
      <c r="CQ124" s="204"/>
      <c r="CR124" s="204"/>
      <c r="CS124" s="204"/>
      <c r="CT124" s="204"/>
      <c r="CU124" s="204"/>
      <c r="CV124" s="204"/>
      <c r="CW124" s="204"/>
      <c r="CX124" s="204"/>
      <c r="CY124" s="204"/>
      <c r="CZ124" s="204"/>
      <c r="DA124" s="204"/>
      <c r="DB124" s="204"/>
      <c r="DC124" s="204"/>
      <c r="DD124" s="204"/>
      <c r="DE124" s="204"/>
      <c r="DF124" s="204"/>
      <c r="DG124" s="204"/>
      <c r="DH124" s="204"/>
      <c r="DI124" s="204"/>
      <c r="DJ124" s="204"/>
      <c r="DK124" s="204"/>
      <c r="DL124" s="204"/>
      <c r="DM124" s="204"/>
      <c r="DN124" s="204"/>
      <c r="DO124" s="204"/>
      <c r="DP124" s="204"/>
      <c r="DQ124" s="204"/>
      <c r="DR124" s="204"/>
      <c r="DS124" s="204"/>
      <c r="DT124" s="204"/>
      <c r="DU124" s="204"/>
      <c r="DV124" s="204"/>
      <c r="DW124" s="204"/>
      <c r="DX124" s="204"/>
      <c r="DY124" s="204"/>
      <c r="DZ124" s="204"/>
      <c r="EA124" s="204"/>
      <c r="EB124" s="204"/>
      <c r="EC124" s="204"/>
      <c r="ED124" s="204"/>
      <c r="EE124" s="204"/>
      <c r="EF124" s="204"/>
      <c r="EG124" s="204"/>
      <c r="EH124" s="204"/>
      <c r="EI124" s="204"/>
      <c r="EJ124" s="204"/>
      <c r="EK124" s="204"/>
      <c r="EL124" s="204"/>
      <c r="EM124" s="204"/>
      <c r="EN124" s="204"/>
      <c r="EO124" s="204"/>
      <c r="EP124" s="204"/>
      <c r="EQ124" s="204"/>
      <c r="ER124" s="204"/>
      <c r="ES124" s="204"/>
      <c r="ET124" s="204"/>
      <c r="EU124" s="204"/>
      <c r="EV124" s="204"/>
      <c r="EW124" s="204"/>
      <c r="EX124" s="204"/>
      <c r="FC124" s="200" t="str">
        <f t="shared" si="6"/>
        <v>I</v>
      </c>
    </row>
    <row r="125" spans="1:159" s="202" customFormat="1" ht="29.1" customHeight="1" x14ac:dyDescent="0.2">
      <c r="A125" s="142"/>
      <c r="B125" s="146"/>
      <c r="C125" s="153"/>
      <c r="D125" s="51"/>
      <c r="E125" s="38"/>
      <c r="F125" s="220"/>
      <c r="G125" s="221"/>
      <c r="H125" s="226"/>
      <c r="I125" s="226"/>
      <c r="J125" s="226"/>
      <c r="K125" s="224"/>
      <c r="L125" s="220"/>
      <c r="M125" s="221"/>
      <c r="N125" s="226"/>
      <c r="O125" s="226"/>
      <c r="P125" s="226"/>
      <c r="Q125" s="224"/>
      <c r="R125" s="220"/>
      <c r="S125" s="221"/>
      <c r="T125" s="226"/>
      <c r="U125" s="226"/>
      <c r="V125" s="220"/>
      <c r="W125" s="221"/>
      <c r="X125" s="226"/>
      <c r="Y125" s="226"/>
      <c r="Z125" s="220"/>
      <c r="AA125" s="221"/>
      <c r="AB125" s="226"/>
      <c r="AC125" s="220"/>
      <c r="AD125" s="168">
        <f t="shared" si="7"/>
        <v>0</v>
      </c>
      <c r="AE125" s="168">
        <f t="shared" si="8"/>
        <v>0</v>
      </c>
      <c r="AF125" s="169"/>
      <c r="AG125" s="195"/>
      <c r="AH125" s="195"/>
      <c r="AN125" s="203"/>
      <c r="AO125" s="203"/>
      <c r="AP125" s="203"/>
      <c r="AQ125" s="203"/>
      <c r="AR125" s="203"/>
      <c r="AS125" s="203"/>
      <c r="AT125" s="203"/>
      <c r="AU125" s="195"/>
      <c r="AV125" s="203"/>
      <c r="AW125" s="203"/>
      <c r="AX125" s="195"/>
      <c r="AY125" s="195"/>
      <c r="AZ125" s="203"/>
      <c r="BU125" s="204"/>
      <c r="BV125" s="204"/>
      <c r="BW125" s="204"/>
      <c r="BX125" s="204"/>
      <c r="BY125" s="204"/>
      <c r="BZ125" s="204"/>
      <c r="CA125" s="204"/>
      <c r="CB125" s="204"/>
      <c r="CC125" s="204"/>
      <c r="CD125" s="204"/>
      <c r="CE125" s="204"/>
      <c r="CF125" s="204"/>
      <c r="CG125" s="204"/>
      <c r="CH125" s="204"/>
      <c r="CI125" s="204"/>
      <c r="CJ125" s="204"/>
      <c r="CK125" s="204"/>
      <c r="CL125" s="204"/>
      <c r="CM125" s="204"/>
      <c r="CN125" s="204"/>
      <c r="CO125" s="204"/>
      <c r="CP125" s="204"/>
      <c r="CQ125" s="204"/>
      <c r="CR125" s="204"/>
      <c r="CS125" s="204"/>
      <c r="CT125" s="204"/>
      <c r="CU125" s="204"/>
      <c r="CV125" s="204"/>
      <c r="CW125" s="204"/>
      <c r="CX125" s="204"/>
      <c r="CY125" s="204"/>
      <c r="CZ125" s="204"/>
      <c r="DA125" s="204"/>
      <c r="DB125" s="204"/>
      <c r="DC125" s="204"/>
      <c r="DD125" s="204"/>
      <c r="DE125" s="204"/>
      <c r="DF125" s="204"/>
      <c r="DG125" s="204"/>
      <c r="DH125" s="204"/>
      <c r="DI125" s="204"/>
      <c r="DJ125" s="204"/>
      <c r="DK125" s="204"/>
      <c r="DL125" s="204"/>
      <c r="DM125" s="204"/>
      <c r="DN125" s="204"/>
      <c r="DO125" s="204"/>
      <c r="DP125" s="204"/>
      <c r="DQ125" s="204"/>
      <c r="DR125" s="204"/>
      <c r="DS125" s="204"/>
      <c r="DT125" s="204"/>
      <c r="DU125" s="204"/>
      <c r="DV125" s="204"/>
      <c r="DW125" s="204"/>
      <c r="DX125" s="204"/>
      <c r="DY125" s="204"/>
      <c r="DZ125" s="204"/>
      <c r="EA125" s="204"/>
      <c r="EB125" s="204"/>
      <c r="EC125" s="204"/>
      <c r="ED125" s="204"/>
      <c r="EE125" s="204"/>
      <c r="EF125" s="204"/>
      <c r="EG125" s="204"/>
      <c r="EH125" s="204"/>
      <c r="EI125" s="204"/>
      <c r="EJ125" s="204"/>
      <c r="EK125" s="204"/>
      <c r="EL125" s="204"/>
      <c r="EM125" s="204"/>
      <c r="EN125" s="204"/>
      <c r="EO125" s="204"/>
      <c r="EP125" s="204"/>
      <c r="EQ125" s="204"/>
      <c r="ER125" s="204"/>
      <c r="ES125" s="204"/>
      <c r="ET125" s="204"/>
      <c r="EU125" s="204"/>
      <c r="EV125" s="204"/>
      <c r="EW125" s="204"/>
      <c r="EX125" s="204"/>
      <c r="FC125" s="200" t="str">
        <f t="shared" si="6"/>
        <v>I</v>
      </c>
    </row>
    <row r="126" spans="1:159" s="202" customFormat="1" ht="29.1" customHeight="1" x14ac:dyDescent="0.2">
      <c r="A126" s="142"/>
      <c r="B126" s="146"/>
      <c r="C126" s="153"/>
      <c r="D126" s="51"/>
      <c r="E126" s="38"/>
      <c r="F126" s="220"/>
      <c r="G126" s="221"/>
      <c r="H126" s="226"/>
      <c r="I126" s="226"/>
      <c r="J126" s="226"/>
      <c r="K126" s="224"/>
      <c r="L126" s="220"/>
      <c r="M126" s="221"/>
      <c r="N126" s="226"/>
      <c r="O126" s="226"/>
      <c r="P126" s="226"/>
      <c r="Q126" s="224"/>
      <c r="R126" s="220"/>
      <c r="S126" s="221"/>
      <c r="T126" s="226"/>
      <c r="U126" s="226"/>
      <c r="V126" s="220"/>
      <c r="W126" s="221"/>
      <c r="X126" s="226"/>
      <c r="Y126" s="226"/>
      <c r="Z126" s="220"/>
      <c r="AA126" s="221"/>
      <c r="AB126" s="226"/>
      <c r="AC126" s="220"/>
      <c r="AD126" s="168">
        <f t="shared" si="7"/>
        <v>0</v>
      </c>
      <c r="AE126" s="168">
        <f t="shared" si="8"/>
        <v>0</v>
      </c>
      <c r="AF126" s="169"/>
      <c r="AG126" s="195"/>
      <c r="AH126" s="195"/>
      <c r="AN126" s="203"/>
      <c r="AO126" s="203"/>
      <c r="AP126" s="203"/>
      <c r="AQ126" s="203"/>
      <c r="AR126" s="203"/>
      <c r="AS126" s="203"/>
      <c r="AT126" s="203"/>
      <c r="AU126" s="195"/>
      <c r="AV126" s="203"/>
      <c r="AW126" s="203"/>
      <c r="AX126" s="195"/>
      <c r="AY126" s="195"/>
      <c r="AZ126" s="203"/>
      <c r="BU126" s="204"/>
      <c r="BV126" s="204"/>
      <c r="BW126" s="204"/>
      <c r="BX126" s="204"/>
      <c r="BY126" s="204"/>
      <c r="BZ126" s="204"/>
      <c r="CA126" s="204"/>
      <c r="CB126" s="204"/>
      <c r="CC126" s="204"/>
      <c r="CD126" s="204"/>
      <c r="CE126" s="204"/>
      <c r="CF126" s="204"/>
      <c r="CG126" s="204"/>
      <c r="CH126" s="204"/>
      <c r="CI126" s="204"/>
      <c r="CJ126" s="204"/>
      <c r="CK126" s="204"/>
      <c r="CL126" s="204"/>
      <c r="CM126" s="204"/>
      <c r="CN126" s="204"/>
      <c r="CO126" s="204"/>
      <c r="CP126" s="204"/>
      <c r="CQ126" s="204"/>
      <c r="CR126" s="204"/>
      <c r="CS126" s="204"/>
      <c r="CT126" s="204"/>
      <c r="CU126" s="204"/>
      <c r="CV126" s="204"/>
      <c r="CW126" s="204"/>
      <c r="CX126" s="204"/>
      <c r="CY126" s="204"/>
      <c r="CZ126" s="204"/>
      <c r="DA126" s="204"/>
      <c r="DB126" s="204"/>
      <c r="DC126" s="204"/>
      <c r="DD126" s="204"/>
      <c r="DE126" s="204"/>
      <c r="DF126" s="204"/>
      <c r="DG126" s="204"/>
      <c r="DH126" s="204"/>
      <c r="DI126" s="204"/>
      <c r="DJ126" s="204"/>
      <c r="DK126" s="204"/>
      <c r="DL126" s="204"/>
      <c r="DM126" s="204"/>
      <c r="DN126" s="204"/>
      <c r="DO126" s="204"/>
      <c r="DP126" s="204"/>
      <c r="DQ126" s="204"/>
      <c r="DR126" s="204"/>
      <c r="DS126" s="204"/>
      <c r="DT126" s="204"/>
      <c r="DU126" s="204"/>
      <c r="DV126" s="204"/>
      <c r="DW126" s="204"/>
      <c r="DX126" s="204"/>
      <c r="DY126" s="204"/>
      <c r="DZ126" s="204"/>
      <c r="EA126" s="204"/>
      <c r="EB126" s="204"/>
      <c r="EC126" s="204"/>
      <c r="ED126" s="204"/>
      <c r="EE126" s="204"/>
      <c r="EF126" s="204"/>
      <c r="EG126" s="204"/>
      <c r="EH126" s="204"/>
      <c r="EI126" s="204"/>
      <c r="EJ126" s="204"/>
      <c r="EK126" s="204"/>
      <c r="EL126" s="204"/>
      <c r="EM126" s="204"/>
      <c r="EN126" s="204"/>
      <c r="EO126" s="204"/>
      <c r="EP126" s="204"/>
      <c r="EQ126" s="204"/>
      <c r="ER126" s="204"/>
      <c r="ES126" s="204"/>
      <c r="ET126" s="204"/>
      <c r="EU126" s="204"/>
      <c r="EV126" s="204"/>
      <c r="EW126" s="204"/>
      <c r="EX126" s="204"/>
      <c r="FC126" s="200" t="str">
        <f t="shared" si="6"/>
        <v>I</v>
      </c>
    </row>
    <row r="127" spans="1:159" s="202" customFormat="1" ht="29.1" customHeight="1" x14ac:dyDescent="0.2">
      <c r="A127" s="142"/>
      <c r="B127" s="146"/>
      <c r="C127" s="153"/>
      <c r="D127" s="51"/>
      <c r="E127" s="38"/>
      <c r="F127" s="220"/>
      <c r="G127" s="221"/>
      <c r="H127" s="226"/>
      <c r="I127" s="226"/>
      <c r="J127" s="226"/>
      <c r="K127" s="224"/>
      <c r="L127" s="220"/>
      <c r="M127" s="221"/>
      <c r="N127" s="226"/>
      <c r="O127" s="226"/>
      <c r="P127" s="226"/>
      <c r="Q127" s="224"/>
      <c r="R127" s="220"/>
      <c r="S127" s="221"/>
      <c r="T127" s="226"/>
      <c r="U127" s="226"/>
      <c r="V127" s="220"/>
      <c r="W127" s="221"/>
      <c r="X127" s="226"/>
      <c r="Y127" s="226"/>
      <c r="Z127" s="220"/>
      <c r="AA127" s="221"/>
      <c r="AB127" s="226"/>
      <c r="AC127" s="220"/>
      <c r="AD127" s="168">
        <f t="shared" si="7"/>
        <v>0</v>
      </c>
      <c r="AE127" s="168">
        <f t="shared" si="8"/>
        <v>0</v>
      </c>
      <c r="AF127" s="169"/>
      <c r="AG127" s="195"/>
      <c r="AH127" s="195"/>
      <c r="AN127" s="203"/>
      <c r="AO127" s="203"/>
      <c r="AP127" s="203"/>
      <c r="AQ127" s="203"/>
      <c r="AR127" s="203"/>
      <c r="AS127" s="203"/>
      <c r="AT127" s="203"/>
      <c r="AU127" s="195"/>
      <c r="AV127" s="203"/>
      <c r="AW127" s="203"/>
      <c r="AX127" s="195"/>
      <c r="AY127" s="195"/>
      <c r="AZ127" s="203"/>
      <c r="BU127" s="204"/>
      <c r="BV127" s="204"/>
      <c r="BW127" s="204"/>
      <c r="BX127" s="204"/>
      <c r="BY127" s="204"/>
      <c r="BZ127" s="204"/>
      <c r="CA127" s="204"/>
      <c r="CB127" s="204"/>
      <c r="CC127" s="204"/>
      <c r="CD127" s="204"/>
      <c r="CE127" s="204"/>
      <c r="CF127" s="204"/>
      <c r="CG127" s="204"/>
      <c r="CH127" s="204"/>
      <c r="CI127" s="204"/>
      <c r="CJ127" s="204"/>
      <c r="CK127" s="204"/>
      <c r="CL127" s="204"/>
      <c r="CM127" s="204"/>
      <c r="CN127" s="204"/>
      <c r="CO127" s="204"/>
      <c r="CP127" s="204"/>
      <c r="CQ127" s="204"/>
      <c r="CR127" s="204"/>
      <c r="CS127" s="204"/>
      <c r="CT127" s="204"/>
      <c r="CU127" s="204"/>
      <c r="CV127" s="204"/>
      <c r="CW127" s="204"/>
      <c r="CX127" s="204"/>
      <c r="CY127" s="204"/>
      <c r="CZ127" s="204"/>
      <c r="DA127" s="204"/>
      <c r="DB127" s="204"/>
      <c r="DC127" s="204"/>
      <c r="DD127" s="204"/>
      <c r="DE127" s="204"/>
      <c r="DF127" s="204"/>
      <c r="DG127" s="204"/>
      <c r="DH127" s="204"/>
      <c r="DI127" s="204"/>
      <c r="DJ127" s="204"/>
      <c r="DK127" s="204"/>
      <c r="DL127" s="204"/>
      <c r="DM127" s="204"/>
      <c r="DN127" s="204"/>
      <c r="DO127" s="204"/>
      <c r="DP127" s="204"/>
      <c r="DQ127" s="204"/>
      <c r="DR127" s="204"/>
      <c r="DS127" s="204"/>
      <c r="DT127" s="204"/>
      <c r="DU127" s="204"/>
      <c r="DV127" s="204"/>
      <c r="DW127" s="204"/>
      <c r="DX127" s="204"/>
      <c r="DY127" s="204"/>
      <c r="DZ127" s="204"/>
      <c r="EA127" s="204"/>
      <c r="EB127" s="204"/>
      <c r="EC127" s="204"/>
      <c r="ED127" s="204"/>
      <c r="EE127" s="204"/>
      <c r="EF127" s="204"/>
      <c r="EG127" s="204"/>
      <c r="EH127" s="204"/>
      <c r="EI127" s="204"/>
      <c r="EJ127" s="204"/>
      <c r="EK127" s="204"/>
      <c r="EL127" s="204"/>
      <c r="EM127" s="204"/>
      <c r="EN127" s="204"/>
      <c r="EO127" s="204"/>
      <c r="EP127" s="204"/>
      <c r="EQ127" s="204"/>
      <c r="ER127" s="204"/>
      <c r="ES127" s="204"/>
      <c r="ET127" s="204"/>
      <c r="EU127" s="204"/>
      <c r="EV127" s="204"/>
      <c r="EW127" s="204"/>
      <c r="EX127" s="204"/>
      <c r="FC127" s="200" t="str">
        <f t="shared" si="6"/>
        <v>I</v>
      </c>
    </row>
    <row r="128" spans="1:159" s="202" customFormat="1" ht="29.1" customHeight="1" x14ac:dyDescent="0.2">
      <c r="A128" s="142"/>
      <c r="B128" s="146"/>
      <c r="C128" s="153"/>
      <c r="D128" s="51"/>
      <c r="E128" s="38"/>
      <c r="F128" s="220"/>
      <c r="G128" s="221"/>
      <c r="H128" s="226"/>
      <c r="I128" s="226"/>
      <c r="J128" s="226"/>
      <c r="K128" s="224"/>
      <c r="L128" s="220"/>
      <c r="M128" s="221"/>
      <c r="N128" s="226"/>
      <c r="O128" s="226"/>
      <c r="P128" s="226"/>
      <c r="Q128" s="224"/>
      <c r="R128" s="220"/>
      <c r="S128" s="221"/>
      <c r="T128" s="226"/>
      <c r="U128" s="226"/>
      <c r="V128" s="220"/>
      <c r="W128" s="221"/>
      <c r="X128" s="226"/>
      <c r="Y128" s="226"/>
      <c r="Z128" s="220"/>
      <c r="AA128" s="221"/>
      <c r="AB128" s="226"/>
      <c r="AC128" s="220"/>
      <c r="AD128" s="168">
        <f t="shared" si="7"/>
        <v>0</v>
      </c>
      <c r="AE128" s="168">
        <f t="shared" si="8"/>
        <v>0</v>
      </c>
      <c r="AF128" s="169"/>
      <c r="AG128" s="195"/>
      <c r="AH128" s="195"/>
      <c r="AN128" s="203"/>
      <c r="AO128" s="203"/>
      <c r="AP128" s="203"/>
      <c r="AQ128" s="203"/>
      <c r="AR128" s="203"/>
      <c r="AS128" s="203"/>
      <c r="AT128" s="203"/>
      <c r="AU128" s="195"/>
      <c r="AV128" s="203"/>
      <c r="AW128" s="203"/>
      <c r="AX128" s="195"/>
      <c r="AY128" s="195"/>
      <c r="AZ128" s="203"/>
      <c r="BU128" s="204"/>
      <c r="BV128" s="204"/>
      <c r="BW128" s="204"/>
      <c r="BX128" s="204"/>
      <c r="BY128" s="204"/>
      <c r="BZ128" s="204"/>
      <c r="CA128" s="204"/>
      <c r="CB128" s="204"/>
      <c r="CC128" s="204"/>
      <c r="CD128" s="204"/>
      <c r="CE128" s="204"/>
      <c r="CF128" s="204"/>
      <c r="CG128" s="204"/>
      <c r="CH128" s="204"/>
      <c r="CI128" s="204"/>
      <c r="CJ128" s="204"/>
      <c r="CK128" s="204"/>
      <c r="CL128" s="204"/>
      <c r="CM128" s="204"/>
      <c r="CN128" s="204"/>
      <c r="CO128" s="204"/>
      <c r="CP128" s="204"/>
      <c r="CQ128" s="204"/>
      <c r="CR128" s="204"/>
      <c r="CS128" s="204"/>
      <c r="CT128" s="204"/>
      <c r="CU128" s="204"/>
      <c r="CV128" s="204"/>
      <c r="CW128" s="204"/>
      <c r="CX128" s="204"/>
      <c r="CY128" s="204"/>
      <c r="CZ128" s="204"/>
      <c r="DA128" s="204"/>
      <c r="DB128" s="204"/>
      <c r="DC128" s="204"/>
      <c r="DD128" s="204"/>
      <c r="DE128" s="204"/>
      <c r="DF128" s="204"/>
      <c r="DG128" s="204"/>
      <c r="DH128" s="204"/>
      <c r="DI128" s="204"/>
      <c r="DJ128" s="204"/>
      <c r="DK128" s="204"/>
      <c r="DL128" s="204"/>
      <c r="DM128" s="204"/>
      <c r="DN128" s="204"/>
      <c r="DO128" s="204"/>
      <c r="DP128" s="204"/>
      <c r="DQ128" s="204"/>
      <c r="DR128" s="204"/>
      <c r="DS128" s="204"/>
      <c r="DT128" s="204"/>
      <c r="DU128" s="204"/>
      <c r="DV128" s="204"/>
      <c r="DW128" s="204"/>
      <c r="DX128" s="204"/>
      <c r="DY128" s="204"/>
      <c r="DZ128" s="204"/>
      <c r="EA128" s="204"/>
      <c r="EB128" s="204"/>
      <c r="EC128" s="204"/>
      <c r="ED128" s="204"/>
      <c r="EE128" s="204"/>
      <c r="EF128" s="204"/>
      <c r="EG128" s="204"/>
      <c r="EH128" s="204"/>
      <c r="EI128" s="204"/>
      <c r="EJ128" s="204"/>
      <c r="EK128" s="204"/>
      <c r="EL128" s="204"/>
      <c r="EM128" s="204"/>
      <c r="EN128" s="204"/>
      <c r="EO128" s="204"/>
      <c r="EP128" s="204"/>
      <c r="EQ128" s="204"/>
      <c r="ER128" s="204"/>
      <c r="ES128" s="204"/>
      <c r="ET128" s="204"/>
      <c r="EU128" s="204"/>
      <c r="EV128" s="204"/>
      <c r="EW128" s="204"/>
      <c r="EX128" s="204"/>
      <c r="FC128" s="200" t="str">
        <f t="shared" si="6"/>
        <v>I</v>
      </c>
    </row>
    <row r="129" spans="1:159" s="202" customFormat="1" ht="29.1" customHeight="1" x14ac:dyDescent="0.2">
      <c r="A129" s="142"/>
      <c r="B129" s="146"/>
      <c r="C129" s="153"/>
      <c r="D129" s="51"/>
      <c r="E129" s="38"/>
      <c r="F129" s="220"/>
      <c r="G129" s="221"/>
      <c r="H129" s="226"/>
      <c r="I129" s="226"/>
      <c r="J129" s="226"/>
      <c r="K129" s="224"/>
      <c r="L129" s="220"/>
      <c r="M129" s="221"/>
      <c r="N129" s="226"/>
      <c r="O129" s="226"/>
      <c r="P129" s="226"/>
      <c r="Q129" s="224"/>
      <c r="R129" s="220"/>
      <c r="S129" s="221"/>
      <c r="T129" s="226"/>
      <c r="U129" s="226"/>
      <c r="V129" s="220"/>
      <c r="W129" s="221"/>
      <c r="X129" s="226"/>
      <c r="Y129" s="226"/>
      <c r="Z129" s="220"/>
      <c r="AA129" s="221"/>
      <c r="AB129" s="226"/>
      <c r="AC129" s="220"/>
      <c r="AD129" s="168">
        <f t="shared" si="7"/>
        <v>0</v>
      </c>
      <c r="AE129" s="168">
        <f t="shared" si="8"/>
        <v>0</v>
      </c>
      <c r="AF129" s="169"/>
      <c r="AG129" s="195"/>
      <c r="AH129" s="195"/>
      <c r="AN129" s="203"/>
      <c r="AO129" s="203"/>
      <c r="AP129" s="203"/>
      <c r="AQ129" s="203"/>
      <c r="AR129" s="203"/>
      <c r="AS129" s="203"/>
      <c r="AT129" s="203"/>
      <c r="AU129" s="195"/>
      <c r="AV129" s="203"/>
      <c r="AW129" s="203"/>
      <c r="AX129" s="195"/>
      <c r="AY129" s="195"/>
      <c r="AZ129" s="203"/>
      <c r="BU129" s="204"/>
      <c r="BV129" s="204"/>
      <c r="BW129" s="204"/>
      <c r="BX129" s="204"/>
      <c r="BY129" s="204"/>
      <c r="BZ129" s="204"/>
      <c r="CA129" s="204"/>
      <c r="CB129" s="204"/>
      <c r="CC129" s="204"/>
      <c r="CD129" s="204"/>
      <c r="CE129" s="204"/>
      <c r="CF129" s="204"/>
      <c r="CG129" s="204"/>
      <c r="CH129" s="204"/>
      <c r="CI129" s="204"/>
      <c r="CJ129" s="204"/>
      <c r="CK129" s="204"/>
      <c r="CL129" s="204"/>
      <c r="CM129" s="204"/>
      <c r="CN129" s="204"/>
      <c r="CO129" s="204"/>
      <c r="CP129" s="204"/>
      <c r="CQ129" s="204"/>
      <c r="CR129" s="204"/>
      <c r="CS129" s="204"/>
      <c r="CT129" s="204"/>
      <c r="CU129" s="204"/>
      <c r="CV129" s="204"/>
      <c r="CW129" s="204"/>
      <c r="CX129" s="204"/>
      <c r="CY129" s="204"/>
      <c r="CZ129" s="204"/>
      <c r="DA129" s="204"/>
      <c r="DB129" s="204"/>
      <c r="DC129" s="204"/>
      <c r="DD129" s="204"/>
      <c r="DE129" s="204"/>
      <c r="DF129" s="204"/>
      <c r="DG129" s="204"/>
      <c r="DH129" s="204"/>
      <c r="DI129" s="204"/>
      <c r="DJ129" s="204"/>
      <c r="DK129" s="204"/>
      <c r="DL129" s="204"/>
      <c r="DM129" s="204"/>
      <c r="DN129" s="204"/>
      <c r="DO129" s="204"/>
      <c r="DP129" s="204"/>
      <c r="DQ129" s="204"/>
      <c r="DR129" s="204"/>
      <c r="DS129" s="204"/>
      <c r="DT129" s="204"/>
      <c r="DU129" s="204"/>
      <c r="DV129" s="204"/>
      <c r="DW129" s="204"/>
      <c r="DX129" s="204"/>
      <c r="DY129" s="204"/>
      <c r="DZ129" s="204"/>
      <c r="EA129" s="204"/>
      <c r="EB129" s="204"/>
      <c r="EC129" s="204"/>
      <c r="ED129" s="204"/>
      <c r="EE129" s="204"/>
      <c r="EF129" s="204"/>
      <c r="EG129" s="204"/>
      <c r="EH129" s="204"/>
      <c r="EI129" s="204"/>
      <c r="EJ129" s="204"/>
      <c r="EK129" s="204"/>
      <c r="EL129" s="204"/>
      <c r="EM129" s="204"/>
      <c r="EN129" s="204"/>
      <c r="EO129" s="204"/>
      <c r="EP129" s="204"/>
      <c r="EQ129" s="204"/>
      <c r="ER129" s="204"/>
      <c r="ES129" s="204"/>
      <c r="ET129" s="204"/>
      <c r="EU129" s="204"/>
      <c r="EV129" s="204"/>
      <c r="EW129" s="204"/>
      <c r="EX129" s="204"/>
      <c r="FC129" s="200" t="str">
        <f t="shared" si="6"/>
        <v>I</v>
      </c>
    </row>
    <row r="130" spans="1:159" s="202" customFormat="1" ht="29.1" customHeight="1" x14ac:dyDescent="0.2">
      <c r="A130" s="142"/>
      <c r="B130" s="146"/>
      <c r="C130" s="153"/>
      <c r="D130" s="51"/>
      <c r="E130" s="38"/>
      <c r="F130" s="220"/>
      <c r="G130" s="221"/>
      <c r="H130" s="226"/>
      <c r="I130" s="226"/>
      <c r="J130" s="226"/>
      <c r="K130" s="224"/>
      <c r="L130" s="220"/>
      <c r="M130" s="221"/>
      <c r="N130" s="226"/>
      <c r="O130" s="226"/>
      <c r="P130" s="226"/>
      <c r="Q130" s="224"/>
      <c r="R130" s="220"/>
      <c r="S130" s="221"/>
      <c r="T130" s="226"/>
      <c r="U130" s="226"/>
      <c r="V130" s="220"/>
      <c r="W130" s="221"/>
      <c r="X130" s="226"/>
      <c r="Y130" s="226"/>
      <c r="Z130" s="220"/>
      <c r="AA130" s="221"/>
      <c r="AB130" s="226"/>
      <c r="AC130" s="220"/>
      <c r="AD130" s="168">
        <f t="shared" si="7"/>
        <v>0</v>
      </c>
      <c r="AE130" s="168">
        <f t="shared" si="8"/>
        <v>0</v>
      </c>
      <c r="AF130" s="169"/>
      <c r="AG130" s="195"/>
      <c r="AH130" s="195"/>
      <c r="AN130" s="203"/>
      <c r="AO130" s="203"/>
      <c r="AP130" s="203"/>
      <c r="AQ130" s="203"/>
      <c r="AR130" s="203"/>
      <c r="AS130" s="203"/>
      <c r="AT130" s="203"/>
      <c r="AU130" s="195"/>
      <c r="AV130" s="203"/>
      <c r="AW130" s="203"/>
      <c r="AX130" s="195"/>
      <c r="AY130" s="195"/>
      <c r="AZ130" s="203"/>
      <c r="BU130" s="204"/>
      <c r="BV130" s="204"/>
      <c r="BW130" s="204"/>
      <c r="BX130" s="204"/>
      <c r="BY130" s="204"/>
      <c r="BZ130" s="204"/>
      <c r="CA130" s="204"/>
      <c r="CB130" s="204"/>
      <c r="CC130" s="204"/>
      <c r="CD130" s="204"/>
      <c r="CE130" s="204"/>
      <c r="CF130" s="204"/>
      <c r="CG130" s="204"/>
      <c r="CH130" s="204"/>
      <c r="CI130" s="204"/>
      <c r="CJ130" s="204"/>
      <c r="CK130" s="204"/>
      <c r="CL130" s="204"/>
      <c r="CM130" s="204"/>
      <c r="CN130" s="204"/>
      <c r="CO130" s="204"/>
      <c r="CP130" s="204"/>
      <c r="CQ130" s="204"/>
      <c r="CR130" s="204"/>
      <c r="CS130" s="204"/>
      <c r="CT130" s="204"/>
      <c r="CU130" s="204"/>
      <c r="CV130" s="204"/>
      <c r="CW130" s="204"/>
      <c r="CX130" s="204"/>
      <c r="CY130" s="204"/>
      <c r="CZ130" s="204"/>
      <c r="DA130" s="204"/>
      <c r="DB130" s="204"/>
      <c r="DC130" s="204"/>
      <c r="DD130" s="204"/>
      <c r="DE130" s="204"/>
      <c r="DF130" s="204"/>
      <c r="DG130" s="204"/>
      <c r="DH130" s="204"/>
      <c r="DI130" s="204"/>
      <c r="DJ130" s="204"/>
      <c r="DK130" s="204"/>
      <c r="DL130" s="204"/>
      <c r="DM130" s="204"/>
      <c r="DN130" s="204"/>
      <c r="DO130" s="204"/>
      <c r="DP130" s="204"/>
      <c r="DQ130" s="204"/>
      <c r="DR130" s="204"/>
      <c r="DS130" s="204"/>
      <c r="DT130" s="204"/>
      <c r="DU130" s="204"/>
      <c r="DV130" s="204"/>
      <c r="DW130" s="204"/>
      <c r="DX130" s="204"/>
      <c r="DY130" s="204"/>
      <c r="DZ130" s="204"/>
      <c r="EA130" s="204"/>
      <c r="EB130" s="204"/>
      <c r="EC130" s="204"/>
      <c r="ED130" s="204"/>
      <c r="EE130" s="204"/>
      <c r="EF130" s="204"/>
      <c r="EG130" s="204"/>
      <c r="EH130" s="204"/>
      <c r="EI130" s="204"/>
      <c r="EJ130" s="204"/>
      <c r="EK130" s="204"/>
      <c r="EL130" s="204"/>
      <c r="EM130" s="204"/>
      <c r="EN130" s="204"/>
      <c r="EO130" s="204"/>
      <c r="EP130" s="204"/>
      <c r="EQ130" s="204"/>
      <c r="ER130" s="204"/>
      <c r="ES130" s="204"/>
      <c r="ET130" s="204"/>
      <c r="EU130" s="204"/>
      <c r="EV130" s="204"/>
      <c r="EW130" s="204"/>
      <c r="EX130" s="204"/>
      <c r="FC130" s="200" t="str">
        <f t="shared" si="6"/>
        <v>I</v>
      </c>
    </row>
    <row r="131" spans="1:159" s="202" customFormat="1" ht="29.1" customHeight="1" x14ac:dyDescent="0.2">
      <c r="A131" s="142"/>
      <c r="B131" s="146"/>
      <c r="C131" s="153"/>
      <c r="D131" s="51"/>
      <c r="E131" s="38"/>
      <c r="F131" s="220"/>
      <c r="G131" s="221"/>
      <c r="H131" s="226"/>
      <c r="I131" s="226"/>
      <c r="J131" s="226"/>
      <c r="K131" s="224"/>
      <c r="L131" s="220"/>
      <c r="M131" s="221"/>
      <c r="N131" s="226"/>
      <c r="O131" s="226"/>
      <c r="P131" s="226"/>
      <c r="Q131" s="224"/>
      <c r="R131" s="220"/>
      <c r="S131" s="221"/>
      <c r="T131" s="226"/>
      <c r="U131" s="226"/>
      <c r="V131" s="220"/>
      <c r="W131" s="221"/>
      <c r="X131" s="226"/>
      <c r="Y131" s="226"/>
      <c r="Z131" s="220"/>
      <c r="AA131" s="221"/>
      <c r="AB131" s="226"/>
      <c r="AC131" s="220"/>
      <c r="AD131" s="168">
        <f t="shared" si="7"/>
        <v>0</v>
      </c>
      <c r="AE131" s="168">
        <f t="shared" si="8"/>
        <v>0</v>
      </c>
      <c r="AF131" s="169"/>
      <c r="AG131" s="195"/>
      <c r="AH131" s="195"/>
      <c r="AN131" s="203"/>
      <c r="AO131" s="203"/>
      <c r="AP131" s="203"/>
      <c r="AQ131" s="203"/>
      <c r="AR131" s="203"/>
      <c r="AS131" s="203"/>
      <c r="AT131" s="203"/>
      <c r="AU131" s="195"/>
      <c r="AV131" s="203"/>
      <c r="AW131" s="203"/>
      <c r="AX131" s="195"/>
      <c r="AY131" s="195"/>
      <c r="AZ131" s="203"/>
      <c r="BU131" s="204"/>
      <c r="BV131" s="204"/>
      <c r="BW131" s="204"/>
      <c r="BX131" s="204"/>
      <c r="BY131" s="204"/>
      <c r="BZ131" s="204"/>
      <c r="CA131" s="204"/>
      <c r="CB131" s="204"/>
      <c r="CC131" s="204"/>
      <c r="CD131" s="204"/>
      <c r="CE131" s="204"/>
      <c r="CF131" s="204"/>
      <c r="CG131" s="204"/>
      <c r="CH131" s="204"/>
      <c r="CI131" s="204"/>
      <c r="CJ131" s="204"/>
      <c r="CK131" s="204"/>
      <c r="CL131" s="204"/>
      <c r="CM131" s="204"/>
      <c r="CN131" s="204"/>
      <c r="CO131" s="204"/>
      <c r="CP131" s="204"/>
      <c r="CQ131" s="204"/>
      <c r="CR131" s="204"/>
      <c r="CS131" s="204"/>
      <c r="CT131" s="204"/>
      <c r="CU131" s="204"/>
      <c r="CV131" s="204"/>
      <c r="CW131" s="204"/>
      <c r="CX131" s="204"/>
      <c r="CY131" s="204"/>
      <c r="CZ131" s="204"/>
      <c r="DA131" s="204"/>
      <c r="DB131" s="204"/>
      <c r="DC131" s="204"/>
      <c r="DD131" s="204"/>
      <c r="DE131" s="204"/>
      <c r="DF131" s="204"/>
      <c r="DG131" s="204"/>
      <c r="DH131" s="204"/>
      <c r="DI131" s="204"/>
      <c r="DJ131" s="204"/>
      <c r="DK131" s="204"/>
      <c r="DL131" s="204"/>
      <c r="DM131" s="204"/>
      <c r="DN131" s="204"/>
      <c r="DO131" s="204"/>
      <c r="DP131" s="204"/>
      <c r="DQ131" s="204"/>
      <c r="DR131" s="204"/>
      <c r="DS131" s="204"/>
      <c r="DT131" s="204"/>
      <c r="DU131" s="204"/>
      <c r="DV131" s="204"/>
      <c r="DW131" s="204"/>
      <c r="DX131" s="204"/>
      <c r="DY131" s="204"/>
      <c r="DZ131" s="204"/>
      <c r="EA131" s="204"/>
      <c r="EB131" s="204"/>
      <c r="EC131" s="204"/>
      <c r="ED131" s="204"/>
      <c r="EE131" s="204"/>
      <c r="EF131" s="204"/>
      <c r="EG131" s="204"/>
      <c r="EH131" s="204"/>
      <c r="EI131" s="204"/>
      <c r="EJ131" s="204"/>
      <c r="EK131" s="204"/>
      <c r="EL131" s="204"/>
      <c r="EM131" s="204"/>
      <c r="EN131" s="204"/>
      <c r="EO131" s="204"/>
      <c r="EP131" s="204"/>
      <c r="EQ131" s="204"/>
      <c r="ER131" s="204"/>
      <c r="ES131" s="204"/>
      <c r="ET131" s="204"/>
      <c r="EU131" s="204"/>
      <c r="EV131" s="204"/>
      <c r="EW131" s="204"/>
      <c r="EX131" s="204"/>
      <c r="FC131" s="200" t="str">
        <f t="shared" ref="FC131:FC194" si="9">IF(EY131="","I",EY131)</f>
        <v>I</v>
      </c>
    </row>
    <row r="132" spans="1:159" s="202" customFormat="1" ht="29.1" customHeight="1" x14ac:dyDescent="0.2">
      <c r="A132" s="142"/>
      <c r="B132" s="146"/>
      <c r="C132" s="153"/>
      <c r="D132" s="51"/>
      <c r="E132" s="38"/>
      <c r="F132" s="220"/>
      <c r="G132" s="221"/>
      <c r="H132" s="226"/>
      <c r="I132" s="226"/>
      <c r="J132" s="226"/>
      <c r="K132" s="224"/>
      <c r="L132" s="220"/>
      <c r="M132" s="221"/>
      <c r="N132" s="226"/>
      <c r="O132" s="226"/>
      <c r="P132" s="226"/>
      <c r="Q132" s="224"/>
      <c r="R132" s="220"/>
      <c r="S132" s="221"/>
      <c r="T132" s="226"/>
      <c r="U132" s="226"/>
      <c r="V132" s="220"/>
      <c r="W132" s="221"/>
      <c r="X132" s="226"/>
      <c r="Y132" s="226"/>
      <c r="Z132" s="220"/>
      <c r="AA132" s="221"/>
      <c r="AB132" s="226"/>
      <c r="AC132" s="220"/>
      <c r="AD132" s="168">
        <f t="shared" si="7"/>
        <v>0</v>
      </c>
      <c r="AE132" s="168">
        <f t="shared" si="8"/>
        <v>0</v>
      </c>
      <c r="AF132" s="169"/>
      <c r="AG132" s="195"/>
      <c r="AH132" s="195"/>
      <c r="AN132" s="203"/>
      <c r="AO132" s="203"/>
      <c r="AP132" s="203"/>
      <c r="AQ132" s="203"/>
      <c r="AR132" s="203"/>
      <c r="AS132" s="203"/>
      <c r="AT132" s="203"/>
      <c r="AU132" s="195"/>
      <c r="AV132" s="203"/>
      <c r="AW132" s="203"/>
      <c r="AX132" s="195"/>
      <c r="AY132" s="195"/>
      <c r="AZ132" s="203"/>
      <c r="BU132" s="204"/>
      <c r="BV132" s="204"/>
      <c r="BW132" s="204"/>
      <c r="BX132" s="204"/>
      <c r="BY132" s="204"/>
      <c r="BZ132" s="204"/>
      <c r="CA132" s="204"/>
      <c r="CB132" s="204"/>
      <c r="CC132" s="204"/>
      <c r="CD132" s="204"/>
      <c r="CE132" s="204"/>
      <c r="CF132" s="204"/>
      <c r="CG132" s="204"/>
      <c r="CH132" s="204"/>
      <c r="CI132" s="204"/>
      <c r="CJ132" s="204"/>
      <c r="CK132" s="204"/>
      <c r="CL132" s="204"/>
      <c r="CM132" s="204"/>
      <c r="CN132" s="204"/>
      <c r="CO132" s="204"/>
      <c r="CP132" s="204"/>
      <c r="CQ132" s="204"/>
      <c r="CR132" s="204"/>
      <c r="CS132" s="204"/>
      <c r="CT132" s="204"/>
      <c r="CU132" s="204"/>
      <c r="CV132" s="204"/>
      <c r="CW132" s="204"/>
      <c r="CX132" s="204"/>
      <c r="CY132" s="204"/>
      <c r="CZ132" s="204"/>
      <c r="DA132" s="204"/>
      <c r="DB132" s="204"/>
      <c r="DC132" s="204"/>
      <c r="DD132" s="204"/>
      <c r="DE132" s="204"/>
      <c r="DF132" s="204"/>
      <c r="DG132" s="204"/>
      <c r="DH132" s="204"/>
      <c r="DI132" s="204"/>
      <c r="DJ132" s="204"/>
      <c r="DK132" s="204"/>
      <c r="DL132" s="204"/>
      <c r="DM132" s="204"/>
      <c r="DN132" s="204"/>
      <c r="DO132" s="204"/>
      <c r="DP132" s="204"/>
      <c r="DQ132" s="204"/>
      <c r="DR132" s="204"/>
      <c r="DS132" s="204"/>
      <c r="DT132" s="204"/>
      <c r="DU132" s="204"/>
      <c r="DV132" s="204"/>
      <c r="DW132" s="204"/>
      <c r="DX132" s="204"/>
      <c r="DY132" s="204"/>
      <c r="DZ132" s="204"/>
      <c r="EA132" s="204"/>
      <c r="EB132" s="204"/>
      <c r="EC132" s="204"/>
      <c r="ED132" s="204"/>
      <c r="EE132" s="204"/>
      <c r="EF132" s="204"/>
      <c r="EG132" s="204"/>
      <c r="EH132" s="204"/>
      <c r="EI132" s="204"/>
      <c r="EJ132" s="204"/>
      <c r="EK132" s="204"/>
      <c r="EL132" s="204"/>
      <c r="EM132" s="204"/>
      <c r="EN132" s="204"/>
      <c r="EO132" s="204"/>
      <c r="EP132" s="204"/>
      <c r="EQ132" s="204"/>
      <c r="ER132" s="204"/>
      <c r="ES132" s="204"/>
      <c r="ET132" s="204"/>
      <c r="EU132" s="204"/>
      <c r="EV132" s="204"/>
      <c r="EW132" s="204"/>
      <c r="EX132" s="204"/>
      <c r="FC132" s="200" t="str">
        <f t="shared" si="9"/>
        <v>I</v>
      </c>
    </row>
    <row r="133" spans="1:159" s="202" customFormat="1" ht="29.1" customHeight="1" x14ac:dyDescent="0.2">
      <c r="A133" s="142"/>
      <c r="B133" s="146"/>
      <c r="C133" s="153"/>
      <c r="D133" s="51"/>
      <c r="E133" s="38"/>
      <c r="F133" s="220"/>
      <c r="G133" s="221"/>
      <c r="H133" s="226"/>
      <c r="I133" s="226"/>
      <c r="J133" s="226"/>
      <c r="K133" s="224"/>
      <c r="L133" s="220"/>
      <c r="M133" s="221"/>
      <c r="N133" s="226"/>
      <c r="O133" s="226"/>
      <c r="P133" s="226"/>
      <c r="Q133" s="224"/>
      <c r="R133" s="220"/>
      <c r="S133" s="221"/>
      <c r="T133" s="226"/>
      <c r="U133" s="226"/>
      <c r="V133" s="220"/>
      <c r="W133" s="221"/>
      <c r="X133" s="226"/>
      <c r="Y133" s="226"/>
      <c r="Z133" s="220"/>
      <c r="AA133" s="221"/>
      <c r="AB133" s="226"/>
      <c r="AC133" s="220"/>
      <c r="AD133" s="168">
        <f t="shared" si="7"/>
        <v>0</v>
      </c>
      <c r="AE133" s="168">
        <f t="shared" si="8"/>
        <v>0</v>
      </c>
      <c r="AF133" s="169"/>
      <c r="AG133" s="195"/>
      <c r="AH133" s="195"/>
      <c r="AN133" s="203"/>
      <c r="AO133" s="203"/>
      <c r="AP133" s="203"/>
      <c r="AQ133" s="203"/>
      <c r="AR133" s="203"/>
      <c r="AS133" s="203"/>
      <c r="AT133" s="203"/>
      <c r="AU133" s="195"/>
      <c r="AV133" s="203"/>
      <c r="AW133" s="203"/>
      <c r="AX133" s="195"/>
      <c r="AY133" s="195"/>
      <c r="AZ133" s="203"/>
      <c r="BU133" s="204"/>
      <c r="BV133" s="204"/>
      <c r="BW133" s="204"/>
      <c r="BX133" s="204"/>
      <c r="BY133" s="204"/>
      <c r="BZ133" s="204"/>
      <c r="CA133" s="204"/>
      <c r="CB133" s="204"/>
      <c r="CC133" s="204"/>
      <c r="CD133" s="204"/>
      <c r="CE133" s="204"/>
      <c r="CF133" s="204"/>
      <c r="CG133" s="204"/>
      <c r="CH133" s="204"/>
      <c r="CI133" s="204"/>
      <c r="CJ133" s="204"/>
      <c r="CK133" s="204"/>
      <c r="CL133" s="204"/>
      <c r="CM133" s="204"/>
      <c r="CN133" s="204"/>
      <c r="CO133" s="204"/>
      <c r="CP133" s="204"/>
      <c r="CQ133" s="204"/>
      <c r="CR133" s="204"/>
      <c r="CS133" s="204"/>
      <c r="CT133" s="204"/>
      <c r="CU133" s="204"/>
      <c r="CV133" s="204"/>
      <c r="CW133" s="204"/>
      <c r="CX133" s="204"/>
      <c r="CY133" s="204"/>
      <c r="CZ133" s="204"/>
      <c r="DA133" s="204"/>
      <c r="DB133" s="204"/>
      <c r="DC133" s="204"/>
      <c r="DD133" s="204"/>
      <c r="DE133" s="204"/>
      <c r="DF133" s="204"/>
      <c r="DG133" s="204"/>
      <c r="DH133" s="204"/>
      <c r="DI133" s="204"/>
      <c r="DJ133" s="204"/>
      <c r="DK133" s="204"/>
      <c r="DL133" s="204"/>
      <c r="DM133" s="204"/>
      <c r="DN133" s="204"/>
      <c r="DO133" s="204"/>
      <c r="DP133" s="204"/>
      <c r="DQ133" s="204"/>
      <c r="DR133" s="204"/>
      <c r="DS133" s="204"/>
      <c r="DT133" s="204"/>
      <c r="DU133" s="204"/>
      <c r="DV133" s="204"/>
      <c r="DW133" s="204"/>
      <c r="DX133" s="204"/>
      <c r="DY133" s="204"/>
      <c r="DZ133" s="204"/>
      <c r="EA133" s="204"/>
      <c r="EB133" s="204"/>
      <c r="EC133" s="204"/>
      <c r="ED133" s="204"/>
      <c r="EE133" s="204"/>
      <c r="EF133" s="204"/>
      <c r="EG133" s="204"/>
      <c r="EH133" s="204"/>
      <c r="EI133" s="204"/>
      <c r="EJ133" s="204"/>
      <c r="EK133" s="204"/>
      <c r="EL133" s="204"/>
      <c r="EM133" s="204"/>
      <c r="EN133" s="204"/>
      <c r="EO133" s="204"/>
      <c r="EP133" s="204"/>
      <c r="EQ133" s="204"/>
      <c r="ER133" s="204"/>
      <c r="ES133" s="204"/>
      <c r="ET133" s="204"/>
      <c r="EU133" s="204"/>
      <c r="EV133" s="204"/>
      <c r="EW133" s="204"/>
      <c r="EX133" s="204"/>
      <c r="FC133" s="200" t="str">
        <f t="shared" si="9"/>
        <v>I</v>
      </c>
    </row>
    <row r="134" spans="1:159" s="202" customFormat="1" ht="29.1" customHeight="1" x14ac:dyDescent="0.2">
      <c r="A134" s="142"/>
      <c r="B134" s="146"/>
      <c r="C134" s="153"/>
      <c r="D134" s="51"/>
      <c r="E134" s="38"/>
      <c r="F134" s="220"/>
      <c r="G134" s="221"/>
      <c r="H134" s="226"/>
      <c r="I134" s="226"/>
      <c r="J134" s="226"/>
      <c r="K134" s="224"/>
      <c r="L134" s="220"/>
      <c r="M134" s="221"/>
      <c r="N134" s="226"/>
      <c r="O134" s="226"/>
      <c r="P134" s="226"/>
      <c r="Q134" s="224"/>
      <c r="R134" s="220"/>
      <c r="S134" s="221"/>
      <c r="T134" s="226"/>
      <c r="U134" s="226"/>
      <c r="V134" s="220"/>
      <c r="W134" s="221"/>
      <c r="X134" s="226"/>
      <c r="Y134" s="226"/>
      <c r="Z134" s="220"/>
      <c r="AA134" s="221"/>
      <c r="AB134" s="226"/>
      <c r="AC134" s="220"/>
      <c r="AD134" s="168">
        <f t="shared" si="7"/>
        <v>0</v>
      </c>
      <c r="AE134" s="168">
        <f t="shared" si="8"/>
        <v>0</v>
      </c>
      <c r="AF134" s="169"/>
      <c r="AG134" s="195"/>
      <c r="AH134" s="195"/>
      <c r="AN134" s="203"/>
      <c r="AO134" s="203"/>
      <c r="AP134" s="203"/>
      <c r="AQ134" s="203"/>
      <c r="AR134" s="203"/>
      <c r="AS134" s="203"/>
      <c r="AT134" s="203"/>
      <c r="AU134" s="195"/>
      <c r="AV134" s="203"/>
      <c r="AW134" s="203"/>
      <c r="AX134" s="195"/>
      <c r="AY134" s="195"/>
      <c r="AZ134" s="203"/>
      <c r="BU134" s="204"/>
      <c r="BV134" s="204"/>
      <c r="BW134" s="204"/>
      <c r="BX134" s="204"/>
      <c r="BY134" s="204"/>
      <c r="BZ134" s="204"/>
      <c r="CA134" s="204"/>
      <c r="CB134" s="204"/>
      <c r="CC134" s="204"/>
      <c r="CD134" s="204"/>
      <c r="CE134" s="204"/>
      <c r="CF134" s="204"/>
      <c r="CG134" s="204"/>
      <c r="CH134" s="204"/>
      <c r="CI134" s="204"/>
      <c r="CJ134" s="204"/>
      <c r="CK134" s="204"/>
      <c r="CL134" s="204"/>
      <c r="CM134" s="204"/>
      <c r="CN134" s="204"/>
      <c r="CO134" s="204"/>
      <c r="CP134" s="204"/>
      <c r="CQ134" s="204"/>
      <c r="CR134" s="204"/>
      <c r="CS134" s="204"/>
      <c r="CT134" s="204"/>
      <c r="CU134" s="204"/>
      <c r="CV134" s="204"/>
      <c r="CW134" s="204"/>
      <c r="CX134" s="204"/>
      <c r="CY134" s="204"/>
      <c r="CZ134" s="204"/>
      <c r="DA134" s="204"/>
      <c r="DB134" s="204"/>
      <c r="DC134" s="204"/>
      <c r="DD134" s="204"/>
      <c r="DE134" s="204"/>
      <c r="DF134" s="204"/>
      <c r="DG134" s="204"/>
      <c r="DH134" s="204"/>
      <c r="DI134" s="204"/>
      <c r="DJ134" s="204"/>
      <c r="DK134" s="204"/>
      <c r="DL134" s="204"/>
      <c r="DM134" s="204"/>
      <c r="DN134" s="204"/>
      <c r="DO134" s="204"/>
      <c r="DP134" s="204"/>
      <c r="DQ134" s="204"/>
      <c r="DR134" s="204"/>
      <c r="DS134" s="204"/>
      <c r="DT134" s="204"/>
      <c r="DU134" s="204"/>
      <c r="DV134" s="204"/>
      <c r="DW134" s="204"/>
      <c r="DX134" s="204"/>
      <c r="DY134" s="204"/>
      <c r="DZ134" s="204"/>
      <c r="EA134" s="204"/>
      <c r="EB134" s="204"/>
      <c r="EC134" s="204"/>
      <c r="ED134" s="204"/>
      <c r="EE134" s="204"/>
      <c r="EF134" s="204"/>
      <c r="EG134" s="204"/>
      <c r="EH134" s="204"/>
      <c r="EI134" s="204"/>
      <c r="EJ134" s="204"/>
      <c r="EK134" s="204"/>
      <c r="EL134" s="204"/>
      <c r="EM134" s="204"/>
      <c r="EN134" s="204"/>
      <c r="EO134" s="204"/>
      <c r="EP134" s="204"/>
      <c r="EQ134" s="204"/>
      <c r="ER134" s="204"/>
      <c r="ES134" s="204"/>
      <c r="ET134" s="204"/>
      <c r="EU134" s="204"/>
      <c r="EV134" s="204"/>
      <c r="EW134" s="204"/>
      <c r="EX134" s="204"/>
      <c r="FC134" s="200" t="str">
        <f t="shared" si="9"/>
        <v>I</v>
      </c>
    </row>
    <row r="135" spans="1:159" s="202" customFormat="1" ht="29.1" customHeight="1" x14ac:dyDescent="0.2">
      <c r="A135" s="142"/>
      <c r="B135" s="146"/>
      <c r="C135" s="153"/>
      <c r="D135" s="51"/>
      <c r="E135" s="38"/>
      <c r="F135" s="220"/>
      <c r="G135" s="221"/>
      <c r="H135" s="226"/>
      <c r="I135" s="226"/>
      <c r="J135" s="226"/>
      <c r="K135" s="224"/>
      <c r="L135" s="220"/>
      <c r="M135" s="221"/>
      <c r="N135" s="226"/>
      <c r="O135" s="226"/>
      <c r="P135" s="226"/>
      <c r="Q135" s="224"/>
      <c r="R135" s="220"/>
      <c r="S135" s="221"/>
      <c r="T135" s="226"/>
      <c r="U135" s="226"/>
      <c r="V135" s="220"/>
      <c r="W135" s="221"/>
      <c r="X135" s="226"/>
      <c r="Y135" s="226"/>
      <c r="Z135" s="220"/>
      <c r="AA135" s="221"/>
      <c r="AB135" s="226"/>
      <c r="AC135" s="220"/>
      <c r="AD135" s="168">
        <f t="shared" si="7"/>
        <v>0</v>
      </c>
      <c r="AE135" s="168">
        <f t="shared" si="8"/>
        <v>0</v>
      </c>
      <c r="AF135" s="169"/>
      <c r="AG135" s="195"/>
      <c r="AH135" s="195"/>
      <c r="AN135" s="203"/>
      <c r="AO135" s="203"/>
      <c r="AP135" s="203"/>
      <c r="AQ135" s="203"/>
      <c r="AR135" s="203"/>
      <c r="AS135" s="203"/>
      <c r="AT135" s="203"/>
      <c r="AU135" s="195"/>
      <c r="AV135" s="203"/>
      <c r="AW135" s="203"/>
      <c r="AX135" s="195"/>
      <c r="AY135" s="195"/>
      <c r="AZ135" s="203"/>
      <c r="BU135" s="204"/>
      <c r="BV135" s="204"/>
      <c r="BW135" s="204"/>
      <c r="BX135" s="204"/>
      <c r="BY135" s="204"/>
      <c r="BZ135" s="204"/>
      <c r="CA135" s="204"/>
      <c r="CB135" s="204"/>
      <c r="CC135" s="204"/>
      <c r="CD135" s="204"/>
      <c r="CE135" s="204"/>
      <c r="CF135" s="204"/>
      <c r="CG135" s="204"/>
      <c r="CH135" s="204"/>
      <c r="CI135" s="204"/>
      <c r="CJ135" s="204"/>
      <c r="CK135" s="204"/>
      <c r="CL135" s="204"/>
      <c r="CM135" s="204"/>
      <c r="CN135" s="204"/>
      <c r="CO135" s="204"/>
      <c r="CP135" s="204"/>
      <c r="CQ135" s="204"/>
      <c r="CR135" s="204"/>
      <c r="CS135" s="204"/>
      <c r="CT135" s="204"/>
      <c r="CU135" s="204"/>
      <c r="CV135" s="204"/>
      <c r="CW135" s="204"/>
      <c r="CX135" s="204"/>
      <c r="CY135" s="204"/>
      <c r="CZ135" s="204"/>
      <c r="DA135" s="204"/>
      <c r="DB135" s="204"/>
      <c r="DC135" s="204"/>
      <c r="DD135" s="204"/>
      <c r="DE135" s="204"/>
      <c r="DF135" s="204"/>
      <c r="DG135" s="204"/>
      <c r="DH135" s="204"/>
      <c r="DI135" s="204"/>
      <c r="DJ135" s="204"/>
      <c r="DK135" s="204"/>
      <c r="DL135" s="204"/>
      <c r="DM135" s="204"/>
      <c r="DN135" s="204"/>
      <c r="DO135" s="204"/>
      <c r="DP135" s="204"/>
      <c r="DQ135" s="204"/>
      <c r="DR135" s="204"/>
      <c r="DS135" s="204"/>
      <c r="DT135" s="204"/>
      <c r="DU135" s="204"/>
      <c r="DV135" s="204"/>
      <c r="DW135" s="204"/>
      <c r="DX135" s="204"/>
      <c r="DY135" s="204"/>
      <c r="DZ135" s="204"/>
      <c r="EA135" s="204"/>
      <c r="EB135" s="204"/>
      <c r="EC135" s="204"/>
      <c r="ED135" s="204"/>
      <c r="EE135" s="204"/>
      <c r="EF135" s="204"/>
      <c r="EG135" s="204"/>
      <c r="EH135" s="204"/>
      <c r="EI135" s="204"/>
      <c r="EJ135" s="204"/>
      <c r="EK135" s="204"/>
      <c r="EL135" s="204"/>
      <c r="EM135" s="204"/>
      <c r="EN135" s="204"/>
      <c r="EO135" s="204"/>
      <c r="EP135" s="204"/>
      <c r="EQ135" s="204"/>
      <c r="ER135" s="204"/>
      <c r="ES135" s="204"/>
      <c r="ET135" s="204"/>
      <c r="EU135" s="204"/>
      <c r="EV135" s="204"/>
      <c r="EW135" s="204"/>
      <c r="EX135" s="204"/>
      <c r="FC135" s="200" t="str">
        <f t="shared" si="9"/>
        <v>I</v>
      </c>
    </row>
    <row r="136" spans="1:159" s="202" customFormat="1" ht="29.1" customHeight="1" x14ac:dyDescent="0.2">
      <c r="A136" s="142"/>
      <c r="B136" s="146"/>
      <c r="C136" s="153"/>
      <c r="D136" s="51"/>
      <c r="E136" s="38"/>
      <c r="F136" s="220"/>
      <c r="G136" s="221"/>
      <c r="H136" s="226"/>
      <c r="I136" s="226"/>
      <c r="J136" s="226"/>
      <c r="K136" s="224"/>
      <c r="L136" s="220"/>
      <c r="M136" s="221"/>
      <c r="N136" s="226"/>
      <c r="O136" s="226"/>
      <c r="P136" s="226"/>
      <c r="Q136" s="224"/>
      <c r="R136" s="220"/>
      <c r="S136" s="221"/>
      <c r="T136" s="226"/>
      <c r="U136" s="226"/>
      <c r="V136" s="220"/>
      <c r="W136" s="221"/>
      <c r="X136" s="226"/>
      <c r="Y136" s="226"/>
      <c r="Z136" s="220"/>
      <c r="AA136" s="221"/>
      <c r="AB136" s="226"/>
      <c r="AC136" s="220"/>
      <c r="AD136" s="168">
        <f t="shared" si="7"/>
        <v>0</v>
      </c>
      <c r="AE136" s="168">
        <f t="shared" si="8"/>
        <v>0</v>
      </c>
      <c r="AF136" s="169"/>
      <c r="AG136" s="195"/>
      <c r="AH136" s="195"/>
      <c r="AN136" s="203"/>
      <c r="AO136" s="203"/>
      <c r="AP136" s="203"/>
      <c r="AQ136" s="203"/>
      <c r="AR136" s="203"/>
      <c r="AS136" s="203"/>
      <c r="AT136" s="203"/>
      <c r="AU136" s="195"/>
      <c r="AV136" s="203"/>
      <c r="AW136" s="203"/>
      <c r="AX136" s="195"/>
      <c r="AY136" s="195"/>
      <c r="AZ136" s="203"/>
      <c r="BU136" s="204"/>
      <c r="BV136" s="204"/>
      <c r="BW136" s="204"/>
      <c r="BX136" s="204"/>
      <c r="BY136" s="204"/>
      <c r="BZ136" s="204"/>
      <c r="CA136" s="204"/>
      <c r="CB136" s="204"/>
      <c r="CC136" s="204"/>
      <c r="CD136" s="204"/>
      <c r="CE136" s="204"/>
      <c r="CF136" s="204"/>
      <c r="CG136" s="204"/>
      <c r="CH136" s="204"/>
      <c r="CI136" s="204"/>
      <c r="CJ136" s="204"/>
      <c r="CK136" s="204"/>
      <c r="CL136" s="204"/>
      <c r="CM136" s="204"/>
      <c r="CN136" s="204"/>
      <c r="CO136" s="204"/>
      <c r="CP136" s="204"/>
      <c r="CQ136" s="204"/>
      <c r="CR136" s="204"/>
      <c r="CS136" s="204"/>
      <c r="CT136" s="204"/>
      <c r="CU136" s="204"/>
      <c r="CV136" s="204"/>
      <c r="CW136" s="204"/>
      <c r="CX136" s="204"/>
      <c r="CY136" s="204"/>
      <c r="CZ136" s="204"/>
      <c r="DA136" s="204"/>
      <c r="DB136" s="204"/>
      <c r="DC136" s="204"/>
      <c r="DD136" s="204"/>
      <c r="DE136" s="204"/>
      <c r="DF136" s="204"/>
      <c r="DG136" s="204"/>
      <c r="DH136" s="204"/>
      <c r="DI136" s="204"/>
      <c r="DJ136" s="204"/>
      <c r="DK136" s="204"/>
      <c r="DL136" s="204"/>
      <c r="DM136" s="204"/>
      <c r="DN136" s="204"/>
      <c r="DO136" s="204"/>
      <c r="DP136" s="204"/>
      <c r="DQ136" s="204"/>
      <c r="DR136" s="204"/>
      <c r="DS136" s="204"/>
      <c r="DT136" s="204"/>
      <c r="DU136" s="204"/>
      <c r="DV136" s="204"/>
      <c r="DW136" s="204"/>
      <c r="DX136" s="204"/>
      <c r="DY136" s="204"/>
      <c r="DZ136" s="204"/>
      <c r="EA136" s="204"/>
      <c r="EB136" s="204"/>
      <c r="EC136" s="204"/>
      <c r="ED136" s="204"/>
      <c r="EE136" s="204"/>
      <c r="EF136" s="204"/>
      <c r="EG136" s="204"/>
      <c r="EH136" s="204"/>
      <c r="EI136" s="204"/>
      <c r="EJ136" s="204"/>
      <c r="EK136" s="204"/>
      <c r="EL136" s="204"/>
      <c r="EM136" s="204"/>
      <c r="EN136" s="204"/>
      <c r="EO136" s="204"/>
      <c r="EP136" s="204"/>
      <c r="EQ136" s="204"/>
      <c r="ER136" s="204"/>
      <c r="ES136" s="204"/>
      <c r="ET136" s="204"/>
      <c r="EU136" s="204"/>
      <c r="EV136" s="204"/>
      <c r="EW136" s="204"/>
      <c r="EX136" s="204"/>
      <c r="FC136" s="200" t="str">
        <f t="shared" si="9"/>
        <v>I</v>
      </c>
    </row>
    <row r="137" spans="1:159" s="202" customFormat="1" ht="29.1" customHeight="1" x14ac:dyDescent="0.2">
      <c r="A137" s="142"/>
      <c r="B137" s="146"/>
      <c r="C137" s="153"/>
      <c r="D137" s="51"/>
      <c r="E137" s="38"/>
      <c r="F137" s="220"/>
      <c r="G137" s="221"/>
      <c r="H137" s="226"/>
      <c r="I137" s="226"/>
      <c r="J137" s="226"/>
      <c r="K137" s="224"/>
      <c r="L137" s="220"/>
      <c r="M137" s="221"/>
      <c r="N137" s="226"/>
      <c r="O137" s="226"/>
      <c r="P137" s="226"/>
      <c r="Q137" s="224"/>
      <c r="R137" s="220"/>
      <c r="S137" s="221"/>
      <c r="T137" s="226"/>
      <c r="U137" s="226"/>
      <c r="V137" s="220"/>
      <c r="W137" s="221"/>
      <c r="X137" s="226"/>
      <c r="Y137" s="226"/>
      <c r="Z137" s="220"/>
      <c r="AA137" s="221"/>
      <c r="AB137" s="226"/>
      <c r="AC137" s="220"/>
      <c r="AD137" s="168">
        <f t="shared" si="7"/>
        <v>0</v>
      </c>
      <c r="AE137" s="168">
        <f t="shared" si="8"/>
        <v>0</v>
      </c>
      <c r="AF137" s="169"/>
      <c r="AG137" s="195"/>
      <c r="AH137" s="195"/>
      <c r="AN137" s="203"/>
      <c r="AO137" s="203"/>
      <c r="AP137" s="203"/>
      <c r="AQ137" s="203"/>
      <c r="AR137" s="203"/>
      <c r="AS137" s="203"/>
      <c r="AT137" s="203"/>
      <c r="AU137" s="195"/>
      <c r="AV137" s="203"/>
      <c r="AW137" s="203"/>
      <c r="AX137" s="195"/>
      <c r="AY137" s="195"/>
      <c r="AZ137" s="203"/>
      <c r="BU137" s="204"/>
      <c r="BV137" s="204"/>
      <c r="BW137" s="204"/>
      <c r="BX137" s="204"/>
      <c r="BY137" s="204"/>
      <c r="BZ137" s="204"/>
      <c r="CA137" s="204"/>
      <c r="CB137" s="204"/>
      <c r="CC137" s="204"/>
      <c r="CD137" s="204"/>
      <c r="CE137" s="204"/>
      <c r="CF137" s="204"/>
      <c r="CG137" s="204"/>
      <c r="CH137" s="204"/>
      <c r="CI137" s="204"/>
      <c r="CJ137" s="204"/>
      <c r="CK137" s="204"/>
      <c r="CL137" s="204"/>
      <c r="CM137" s="204"/>
      <c r="CN137" s="204"/>
      <c r="CO137" s="204"/>
      <c r="CP137" s="204"/>
      <c r="CQ137" s="204"/>
      <c r="CR137" s="204"/>
      <c r="CS137" s="204"/>
      <c r="CT137" s="204"/>
      <c r="CU137" s="204"/>
      <c r="CV137" s="204"/>
      <c r="CW137" s="204"/>
      <c r="CX137" s="204"/>
      <c r="CY137" s="204"/>
      <c r="CZ137" s="204"/>
      <c r="DA137" s="204"/>
      <c r="DB137" s="204"/>
      <c r="DC137" s="204"/>
      <c r="DD137" s="204"/>
      <c r="DE137" s="204"/>
      <c r="DF137" s="204"/>
      <c r="DG137" s="204"/>
      <c r="DH137" s="204"/>
      <c r="DI137" s="204"/>
      <c r="DJ137" s="204"/>
      <c r="DK137" s="204"/>
      <c r="DL137" s="204"/>
      <c r="DM137" s="204"/>
      <c r="DN137" s="204"/>
      <c r="DO137" s="204"/>
      <c r="DP137" s="204"/>
      <c r="DQ137" s="204"/>
      <c r="DR137" s="204"/>
      <c r="DS137" s="204"/>
      <c r="DT137" s="204"/>
      <c r="DU137" s="204"/>
      <c r="DV137" s="204"/>
      <c r="DW137" s="204"/>
      <c r="DX137" s="204"/>
      <c r="DY137" s="204"/>
      <c r="DZ137" s="204"/>
      <c r="EA137" s="204"/>
      <c r="EB137" s="204"/>
      <c r="EC137" s="204"/>
      <c r="ED137" s="204"/>
      <c r="EE137" s="204"/>
      <c r="EF137" s="204"/>
      <c r="EG137" s="204"/>
      <c r="EH137" s="204"/>
      <c r="EI137" s="204"/>
      <c r="EJ137" s="204"/>
      <c r="EK137" s="204"/>
      <c r="EL137" s="204"/>
      <c r="EM137" s="204"/>
      <c r="EN137" s="204"/>
      <c r="EO137" s="204"/>
      <c r="EP137" s="204"/>
      <c r="EQ137" s="204"/>
      <c r="ER137" s="204"/>
      <c r="ES137" s="204"/>
      <c r="ET137" s="204"/>
      <c r="EU137" s="204"/>
      <c r="EV137" s="204"/>
      <c r="EW137" s="204"/>
      <c r="EX137" s="204"/>
      <c r="FC137" s="200" t="str">
        <f t="shared" si="9"/>
        <v>I</v>
      </c>
    </row>
    <row r="138" spans="1:159" s="202" customFormat="1" ht="29.1" customHeight="1" x14ac:dyDescent="0.2">
      <c r="A138" s="142"/>
      <c r="B138" s="146"/>
      <c r="C138" s="153"/>
      <c r="D138" s="51"/>
      <c r="E138" s="38"/>
      <c r="F138" s="220"/>
      <c r="G138" s="221"/>
      <c r="H138" s="226"/>
      <c r="I138" s="226"/>
      <c r="J138" s="226"/>
      <c r="K138" s="224"/>
      <c r="L138" s="220"/>
      <c r="M138" s="221"/>
      <c r="N138" s="226"/>
      <c r="O138" s="226"/>
      <c r="P138" s="226"/>
      <c r="Q138" s="224"/>
      <c r="R138" s="220"/>
      <c r="S138" s="221"/>
      <c r="T138" s="226"/>
      <c r="U138" s="226"/>
      <c r="V138" s="220"/>
      <c r="W138" s="221"/>
      <c r="X138" s="226"/>
      <c r="Y138" s="226"/>
      <c r="Z138" s="220"/>
      <c r="AA138" s="221"/>
      <c r="AB138" s="226"/>
      <c r="AC138" s="220"/>
      <c r="AD138" s="168">
        <f t="shared" ref="AD138:AD201" si="10">IF(ISBLANK(Z138),IF(ISBLANK(V138),IF(ISBLANK(R138),IF(ISBLANK(L138),IF(ISBLANK(F138),0,$F$234),$L$234),$R$234),$V$234),$Z$234)</f>
        <v>0</v>
      </c>
      <c r="AE138" s="168">
        <f t="shared" ref="AE138:AE201" si="11">IF(ISBLANK(AC138),IF(ISBLANK(W138),IF(ISBLANK(S138),IF(ISBLANK(M138),IF(ISBLANK(G138),0,$G$234),$M$234),$S$234),$W$234),$AC$234)</f>
        <v>0</v>
      </c>
      <c r="AF138" s="169"/>
      <c r="AG138" s="195"/>
      <c r="AH138" s="195"/>
      <c r="AN138" s="203"/>
      <c r="AO138" s="203"/>
      <c r="AP138" s="203"/>
      <c r="AQ138" s="203"/>
      <c r="AR138" s="203"/>
      <c r="AS138" s="203"/>
      <c r="AT138" s="203"/>
      <c r="AU138" s="195"/>
      <c r="AV138" s="203"/>
      <c r="AW138" s="203"/>
      <c r="AX138" s="195"/>
      <c r="AY138" s="195"/>
      <c r="AZ138" s="203"/>
      <c r="BU138" s="204"/>
      <c r="BV138" s="204"/>
      <c r="BW138" s="204"/>
      <c r="BX138" s="204"/>
      <c r="BY138" s="204"/>
      <c r="BZ138" s="204"/>
      <c r="CA138" s="204"/>
      <c r="CB138" s="204"/>
      <c r="CC138" s="204"/>
      <c r="CD138" s="204"/>
      <c r="CE138" s="204"/>
      <c r="CF138" s="204"/>
      <c r="CG138" s="204"/>
      <c r="CH138" s="204"/>
      <c r="CI138" s="204"/>
      <c r="CJ138" s="204"/>
      <c r="CK138" s="204"/>
      <c r="CL138" s="204"/>
      <c r="CM138" s="204"/>
      <c r="CN138" s="204"/>
      <c r="CO138" s="204"/>
      <c r="CP138" s="204"/>
      <c r="CQ138" s="204"/>
      <c r="CR138" s="204"/>
      <c r="CS138" s="204"/>
      <c r="CT138" s="204"/>
      <c r="CU138" s="204"/>
      <c r="CV138" s="204"/>
      <c r="CW138" s="204"/>
      <c r="CX138" s="204"/>
      <c r="CY138" s="204"/>
      <c r="CZ138" s="204"/>
      <c r="DA138" s="204"/>
      <c r="DB138" s="204"/>
      <c r="DC138" s="204"/>
      <c r="DD138" s="204"/>
      <c r="DE138" s="204"/>
      <c r="DF138" s="204"/>
      <c r="DG138" s="204"/>
      <c r="DH138" s="204"/>
      <c r="DI138" s="204"/>
      <c r="DJ138" s="204"/>
      <c r="DK138" s="204"/>
      <c r="DL138" s="204"/>
      <c r="DM138" s="204"/>
      <c r="DN138" s="204"/>
      <c r="DO138" s="204"/>
      <c r="DP138" s="204"/>
      <c r="DQ138" s="204"/>
      <c r="DR138" s="204"/>
      <c r="DS138" s="204"/>
      <c r="DT138" s="204"/>
      <c r="DU138" s="204"/>
      <c r="DV138" s="204"/>
      <c r="DW138" s="204"/>
      <c r="DX138" s="204"/>
      <c r="DY138" s="204"/>
      <c r="DZ138" s="204"/>
      <c r="EA138" s="204"/>
      <c r="EB138" s="204"/>
      <c r="EC138" s="204"/>
      <c r="ED138" s="204"/>
      <c r="EE138" s="204"/>
      <c r="EF138" s="204"/>
      <c r="EG138" s="204"/>
      <c r="EH138" s="204"/>
      <c r="EI138" s="204"/>
      <c r="EJ138" s="204"/>
      <c r="EK138" s="204"/>
      <c r="EL138" s="204"/>
      <c r="EM138" s="204"/>
      <c r="EN138" s="204"/>
      <c r="EO138" s="204"/>
      <c r="EP138" s="204"/>
      <c r="EQ138" s="204"/>
      <c r="ER138" s="204"/>
      <c r="ES138" s="204"/>
      <c r="ET138" s="204"/>
      <c r="EU138" s="204"/>
      <c r="EV138" s="204"/>
      <c r="EW138" s="204"/>
      <c r="EX138" s="204"/>
      <c r="FC138" s="200" t="str">
        <f t="shared" si="9"/>
        <v>I</v>
      </c>
    </row>
    <row r="139" spans="1:159" s="202" customFormat="1" ht="29.1" customHeight="1" x14ac:dyDescent="0.2">
      <c r="A139" s="142"/>
      <c r="B139" s="146"/>
      <c r="C139" s="153"/>
      <c r="D139" s="51"/>
      <c r="E139" s="38"/>
      <c r="F139" s="220"/>
      <c r="G139" s="221"/>
      <c r="H139" s="226"/>
      <c r="I139" s="226"/>
      <c r="J139" s="226"/>
      <c r="K139" s="224"/>
      <c r="L139" s="220"/>
      <c r="M139" s="221"/>
      <c r="N139" s="226"/>
      <c r="O139" s="226"/>
      <c r="P139" s="226"/>
      <c r="Q139" s="224"/>
      <c r="R139" s="220"/>
      <c r="S139" s="221"/>
      <c r="T139" s="226"/>
      <c r="U139" s="226"/>
      <c r="V139" s="220"/>
      <c r="W139" s="221"/>
      <c r="X139" s="226"/>
      <c r="Y139" s="226"/>
      <c r="Z139" s="220"/>
      <c r="AA139" s="221"/>
      <c r="AB139" s="226"/>
      <c r="AC139" s="220"/>
      <c r="AD139" s="168">
        <f t="shared" si="10"/>
        <v>0</v>
      </c>
      <c r="AE139" s="168">
        <f t="shared" si="11"/>
        <v>0</v>
      </c>
      <c r="AF139" s="169"/>
      <c r="AG139" s="195"/>
      <c r="AH139" s="195"/>
      <c r="AN139" s="203"/>
      <c r="AO139" s="203"/>
      <c r="AP139" s="203"/>
      <c r="AQ139" s="203"/>
      <c r="AR139" s="203"/>
      <c r="AS139" s="203"/>
      <c r="AT139" s="203"/>
      <c r="AU139" s="195"/>
      <c r="AV139" s="203"/>
      <c r="AW139" s="203"/>
      <c r="AX139" s="195"/>
      <c r="AY139" s="195"/>
      <c r="AZ139" s="203"/>
      <c r="BU139" s="204"/>
      <c r="BV139" s="204"/>
      <c r="BW139" s="204"/>
      <c r="BX139" s="204"/>
      <c r="BY139" s="204"/>
      <c r="BZ139" s="204"/>
      <c r="CA139" s="204"/>
      <c r="CB139" s="204"/>
      <c r="CC139" s="204"/>
      <c r="CD139" s="204"/>
      <c r="CE139" s="204"/>
      <c r="CF139" s="204"/>
      <c r="CG139" s="204"/>
      <c r="CH139" s="204"/>
      <c r="CI139" s="204"/>
      <c r="CJ139" s="204"/>
      <c r="CK139" s="204"/>
      <c r="CL139" s="204"/>
      <c r="CM139" s="204"/>
      <c r="CN139" s="204"/>
      <c r="CO139" s="204"/>
      <c r="CP139" s="204"/>
      <c r="CQ139" s="204"/>
      <c r="CR139" s="204"/>
      <c r="CS139" s="204"/>
      <c r="CT139" s="204"/>
      <c r="CU139" s="204"/>
      <c r="CV139" s="204"/>
      <c r="CW139" s="204"/>
      <c r="CX139" s="204"/>
      <c r="CY139" s="204"/>
      <c r="CZ139" s="204"/>
      <c r="DA139" s="204"/>
      <c r="DB139" s="204"/>
      <c r="DC139" s="204"/>
      <c r="DD139" s="204"/>
      <c r="DE139" s="204"/>
      <c r="DF139" s="204"/>
      <c r="DG139" s="204"/>
      <c r="DH139" s="204"/>
      <c r="DI139" s="204"/>
      <c r="DJ139" s="204"/>
      <c r="DK139" s="204"/>
      <c r="DL139" s="204"/>
      <c r="DM139" s="204"/>
      <c r="DN139" s="204"/>
      <c r="DO139" s="204"/>
      <c r="DP139" s="204"/>
      <c r="DQ139" s="204"/>
      <c r="DR139" s="204"/>
      <c r="DS139" s="204"/>
      <c r="DT139" s="204"/>
      <c r="DU139" s="204"/>
      <c r="DV139" s="204"/>
      <c r="DW139" s="204"/>
      <c r="DX139" s="204"/>
      <c r="DY139" s="204"/>
      <c r="DZ139" s="204"/>
      <c r="EA139" s="204"/>
      <c r="EB139" s="204"/>
      <c r="EC139" s="204"/>
      <c r="ED139" s="204"/>
      <c r="EE139" s="204"/>
      <c r="EF139" s="204"/>
      <c r="EG139" s="204"/>
      <c r="EH139" s="204"/>
      <c r="EI139" s="204"/>
      <c r="EJ139" s="204"/>
      <c r="EK139" s="204"/>
      <c r="EL139" s="204"/>
      <c r="EM139" s="204"/>
      <c r="EN139" s="204"/>
      <c r="EO139" s="204"/>
      <c r="EP139" s="204"/>
      <c r="EQ139" s="204"/>
      <c r="ER139" s="204"/>
      <c r="ES139" s="204"/>
      <c r="ET139" s="204"/>
      <c r="EU139" s="204"/>
      <c r="EV139" s="204"/>
      <c r="EW139" s="204"/>
      <c r="EX139" s="204"/>
      <c r="FC139" s="200" t="str">
        <f t="shared" si="9"/>
        <v>I</v>
      </c>
    </row>
    <row r="140" spans="1:159" s="202" customFormat="1" ht="29.1" customHeight="1" x14ac:dyDescent="0.2">
      <c r="A140" s="142"/>
      <c r="B140" s="146"/>
      <c r="C140" s="153"/>
      <c r="D140" s="51"/>
      <c r="E140" s="38"/>
      <c r="F140" s="220"/>
      <c r="G140" s="221"/>
      <c r="H140" s="226"/>
      <c r="I140" s="226"/>
      <c r="J140" s="226"/>
      <c r="K140" s="224"/>
      <c r="L140" s="220"/>
      <c r="M140" s="221"/>
      <c r="N140" s="226"/>
      <c r="O140" s="226"/>
      <c r="P140" s="226"/>
      <c r="Q140" s="224"/>
      <c r="R140" s="220"/>
      <c r="S140" s="221"/>
      <c r="T140" s="226"/>
      <c r="U140" s="226"/>
      <c r="V140" s="220"/>
      <c r="W140" s="221"/>
      <c r="X140" s="226"/>
      <c r="Y140" s="226"/>
      <c r="Z140" s="220"/>
      <c r="AA140" s="221"/>
      <c r="AB140" s="226"/>
      <c r="AC140" s="220"/>
      <c r="AD140" s="168">
        <f t="shared" si="10"/>
        <v>0</v>
      </c>
      <c r="AE140" s="168">
        <f t="shared" si="11"/>
        <v>0</v>
      </c>
      <c r="AF140" s="169"/>
      <c r="AG140" s="195"/>
      <c r="AH140" s="195"/>
      <c r="AN140" s="203"/>
      <c r="AO140" s="203"/>
      <c r="AP140" s="203"/>
      <c r="AQ140" s="203"/>
      <c r="AR140" s="203"/>
      <c r="AS140" s="203"/>
      <c r="AT140" s="203"/>
      <c r="AU140" s="195"/>
      <c r="AV140" s="203"/>
      <c r="AW140" s="203"/>
      <c r="AX140" s="195"/>
      <c r="AY140" s="195"/>
      <c r="AZ140" s="203"/>
      <c r="BU140" s="204"/>
      <c r="BV140" s="204"/>
      <c r="BW140" s="204"/>
      <c r="BX140" s="204"/>
      <c r="BY140" s="204"/>
      <c r="BZ140" s="204"/>
      <c r="CA140" s="204"/>
      <c r="CB140" s="204"/>
      <c r="CC140" s="204"/>
      <c r="CD140" s="204"/>
      <c r="CE140" s="204"/>
      <c r="CF140" s="204"/>
      <c r="CG140" s="204"/>
      <c r="CH140" s="204"/>
      <c r="CI140" s="204"/>
      <c r="CJ140" s="204"/>
      <c r="CK140" s="204"/>
      <c r="CL140" s="204"/>
      <c r="CM140" s="204"/>
      <c r="CN140" s="204"/>
      <c r="CO140" s="204"/>
      <c r="CP140" s="204"/>
      <c r="CQ140" s="204"/>
      <c r="CR140" s="204"/>
      <c r="CS140" s="204"/>
      <c r="CT140" s="204"/>
      <c r="CU140" s="204"/>
      <c r="CV140" s="204"/>
      <c r="CW140" s="204"/>
      <c r="CX140" s="204"/>
      <c r="CY140" s="204"/>
      <c r="CZ140" s="204"/>
      <c r="DA140" s="204"/>
      <c r="DB140" s="204"/>
      <c r="DC140" s="204"/>
      <c r="DD140" s="204"/>
      <c r="DE140" s="204"/>
      <c r="DF140" s="204"/>
      <c r="DG140" s="204"/>
      <c r="DH140" s="204"/>
      <c r="DI140" s="204"/>
      <c r="DJ140" s="204"/>
      <c r="DK140" s="204"/>
      <c r="DL140" s="204"/>
      <c r="DM140" s="204"/>
      <c r="DN140" s="204"/>
      <c r="DO140" s="204"/>
      <c r="DP140" s="204"/>
      <c r="DQ140" s="204"/>
      <c r="DR140" s="204"/>
      <c r="DS140" s="204"/>
      <c r="DT140" s="204"/>
      <c r="DU140" s="204"/>
      <c r="DV140" s="204"/>
      <c r="DW140" s="204"/>
      <c r="DX140" s="204"/>
      <c r="DY140" s="204"/>
      <c r="DZ140" s="204"/>
      <c r="EA140" s="204"/>
      <c r="EB140" s="204"/>
      <c r="EC140" s="204"/>
      <c r="ED140" s="204"/>
      <c r="EE140" s="204"/>
      <c r="EF140" s="204"/>
      <c r="EG140" s="204"/>
      <c r="EH140" s="204"/>
      <c r="EI140" s="204"/>
      <c r="EJ140" s="204"/>
      <c r="EK140" s="204"/>
      <c r="EL140" s="204"/>
      <c r="EM140" s="204"/>
      <c r="EN140" s="204"/>
      <c r="EO140" s="204"/>
      <c r="EP140" s="204"/>
      <c r="EQ140" s="204"/>
      <c r="ER140" s="204"/>
      <c r="ES140" s="204"/>
      <c r="ET140" s="204"/>
      <c r="EU140" s="204"/>
      <c r="EV140" s="204"/>
      <c r="EW140" s="204"/>
      <c r="EX140" s="204"/>
      <c r="FC140" s="200" t="str">
        <f t="shared" si="9"/>
        <v>I</v>
      </c>
    </row>
    <row r="141" spans="1:159" s="202" customFormat="1" ht="29.1" customHeight="1" x14ac:dyDescent="0.2">
      <c r="A141" s="142"/>
      <c r="B141" s="146"/>
      <c r="C141" s="153"/>
      <c r="D141" s="51"/>
      <c r="E141" s="38"/>
      <c r="F141" s="220"/>
      <c r="G141" s="221"/>
      <c r="H141" s="226"/>
      <c r="I141" s="226"/>
      <c r="J141" s="226"/>
      <c r="K141" s="224"/>
      <c r="L141" s="220"/>
      <c r="M141" s="221"/>
      <c r="N141" s="226"/>
      <c r="O141" s="226"/>
      <c r="P141" s="226"/>
      <c r="Q141" s="224"/>
      <c r="R141" s="220"/>
      <c r="S141" s="221"/>
      <c r="T141" s="226"/>
      <c r="U141" s="226"/>
      <c r="V141" s="220"/>
      <c r="W141" s="221"/>
      <c r="X141" s="226"/>
      <c r="Y141" s="226"/>
      <c r="Z141" s="220"/>
      <c r="AA141" s="221"/>
      <c r="AB141" s="226"/>
      <c r="AC141" s="220"/>
      <c r="AD141" s="168">
        <f t="shared" si="10"/>
        <v>0</v>
      </c>
      <c r="AE141" s="168">
        <f t="shared" si="11"/>
        <v>0</v>
      </c>
      <c r="AF141" s="169"/>
      <c r="AG141" s="195"/>
      <c r="AH141" s="195"/>
      <c r="AN141" s="203"/>
      <c r="AO141" s="203"/>
      <c r="AP141" s="203"/>
      <c r="AQ141" s="203"/>
      <c r="AR141" s="203"/>
      <c r="AS141" s="203"/>
      <c r="AT141" s="203"/>
      <c r="AU141" s="195"/>
      <c r="AV141" s="203"/>
      <c r="AW141" s="203"/>
      <c r="AX141" s="195"/>
      <c r="AY141" s="195"/>
      <c r="AZ141" s="203"/>
      <c r="BU141" s="204"/>
      <c r="BV141" s="204"/>
      <c r="BW141" s="204"/>
      <c r="BX141" s="204"/>
      <c r="BY141" s="204"/>
      <c r="BZ141" s="204"/>
      <c r="CA141" s="204"/>
      <c r="CB141" s="204"/>
      <c r="CC141" s="204"/>
      <c r="CD141" s="204"/>
      <c r="CE141" s="204"/>
      <c r="CF141" s="204"/>
      <c r="CG141" s="204"/>
      <c r="CH141" s="204"/>
      <c r="CI141" s="204"/>
      <c r="CJ141" s="204"/>
      <c r="CK141" s="204"/>
      <c r="CL141" s="204"/>
      <c r="CM141" s="204"/>
      <c r="CN141" s="204"/>
      <c r="CO141" s="204"/>
      <c r="CP141" s="204"/>
      <c r="CQ141" s="204"/>
      <c r="CR141" s="204"/>
      <c r="CS141" s="204"/>
      <c r="CT141" s="204"/>
      <c r="CU141" s="204"/>
      <c r="CV141" s="204"/>
      <c r="CW141" s="204"/>
      <c r="CX141" s="204"/>
      <c r="CY141" s="204"/>
      <c r="CZ141" s="204"/>
      <c r="DA141" s="204"/>
      <c r="DB141" s="204"/>
      <c r="DC141" s="204"/>
      <c r="DD141" s="204"/>
      <c r="DE141" s="204"/>
      <c r="DF141" s="204"/>
      <c r="DG141" s="204"/>
      <c r="DH141" s="204"/>
      <c r="DI141" s="204"/>
      <c r="DJ141" s="204"/>
      <c r="DK141" s="204"/>
      <c r="DL141" s="204"/>
      <c r="DM141" s="204"/>
      <c r="DN141" s="204"/>
      <c r="DO141" s="204"/>
      <c r="DP141" s="204"/>
      <c r="DQ141" s="204"/>
      <c r="DR141" s="204"/>
      <c r="DS141" s="204"/>
      <c r="DT141" s="204"/>
      <c r="DU141" s="204"/>
      <c r="DV141" s="204"/>
      <c r="DW141" s="204"/>
      <c r="DX141" s="204"/>
      <c r="DY141" s="204"/>
      <c r="DZ141" s="204"/>
      <c r="EA141" s="204"/>
      <c r="EB141" s="204"/>
      <c r="EC141" s="204"/>
      <c r="ED141" s="204"/>
      <c r="EE141" s="204"/>
      <c r="EF141" s="204"/>
      <c r="EG141" s="204"/>
      <c r="EH141" s="204"/>
      <c r="EI141" s="204"/>
      <c r="EJ141" s="204"/>
      <c r="EK141" s="204"/>
      <c r="EL141" s="204"/>
      <c r="EM141" s="204"/>
      <c r="EN141" s="204"/>
      <c r="EO141" s="204"/>
      <c r="EP141" s="204"/>
      <c r="EQ141" s="204"/>
      <c r="ER141" s="204"/>
      <c r="ES141" s="204"/>
      <c r="ET141" s="204"/>
      <c r="EU141" s="204"/>
      <c r="EV141" s="204"/>
      <c r="EW141" s="204"/>
      <c r="EX141" s="204"/>
      <c r="FC141" s="200" t="str">
        <f t="shared" si="9"/>
        <v>I</v>
      </c>
    </row>
    <row r="142" spans="1:159" s="202" customFormat="1" ht="29.1" customHeight="1" x14ac:dyDescent="0.2">
      <c r="A142" s="142"/>
      <c r="B142" s="146"/>
      <c r="C142" s="153"/>
      <c r="D142" s="51"/>
      <c r="E142" s="38"/>
      <c r="F142" s="220"/>
      <c r="G142" s="221"/>
      <c r="H142" s="226"/>
      <c r="I142" s="226"/>
      <c r="J142" s="226"/>
      <c r="K142" s="224"/>
      <c r="L142" s="220"/>
      <c r="M142" s="221"/>
      <c r="N142" s="226"/>
      <c r="O142" s="226"/>
      <c r="P142" s="226"/>
      <c r="Q142" s="224"/>
      <c r="R142" s="220"/>
      <c r="S142" s="221"/>
      <c r="T142" s="226"/>
      <c r="U142" s="226"/>
      <c r="V142" s="220"/>
      <c r="W142" s="221"/>
      <c r="X142" s="226"/>
      <c r="Y142" s="226"/>
      <c r="Z142" s="220"/>
      <c r="AA142" s="221"/>
      <c r="AB142" s="226"/>
      <c r="AC142" s="220"/>
      <c r="AD142" s="168">
        <f t="shared" si="10"/>
        <v>0</v>
      </c>
      <c r="AE142" s="168">
        <f t="shared" si="11"/>
        <v>0</v>
      </c>
      <c r="AF142" s="169"/>
      <c r="AG142" s="195"/>
      <c r="AH142" s="195"/>
      <c r="AN142" s="203"/>
      <c r="AO142" s="203"/>
      <c r="AP142" s="203"/>
      <c r="AQ142" s="203"/>
      <c r="AR142" s="203"/>
      <c r="AS142" s="203"/>
      <c r="AT142" s="203"/>
      <c r="AU142" s="195"/>
      <c r="AV142" s="203"/>
      <c r="AW142" s="203"/>
      <c r="AX142" s="195"/>
      <c r="AY142" s="195"/>
      <c r="AZ142" s="203"/>
      <c r="BU142" s="204"/>
      <c r="BV142" s="204"/>
      <c r="BW142" s="204"/>
      <c r="BX142" s="204"/>
      <c r="BY142" s="204"/>
      <c r="BZ142" s="204"/>
      <c r="CA142" s="204"/>
      <c r="CB142" s="204"/>
      <c r="CC142" s="204"/>
      <c r="CD142" s="204"/>
      <c r="CE142" s="204"/>
      <c r="CF142" s="204"/>
      <c r="CG142" s="204"/>
      <c r="CH142" s="204"/>
      <c r="CI142" s="204"/>
      <c r="CJ142" s="204"/>
      <c r="CK142" s="204"/>
      <c r="CL142" s="204"/>
      <c r="CM142" s="204"/>
      <c r="CN142" s="204"/>
      <c r="CO142" s="204"/>
      <c r="CP142" s="204"/>
      <c r="CQ142" s="204"/>
      <c r="CR142" s="204"/>
      <c r="CS142" s="204"/>
      <c r="CT142" s="204"/>
      <c r="CU142" s="204"/>
      <c r="CV142" s="204"/>
      <c r="CW142" s="204"/>
      <c r="CX142" s="204"/>
      <c r="CY142" s="204"/>
      <c r="CZ142" s="204"/>
      <c r="DA142" s="204"/>
      <c r="DB142" s="204"/>
      <c r="DC142" s="204"/>
      <c r="DD142" s="204"/>
      <c r="DE142" s="204"/>
      <c r="DF142" s="204"/>
      <c r="DG142" s="204"/>
      <c r="DH142" s="204"/>
      <c r="DI142" s="204"/>
      <c r="DJ142" s="204"/>
      <c r="DK142" s="204"/>
      <c r="DL142" s="204"/>
      <c r="DM142" s="204"/>
      <c r="DN142" s="204"/>
      <c r="DO142" s="204"/>
      <c r="DP142" s="204"/>
      <c r="DQ142" s="204"/>
      <c r="DR142" s="204"/>
      <c r="DS142" s="204"/>
      <c r="DT142" s="204"/>
      <c r="DU142" s="204"/>
      <c r="DV142" s="204"/>
      <c r="DW142" s="204"/>
      <c r="DX142" s="204"/>
      <c r="DY142" s="204"/>
      <c r="DZ142" s="204"/>
      <c r="EA142" s="204"/>
      <c r="EB142" s="204"/>
      <c r="EC142" s="204"/>
      <c r="ED142" s="204"/>
      <c r="EE142" s="204"/>
      <c r="EF142" s="204"/>
      <c r="EG142" s="204"/>
      <c r="EH142" s="204"/>
      <c r="EI142" s="204"/>
      <c r="EJ142" s="204"/>
      <c r="EK142" s="204"/>
      <c r="EL142" s="204"/>
      <c r="EM142" s="204"/>
      <c r="EN142" s="204"/>
      <c r="EO142" s="204"/>
      <c r="EP142" s="204"/>
      <c r="EQ142" s="204"/>
      <c r="ER142" s="204"/>
      <c r="ES142" s="204"/>
      <c r="ET142" s="204"/>
      <c r="EU142" s="204"/>
      <c r="EV142" s="204"/>
      <c r="EW142" s="204"/>
      <c r="EX142" s="204"/>
      <c r="FC142" s="200" t="str">
        <f t="shared" si="9"/>
        <v>I</v>
      </c>
    </row>
    <row r="143" spans="1:159" s="202" customFormat="1" ht="29.1" customHeight="1" x14ac:dyDescent="0.2">
      <c r="A143" s="142"/>
      <c r="B143" s="146"/>
      <c r="C143" s="153"/>
      <c r="D143" s="51"/>
      <c r="E143" s="38"/>
      <c r="F143" s="220"/>
      <c r="G143" s="221"/>
      <c r="H143" s="226"/>
      <c r="I143" s="226"/>
      <c r="J143" s="226"/>
      <c r="K143" s="224"/>
      <c r="L143" s="220"/>
      <c r="M143" s="221"/>
      <c r="N143" s="226"/>
      <c r="O143" s="226"/>
      <c r="P143" s="226"/>
      <c r="Q143" s="224"/>
      <c r="R143" s="220"/>
      <c r="S143" s="221"/>
      <c r="T143" s="226"/>
      <c r="U143" s="226"/>
      <c r="V143" s="220"/>
      <c r="W143" s="221"/>
      <c r="X143" s="226"/>
      <c r="Y143" s="226"/>
      <c r="Z143" s="220"/>
      <c r="AA143" s="221"/>
      <c r="AB143" s="226"/>
      <c r="AC143" s="220"/>
      <c r="AD143" s="168">
        <f t="shared" si="10"/>
        <v>0</v>
      </c>
      <c r="AE143" s="168">
        <f t="shared" si="11"/>
        <v>0</v>
      </c>
      <c r="AF143" s="169"/>
      <c r="AG143" s="195"/>
      <c r="AH143" s="195"/>
      <c r="AN143" s="203"/>
      <c r="AO143" s="203"/>
      <c r="AP143" s="203"/>
      <c r="AQ143" s="203"/>
      <c r="AR143" s="203"/>
      <c r="AS143" s="203"/>
      <c r="AT143" s="203"/>
      <c r="AU143" s="195"/>
      <c r="AV143" s="203"/>
      <c r="AW143" s="203"/>
      <c r="AX143" s="195"/>
      <c r="AY143" s="195"/>
      <c r="AZ143" s="203"/>
      <c r="BU143" s="204"/>
      <c r="BV143" s="204"/>
      <c r="BW143" s="204"/>
      <c r="BX143" s="204"/>
      <c r="BY143" s="204"/>
      <c r="BZ143" s="204"/>
      <c r="CA143" s="204"/>
      <c r="CB143" s="204"/>
      <c r="CC143" s="204"/>
      <c r="CD143" s="204"/>
      <c r="CE143" s="204"/>
      <c r="CF143" s="204"/>
      <c r="CG143" s="204"/>
      <c r="CH143" s="204"/>
      <c r="CI143" s="204"/>
      <c r="CJ143" s="204"/>
      <c r="CK143" s="204"/>
      <c r="CL143" s="204"/>
      <c r="CM143" s="204"/>
      <c r="CN143" s="204"/>
      <c r="CO143" s="204"/>
      <c r="CP143" s="204"/>
      <c r="CQ143" s="204"/>
      <c r="CR143" s="204"/>
      <c r="CS143" s="204"/>
      <c r="CT143" s="204"/>
      <c r="CU143" s="204"/>
      <c r="CV143" s="204"/>
      <c r="CW143" s="204"/>
      <c r="CX143" s="204"/>
      <c r="CY143" s="204"/>
      <c r="CZ143" s="204"/>
      <c r="DA143" s="204"/>
      <c r="DB143" s="204"/>
      <c r="DC143" s="204"/>
      <c r="DD143" s="204"/>
      <c r="DE143" s="204"/>
      <c r="DF143" s="204"/>
      <c r="DG143" s="204"/>
      <c r="DH143" s="204"/>
      <c r="DI143" s="204"/>
      <c r="DJ143" s="204"/>
      <c r="DK143" s="204"/>
      <c r="DL143" s="204"/>
      <c r="DM143" s="204"/>
      <c r="DN143" s="204"/>
      <c r="DO143" s="204"/>
      <c r="DP143" s="204"/>
      <c r="DQ143" s="204"/>
      <c r="DR143" s="204"/>
      <c r="DS143" s="204"/>
      <c r="DT143" s="204"/>
      <c r="DU143" s="204"/>
      <c r="DV143" s="204"/>
      <c r="DW143" s="204"/>
      <c r="DX143" s="204"/>
      <c r="DY143" s="204"/>
      <c r="DZ143" s="204"/>
      <c r="EA143" s="204"/>
      <c r="EB143" s="204"/>
      <c r="EC143" s="204"/>
      <c r="ED143" s="204"/>
      <c r="EE143" s="204"/>
      <c r="EF143" s="204"/>
      <c r="EG143" s="204"/>
      <c r="EH143" s="204"/>
      <c r="EI143" s="204"/>
      <c r="EJ143" s="204"/>
      <c r="EK143" s="204"/>
      <c r="EL143" s="204"/>
      <c r="EM143" s="204"/>
      <c r="EN143" s="204"/>
      <c r="EO143" s="204"/>
      <c r="EP143" s="204"/>
      <c r="EQ143" s="204"/>
      <c r="ER143" s="204"/>
      <c r="ES143" s="204"/>
      <c r="ET143" s="204"/>
      <c r="EU143" s="204"/>
      <c r="EV143" s="204"/>
      <c r="EW143" s="204"/>
      <c r="EX143" s="204"/>
      <c r="FC143" s="200" t="str">
        <f t="shared" si="9"/>
        <v>I</v>
      </c>
    </row>
    <row r="144" spans="1:159" s="202" customFormat="1" ht="29.1" customHeight="1" x14ac:dyDescent="0.2">
      <c r="A144" s="142"/>
      <c r="B144" s="146"/>
      <c r="C144" s="153"/>
      <c r="D144" s="51"/>
      <c r="E144" s="38"/>
      <c r="F144" s="220"/>
      <c r="G144" s="221"/>
      <c r="H144" s="226"/>
      <c r="I144" s="226"/>
      <c r="J144" s="226"/>
      <c r="K144" s="224"/>
      <c r="L144" s="220"/>
      <c r="M144" s="221"/>
      <c r="N144" s="226"/>
      <c r="O144" s="226"/>
      <c r="P144" s="226"/>
      <c r="Q144" s="224"/>
      <c r="R144" s="220"/>
      <c r="S144" s="221"/>
      <c r="T144" s="226"/>
      <c r="U144" s="226"/>
      <c r="V144" s="220"/>
      <c r="W144" s="221"/>
      <c r="X144" s="226"/>
      <c r="Y144" s="226"/>
      <c r="Z144" s="220"/>
      <c r="AA144" s="221"/>
      <c r="AB144" s="226"/>
      <c r="AC144" s="220"/>
      <c r="AD144" s="168">
        <f t="shared" si="10"/>
        <v>0</v>
      </c>
      <c r="AE144" s="168">
        <f t="shared" si="11"/>
        <v>0</v>
      </c>
      <c r="AF144" s="169"/>
      <c r="AG144" s="195"/>
      <c r="AH144" s="195"/>
      <c r="AN144" s="203"/>
      <c r="AO144" s="203"/>
      <c r="AP144" s="203"/>
      <c r="AQ144" s="203"/>
      <c r="AR144" s="203"/>
      <c r="AS144" s="203"/>
      <c r="AT144" s="203"/>
      <c r="AU144" s="195"/>
      <c r="AV144" s="203"/>
      <c r="AW144" s="203"/>
      <c r="AX144" s="195"/>
      <c r="AY144" s="195"/>
      <c r="AZ144" s="203"/>
      <c r="BU144" s="204"/>
      <c r="BV144" s="204"/>
      <c r="BW144" s="204"/>
      <c r="BX144" s="204"/>
      <c r="BY144" s="204"/>
      <c r="BZ144" s="204"/>
      <c r="CA144" s="204"/>
      <c r="CB144" s="204"/>
      <c r="CC144" s="204"/>
      <c r="CD144" s="204"/>
      <c r="CE144" s="204"/>
      <c r="CF144" s="204"/>
      <c r="CG144" s="204"/>
      <c r="CH144" s="204"/>
      <c r="CI144" s="204"/>
      <c r="CJ144" s="204"/>
      <c r="CK144" s="204"/>
      <c r="CL144" s="204"/>
      <c r="CM144" s="204"/>
      <c r="CN144" s="204"/>
      <c r="CO144" s="204"/>
      <c r="CP144" s="204"/>
      <c r="CQ144" s="204"/>
      <c r="CR144" s="204"/>
      <c r="CS144" s="204"/>
      <c r="CT144" s="204"/>
      <c r="CU144" s="204"/>
      <c r="CV144" s="204"/>
      <c r="CW144" s="204"/>
      <c r="CX144" s="204"/>
      <c r="CY144" s="204"/>
      <c r="CZ144" s="204"/>
      <c r="DA144" s="204"/>
      <c r="DB144" s="204"/>
      <c r="DC144" s="204"/>
      <c r="DD144" s="204"/>
      <c r="DE144" s="204"/>
      <c r="DF144" s="204"/>
      <c r="DG144" s="204"/>
      <c r="DH144" s="204"/>
      <c r="DI144" s="204"/>
      <c r="DJ144" s="204"/>
      <c r="DK144" s="204"/>
      <c r="DL144" s="204"/>
      <c r="DM144" s="204"/>
      <c r="DN144" s="204"/>
      <c r="DO144" s="204"/>
      <c r="DP144" s="204"/>
      <c r="DQ144" s="204"/>
      <c r="DR144" s="204"/>
      <c r="DS144" s="204"/>
      <c r="DT144" s="204"/>
      <c r="DU144" s="204"/>
      <c r="DV144" s="204"/>
      <c r="DW144" s="204"/>
      <c r="DX144" s="204"/>
      <c r="DY144" s="204"/>
      <c r="DZ144" s="204"/>
      <c r="EA144" s="204"/>
      <c r="EB144" s="204"/>
      <c r="EC144" s="204"/>
      <c r="ED144" s="204"/>
      <c r="EE144" s="204"/>
      <c r="EF144" s="204"/>
      <c r="EG144" s="204"/>
      <c r="EH144" s="204"/>
      <c r="EI144" s="204"/>
      <c r="EJ144" s="204"/>
      <c r="EK144" s="204"/>
      <c r="EL144" s="204"/>
      <c r="EM144" s="204"/>
      <c r="EN144" s="204"/>
      <c r="EO144" s="204"/>
      <c r="EP144" s="204"/>
      <c r="EQ144" s="204"/>
      <c r="ER144" s="204"/>
      <c r="ES144" s="204"/>
      <c r="ET144" s="204"/>
      <c r="EU144" s="204"/>
      <c r="EV144" s="204"/>
      <c r="EW144" s="204"/>
      <c r="EX144" s="204"/>
      <c r="FC144" s="200" t="str">
        <f t="shared" si="9"/>
        <v>I</v>
      </c>
    </row>
    <row r="145" spans="1:159" s="202" customFormat="1" ht="29.1" customHeight="1" x14ac:dyDescent="0.2">
      <c r="A145" s="142"/>
      <c r="B145" s="146"/>
      <c r="C145" s="153"/>
      <c r="D145" s="51"/>
      <c r="E145" s="38"/>
      <c r="F145" s="220"/>
      <c r="G145" s="221"/>
      <c r="H145" s="226"/>
      <c r="I145" s="226"/>
      <c r="J145" s="226"/>
      <c r="K145" s="224"/>
      <c r="L145" s="220"/>
      <c r="M145" s="221"/>
      <c r="N145" s="226"/>
      <c r="O145" s="226"/>
      <c r="P145" s="226"/>
      <c r="Q145" s="224"/>
      <c r="R145" s="220"/>
      <c r="S145" s="221"/>
      <c r="T145" s="226"/>
      <c r="U145" s="226"/>
      <c r="V145" s="220"/>
      <c r="W145" s="221"/>
      <c r="X145" s="226"/>
      <c r="Y145" s="226"/>
      <c r="Z145" s="220"/>
      <c r="AA145" s="221"/>
      <c r="AB145" s="226"/>
      <c r="AC145" s="220"/>
      <c r="AD145" s="168">
        <f t="shared" si="10"/>
        <v>0</v>
      </c>
      <c r="AE145" s="168">
        <f t="shared" si="11"/>
        <v>0</v>
      </c>
      <c r="AF145" s="169"/>
      <c r="AG145" s="195"/>
      <c r="AH145" s="195"/>
      <c r="AN145" s="203"/>
      <c r="AO145" s="203"/>
      <c r="AP145" s="203"/>
      <c r="AQ145" s="203"/>
      <c r="AR145" s="203"/>
      <c r="AS145" s="203"/>
      <c r="AT145" s="203"/>
      <c r="AU145" s="195"/>
      <c r="AV145" s="203"/>
      <c r="AW145" s="203"/>
      <c r="AX145" s="195"/>
      <c r="AY145" s="195"/>
      <c r="AZ145" s="203"/>
      <c r="BU145" s="204"/>
      <c r="BV145" s="204"/>
      <c r="BW145" s="204"/>
      <c r="BX145" s="204"/>
      <c r="BY145" s="204"/>
      <c r="BZ145" s="204"/>
      <c r="CA145" s="204"/>
      <c r="CB145" s="204"/>
      <c r="CC145" s="204"/>
      <c r="CD145" s="204"/>
      <c r="CE145" s="204"/>
      <c r="CF145" s="204"/>
      <c r="CG145" s="204"/>
      <c r="CH145" s="204"/>
      <c r="CI145" s="204"/>
      <c r="CJ145" s="204"/>
      <c r="CK145" s="204"/>
      <c r="CL145" s="204"/>
      <c r="CM145" s="204"/>
      <c r="CN145" s="204"/>
      <c r="CO145" s="204"/>
      <c r="CP145" s="204"/>
      <c r="CQ145" s="204"/>
      <c r="CR145" s="204"/>
      <c r="CS145" s="204"/>
      <c r="CT145" s="204"/>
      <c r="CU145" s="204"/>
      <c r="CV145" s="204"/>
      <c r="CW145" s="204"/>
      <c r="CX145" s="204"/>
      <c r="CY145" s="204"/>
      <c r="CZ145" s="204"/>
      <c r="DA145" s="204"/>
      <c r="DB145" s="204"/>
      <c r="DC145" s="204"/>
      <c r="DD145" s="204"/>
      <c r="DE145" s="204"/>
      <c r="DF145" s="204"/>
      <c r="DG145" s="204"/>
      <c r="DH145" s="204"/>
      <c r="DI145" s="204"/>
      <c r="DJ145" s="204"/>
      <c r="DK145" s="204"/>
      <c r="DL145" s="204"/>
      <c r="DM145" s="204"/>
      <c r="DN145" s="204"/>
      <c r="DO145" s="204"/>
      <c r="DP145" s="204"/>
      <c r="DQ145" s="204"/>
      <c r="DR145" s="204"/>
      <c r="DS145" s="204"/>
      <c r="DT145" s="204"/>
      <c r="DU145" s="204"/>
      <c r="DV145" s="204"/>
      <c r="DW145" s="204"/>
      <c r="DX145" s="204"/>
      <c r="DY145" s="204"/>
      <c r="DZ145" s="204"/>
      <c r="EA145" s="204"/>
      <c r="EB145" s="204"/>
      <c r="EC145" s="204"/>
      <c r="ED145" s="204"/>
      <c r="EE145" s="204"/>
      <c r="EF145" s="204"/>
      <c r="EG145" s="204"/>
      <c r="EH145" s="204"/>
      <c r="EI145" s="204"/>
      <c r="EJ145" s="204"/>
      <c r="EK145" s="204"/>
      <c r="EL145" s="204"/>
      <c r="EM145" s="204"/>
      <c r="EN145" s="204"/>
      <c r="EO145" s="204"/>
      <c r="EP145" s="204"/>
      <c r="EQ145" s="204"/>
      <c r="ER145" s="204"/>
      <c r="ES145" s="204"/>
      <c r="ET145" s="204"/>
      <c r="EU145" s="204"/>
      <c r="EV145" s="204"/>
      <c r="EW145" s="204"/>
      <c r="EX145" s="204"/>
      <c r="FC145" s="200" t="str">
        <f t="shared" si="9"/>
        <v>I</v>
      </c>
    </row>
    <row r="146" spans="1:159" s="202" customFormat="1" ht="29.1" customHeight="1" x14ac:dyDescent="0.2">
      <c r="A146" s="142"/>
      <c r="B146" s="146"/>
      <c r="C146" s="153"/>
      <c r="D146" s="51"/>
      <c r="E146" s="38"/>
      <c r="F146" s="220"/>
      <c r="G146" s="221"/>
      <c r="H146" s="226"/>
      <c r="I146" s="226"/>
      <c r="J146" s="226"/>
      <c r="K146" s="224"/>
      <c r="L146" s="220"/>
      <c r="M146" s="221"/>
      <c r="N146" s="226"/>
      <c r="O146" s="226"/>
      <c r="P146" s="226"/>
      <c r="Q146" s="224"/>
      <c r="R146" s="220"/>
      <c r="S146" s="221"/>
      <c r="T146" s="226"/>
      <c r="U146" s="226"/>
      <c r="V146" s="220"/>
      <c r="W146" s="221"/>
      <c r="X146" s="226"/>
      <c r="Y146" s="226"/>
      <c r="Z146" s="220"/>
      <c r="AA146" s="221"/>
      <c r="AB146" s="226"/>
      <c r="AC146" s="220"/>
      <c r="AD146" s="168">
        <f t="shared" si="10"/>
        <v>0</v>
      </c>
      <c r="AE146" s="168">
        <f t="shared" si="11"/>
        <v>0</v>
      </c>
      <c r="AF146" s="169"/>
      <c r="AG146" s="195"/>
      <c r="AH146" s="195"/>
      <c r="AN146" s="203"/>
      <c r="AO146" s="203"/>
      <c r="AP146" s="203"/>
      <c r="AQ146" s="203"/>
      <c r="AR146" s="203"/>
      <c r="AS146" s="203"/>
      <c r="AT146" s="203"/>
      <c r="AU146" s="195"/>
      <c r="AV146" s="203"/>
      <c r="AW146" s="203"/>
      <c r="AX146" s="195"/>
      <c r="AY146" s="195"/>
      <c r="AZ146" s="203"/>
      <c r="BU146" s="204"/>
      <c r="BV146" s="204"/>
      <c r="BW146" s="204"/>
      <c r="BX146" s="204"/>
      <c r="BY146" s="204"/>
      <c r="BZ146" s="204"/>
      <c r="CA146" s="204"/>
      <c r="CB146" s="204"/>
      <c r="CC146" s="204"/>
      <c r="CD146" s="204"/>
      <c r="CE146" s="204"/>
      <c r="CF146" s="204"/>
      <c r="CG146" s="204"/>
      <c r="CH146" s="204"/>
      <c r="CI146" s="204"/>
      <c r="CJ146" s="204"/>
      <c r="CK146" s="204"/>
      <c r="CL146" s="204"/>
      <c r="CM146" s="204"/>
      <c r="CN146" s="204"/>
      <c r="CO146" s="204"/>
      <c r="CP146" s="204"/>
      <c r="CQ146" s="204"/>
      <c r="CR146" s="204"/>
      <c r="CS146" s="204"/>
      <c r="CT146" s="204"/>
      <c r="CU146" s="204"/>
      <c r="CV146" s="204"/>
      <c r="CW146" s="204"/>
      <c r="CX146" s="204"/>
      <c r="CY146" s="204"/>
      <c r="CZ146" s="204"/>
      <c r="DA146" s="204"/>
      <c r="DB146" s="204"/>
      <c r="DC146" s="204"/>
      <c r="DD146" s="204"/>
      <c r="DE146" s="204"/>
      <c r="DF146" s="204"/>
      <c r="DG146" s="204"/>
      <c r="DH146" s="204"/>
      <c r="DI146" s="204"/>
      <c r="DJ146" s="204"/>
      <c r="DK146" s="204"/>
      <c r="DL146" s="204"/>
      <c r="DM146" s="204"/>
      <c r="DN146" s="204"/>
      <c r="DO146" s="204"/>
      <c r="DP146" s="204"/>
      <c r="DQ146" s="204"/>
      <c r="DR146" s="204"/>
      <c r="DS146" s="204"/>
      <c r="DT146" s="204"/>
      <c r="DU146" s="204"/>
      <c r="DV146" s="204"/>
      <c r="DW146" s="204"/>
      <c r="DX146" s="204"/>
      <c r="DY146" s="204"/>
      <c r="DZ146" s="204"/>
      <c r="EA146" s="204"/>
      <c r="EB146" s="204"/>
      <c r="EC146" s="204"/>
      <c r="ED146" s="204"/>
      <c r="EE146" s="204"/>
      <c r="EF146" s="204"/>
      <c r="EG146" s="204"/>
      <c r="EH146" s="204"/>
      <c r="EI146" s="204"/>
      <c r="EJ146" s="204"/>
      <c r="EK146" s="204"/>
      <c r="EL146" s="204"/>
      <c r="EM146" s="204"/>
      <c r="EN146" s="204"/>
      <c r="EO146" s="204"/>
      <c r="EP146" s="204"/>
      <c r="EQ146" s="204"/>
      <c r="ER146" s="204"/>
      <c r="ES146" s="204"/>
      <c r="ET146" s="204"/>
      <c r="EU146" s="204"/>
      <c r="EV146" s="204"/>
      <c r="EW146" s="204"/>
      <c r="EX146" s="204"/>
      <c r="FC146" s="200" t="str">
        <f t="shared" si="9"/>
        <v>I</v>
      </c>
    </row>
    <row r="147" spans="1:159" s="202" customFormat="1" ht="29.1" customHeight="1" x14ac:dyDescent="0.2">
      <c r="A147" s="142"/>
      <c r="B147" s="146"/>
      <c r="C147" s="153"/>
      <c r="D147" s="51"/>
      <c r="E147" s="38"/>
      <c r="F147" s="220"/>
      <c r="G147" s="221"/>
      <c r="H147" s="226"/>
      <c r="I147" s="226"/>
      <c r="J147" s="226"/>
      <c r="K147" s="224"/>
      <c r="L147" s="220"/>
      <c r="M147" s="221"/>
      <c r="N147" s="226"/>
      <c r="O147" s="226"/>
      <c r="P147" s="226"/>
      <c r="Q147" s="224"/>
      <c r="R147" s="220"/>
      <c r="S147" s="221"/>
      <c r="T147" s="226"/>
      <c r="U147" s="226"/>
      <c r="V147" s="220"/>
      <c r="W147" s="221"/>
      <c r="X147" s="226"/>
      <c r="Y147" s="226"/>
      <c r="Z147" s="220"/>
      <c r="AA147" s="221"/>
      <c r="AB147" s="226"/>
      <c r="AC147" s="220"/>
      <c r="AD147" s="168">
        <f t="shared" si="10"/>
        <v>0</v>
      </c>
      <c r="AE147" s="168">
        <f t="shared" si="11"/>
        <v>0</v>
      </c>
      <c r="AF147" s="169"/>
      <c r="AG147" s="195"/>
      <c r="AH147" s="195"/>
      <c r="AN147" s="203"/>
      <c r="AO147" s="203"/>
      <c r="AP147" s="203"/>
      <c r="AQ147" s="203"/>
      <c r="AR147" s="203"/>
      <c r="AS147" s="203"/>
      <c r="AT147" s="203"/>
      <c r="AU147" s="195"/>
      <c r="AV147" s="203"/>
      <c r="AW147" s="203"/>
      <c r="AX147" s="195"/>
      <c r="AY147" s="195"/>
      <c r="AZ147" s="203"/>
      <c r="BU147" s="204"/>
      <c r="BV147" s="204"/>
      <c r="BW147" s="204"/>
      <c r="BX147" s="204"/>
      <c r="BY147" s="204"/>
      <c r="BZ147" s="204"/>
      <c r="CA147" s="204"/>
      <c r="CB147" s="204"/>
      <c r="CC147" s="204"/>
      <c r="CD147" s="204"/>
      <c r="CE147" s="204"/>
      <c r="CF147" s="204"/>
      <c r="CG147" s="204"/>
      <c r="CH147" s="204"/>
      <c r="CI147" s="204"/>
      <c r="CJ147" s="204"/>
      <c r="CK147" s="204"/>
      <c r="CL147" s="204"/>
      <c r="CM147" s="204"/>
      <c r="CN147" s="204"/>
      <c r="CO147" s="204"/>
      <c r="CP147" s="204"/>
      <c r="CQ147" s="204"/>
      <c r="CR147" s="204"/>
      <c r="CS147" s="204"/>
      <c r="CT147" s="204"/>
      <c r="CU147" s="204"/>
      <c r="CV147" s="204"/>
      <c r="CW147" s="204"/>
      <c r="CX147" s="204"/>
      <c r="CY147" s="204"/>
      <c r="CZ147" s="204"/>
      <c r="DA147" s="204"/>
      <c r="DB147" s="204"/>
      <c r="DC147" s="204"/>
      <c r="DD147" s="204"/>
      <c r="DE147" s="204"/>
      <c r="DF147" s="204"/>
      <c r="DG147" s="204"/>
      <c r="DH147" s="204"/>
      <c r="DI147" s="204"/>
      <c r="DJ147" s="204"/>
      <c r="DK147" s="204"/>
      <c r="DL147" s="204"/>
      <c r="DM147" s="204"/>
      <c r="DN147" s="204"/>
      <c r="DO147" s="204"/>
      <c r="DP147" s="204"/>
      <c r="DQ147" s="204"/>
      <c r="DR147" s="204"/>
      <c r="DS147" s="204"/>
      <c r="DT147" s="204"/>
      <c r="DU147" s="204"/>
      <c r="DV147" s="204"/>
      <c r="DW147" s="204"/>
      <c r="DX147" s="204"/>
      <c r="DY147" s="204"/>
      <c r="DZ147" s="204"/>
      <c r="EA147" s="204"/>
      <c r="EB147" s="204"/>
      <c r="EC147" s="204"/>
      <c r="ED147" s="204"/>
      <c r="EE147" s="204"/>
      <c r="EF147" s="204"/>
      <c r="EG147" s="204"/>
      <c r="EH147" s="204"/>
      <c r="EI147" s="204"/>
      <c r="EJ147" s="204"/>
      <c r="EK147" s="204"/>
      <c r="EL147" s="204"/>
      <c r="EM147" s="204"/>
      <c r="EN147" s="204"/>
      <c r="EO147" s="204"/>
      <c r="EP147" s="204"/>
      <c r="EQ147" s="204"/>
      <c r="ER147" s="204"/>
      <c r="ES147" s="204"/>
      <c r="ET147" s="204"/>
      <c r="EU147" s="204"/>
      <c r="EV147" s="204"/>
      <c r="EW147" s="204"/>
      <c r="EX147" s="204"/>
      <c r="FC147" s="200" t="str">
        <f t="shared" si="9"/>
        <v>I</v>
      </c>
    </row>
    <row r="148" spans="1:159" s="202" customFormat="1" ht="29.1" customHeight="1" x14ac:dyDescent="0.2">
      <c r="A148" s="142"/>
      <c r="B148" s="146"/>
      <c r="C148" s="153"/>
      <c r="D148" s="51"/>
      <c r="E148" s="38"/>
      <c r="F148" s="220"/>
      <c r="G148" s="221"/>
      <c r="H148" s="226"/>
      <c r="I148" s="226"/>
      <c r="J148" s="226"/>
      <c r="K148" s="224"/>
      <c r="L148" s="220"/>
      <c r="M148" s="221"/>
      <c r="N148" s="226"/>
      <c r="O148" s="226"/>
      <c r="P148" s="226"/>
      <c r="Q148" s="224"/>
      <c r="R148" s="220"/>
      <c r="S148" s="221"/>
      <c r="T148" s="226"/>
      <c r="U148" s="226"/>
      <c r="V148" s="220"/>
      <c r="W148" s="221"/>
      <c r="X148" s="226"/>
      <c r="Y148" s="226"/>
      <c r="Z148" s="220"/>
      <c r="AA148" s="221"/>
      <c r="AB148" s="226"/>
      <c r="AC148" s="220"/>
      <c r="AD148" s="168">
        <f t="shared" si="10"/>
        <v>0</v>
      </c>
      <c r="AE148" s="168">
        <f t="shared" si="11"/>
        <v>0</v>
      </c>
      <c r="AF148" s="169"/>
      <c r="AG148" s="195"/>
      <c r="AH148" s="195"/>
      <c r="AN148" s="203"/>
      <c r="AO148" s="203"/>
      <c r="AP148" s="203"/>
      <c r="AQ148" s="203"/>
      <c r="AR148" s="203"/>
      <c r="AS148" s="203"/>
      <c r="AT148" s="203"/>
      <c r="AU148" s="195"/>
      <c r="AV148" s="203"/>
      <c r="AW148" s="203"/>
      <c r="AX148" s="195"/>
      <c r="AY148" s="195"/>
      <c r="AZ148" s="203"/>
      <c r="BU148" s="204"/>
      <c r="BV148" s="204"/>
      <c r="BW148" s="204"/>
      <c r="BX148" s="204"/>
      <c r="BY148" s="204"/>
      <c r="BZ148" s="204"/>
      <c r="CA148" s="204"/>
      <c r="CB148" s="204"/>
      <c r="CC148" s="204"/>
      <c r="CD148" s="204"/>
      <c r="CE148" s="204"/>
      <c r="CF148" s="204"/>
      <c r="CG148" s="204"/>
      <c r="CH148" s="204"/>
      <c r="CI148" s="204"/>
      <c r="CJ148" s="204"/>
      <c r="CK148" s="204"/>
      <c r="CL148" s="204"/>
      <c r="CM148" s="204"/>
      <c r="CN148" s="204"/>
      <c r="CO148" s="204"/>
      <c r="CP148" s="204"/>
      <c r="CQ148" s="204"/>
      <c r="CR148" s="204"/>
      <c r="CS148" s="204"/>
      <c r="CT148" s="204"/>
      <c r="CU148" s="204"/>
      <c r="CV148" s="204"/>
      <c r="CW148" s="204"/>
      <c r="CX148" s="204"/>
      <c r="CY148" s="204"/>
      <c r="CZ148" s="204"/>
      <c r="DA148" s="204"/>
      <c r="DB148" s="204"/>
      <c r="DC148" s="204"/>
      <c r="DD148" s="204"/>
      <c r="DE148" s="204"/>
      <c r="DF148" s="204"/>
      <c r="DG148" s="204"/>
      <c r="DH148" s="204"/>
      <c r="DI148" s="204"/>
      <c r="DJ148" s="204"/>
      <c r="DK148" s="204"/>
      <c r="DL148" s="204"/>
      <c r="DM148" s="204"/>
      <c r="DN148" s="204"/>
      <c r="DO148" s="204"/>
      <c r="DP148" s="204"/>
      <c r="DQ148" s="204"/>
      <c r="DR148" s="204"/>
      <c r="DS148" s="204"/>
      <c r="DT148" s="204"/>
      <c r="DU148" s="204"/>
      <c r="DV148" s="204"/>
      <c r="DW148" s="204"/>
      <c r="DX148" s="204"/>
      <c r="DY148" s="204"/>
      <c r="DZ148" s="204"/>
      <c r="EA148" s="204"/>
      <c r="EB148" s="204"/>
      <c r="EC148" s="204"/>
      <c r="ED148" s="204"/>
      <c r="EE148" s="204"/>
      <c r="EF148" s="204"/>
      <c r="EG148" s="204"/>
      <c r="EH148" s="204"/>
      <c r="EI148" s="204"/>
      <c r="EJ148" s="204"/>
      <c r="EK148" s="204"/>
      <c r="EL148" s="204"/>
      <c r="EM148" s="204"/>
      <c r="EN148" s="204"/>
      <c r="EO148" s="204"/>
      <c r="EP148" s="204"/>
      <c r="EQ148" s="204"/>
      <c r="ER148" s="204"/>
      <c r="ES148" s="204"/>
      <c r="ET148" s="204"/>
      <c r="EU148" s="204"/>
      <c r="EV148" s="204"/>
      <c r="EW148" s="204"/>
      <c r="EX148" s="204"/>
      <c r="FC148" s="200" t="str">
        <f t="shared" si="9"/>
        <v>I</v>
      </c>
    </row>
    <row r="149" spans="1:159" s="202" customFormat="1" ht="29.1" customHeight="1" x14ac:dyDescent="0.2">
      <c r="A149" s="142"/>
      <c r="B149" s="146"/>
      <c r="C149" s="153"/>
      <c r="D149" s="51"/>
      <c r="E149" s="38"/>
      <c r="F149" s="220"/>
      <c r="G149" s="221"/>
      <c r="H149" s="226"/>
      <c r="I149" s="226"/>
      <c r="J149" s="226"/>
      <c r="K149" s="224"/>
      <c r="L149" s="220"/>
      <c r="M149" s="221"/>
      <c r="N149" s="226"/>
      <c r="O149" s="226"/>
      <c r="P149" s="226"/>
      <c r="Q149" s="224"/>
      <c r="R149" s="220"/>
      <c r="S149" s="221"/>
      <c r="T149" s="226"/>
      <c r="U149" s="226"/>
      <c r="V149" s="220"/>
      <c r="W149" s="221"/>
      <c r="X149" s="226"/>
      <c r="Y149" s="226"/>
      <c r="Z149" s="220"/>
      <c r="AA149" s="221"/>
      <c r="AB149" s="226"/>
      <c r="AC149" s="220"/>
      <c r="AD149" s="168">
        <f t="shared" si="10"/>
        <v>0</v>
      </c>
      <c r="AE149" s="168">
        <f t="shared" si="11"/>
        <v>0</v>
      </c>
      <c r="AF149" s="169"/>
      <c r="AG149" s="195"/>
      <c r="AH149" s="195"/>
      <c r="AN149" s="203"/>
      <c r="AO149" s="203"/>
      <c r="AP149" s="203"/>
      <c r="AQ149" s="203"/>
      <c r="AR149" s="203"/>
      <c r="AS149" s="203"/>
      <c r="AT149" s="203"/>
      <c r="AU149" s="195"/>
      <c r="AV149" s="203"/>
      <c r="AW149" s="203"/>
      <c r="AX149" s="195"/>
      <c r="AY149" s="195"/>
      <c r="AZ149" s="203"/>
      <c r="BU149" s="204"/>
      <c r="BV149" s="204"/>
      <c r="BW149" s="204"/>
      <c r="BX149" s="204"/>
      <c r="BY149" s="204"/>
      <c r="BZ149" s="204"/>
      <c r="CA149" s="204"/>
      <c r="CB149" s="204"/>
      <c r="CC149" s="204"/>
      <c r="CD149" s="204"/>
      <c r="CE149" s="204"/>
      <c r="CF149" s="204"/>
      <c r="CG149" s="204"/>
      <c r="CH149" s="204"/>
      <c r="CI149" s="204"/>
      <c r="CJ149" s="204"/>
      <c r="CK149" s="204"/>
      <c r="CL149" s="204"/>
      <c r="CM149" s="204"/>
      <c r="CN149" s="204"/>
      <c r="CO149" s="204"/>
      <c r="CP149" s="204"/>
      <c r="CQ149" s="204"/>
      <c r="CR149" s="204"/>
      <c r="CS149" s="204"/>
      <c r="CT149" s="204"/>
      <c r="CU149" s="204"/>
      <c r="CV149" s="204"/>
      <c r="CW149" s="204"/>
      <c r="CX149" s="204"/>
      <c r="CY149" s="204"/>
      <c r="CZ149" s="204"/>
      <c r="DA149" s="204"/>
      <c r="DB149" s="204"/>
      <c r="DC149" s="204"/>
      <c r="DD149" s="204"/>
      <c r="DE149" s="204"/>
      <c r="DF149" s="204"/>
      <c r="DG149" s="204"/>
      <c r="DH149" s="204"/>
      <c r="DI149" s="204"/>
      <c r="DJ149" s="204"/>
      <c r="DK149" s="204"/>
      <c r="DL149" s="204"/>
      <c r="DM149" s="204"/>
      <c r="DN149" s="204"/>
      <c r="DO149" s="204"/>
      <c r="DP149" s="204"/>
      <c r="DQ149" s="204"/>
      <c r="DR149" s="204"/>
      <c r="DS149" s="204"/>
      <c r="DT149" s="204"/>
      <c r="DU149" s="204"/>
      <c r="DV149" s="204"/>
      <c r="DW149" s="204"/>
      <c r="DX149" s="204"/>
      <c r="DY149" s="204"/>
      <c r="DZ149" s="204"/>
      <c r="EA149" s="204"/>
      <c r="EB149" s="204"/>
      <c r="EC149" s="204"/>
      <c r="ED149" s="204"/>
      <c r="EE149" s="204"/>
      <c r="EF149" s="204"/>
      <c r="EG149" s="204"/>
      <c r="EH149" s="204"/>
      <c r="EI149" s="204"/>
      <c r="EJ149" s="204"/>
      <c r="EK149" s="204"/>
      <c r="EL149" s="204"/>
      <c r="EM149" s="204"/>
      <c r="EN149" s="204"/>
      <c r="EO149" s="204"/>
      <c r="EP149" s="204"/>
      <c r="EQ149" s="204"/>
      <c r="ER149" s="204"/>
      <c r="ES149" s="204"/>
      <c r="ET149" s="204"/>
      <c r="EU149" s="204"/>
      <c r="EV149" s="204"/>
      <c r="EW149" s="204"/>
      <c r="EX149" s="204"/>
      <c r="FC149" s="200" t="str">
        <f t="shared" si="9"/>
        <v>I</v>
      </c>
    </row>
    <row r="150" spans="1:159" s="202" customFormat="1" ht="29.1" customHeight="1" x14ac:dyDescent="0.2">
      <c r="A150" s="142"/>
      <c r="B150" s="146"/>
      <c r="C150" s="153"/>
      <c r="D150" s="51"/>
      <c r="E150" s="38"/>
      <c r="F150" s="220"/>
      <c r="G150" s="221"/>
      <c r="H150" s="226"/>
      <c r="I150" s="226"/>
      <c r="J150" s="226"/>
      <c r="K150" s="224"/>
      <c r="L150" s="220"/>
      <c r="M150" s="221"/>
      <c r="N150" s="226"/>
      <c r="O150" s="226"/>
      <c r="P150" s="226"/>
      <c r="Q150" s="224"/>
      <c r="R150" s="220"/>
      <c r="S150" s="221"/>
      <c r="T150" s="226"/>
      <c r="U150" s="226"/>
      <c r="V150" s="220"/>
      <c r="W150" s="221"/>
      <c r="X150" s="226"/>
      <c r="Y150" s="226"/>
      <c r="Z150" s="220"/>
      <c r="AA150" s="221"/>
      <c r="AB150" s="226"/>
      <c r="AC150" s="220"/>
      <c r="AD150" s="168">
        <f t="shared" si="10"/>
        <v>0</v>
      </c>
      <c r="AE150" s="168">
        <f t="shared" si="11"/>
        <v>0</v>
      </c>
      <c r="AF150" s="169"/>
      <c r="AG150" s="195"/>
      <c r="AH150" s="195"/>
      <c r="AN150" s="203"/>
      <c r="AO150" s="203"/>
      <c r="AP150" s="203"/>
      <c r="AQ150" s="203"/>
      <c r="AR150" s="203"/>
      <c r="AS150" s="203"/>
      <c r="AT150" s="203"/>
      <c r="AU150" s="195"/>
      <c r="AV150" s="203"/>
      <c r="AW150" s="203"/>
      <c r="AX150" s="195"/>
      <c r="AY150" s="195"/>
      <c r="AZ150" s="203"/>
      <c r="BU150" s="204"/>
      <c r="BV150" s="204"/>
      <c r="BW150" s="204"/>
      <c r="BX150" s="204"/>
      <c r="BY150" s="204"/>
      <c r="BZ150" s="204"/>
      <c r="CA150" s="204"/>
      <c r="CB150" s="204"/>
      <c r="CC150" s="204"/>
      <c r="CD150" s="204"/>
      <c r="CE150" s="204"/>
      <c r="CF150" s="204"/>
      <c r="CG150" s="204"/>
      <c r="CH150" s="204"/>
      <c r="CI150" s="204"/>
      <c r="CJ150" s="204"/>
      <c r="CK150" s="204"/>
      <c r="CL150" s="204"/>
      <c r="CM150" s="204"/>
      <c r="CN150" s="204"/>
      <c r="CO150" s="204"/>
      <c r="CP150" s="204"/>
      <c r="CQ150" s="204"/>
      <c r="CR150" s="204"/>
      <c r="CS150" s="204"/>
      <c r="CT150" s="204"/>
      <c r="CU150" s="204"/>
      <c r="CV150" s="204"/>
      <c r="CW150" s="204"/>
      <c r="CX150" s="204"/>
      <c r="CY150" s="204"/>
      <c r="CZ150" s="204"/>
      <c r="DA150" s="204"/>
      <c r="DB150" s="204"/>
      <c r="DC150" s="204"/>
      <c r="DD150" s="204"/>
      <c r="DE150" s="204"/>
      <c r="DF150" s="204"/>
      <c r="DG150" s="204"/>
      <c r="DH150" s="204"/>
      <c r="DI150" s="204"/>
      <c r="DJ150" s="204"/>
      <c r="DK150" s="204"/>
      <c r="DL150" s="204"/>
      <c r="DM150" s="204"/>
      <c r="DN150" s="204"/>
      <c r="DO150" s="204"/>
      <c r="DP150" s="204"/>
      <c r="DQ150" s="204"/>
      <c r="DR150" s="204"/>
      <c r="DS150" s="204"/>
      <c r="DT150" s="204"/>
      <c r="DU150" s="204"/>
      <c r="DV150" s="204"/>
      <c r="DW150" s="204"/>
      <c r="DX150" s="204"/>
      <c r="DY150" s="204"/>
      <c r="DZ150" s="204"/>
      <c r="EA150" s="204"/>
      <c r="EB150" s="204"/>
      <c r="EC150" s="204"/>
      <c r="ED150" s="204"/>
      <c r="EE150" s="204"/>
      <c r="EF150" s="204"/>
      <c r="EG150" s="204"/>
      <c r="EH150" s="204"/>
      <c r="EI150" s="204"/>
      <c r="EJ150" s="204"/>
      <c r="EK150" s="204"/>
      <c r="EL150" s="204"/>
      <c r="EM150" s="204"/>
      <c r="EN150" s="204"/>
      <c r="EO150" s="204"/>
      <c r="EP150" s="204"/>
      <c r="EQ150" s="204"/>
      <c r="ER150" s="204"/>
      <c r="ES150" s="204"/>
      <c r="ET150" s="204"/>
      <c r="EU150" s="204"/>
      <c r="EV150" s="204"/>
      <c r="EW150" s="204"/>
      <c r="EX150" s="204"/>
      <c r="FC150" s="200" t="str">
        <f t="shared" si="9"/>
        <v>I</v>
      </c>
    </row>
    <row r="151" spans="1:159" s="202" customFormat="1" ht="29.1" customHeight="1" x14ac:dyDescent="0.2">
      <c r="A151" s="142"/>
      <c r="B151" s="146"/>
      <c r="C151" s="153"/>
      <c r="D151" s="51"/>
      <c r="E151" s="38"/>
      <c r="F151" s="220"/>
      <c r="G151" s="221"/>
      <c r="H151" s="226"/>
      <c r="I151" s="226"/>
      <c r="J151" s="226"/>
      <c r="K151" s="224"/>
      <c r="L151" s="220"/>
      <c r="M151" s="221"/>
      <c r="N151" s="226"/>
      <c r="O151" s="226"/>
      <c r="P151" s="226"/>
      <c r="Q151" s="224"/>
      <c r="R151" s="220"/>
      <c r="S151" s="221"/>
      <c r="T151" s="226"/>
      <c r="U151" s="226"/>
      <c r="V151" s="220"/>
      <c r="W151" s="221"/>
      <c r="X151" s="226"/>
      <c r="Y151" s="226"/>
      <c r="Z151" s="220"/>
      <c r="AA151" s="221"/>
      <c r="AB151" s="226"/>
      <c r="AC151" s="220"/>
      <c r="AD151" s="168">
        <f t="shared" si="10"/>
        <v>0</v>
      </c>
      <c r="AE151" s="168">
        <f t="shared" si="11"/>
        <v>0</v>
      </c>
      <c r="AF151" s="169"/>
      <c r="AG151" s="195"/>
      <c r="AH151" s="195"/>
      <c r="AN151" s="203"/>
      <c r="AO151" s="203"/>
      <c r="AP151" s="203"/>
      <c r="AQ151" s="203"/>
      <c r="AR151" s="203"/>
      <c r="AS151" s="203"/>
      <c r="AT151" s="203"/>
      <c r="AU151" s="195"/>
      <c r="AV151" s="203"/>
      <c r="AW151" s="203"/>
      <c r="AX151" s="195"/>
      <c r="AY151" s="195"/>
      <c r="AZ151" s="203"/>
      <c r="BU151" s="204"/>
      <c r="BV151" s="204"/>
      <c r="BW151" s="204"/>
      <c r="BX151" s="204"/>
      <c r="BY151" s="204"/>
      <c r="BZ151" s="204"/>
      <c r="CA151" s="204"/>
      <c r="CB151" s="204"/>
      <c r="CC151" s="204"/>
      <c r="CD151" s="204"/>
      <c r="CE151" s="204"/>
      <c r="CF151" s="204"/>
      <c r="CG151" s="204"/>
      <c r="CH151" s="204"/>
      <c r="CI151" s="204"/>
      <c r="CJ151" s="204"/>
      <c r="CK151" s="204"/>
      <c r="CL151" s="204"/>
      <c r="CM151" s="204"/>
      <c r="CN151" s="204"/>
      <c r="CO151" s="204"/>
      <c r="CP151" s="204"/>
      <c r="CQ151" s="204"/>
      <c r="CR151" s="204"/>
      <c r="CS151" s="204"/>
      <c r="CT151" s="204"/>
      <c r="CU151" s="204"/>
      <c r="CV151" s="204"/>
      <c r="CW151" s="204"/>
      <c r="CX151" s="204"/>
      <c r="CY151" s="204"/>
      <c r="CZ151" s="204"/>
      <c r="DA151" s="204"/>
      <c r="DB151" s="204"/>
      <c r="DC151" s="204"/>
      <c r="DD151" s="204"/>
      <c r="DE151" s="204"/>
      <c r="DF151" s="204"/>
      <c r="DG151" s="204"/>
      <c r="DH151" s="204"/>
      <c r="DI151" s="204"/>
      <c r="DJ151" s="204"/>
      <c r="DK151" s="204"/>
      <c r="DL151" s="204"/>
      <c r="DM151" s="204"/>
      <c r="DN151" s="204"/>
      <c r="DO151" s="204"/>
      <c r="DP151" s="204"/>
      <c r="DQ151" s="204"/>
      <c r="DR151" s="204"/>
      <c r="DS151" s="204"/>
      <c r="DT151" s="204"/>
      <c r="DU151" s="204"/>
      <c r="DV151" s="204"/>
      <c r="DW151" s="204"/>
      <c r="DX151" s="204"/>
      <c r="DY151" s="204"/>
      <c r="DZ151" s="204"/>
      <c r="EA151" s="204"/>
      <c r="EB151" s="204"/>
      <c r="EC151" s="204"/>
      <c r="ED151" s="204"/>
      <c r="EE151" s="204"/>
      <c r="EF151" s="204"/>
      <c r="EG151" s="204"/>
      <c r="EH151" s="204"/>
      <c r="EI151" s="204"/>
      <c r="EJ151" s="204"/>
      <c r="EK151" s="204"/>
      <c r="EL151" s="204"/>
      <c r="EM151" s="204"/>
      <c r="EN151" s="204"/>
      <c r="EO151" s="204"/>
      <c r="EP151" s="204"/>
      <c r="EQ151" s="204"/>
      <c r="ER151" s="204"/>
      <c r="ES151" s="204"/>
      <c r="ET151" s="204"/>
      <c r="EU151" s="204"/>
      <c r="EV151" s="204"/>
      <c r="EW151" s="204"/>
      <c r="EX151" s="204"/>
      <c r="FC151" s="200" t="str">
        <f t="shared" si="9"/>
        <v>I</v>
      </c>
    </row>
    <row r="152" spans="1:159" s="202" customFormat="1" ht="29.1" customHeight="1" x14ac:dyDescent="0.2">
      <c r="A152" s="142"/>
      <c r="B152" s="146"/>
      <c r="C152" s="153"/>
      <c r="D152" s="51"/>
      <c r="E152" s="38"/>
      <c r="F152" s="220"/>
      <c r="G152" s="221"/>
      <c r="H152" s="226"/>
      <c r="I152" s="226"/>
      <c r="J152" s="226"/>
      <c r="K152" s="224"/>
      <c r="L152" s="220"/>
      <c r="M152" s="221"/>
      <c r="N152" s="226"/>
      <c r="O152" s="226"/>
      <c r="P152" s="226"/>
      <c r="Q152" s="224"/>
      <c r="R152" s="220"/>
      <c r="S152" s="221"/>
      <c r="T152" s="226"/>
      <c r="U152" s="226"/>
      <c r="V152" s="220"/>
      <c r="W152" s="221"/>
      <c r="X152" s="226"/>
      <c r="Y152" s="226"/>
      <c r="Z152" s="220"/>
      <c r="AA152" s="221"/>
      <c r="AB152" s="226"/>
      <c r="AC152" s="220"/>
      <c r="AD152" s="168">
        <f t="shared" si="10"/>
        <v>0</v>
      </c>
      <c r="AE152" s="168">
        <f t="shared" si="11"/>
        <v>0</v>
      </c>
      <c r="AF152" s="169"/>
      <c r="AG152" s="195"/>
      <c r="AH152" s="195"/>
      <c r="AN152" s="203"/>
      <c r="AO152" s="203"/>
      <c r="AP152" s="203"/>
      <c r="AQ152" s="203"/>
      <c r="AR152" s="203"/>
      <c r="AS152" s="203"/>
      <c r="AT152" s="203"/>
      <c r="AU152" s="195"/>
      <c r="AV152" s="203"/>
      <c r="AW152" s="203"/>
      <c r="AX152" s="195"/>
      <c r="AY152" s="195"/>
      <c r="AZ152" s="203"/>
      <c r="BU152" s="204"/>
      <c r="BV152" s="204"/>
      <c r="BW152" s="204"/>
      <c r="BX152" s="204"/>
      <c r="BY152" s="204"/>
      <c r="BZ152" s="204"/>
      <c r="CA152" s="204"/>
      <c r="CB152" s="204"/>
      <c r="CC152" s="204"/>
      <c r="CD152" s="204"/>
      <c r="CE152" s="204"/>
      <c r="CF152" s="204"/>
      <c r="CG152" s="204"/>
      <c r="CH152" s="204"/>
      <c r="CI152" s="204"/>
      <c r="CJ152" s="204"/>
      <c r="CK152" s="204"/>
      <c r="CL152" s="204"/>
      <c r="CM152" s="204"/>
      <c r="CN152" s="204"/>
      <c r="CO152" s="204"/>
      <c r="CP152" s="204"/>
      <c r="CQ152" s="204"/>
      <c r="CR152" s="204"/>
      <c r="CS152" s="204"/>
      <c r="CT152" s="204"/>
      <c r="CU152" s="204"/>
      <c r="CV152" s="204"/>
      <c r="CW152" s="204"/>
      <c r="CX152" s="204"/>
      <c r="CY152" s="204"/>
      <c r="CZ152" s="204"/>
      <c r="DA152" s="204"/>
      <c r="DB152" s="204"/>
      <c r="DC152" s="204"/>
      <c r="DD152" s="204"/>
      <c r="DE152" s="204"/>
      <c r="DF152" s="204"/>
      <c r="DG152" s="204"/>
      <c r="DH152" s="204"/>
      <c r="DI152" s="204"/>
      <c r="DJ152" s="204"/>
      <c r="DK152" s="204"/>
      <c r="DL152" s="204"/>
      <c r="DM152" s="204"/>
      <c r="DN152" s="204"/>
      <c r="DO152" s="204"/>
      <c r="DP152" s="204"/>
      <c r="DQ152" s="204"/>
      <c r="DR152" s="204"/>
      <c r="DS152" s="204"/>
      <c r="DT152" s="204"/>
      <c r="DU152" s="204"/>
      <c r="DV152" s="204"/>
      <c r="DW152" s="204"/>
      <c r="DX152" s="204"/>
      <c r="DY152" s="204"/>
      <c r="DZ152" s="204"/>
      <c r="EA152" s="204"/>
      <c r="EB152" s="204"/>
      <c r="EC152" s="204"/>
      <c r="ED152" s="204"/>
      <c r="EE152" s="204"/>
      <c r="EF152" s="204"/>
      <c r="EG152" s="204"/>
      <c r="EH152" s="204"/>
      <c r="EI152" s="204"/>
      <c r="EJ152" s="204"/>
      <c r="EK152" s="204"/>
      <c r="EL152" s="204"/>
      <c r="EM152" s="204"/>
      <c r="EN152" s="204"/>
      <c r="EO152" s="204"/>
      <c r="EP152" s="204"/>
      <c r="EQ152" s="204"/>
      <c r="ER152" s="204"/>
      <c r="ES152" s="204"/>
      <c r="ET152" s="204"/>
      <c r="EU152" s="204"/>
      <c r="EV152" s="204"/>
      <c r="EW152" s="204"/>
      <c r="EX152" s="204"/>
      <c r="FC152" s="200" t="str">
        <f t="shared" si="9"/>
        <v>I</v>
      </c>
    </row>
    <row r="153" spans="1:159" s="202" customFormat="1" ht="29.1" customHeight="1" x14ac:dyDescent="0.2">
      <c r="A153" s="142"/>
      <c r="B153" s="146"/>
      <c r="C153" s="153"/>
      <c r="D153" s="51"/>
      <c r="E153" s="38"/>
      <c r="F153" s="220"/>
      <c r="G153" s="221"/>
      <c r="H153" s="226"/>
      <c r="I153" s="226"/>
      <c r="J153" s="226"/>
      <c r="K153" s="224"/>
      <c r="L153" s="220"/>
      <c r="M153" s="221"/>
      <c r="N153" s="226"/>
      <c r="O153" s="226"/>
      <c r="P153" s="226"/>
      <c r="Q153" s="224"/>
      <c r="R153" s="220"/>
      <c r="S153" s="221"/>
      <c r="T153" s="226"/>
      <c r="U153" s="226"/>
      <c r="V153" s="220"/>
      <c r="W153" s="221"/>
      <c r="X153" s="226"/>
      <c r="Y153" s="226"/>
      <c r="Z153" s="220"/>
      <c r="AA153" s="221"/>
      <c r="AB153" s="226"/>
      <c r="AC153" s="220"/>
      <c r="AD153" s="168">
        <f t="shared" si="10"/>
        <v>0</v>
      </c>
      <c r="AE153" s="168">
        <f t="shared" si="11"/>
        <v>0</v>
      </c>
      <c r="AF153" s="169"/>
      <c r="AG153" s="195"/>
      <c r="AH153" s="195"/>
      <c r="AN153" s="203"/>
      <c r="AO153" s="203"/>
      <c r="AP153" s="203"/>
      <c r="AQ153" s="203"/>
      <c r="AR153" s="203"/>
      <c r="AS153" s="203"/>
      <c r="AT153" s="203"/>
      <c r="AU153" s="195"/>
      <c r="AV153" s="203"/>
      <c r="AW153" s="203"/>
      <c r="AX153" s="195"/>
      <c r="AY153" s="195"/>
      <c r="AZ153" s="203"/>
      <c r="BU153" s="204"/>
      <c r="BV153" s="204"/>
      <c r="BW153" s="204"/>
      <c r="BX153" s="204"/>
      <c r="BY153" s="204"/>
      <c r="BZ153" s="204"/>
      <c r="CA153" s="204"/>
      <c r="CB153" s="204"/>
      <c r="CC153" s="204"/>
      <c r="CD153" s="204"/>
      <c r="CE153" s="204"/>
      <c r="CF153" s="204"/>
      <c r="CG153" s="204"/>
      <c r="CH153" s="204"/>
      <c r="CI153" s="204"/>
      <c r="CJ153" s="204"/>
      <c r="CK153" s="204"/>
      <c r="CL153" s="204"/>
      <c r="CM153" s="204"/>
      <c r="CN153" s="204"/>
      <c r="CO153" s="204"/>
      <c r="CP153" s="204"/>
      <c r="CQ153" s="204"/>
      <c r="CR153" s="204"/>
      <c r="CS153" s="204"/>
      <c r="CT153" s="204"/>
      <c r="CU153" s="204"/>
      <c r="CV153" s="204"/>
      <c r="CW153" s="204"/>
      <c r="CX153" s="204"/>
      <c r="CY153" s="204"/>
      <c r="CZ153" s="204"/>
      <c r="DA153" s="204"/>
      <c r="DB153" s="204"/>
      <c r="DC153" s="204"/>
      <c r="DD153" s="204"/>
      <c r="DE153" s="204"/>
      <c r="DF153" s="204"/>
      <c r="DG153" s="204"/>
      <c r="DH153" s="204"/>
      <c r="DI153" s="204"/>
      <c r="DJ153" s="204"/>
      <c r="DK153" s="204"/>
      <c r="DL153" s="204"/>
      <c r="DM153" s="204"/>
      <c r="DN153" s="204"/>
      <c r="DO153" s="204"/>
      <c r="DP153" s="204"/>
      <c r="DQ153" s="204"/>
      <c r="DR153" s="204"/>
      <c r="DS153" s="204"/>
      <c r="DT153" s="204"/>
      <c r="DU153" s="204"/>
      <c r="DV153" s="204"/>
      <c r="DW153" s="204"/>
      <c r="DX153" s="204"/>
      <c r="DY153" s="204"/>
      <c r="DZ153" s="204"/>
      <c r="EA153" s="204"/>
      <c r="EB153" s="204"/>
      <c r="EC153" s="204"/>
      <c r="ED153" s="204"/>
      <c r="EE153" s="204"/>
      <c r="EF153" s="204"/>
      <c r="EG153" s="204"/>
      <c r="EH153" s="204"/>
      <c r="EI153" s="204"/>
      <c r="EJ153" s="204"/>
      <c r="EK153" s="204"/>
      <c r="EL153" s="204"/>
      <c r="EM153" s="204"/>
      <c r="EN153" s="204"/>
      <c r="EO153" s="204"/>
      <c r="EP153" s="204"/>
      <c r="EQ153" s="204"/>
      <c r="ER153" s="204"/>
      <c r="ES153" s="204"/>
      <c r="ET153" s="204"/>
      <c r="EU153" s="204"/>
      <c r="EV153" s="204"/>
      <c r="EW153" s="204"/>
      <c r="EX153" s="204"/>
      <c r="FC153" s="200" t="str">
        <f t="shared" si="9"/>
        <v>I</v>
      </c>
    </row>
    <row r="154" spans="1:159" s="202" customFormat="1" ht="29.1" customHeight="1" x14ac:dyDescent="0.2">
      <c r="A154" s="142"/>
      <c r="B154" s="146"/>
      <c r="C154" s="153"/>
      <c r="D154" s="51"/>
      <c r="E154" s="38"/>
      <c r="F154" s="220"/>
      <c r="G154" s="221"/>
      <c r="H154" s="226"/>
      <c r="I154" s="226"/>
      <c r="J154" s="226"/>
      <c r="K154" s="224"/>
      <c r="L154" s="220"/>
      <c r="M154" s="221"/>
      <c r="N154" s="226"/>
      <c r="O154" s="226"/>
      <c r="P154" s="226"/>
      <c r="Q154" s="224"/>
      <c r="R154" s="220"/>
      <c r="S154" s="221"/>
      <c r="T154" s="226"/>
      <c r="U154" s="226"/>
      <c r="V154" s="220"/>
      <c r="W154" s="221"/>
      <c r="X154" s="226"/>
      <c r="Y154" s="226"/>
      <c r="Z154" s="220"/>
      <c r="AA154" s="221"/>
      <c r="AB154" s="226"/>
      <c r="AC154" s="220"/>
      <c r="AD154" s="168">
        <f t="shared" si="10"/>
        <v>0</v>
      </c>
      <c r="AE154" s="168">
        <f t="shared" si="11"/>
        <v>0</v>
      </c>
      <c r="AF154" s="169"/>
      <c r="AG154" s="195"/>
      <c r="AH154" s="195"/>
      <c r="AN154" s="203"/>
      <c r="AO154" s="203"/>
      <c r="AP154" s="203"/>
      <c r="AQ154" s="203"/>
      <c r="AR154" s="203"/>
      <c r="AS154" s="203"/>
      <c r="AT154" s="203"/>
      <c r="AU154" s="195"/>
      <c r="AV154" s="203"/>
      <c r="AW154" s="203"/>
      <c r="AX154" s="195"/>
      <c r="AY154" s="195"/>
      <c r="AZ154" s="203"/>
      <c r="BU154" s="204"/>
      <c r="BV154" s="204"/>
      <c r="BW154" s="204"/>
      <c r="BX154" s="204"/>
      <c r="BY154" s="204"/>
      <c r="BZ154" s="204"/>
      <c r="CA154" s="204"/>
      <c r="CB154" s="204"/>
      <c r="CC154" s="204"/>
      <c r="CD154" s="204"/>
      <c r="CE154" s="204"/>
      <c r="CF154" s="204"/>
      <c r="CG154" s="204"/>
      <c r="CH154" s="204"/>
      <c r="CI154" s="204"/>
      <c r="CJ154" s="204"/>
      <c r="CK154" s="204"/>
      <c r="CL154" s="204"/>
      <c r="CM154" s="204"/>
      <c r="CN154" s="204"/>
      <c r="CO154" s="204"/>
      <c r="CP154" s="204"/>
      <c r="CQ154" s="204"/>
      <c r="CR154" s="204"/>
      <c r="CS154" s="204"/>
      <c r="CT154" s="204"/>
      <c r="CU154" s="204"/>
      <c r="CV154" s="204"/>
      <c r="CW154" s="204"/>
      <c r="CX154" s="204"/>
      <c r="CY154" s="204"/>
      <c r="CZ154" s="204"/>
      <c r="DA154" s="204"/>
      <c r="DB154" s="204"/>
      <c r="DC154" s="204"/>
      <c r="DD154" s="204"/>
      <c r="DE154" s="204"/>
      <c r="DF154" s="204"/>
      <c r="DG154" s="204"/>
      <c r="DH154" s="204"/>
      <c r="DI154" s="204"/>
      <c r="DJ154" s="204"/>
      <c r="DK154" s="204"/>
      <c r="DL154" s="204"/>
      <c r="DM154" s="204"/>
      <c r="DN154" s="204"/>
      <c r="DO154" s="204"/>
      <c r="DP154" s="204"/>
      <c r="DQ154" s="204"/>
      <c r="DR154" s="204"/>
      <c r="DS154" s="204"/>
      <c r="DT154" s="204"/>
      <c r="DU154" s="204"/>
      <c r="DV154" s="204"/>
      <c r="DW154" s="204"/>
      <c r="DX154" s="204"/>
      <c r="DY154" s="204"/>
      <c r="DZ154" s="204"/>
      <c r="EA154" s="204"/>
      <c r="EB154" s="204"/>
      <c r="EC154" s="204"/>
      <c r="ED154" s="204"/>
      <c r="EE154" s="204"/>
      <c r="EF154" s="204"/>
      <c r="EG154" s="204"/>
      <c r="EH154" s="204"/>
      <c r="EI154" s="204"/>
      <c r="EJ154" s="204"/>
      <c r="EK154" s="204"/>
      <c r="EL154" s="204"/>
      <c r="EM154" s="204"/>
      <c r="EN154" s="204"/>
      <c r="EO154" s="204"/>
      <c r="EP154" s="204"/>
      <c r="EQ154" s="204"/>
      <c r="ER154" s="204"/>
      <c r="ES154" s="204"/>
      <c r="ET154" s="204"/>
      <c r="EU154" s="204"/>
      <c r="EV154" s="204"/>
      <c r="EW154" s="204"/>
      <c r="EX154" s="204"/>
      <c r="FC154" s="200" t="str">
        <f t="shared" si="9"/>
        <v>I</v>
      </c>
    </row>
    <row r="155" spans="1:159" s="202" customFormat="1" ht="29.1" customHeight="1" x14ac:dyDescent="0.2">
      <c r="A155" s="142"/>
      <c r="B155" s="146"/>
      <c r="C155" s="153"/>
      <c r="D155" s="51"/>
      <c r="E155" s="38"/>
      <c r="F155" s="220"/>
      <c r="G155" s="221"/>
      <c r="H155" s="226"/>
      <c r="I155" s="226"/>
      <c r="J155" s="226"/>
      <c r="K155" s="224"/>
      <c r="L155" s="220"/>
      <c r="M155" s="221"/>
      <c r="N155" s="226"/>
      <c r="O155" s="226"/>
      <c r="P155" s="226"/>
      <c r="Q155" s="224"/>
      <c r="R155" s="220"/>
      <c r="S155" s="221"/>
      <c r="T155" s="226"/>
      <c r="U155" s="226"/>
      <c r="V155" s="220"/>
      <c r="W155" s="221"/>
      <c r="X155" s="226"/>
      <c r="Y155" s="226"/>
      <c r="Z155" s="220"/>
      <c r="AA155" s="221"/>
      <c r="AB155" s="226"/>
      <c r="AC155" s="220"/>
      <c r="AD155" s="168">
        <f t="shared" si="10"/>
        <v>0</v>
      </c>
      <c r="AE155" s="168">
        <f t="shared" si="11"/>
        <v>0</v>
      </c>
      <c r="AF155" s="169"/>
      <c r="AG155" s="195"/>
      <c r="AH155" s="195"/>
      <c r="AN155" s="203"/>
      <c r="AO155" s="203"/>
      <c r="AP155" s="203"/>
      <c r="AQ155" s="203"/>
      <c r="AR155" s="203"/>
      <c r="AS155" s="203"/>
      <c r="AT155" s="203"/>
      <c r="AU155" s="195"/>
      <c r="AV155" s="203"/>
      <c r="AW155" s="203"/>
      <c r="AX155" s="195"/>
      <c r="AY155" s="195"/>
      <c r="AZ155" s="203"/>
      <c r="BU155" s="204"/>
      <c r="BV155" s="204"/>
      <c r="BW155" s="204"/>
      <c r="BX155" s="204"/>
      <c r="BY155" s="204"/>
      <c r="BZ155" s="204"/>
      <c r="CA155" s="204"/>
      <c r="CB155" s="204"/>
      <c r="CC155" s="204"/>
      <c r="CD155" s="204"/>
      <c r="CE155" s="204"/>
      <c r="CF155" s="204"/>
      <c r="CG155" s="204"/>
      <c r="CH155" s="204"/>
      <c r="CI155" s="204"/>
      <c r="CJ155" s="204"/>
      <c r="CK155" s="204"/>
      <c r="CL155" s="204"/>
      <c r="CM155" s="204"/>
      <c r="CN155" s="204"/>
      <c r="CO155" s="204"/>
      <c r="CP155" s="204"/>
      <c r="CQ155" s="204"/>
      <c r="CR155" s="204"/>
      <c r="CS155" s="204"/>
      <c r="CT155" s="204"/>
      <c r="CU155" s="204"/>
      <c r="CV155" s="204"/>
      <c r="CW155" s="204"/>
      <c r="CX155" s="204"/>
      <c r="CY155" s="204"/>
      <c r="CZ155" s="204"/>
      <c r="DA155" s="204"/>
      <c r="DB155" s="204"/>
      <c r="DC155" s="204"/>
      <c r="DD155" s="204"/>
      <c r="DE155" s="204"/>
      <c r="DF155" s="204"/>
      <c r="DG155" s="204"/>
      <c r="DH155" s="204"/>
      <c r="DI155" s="204"/>
      <c r="DJ155" s="204"/>
      <c r="DK155" s="204"/>
      <c r="DL155" s="204"/>
      <c r="DM155" s="204"/>
      <c r="DN155" s="204"/>
      <c r="DO155" s="204"/>
      <c r="DP155" s="204"/>
      <c r="DQ155" s="204"/>
      <c r="DR155" s="204"/>
      <c r="DS155" s="204"/>
      <c r="DT155" s="204"/>
      <c r="DU155" s="204"/>
      <c r="DV155" s="204"/>
      <c r="DW155" s="204"/>
      <c r="DX155" s="204"/>
      <c r="DY155" s="204"/>
      <c r="DZ155" s="204"/>
      <c r="EA155" s="204"/>
      <c r="EB155" s="204"/>
      <c r="EC155" s="204"/>
      <c r="ED155" s="204"/>
      <c r="EE155" s="204"/>
      <c r="EF155" s="204"/>
      <c r="EG155" s="204"/>
      <c r="EH155" s="204"/>
      <c r="EI155" s="204"/>
      <c r="EJ155" s="204"/>
      <c r="EK155" s="204"/>
      <c r="EL155" s="204"/>
      <c r="EM155" s="204"/>
      <c r="EN155" s="204"/>
      <c r="EO155" s="204"/>
      <c r="EP155" s="204"/>
      <c r="EQ155" s="204"/>
      <c r="ER155" s="204"/>
      <c r="ES155" s="204"/>
      <c r="ET155" s="204"/>
      <c r="EU155" s="204"/>
      <c r="EV155" s="204"/>
      <c r="EW155" s="204"/>
      <c r="EX155" s="204"/>
      <c r="FC155" s="200" t="str">
        <f t="shared" si="9"/>
        <v>I</v>
      </c>
    </row>
    <row r="156" spans="1:159" s="202" customFormat="1" ht="29.1" customHeight="1" x14ac:dyDescent="0.2">
      <c r="A156" s="142"/>
      <c r="B156" s="146"/>
      <c r="C156" s="153"/>
      <c r="D156" s="51"/>
      <c r="E156" s="38"/>
      <c r="F156" s="220"/>
      <c r="G156" s="221"/>
      <c r="H156" s="226"/>
      <c r="I156" s="226"/>
      <c r="J156" s="226"/>
      <c r="K156" s="224"/>
      <c r="L156" s="220"/>
      <c r="M156" s="221"/>
      <c r="N156" s="226"/>
      <c r="O156" s="226"/>
      <c r="P156" s="226"/>
      <c r="Q156" s="224"/>
      <c r="R156" s="220"/>
      <c r="S156" s="221"/>
      <c r="T156" s="226"/>
      <c r="U156" s="226"/>
      <c r="V156" s="220"/>
      <c r="W156" s="221"/>
      <c r="X156" s="226"/>
      <c r="Y156" s="226"/>
      <c r="Z156" s="220"/>
      <c r="AA156" s="221"/>
      <c r="AB156" s="226"/>
      <c r="AC156" s="220"/>
      <c r="AD156" s="168">
        <f t="shared" si="10"/>
        <v>0</v>
      </c>
      <c r="AE156" s="168">
        <f t="shared" si="11"/>
        <v>0</v>
      </c>
      <c r="AF156" s="169"/>
      <c r="AG156" s="195"/>
      <c r="AH156" s="195"/>
      <c r="AN156" s="203"/>
      <c r="AO156" s="203"/>
      <c r="AP156" s="203"/>
      <c r="AQ156" s="203"/>
      <c r="AR156" s="203"/>
      <c r="AS156" s="203"/>
      <c r="AT156" s="203"/>
      <c r="AU156" s="195"/>
      <c r="AV156" s="203"/>
      <c r="AW156" s="203"/>
      <c r="AX156" s="195"/>
      <c r="AY156" s="195"/>
      <c r="AZ156" s="203"/>
      <c r="BU156" s="204"/>
      <c r="BV156" s="204"/>
      <c r="BW156" s="204"/>
      <c r="BX156" s="204"/>
      <c r="BY156" s="204"/>
      <c r="BZ156" s="204"/>
      <c r="CA156" s="204"/>
      <c r="CB156" s="204"/>
      <c r="CC156" s="204"/>
      <c r="CD156" s="204"/>
      <c r="CE156" s="204"/>
      <c r="CF156" s="204"/>
      <c r="CG156" s="204"/>
      <c r="CH156" s="204"/>
      <c r="CI156" s="204"/>
      <c r="CJ156" s="204"/>
      <c r="CK156" s="204"/>
      <c r="CL156" s="204"/>
      <c r="CM156" s="204"/>
      <c r="CN156" s="204"/>
      <c r="CO156" s="204"/>
      <c r="CP156" s="204"/>
      <c r="CQ156" s="204"/>
      <c r="CR156" s="204"/>
      <c r="CS156" s="204"/>
      <c r="CT156" s="204"/>
      <c r="CU156" s="204"/>
      <c r="CV156" s="204"/>
      <c r="CW156" s="204"/>
      <c r="CX156" s="204"/>
      <c r="CY156" s="204"/>
      <c r="CZ156" s="204"/>
      <c r="DA156" s="204"/>
      <c r="DB156" s="204"/>
      <c r="DC156" s="204"/>
      <c r="DD156" s="204"/>
      <c r="DE156" s="204"/>
      <c r="DF156" s="204"/>
      <c r="DG156" s="204"/>
      <c r="DH156" s="204"/>
      <c r="DI156" s="204"/>
      <c r="DJ156" s="204"/>
      <c r="DK156" s="204"/>
      <c r="DL156" s="204"/>
      <c r="DM156" s="204"/>
      <c r="DN156" s="204"/>
      <c r="DO156" s="204"/>
      <c r="DP156" s="204"/>
      <c r="DQ156" s="204"/>
      <c r="DR156" s="204"/>
      <c r="DS156" s="204"/>
      <c r="DT156" s="204"/>
      <c r="DU156" s="204"/>
      <c r="DV156" s="204"/>
      <c r="DW156" s="204"/>
      <c r="DX156" s="204"/>
      <c r="DY156" s="204"/>
      <c r="DZ156" s="204"/>
      <c r="EA156" s="204"/>
      <c r="EB156" s="204"/>
      <c r="EC156" s="204"/>
      <c r="ED156" s="204"/>
      <c r="EE156" s="204"/>
      <c r="EF156" s="204"/>
      <c r="EG156" s="204"/>
      <c r="EH156" s="204"/>
      <c r="EI156" s="204"/>
      <c r="EJ156" s="204"/>
      <c r="EK156" s="204"/>
      <c r="EL156" s="204"/>
      <c r="EM156" s="204"/>
      <c r="EN156" s="204"/>
      <c r="EO156" s="204"/>
      <c r="EP156" s="204"/>
      <c r="EQ156" s="204"/>
      <c r="ER156" s="204"/>
      <c r="ES156" s="204"/>
      <c r="ET156" s="204"/>
      <c r="EU156" s="204"/>
      <c r="EV156" s="204"/>
      <c r="EW156" s="204"/>
      <c r="EX156" s="204"/>
      <c r="FC156" s="200" t="str">
        <f t="shared" si="9"/>
        <v>I</v>
      </c>
    </row>
    <row r="157" spans="1:159" s="202" customFormat="1" ht="29.1" customHeight="1" x14ac:dyDescent="0.2">
      <c r="A157" s="142"/>
      <c r="B157" s="146"/>
      <c r="C157" s="153"/>
      <c r="D157" s="51"/>
      <c r="E157" s="38"/>
      <c r="F157" s="220"/>
      <c r="G157" s="221"/>
      <c r="H157" s="226"/>
      <c r="I157" s="226"/>
      <c r="J157" s="226"/>
      <c r="K157" s="224"/>
      <c r="L157" s="220"/>
      <c r="M157" s="221"/>
      <c r="N157" s="226"/>
      <c r="O157" s="226"/>
      <c r="P157" s="226"/>
      <c r="Q157" s="224"/>
      <c r="R157" s="220"/>
      <c r="S157" s="221"/>
      <c r="T157" s="226"/>
      <c r="U157" s="226"/>
      <c r="V157" s="220"/>
      <c r="W157" s="221"/>
      <c r="X157" s="226"/>
      <c r="Y157" s="226"/>
      <c r="Z157" s="220"/>
      <c r="AA157" s="221"/>
      <c r="AB157" s="226"/>
      <c r="AC157" s="220"/>
      <c r="AD157" s="168">
        <f t="shared" si="10"/>
        <v>0</v>
      </c>
      <c r="AE157" s="168">
        <f t="shared" si="11"/>
        <v>0</v>
      </c>
      <c r="AF157" s="169"/>
      <c r="AG157" s="195"/>
      <c r="AH157" s="195"/>
      <c r="AN157" s="203"/>
      <c r="AO157" s="203"/>
      <c r="AP157" s="203"/>
      <c r="AQ157" s="203"/>
      <c r="AR157" s="203"/>
      <c r="AS157" s="203"/>
      <c r="AT157" s="203"/>
      <c r="AU157" s="195"/>
      <c r="AV157" s="203"/>
      <c r="AW157" s="203"/>
      <c r="AX157" s="195"/>
      <c r="AY157" s="195"/>
      <c r="AZ157" s="203"/>
      <c r="BU157" s="204"/>
      <c r="BV157" s="204"/>
      <c r="BW157" s="204"/>
      <c r="BX157" s="204"/>
      <c r="BY157" s="204"/>
      <c r="BZ157" s="204"/>
      <c r="CA157" s="204"/>
      <c r="CB157" s="204"/>
      <c r="CC157" s="204"/>
      <c r="CD157" s="204"/>
      <c r="CE157" s="204"/>
      <c r="CF157" s="204"/>
      <c r="CG157" s="204"/>
      <c r="CH157" s="204"/>
      <c r="CI157" s="204"/>
      <c r="CJ157" s="204"/>
      <c r="CK157" s="204"/>
      <c r="CL157" s="204"/>
      <c r="CM157" s="204"/>
      <c r="CN157" s="204"/>
      <c r="CO157" s="204"/>
      <c r="CP157" s="204"/>
      <c r="CQ157" s="204"/>
      <c r="CR157" s="204"/>
      <c r="CS157" s="204"/>
      <c r="CT157" s="204"/>
      <c r="CU157" s="204"/>
      <c r="CV157" s="204"/>
      <c r="CW157" s="204"/>
      <c r="CX157" s="204"/>
      <c r="CY157" s="204"/>
      <c r="CZ157" s="204"/>
      <c r="DA157" s="204"/>
      <c r="DB157" s="204"/>
      <c r="DC157" s="204"/>
      <c r="DD157" s="204"/>
      <c r="DE157" s="204"/>
      <c r="DF157" s="204"/>
      <c r="DG157" s="204"/>
      <c r="DH157" s="204"/>
      <c r="DI157" s="204"/>
      <c r="DJ157" s="204"/>
      <c r="DK157" s="204"/>
      <c r="DL157" s="204"/>
      <c r="DM157" s="204"/>
      <c r="DN157" s="204"/>
      <c r="DO157" s="204"/>
      <c r="DP157" s="204"/>
      <c r="DQ157" s="204"/>
      <c r="DR157" s="204"/>
      <c r="DS157" s="204"/>
      <c r="DT157" s="204"/>
      <c r="DU157" s="204"/>
      <c r="DV157" s="204"/>
      <c r="DW157" s="204"/>
      <c r="DX157" s="204"/>
      <c r="DY157" s="204"/>
      <c r="DZ157" s="204"/>
      <c r="EA157" s="204"/>
      <c r="EB157" s="204"/>
      <c r="EC157" s="204"/>
      <c r="ED157" s="204"/>
      <c r="EE157" s="204"/>
      <c r="EF157" s="204"/>
      <c r="EG157" s="204"/>
      <c r="EH157" s="204"/>
      <c r="EI157" s="204"/>
      <c r="EJ157" s="204"/>
      <c r="EK157" s="204"/>
      <c r="EL157" s="204"/>
      <c r="EM157" s="204"/>
      <c r="EN157" s="204"/>
      <c r="EO157" s="204"/>
      <c r="EP157" s="204"/>
      <c r="EQ157" s="204"/>
      <c r="ER157" s="204"/>
      <c r="ES157" s="204"/>
      <c r="ET157" s="204"/>
      <c r="EU157" s="204"/>
      <c r="EV157" s="204"/>
      <c r="EW157" s="204"/>
      <c r="EX157" s="204"/>
      <c r="FC157" s="200" t="str">
        <f t="shared" si="9"/>
        <v>I</v>
      </c>
    </row>
    <row r="158" spans="1:159" s="202" customFormat="1" ht="29.1" customHeight="1" x14ac:dyDescent="0.2">
      <c r="A158" s="142"/>
      <c r="B158" s="146"/>
      <c r="C158" s="153"/>
      <c r="D158" s="51"/>
      <c r="E158" s="38"/>
      <c r="F158" s="220"/>
      <c r="G158" s="221"/>
      <c r="H158" s="226"/>
      <c r="I158" s="226"/>
      <c r="J158" s="226"/>
      <c r="K158" s="224"/>
      <c r="L158" s="220"/>
      <c r="M158" s="221"/>
      <c r="N158" s="226"/>
      <c r="O158" s="226"/>
      <c r="P158" s="226"/>
      <c r="Q158" s="224"/>
      <c r="R158" s="220"/>
      <c r="S158" s="221"/>
      <c r="T158" s="226"/>
      <c r="U158" s="226"/>
      <c r="V158" s="220"/>
      <c r="W158" s="221"/>
      <c r="X158" s="226"/>
      <c r="Y158" s="226"/>
      <c r="Z158" s="220"/>
      <c r="AA158" s="221"/>
      <c r="AB158" s="226"/>
      <c r="AC158" s="220"/>
      <c r="AD158" s="168">
        <f t="shared" si="10"/>
        <v>0</v>
      </c>
      <c r="AE158" s="168">
        <f t="shared" si="11"/>
        <v>0</v>
      </c>
      <c r="AF158" s="169"/>
      <c r="AG158" s="195"/>
      <c r="AH158" s="195"/>
      <c r="AN158" s="203"/>
      <c r="AO158" s="203"/>
      <c r="AP158" s="203"/>
      <c r="AQ158" s="203"/>
      <c r="AR158" s="203"/>
      <c r="AS158" s="203"/>
      <c r="AT158" s="203"/>
      <c r="AU158" s="195"/>
      <c r="AV158" s="203"/>
      <c r="AW158" s="203"/>
      <c r="AX158" s="195"/>
      <c r="AY158" s="195"/>
      <c r="AZ158" s="203"/>
      <c r="BU158" s="204"/>
      <c r="BV158" s="204"/>
      <c r="BW158" s="204"/>
      <c r="BX158" s="204"/>
      <c r="BY158" s="204"/>
      <c r="BZ158" s="204"/>
      <c r="CA158" s="204"/>
      <c r="CB158" s="204"/>
      <c r="CC158" s="204"/>
      <c r="CD158" s="204"/>
      <c r="CE158" s="204"/>
      <c r="CF158" s="204"/>
      <c r="CG158" s="204"/>
      <c r="CH158" s="204"/>
      <c r="CI158" s="204"/>
      <c r="CJ158" s="204"/>
      <c r="CK158" s="204"/>
      <c r="CL158" s="204"/>
      <c r="CM158" s="204"/>
      <c r="CN158" s="204"/>
      <c r="CO158" s="204"/>
      <c r="CP158" s="204"/>
      <c r="CQ158" s="204"/>
      <c r="CR158" s="204"/>
      <c r="CS158" s="204"/>
      <c r="CT158" s="204"/>
      <c r="CU158" s="204"/>
      <c r="CV158" s="204"/>
      <c r="CW158" s="204"/>
      <c r="CX158" s="204"/>
      <c r="CY158" s="204"/>
      <c r="CZ158" s="204"/>
      <c r="DA158" s="204"/>
      <c r="DB158" s="204"/>
      <c r="DC158" s="204"/>
      <c r="DD158" s="204"/>
      <c r="DE158" s="204"/>
      <c r="DF158" s="204"/>
      <c r="DG158" s="204"/>
      <c r="DH158" s="204"/>
      <c r="DI158" s="204"/>
      <c r="DJ158" s="204"/>
      <c r="DK158" s="204"/>
      <c r="DL158" s="204"/>
      <c r="DM158" s="204"/>
      <c r="DN158" s="204"/>
      <c r="DO158" s="204"/>
      <c r="DP158" s="204"/>
      <c r="DQ158" s="204"/>
      <c r="DR158" s="204"/>
      <c r="DS158" s="204"/>
      <c r="DT158" s="204"/>
      <c r="DU158" s="204"/>
      <c r="DV158" s="204"/>
      <c r="DW158" s="204"/>
      <c r="DX158" s="204"/>
      <c r="DY158" s="204"/>
      <c r="DZ158" s="204"/>
      <c r="EA158" s="204"/>
      <c r="EB158" s="204"/>
      <c r="EC158" s="204"/>
      <c r="ED158" s="204"/>
      <c r="EE158" s="204"/>
      <c r="EF158" s="204"/>
      <c r="EG158" s="204"/>
      <c r="EH158" s="204"/>
      <c r="EI158" s="204"/>
      <c r="EJ158" s="204"/>
      <c r="EK158" s="204"/>
      <c r="EL158" s="204"/>
      <c r="EM158" s="204"/>
      <c r="EN158" s="204"/>
      <c r="EO158" s="204"/>
      <c r="EP158" s="204"/>
      <c r="EQ158" s="204"/>
      <c r="ER158" s="204"/>
      <c r="ES158" s="204"/>
      <c r="ET158" s="204"/>
      <c r="EU158" s="204"/>
      <c r="EV158" s="204"/>
      <c r="EW158" s="204"/>
      <c r="EX158" s="204"/>
      <c r="FC158" s="200" t="str">
        <f t="shared" si="9"/>
        <v>I</v>
      </c>
    </row>
    <row r="159" spans="1:159" s="202" customFormat="1" ht="29.1" customHeight="1" x14ac:dyDescent="0.2">
      <c r="A159" s="142"/>
      <c r="B159" s="146"/>
      <c r="C159" s="153"/>
      <c r="D159" s="51"/>
      <c r="E159" s="38"/>
      <c r="F159" s="220"/>
      <c r="G159" s="221"/>
      <c r="H159" s="226"/>
      <c r="I159" s="226"/>
      <c r="J159" s="226"/>
      <c r="K159" s="224"/>
      <c r="L159" s="220"/>
      <c r="M159" s="221"/>
      <c r="N159" s="226"/>
      <c r="O159" s="226"/>
      <c r="P159" s="226"/>
      <c r="Q159" s="224"/>
      <c r="R159" s="220"/>
      <c r="S159" s="221"/>
      <c r="T159" s="226"/>
      <c r="U159" s="226"/>
      <c r="V159" s="220"/>
      <c r="W159" s="221"/>
      <c r="X159" s="226"/>
      <c r="Y159" s="226"/>
      <c r="Z159" s="220"/>
      <c r="AA159" s="221"/>
      <c r="AB159" s="226"/>
      <c r="AC159" s="220"/>
      <c r="AD159" s="168">
        <f t="shared" si="10"/>
        <v>0</v>
      </c>
      <c r="AE159" s="168">
        <f t="shared" si="11"/>
        <v>0</v>
      </c>
      <c r="AF159" s="169"/>
      <c r="AG159" s="195"/>
      <c r="AH159" s="195"/>
      <c r="AN159" s="203"/>
      <c r="AO159" s="203"/>
      <c r="AP159" s="203"/>
      <c r="AQ159" s="203"/>
      <c r="AR159" s="203"/>
      <c r="AS159" s="203"/>
      <c r="AT159" s="203"/>
      <c r="AU159" s="195"/>
      <c r="AV159" s="203"/>
      <c r="AW159" s="203"/>
      <c r="AX159" s="195"/>
      <c r="AY159" s="195"/>
      <c r="AZ159" s="203"/>
      <c r="BU159" s="204"/>
      <c r="BV159" s="204"/>
      <c r="BW159" s="204"/>
      <c r="BX159" s="204"/>
      <c r="BY159" s="204"/>
      <c r="BZ159" s="204"/>
      <c r="CA159" s="204"/>
      <c r="CB159" s="204"/>
      <c r="CC159" s="204"/>
      <c r="CD159" s="204"/>
      <c r="CE159" s="204"/>
      <c r="CF159" s="204"/>
      <c r="CG159" s="204"/>
      <c r="CH159" s="204"/>
      <c r="CI159" s="204"/>
      <c r="CJ159" s="204"/>
      <c r="CK159" s="204"/>
      <c r="CL159" s="204"/>
      <c r="CM159" s="204"/>
      <c r="CN159" s="204"/>
      <c r="CO159" s="204"/>
      <c r="CP159" s="204"/>
      <c r="CQ159" s="204"/>
      <c r="CR159" s="204"/>
      <c r="CS159" s="204"/>
      <c r="CT159" s="204"/>
      <c r="CU159" s="204"/>
      <c r="CV159" s="204"/>
      <c r="CW159" s="204"/>
      <c r="CX159" s="204"/>
      <c r="CY159" s="204"/>
      <c r="CZ159" s="204"/>
      <c r="DA159" s="204"/>
      <c r="DB159" s="204"/>
      <c r="DC159" s="204"/>
      <c r="DD159" s="204"/>
      <c r="DE159" s="204"/>
      <c r="DF159" s="204"/>
      <c r="DG159" s="204"/>
      <c r="DH159" s="204"/>
      <c r="DI159" s="204"/>
      <c r="DJ159" s="204"/>
      <c r="DK159" s="204"/>
      <c r="DL159" s="204"/>
      <c r="DM159" s="204"/>
      <c r="DN159" s="204"/>
      <c r="DO159" s="204"/>
      <c r="DP159" s="204"/>
      <c r="DQ159" s="204"/>
      <c r="DR159" s="204"/>
      <c r="DS159" s="204"/>
      <c r="DT159" s="204"/>
      <c r="DU159" s="204"/>
      <c r="DV159" s="204"/>
      <c r="DW159" s="204"/>
      <c r="DX159" s="204"/>
      <c r="DY159" s="204"/>
      <c r="DZ159" s="204"/>
      <c r="EA159" s="204"/>
      <c r="EB159" s="204"/>
      <c r="EC159" s="204"/>
      <c r="ED159" s="204"/>
      <c r="EE159" s="204"/>
      <c r="EF159" s="204"/>
      <c r="EG159" s="204"/>
      <c r="EH159" s="204"/>
      <c r="EI159" s="204"/>
      <c r="EJ159" s="204"/>
      <c r="EK159" s="204"/>
      <c r="EL159" s="204"/>
      <c r="EM159" s="204"/>
      <c r="EN159" s="204"/>
      <c r="EO159" s="204"/>
      <c r="EP159" s="204"/>
      <c r="EQ159" s="204"/>
      <c r="ER159" s="204"/>
      <c r="ES159" s="204"/>
      <c r="ET159" s="204"/>
      <c r="EU159" s="204"/>
      <c r="EV159" s="204"/>
      <c r="EW159" s="204"/>
      <c r="EX159" s="204"/>
      <c r="FC159" s="200" t="str">
        <f t="shared" si="9"/>
        <v>I</v>
      </c>
    </row>
    <row r="160" spans="1:159" s="202" customFormat="1" ht="29.1" customHeight="1" x14ac:dyDescent="0.2">
      <c r="A160" s="142"/>
      <c r="B160" s="146"/>
      <c r="C160" s="153"/>
      <c r="D160" s="51"/>
      <c r="E160" s="38"/>
      <c r="F160" s="220"/>
      <c r="G160" s="221"/>
      <c r="H160" s="226"/>
      <c r="I160" s="226"/>
      <c r="J160" s="226"/>
      <c r="K160" s="224"/>
      <c r="L160" s="220"/>
      <c r="M160" s="221"/>
      <c r="N160" s="226"/>
      <c r="O160" s="226"/>
      <c r="P160" s="226"/>
      <c r="Q160" s="224"/>
      <c r="R160" s="220"/>
      <c r="S160" s="221"/>
      <c r="T160" s="226"/>
      <c r="U160" s="226"/>
      <c r="V160" s="220"/>
      <c r="W160" s="221"/>
      <c r="X160" s="226"/>
      <c r="Y160" s="226"/>
      <c r="Z160" s="220"/>
      <c r="AA160" s="221"/>
      <c r="AB160" s="226"/>
      <c r="AC160" s="220"/>
      <c r="AD160" s="168">
        <f t="shared" si="10"/>
        <v>0</v>
      </c>
      <c r="AE160" s="168">
        <f t="shared" si="11"/>
        <v>0</v>
      </c>
      <c r="AF160" s="169"/>
      <c r="AG160" s="195"/>
      <c r="AH160" s="195"/>
      <c r="AN160" s="203"/>
      <c r="AO160" s="203"/>
      <c r="AP160" s="203"/>
      <c r="AQ160" s="203"/>
      <c r="AR160" s="203"/>
      <c r="AS160" s="203"/>
      <c r="AT160" s="203"/>
      <c r="AU160" s="195"/>
      <c r="AV160" s="203"/>
      <c r="AW160" s="203"/>
      <c r="AX160" s="195"/>
      <c r="AY160" s="195"/>
      <c r="AZ160" s="203"/>
      <c r="BU160" s="204"/>
      <c r="BV160" s="204"/>
      <c r="BW160" s="204"/>
      <c r="BX160" s="204"/>
      <c r="BY160" s="204"/>
      <c r="BZ160" s="204"/>
      <c r="CA160" s="204"/>
      <c r="CB160" s="204"/>
      <c r="CC160" s="204"/>
      <c r="CD160" s="204"/>
      <c r="CE160" s="204"/>
      <c r="CF160" s="204"/>
      <c r="CG160" s="204"/>
      <c r="CH160" s="204"/>
      <c r="CI160" s="204"/>
      <c r="CJ160" s="204"/>
      <c r="CK160" s="204"/>
      <c r="CL160" s="204"/>
      <c r="CM160" s="204"/>
      <c r="CN160" s="204"/>
      <c r="CO160" s="204"/>
      <c r="CP160" s="204"/>
      <c r="CQ160" s="204"/>
      <c r="CR160" s="204"/>
      <c r="CS160" s="204"/>
      <c r="CT160" s="204"/>
      <c r="CU160" s="204"/>
      <c r="CV160" s="204"/>
      <c r="CW160" s="204"/>
      <c r="CX160" s="204"/>
      <c r="CY160" s="204"/>
      <c r="CZ160" s="204"/>
      <c r="DA160" s="204"/>
      <c r="DB160" s="204"/>
      <c r="DC160" s="204"/>
      <c r="DD160" s="204"/>
      <c r="DE160" s="204"/>
      <c r="DF160" s="204"/>
      <c r="DG160" s="204"/>
      <c r="DH160" s="204"/>
      <c r="DI160" s="204"/>
      <c r="DJ160" s="204"/>
      <c r="DK160" s="204"/>
      <c r="DL160" s="204"/>
      <c r="DM160" s="204"/>
      <c r="DN160" s="204"/>
      <c r="DO160" s="204"/>
      <c r="DP160" s="204"/>
      <c r="DQ160" s="204"/>
      <c r="DR160" s="204"/>
      <c r="DS160" s="204"/>
      <c r="DT160" s="204"/>
      <c r="DU160" s="204"/>
      <c r="DV160" s="204"/>
      <c r="DW160" s="204"/>
      <c r="DX160" s="204"/>
      <c r="DY160" s="204"/>
      <c r="DZ160" s="204"/>
      <c r="EA160" s="204"/>
      <c r="EB160" s="204"/>
      <c r="EC160" s="204"/>
      <c r="ED160" s="204"/>
      <c r="EE160" s="204"/>
      <c r="EF160" s="204"/>
      <c r="EG160" s="204"/>
      <c r="EH160" s="204"/>
      <c r="EI160" s="204"/>
      <c r="EJ160" s="204"/>
      <c r="EK160" s="204"/>
      <c r="EL160" s="204"/>
      <c r="EM160" s="204"/>
      <c r="EN160" s="204"/>
      <c r="EO160" s="204"/>
      <c r="EP160" s="204"/>
      <c r="EQ160" s="204"/>
      <c r="ER160" s="204"/>
      <c r="ES160" s="204"/>
      <c r="ET160" s="204"/>
      <c r="EU160" s="204"/>
      <c r="EV160" s="204"/>
      <c r="EW160" s="204"/>
      <c r="EX160" s="204"/>
      <c r="FC160" s="200" t="str">
        <f t="shared" si="9"/>
        <v>I</v>
      </c>
    </row>
    <row r="161" spans="1:159" s="202" customFormat="1" ht="29.1" customHeight="1" x14ac:dyDescent="0.2">
      <c r="A161" s="142"/>
      <c r="B161" s="146"/>
      <c r="C161" s="153"/>
      <c r="D161" s="51"/>
      <c r="E161" s="38"/>
      <c r="F161" s="220"/>
      <c r="G161" s="221"/>
      <c r="H161" s="226"/>
      <c r="I161" s="226"/>
      <c r="J161" s="226"/>
      <c r="K161" s="224"/>
      <c r="L161" s="220"/>
      <c r="M161" s="221"/>
      <c r="N161" s="226"/>
      <c r="O161" s="226"/>
      <c r="P161" s="226"/>
      <c r="Q161" s="224"/>
      <c r="R161" s="220"/>
      <c r="S161" s="221"/>
      <c r="T161" s="226"/>
      <c r="U161" s="226"/>
      <c r="V161" s="220"/>
      <c r="W161" s="221"/>
      <c r="X161" s="226"/>
      <c r="Y161" s="226"/>
      <c r="Z161" s="220"/>
      <c r="AA161" s="221"/>
      <c r="AB161" s="226"/>
      <c r="AC161" s="220"/>
      <c r="AD161" s="168">
        <f t="shared" si="10"/>
        <v>0</v>
      </c>
      <c r="AE161" s="168">
        <f t="shared" si="11"/>
        <v>0</v>
      </c>
      <c r="AF161" s="169"/>
      <c r="AG161" s="195"/>
      <c r="AH161" s="195"/>
      <c r="AN161" s="203"/>
      <c r="AO161" s="203"/>
      <c r="AP161" s="203"/>
      <c r="AQ161" s="203"/>
      <c r="AR161" s="203"/>
      <c r="AS161" s="203"/>
      <c r="AT161" s="203"/>
      <c r="AU161" s="195"/>
      <c r="AV161" s="203"/>
      <c r="AW161" s="203"/>
      <c r="AX161" s="195"/>
      <c r="AY161" s="195"/>
      <c r="AZ161" s="203"/>
      <c r="BU161" s="204"/>
      <c r="BV161" s="204"/>
      <c r="BW161" s="204"/>
      <c r="BX161" s="204"/>
      <c r="BY161" s="204"/>
      <c r="BZ161" s="204"/>
      <c r="CA161" s="204"/>
      <c r="CB161" s="204"/>
      <c r="CC161" s="204"/>
      <c r="CD161" s="204"/>
      <c r="CE161" s="204"/>
      <c r="CF161" s="204"/>
      <c r="CG161" s="204"/>
      <c r="CH161" s="204"/>
      <c r="CI161" s="204"/>
      <c r="CJ161" s="204"/>
      <c r="CK161" s="204"/>
      <c r="CL161" s="204"/>
      <c r="CM161" s="204"/>
      <c r="CN161" s="204"/>
      <c r="CO161" s="204"/>
      <c r="CP161" s="204"/>
      <c r="CQ161" s="204"/>
      <c r="CR161" s="204"/>
      <c r="CS161" s="204"/>
      <c r="CT161" s="204"/>
      <c r="CU161" s="204"/>
      <c r="CV161" s="204"/>
      <c r="CW161" s="204"/>
      <c r="CX161" s="204"/>
      <c r="CY161" s="204"/>
      <c r="CZ161" s="204"/>
      <c r="DA161" s="204"/>
      <c r="DB161" s="204"/>
      <c r="DC161" s="204"/>
      <c r="DD161" s="204"/>
      <c r="DE161" s="204"/>
      <c r="DF161" s="204"/>
      <c r="DG161" s="204"/>
      <c r="DH161" s="204"/>
      <c r="DI161" s="204"/>
      <c r="DJ161" s="204"/>
      <c r="DK161" s="204"/>
      <c r="DL161" s="204"/>
      <c r="DM161" s="204"/>
      <c r="DN161" s="204"/>
      <c r="DO161" s="204"/>
      <c r="DP161" s="204"/>
      <c r="DQ161" s="204"/>
      <c r="DR161" s="204"/>
      <c r="DS161" s="204"/>
      <c r="DT161" s="204"/>
      <c r="DU161" s="204"/>
      <c r="DV161" s="204"/>
      <c r="DW161" s="204"/>
      <c r="DX161" s="204"/>
      <c r="DY161" s="204"/>
      <c r="DZ161" s="204"/>
      <c r="EA161" s="204"/>
      <c r="EB161" s="204"/>
      <c r="EC161" s="204"/>
      <c r="ED161" s="204"/>
      <c r="EE161" s="204"/>
      <c r="EF161" s="204"/>
      <c r="EG161" s="204"/>
      <c r="EH161" s="204"/>
      <c r="EI161" s="204"/>
      <c r="EJ161" s="204"/>
      <c r="EK161" s="204"/>
      <c r="EL161" s="204"/>
      <c r="EM161" s="204"/>
      <c r="EN161" s="204"/>
      <c r="EO161" s="204"/>
      <c r="EP161" s="204"/>
      <c r="EQ161" s="204"/>
      <c r="ER161" s="204"/>
      <c r="ES161" s="204"/>
      <c r="ET161" s="204"/>
      <c r="EU161" s="204"/>
      <c r="EV161" s="204"/>
      <c r="EW161" s="204"/>
      <c r="EX161" s="204"/>
      <c r="FC161" s="200" t="str">
        <f t="shared" si="9"/>
        <v>I</v>
      </c>
    </row>
    <row r="162" spans="1:159" s="202" customFormat="1" ht="29.1" customHeight="1" x14ac:dyDescent="0.2">
      <c r="A162" s="142"/>
      <c r="B162" s="146"/>
      <c r="C162" s="153"/>
      <c r="D162" s="51"/>
      <c r="E162" s="38"/>
      <c r="F162" s="220"/>
      <c r="G162" s="221"/>
      <c r="H162" s="226"/>
      <c r="I162" s="226"/>
      <c r="J162" s="226"/>
      <c r="K162" s="224"/>
      <c r="L162" s="220"/>
      <c r="M162" s="221"/>
      <c r="N162" s="226"/>
      <c r="O162" s="226"/>
      <c r="P162" s="226"/>
      <c r="Q162" s="224"/>
      <c r="R162" s="220"/>
      <c r="S162" s="221"/>
      <c r="T162" s="226"/>
      <c r="U162" s="226"/>
      <c r="V162" s="220"/>
      <c r="W162" s="221"/>
      <c r="X162" s="226"/>
      <c r="Y162" s="226"/>
      <c r="Z162" s="220"/>
      <c r="AA162" s="221"/>
      <c r="AB162" s="226"/>
      <c r="AC162" s="220"/>
      <c r="AD162" s="168">
        <f t="shared" si="10"/>
        <v>0</v>
      </c>
      <c r="AE162" s="168">
        <f t="shared" si="11"/>
        <v>0</v>
      </c>
      <c r="AF162" s="169"/>
      <c r="AG162" s="195"/>
      <c r="AH162" s="195"/>
      <c r="AN162" s="203"/>
      <c r="AO162" s="203"/>
      <c r="AP162" s="203"/>
      <c r="AQ162" s="203"/>
      <c r="AR162" s="203"/>
      <c r="AS162" s="203"/>
      <c r="AT162" s="203"/>
      <c r="AU162" s="195"/>
      <c r="AV162" s="203"/>
      <c r="AW162" s="203"/>
      <c r="AX162" s="195"/>
      <c r="AY162" s="195"/>
      <c r="AZ162" s="203"/>
      <c r="BU162" s="204"/>
      <c r="BV162" s="204"/>
      <c r="BW162" s="204"/>
      <c r="BX162" s="204"/>
      <c r="BY162" s="204"/>
      <c r="BZ162" s="204"/>
      <c r="CA162" s="204"/>
      <c r="CB162" s="204"/>
      <c r="CC162" s="204"/>
      <c r="CD162" s="204"/>
      <c r="CE162" s="204"/>
      <c r="CF162" s="204"/>
      <c r="CG162" s="204"/>
      <c r="CH162" s="204"/>
      <c r="CI162" s="204"/>
      <c r="CJ162" s="204"/>
      <c r="CK162" s="204"/>
      <c r="CL162" s="204"/>
      <c r="CM162" s="204"/>
      <c r="CN162" s="204"/>
      <c r="CO162" s="204"/>
      <c r="CP162" s="204"/>
      <c r="CQ162" s="204"/>
      <c r="CR162" s="204"/>
      <c r="CS162" s="204"/>
      <c r="CT162" s="204"/>
      <c r="CU162" s="204"/>
      <c r="CV162" s="204"/>
      <c r="CW162" s="204"/>
      <c r="CX162" s="204"/>
      <c r="CY162" s="204"/>
      <c r="CZ162" s="204"/>
      <c r="DA162" s="204"/>
      <c r="DB162" s="204"/>
      <c r="DC162" s="204"/>
      <c r="DD162" s="204"/>
      <c r="DE162" s="204"/>
      <c r="DF162" s="204"/>
      <c r="DG162" s="204"/>
      <c r="DH162" s="204"/>
      <c r="DI162" s="204"/>
      <c r="DJ162" s="204"/>
      <c r="DK162" s="204"/>
      <c r="DL162" s="204"/>
      <c r="DM162" s="204"/>
      <c r="DN162" s="204"/>
      <c r="DO162" s="204"/>
      <c r="DP162" s="204"/>
      <c r="DQ162" s="204"/>
      <c r="DR162" s="204"/>
      <c r="DS162" s="204"/>
      <c r="DT162" s="204"/>
      <c r="DU162" s="204"/>
      <c r="DV162" s="204"/>
      <c r="DW162" s="204"/>
      <c r="DX162" s="204"/>
      <c r="DY162" s="204"/>
      <c r="DZ162" s="204"/>
      <c r="EA162" s="204"/>
      <c r="EB162" s="204"/>
      <c r="EC162" s="204"/>
      <c r="ED162" s="204"/>
      <c r="EE162" s="204"/>
      <c r="EF162" s="204"/>
      <c r="EG162" s="204"/>
      <c r="EH162" s="204"/>
      <c r="EI162" s="204"/>
      <c r="EJ162" s="204"/>
      <c r="EK162" s="204"/>
      <c r="EL162" s="204"/>
      <c r="EM162" s="204"/>
      <c r="EN162" s="204"/>
      <c r="EO162" s="204"/>
      <c r="EP162" s="204"/>
      <c r="EQ162" s="204"/>
      <c r="ER162" s="204"/>
      <c r="ES162" s="204"/>
      <c r="ET162" s="204"/>
      <c r="EU162" s="204"/>
      <c r="EV162" s="204"/>
      <c r="EW162" s="204"/>
      <c r="EX162" s="204"/>
      <c r="FC162" s="200" t="str">
        <f t="shared" si="9"/>
        <v>I</v>
      </c>
    </row>
    <row r="163" spans="1:159" s="202" customFormat="1" ht="29.1" customHeight="1" x14ac:dyDescent="0.2">
      <c r="A163" s="142"/>
      <c r="B163" s="146"/>
      <c r="C163" s="153"/>
      <c r="D163" s="51"/>
      <c r="E163" s="38"/>
      <c r="F163" s="220"/>
      <c r="G163" s="221"/>
      <c r="H163" s="226"/>
      <c r="I163" s="226"/>
      <c r="J163" s="226"/>
      <c r="K163" s="224"/>
      <c r="L163" s="220"/>
      <c r="M163" s="221"/>
      <c r="N163" s="226"/>
      <c r="O163" s="226"/>
      <c r="P163" s="226"/>
      <c r="Q163" s="224"/>
      <c r="R163" s="220"/>
      <c r="S163" s="221"/>
      <c r="T163" s="226"/>
      <c r="U163" s="226"/>
      <c r="V163" s="220"/>
      <c r="W163" s="221"/>
      <c r="X163" s="226"/>
      <c r="Y163" s="226"/>
      <c r="Z163" s="220"/>
      <c r="AA163" s="221"/>
      <c r="AB163" s="226"/>
      <c r="AC163" s="220"/>
      <c r="AD163" s="168">
        <f t="shared" si="10"/>
        <v>0</v>
      </c>
      <c r="AE163" s="168">
        <f t="shared" si="11"/>
        <v>0</v>
      </c>
      <c r="AF163" s="169"/>
      <c r="AG163" s="195"/>
      <c r="AH163" s="195"/>
      <c r="AN163" s="203"/>
      <c r="AO163" s="203"/>
      <c r="AP163" s="203"/>
      <c r="AQ163" s="203"/>
      <c r="AR163" s="203"/>
      <c r="AS163" s="203"/>
      <c r="AT163" s="203"/>
      <c r="AU163" s="195"/>
      <c r="AV163" s="203"/>
      <c r="AW163" s="203"/>
      <c r="AX163" s="195"/>
      <c r="AY163" s="195"/>
      <c r="AZ163" s="203"/>
      <c r="BU163" s="204"/>
      <c r="BV163" s="204"/>
      <c r="BW163" s="204"/>
      <c r="BX163" s="204"/>
      <c r="BY163" s="204"/>
      <c r="BZ163" s="204"/>
      <c r="CA163" s="204"/>
      <c r="CB163" s="204"/>
      <c r="CC163" s="204"/>
      <c r="CD163" s="204"/>
      <c r="CE163" s="204"/>
      <c r="CF163" s="204"/>
      <c r="CG163" s="204"/>
      <c r="CH163" s="204"/>
      <c r="CI163" s="204"/>
      <c r="CJ163" s="204"/>
      <c r="CK163" s="204"/>
      <c r="CL163" s="204"/>
      <c r="CM163" s="204"/>
      <c r="CN163" s="204"/>
      <c r="CO163" s="204"/>
      <c r="CP163" s="204"/>
      <c r="CQ163" s="204"/>
      <c r="CR163" s="204"/>
      <c r="CS163" s="204"/>
      <c r="CT163" s="204"/>
      <c r="CU163" s="204"/>
      <c r="CV163" s="204"/>
      <c r="CW163" s="204"/>
      <c r="CX163" s="204"/>
      <c r="CY163" s="204"/>
      <c r="CZ163" s="204"/>
      <c r="DA163" s="204"/>
      <c r="DB163" s="204"/>
      <c r="DC163" s="204"/>
      <c r="DD163" s="204"/>
      <c r="DE163" s="204"/>
      <c r="DF163" s="204"/>
      <c r="DG163" s="204"/>
      <c r="DH163" s="204"/>
      <c r="DI163" s="204"/>
      <c r="DJ163" s="204"/>
      <c r="DK163" s="204"/>
      <c r="DL163" s="204"/>
      <c r="DM163" s="204"/>
      <c r="DN163" s="204"/>
      <c r="DO163" s="204"/>
      <c r="DP163" s="204"/>
      <c r="DQ163" s="204"/>
      <c r="DR163" s="204"/>
      <c r="DS163" s="204"/>
      <c r="DT163" s="204"/>
      <c r="DU163" s="204"/>
      <c r="DV163" s="204"/>
      <c r="DW163" s="204"/>
      <c r="DX163" s="204"/>
      <c r="DY163" s="204"/>
      <c r="DZ163" s="204"/>
      <c r="EA163" s="204"/>
      <c r="EB163" s="204"/>
      <c r="EC163" s="204"/>
      <c r="ED163" s="204"/>
      <c r="EE163" s="204"/>
      <c r="EF163" s="204"/>
      <c r="EG163" s="204"/>
      <c r="EH163" s="204"/>
      <c r="EI163" s="204"/>
      <c r="EJ163" s="204"/>
      <c r="EK163" s="204"/>
      <c r="EL163" s="204"/>
      <c r="EM163" s="204"/>
      <c r="EN163" s="204"/>
      <c r="EO163" s="204"/>
      <c r="EP163" s="204"/>
      <c r="EQ163" s="204"/>
      <c r="ER163" s="204"/>
      <c r="ES163" s="204"/>
      <c r="ET163" s="204"/>
      <c r="EU163" s="204"/>
      <c r="EV163" s="204"/>
      <c r="EW163" s="204"/>
      <c r="EX163" s="204"/>
      <c r="FC163" s="200" t="str">
        <f t="shared" si="9"/>
        <v>I</v>
      </c>
    </row>
    <row r="164" spans="1:159" s="202" customFormat="1" ht="29.1" customHeight="1" x14ac:dyDescent="0.2">
      <c r="A164" s="142"/>
      <c r="B164" s="146"/>
      <c r="C164" s="153"/>
      <c r="D164" s="51"/>
      <c r="E164" s="38"/>
      <c r="F164" s="220"/>
      <c r="G164" s="221"/>
      <c r="H164" s="226"/>
      <c r="I164" s="226"/>
      <c r="J164" s="226"/>
      <c r="K164" s="224"/>
      <c r="L164" s="220"/>
      <c r="M164" s="221"/>
      <c r="N164" s="226"/>
      <c r="O164" s="226"/>
      <c r="P164" s="226"/>
      <c r="Q164" s="224"/>
      <c r="R164" s="220"/>
      <c r="S164" s="221"/>
      <c r="T164" s="226"/>
      <c r="U164" s="226"/>
      <c r="V164" s="220"/>
      <c r="W164" s="221"/>
      <c r="X164" s="226"/>
      <c r="Y164" s="226"/>
      <c r="Z164" s="220"/>
      <c r="AA164" s="221"/>
      <c r="AB164" s="226"/>
      <c r="AC164" s="220"/>
      <c r="AD164" s="168">
        <f t="shared" si="10"/>
        <v>0</v>
      </c>
      <c r="AE164" s="168">
        <f t="shared" si="11"/>
        <v>0</v>
      </c>
      <c r="AF164" s="169"/>
      <c r="AG164" s="195"/>
      <c r="AH164" s="195"/>
      <c r="AN164" s="203"/>
      <c r="AO164" s="203"/>
      <c r="AP164" s="203"/>
      <c r="AQ164" s="203"/>
      <c r="AR164" s="203"/>
      <c r="AS164" s="203"/>
      <c r="AT164" s="203"/>
      <c r="AU164" s="195"/>
      <c r="AV164" s="203"/>
      <c r="AW164" s="203"/>
      <c r="AX164" s="195"/>
      <c r="AY164" s="195"/>
      <c r="AZ164" s="203"/>
      <c r="BU164" s="204"/>
      <c r="BV164" s="204"/>
      <c r="BW164" s="204"/>
      <c r="BX164" s="204"/>
      <c r="BY164" s="204"/>
      <c r="BZ164" s="204"/>
      <c r="CA164" s="204"/>
      <c r="CB164" s="204"/>
      <c r="CC164" s="204"/>
      <c r="CD164" s="204"/>
      <c r="CE164" s="204"/>
      <c r="CF164" s="204"/>
      <c r="CG164" s="204"/>
      <c r="CH164" s="204"/>
      <c r="CI164" s="204"/>
      <c r="CJ164" s="204"/>
      <c r="CK164" s="204"/>
      <c r="CL164" s="204"/>
      <c r="CM164" s="204"/>
      <c r="CN164" s="204"/>
      <c r="CO164" s="204"/>
      <c r="CP164" s="204"/>
      <c r="CQ164" s="204"/>
      <c r="CR164" s="204"/>
      <c r="CS164" s="204"/>
      <c r="CT164" s="204"/>
      <c r="CU164" s="204"/>
      <c r="CV164" s="204"/>
      <c r="CW164" s="204"/>
      <c r="CX164" s="204"/>
      <c r="CY164" s="204"/>
      <c r="CZ164" s="204"/>
      <c r="DA164" s="204"/>
      <c r="DB164" s="204"/>
      <c r="DC164" s="204"/>
      <c r="DD164" s="204"/>
      <c r="DE164" s="204"/>
      <c r="DF164" s="204"/>
      <c r="DG164" s="204"/>
      <c r="DH164" s="204"/>
      <c r="DI164" s="204"/>
      <c r="DJ164" s="204"/>
      <c r="DK164" s="204"/>
      <c r="DL164" s="204"/>
      <c r="DM164" s="204"/>
      <c r="DN164" s="204"/>
      <c r="DO164" s="204"/>
      <c r="DP164" s="204"/>
      <c r="DQ164" s="204"/>
      <c r="DR164" s="204"/>
      <c r="DS164" s="204"/>
      <c r="DT164" s="204"/>
      <c r="DU164" s="204"/>
      <c r="DV164" s="204"/>
      <c r="DW164" s="204"/>
      <c r="DX164" s="204"/>
      <c r="DY164" s="204"/>
      <c r="DZ164" s="204"/>
      <c r="EA164" s="204"/>
      <c r="EB164" s="204"/>
      <c r="EC164" s="204"/>
      <c r="ED164" s="204"/>
      <c r="EE164" s="204"/>
      <c r="EF164" s="204"/>
      <c r="EG164" s="204"/>
      <c r="EH164" s="204"/>
      <c r="EI164" s="204"/>
      <c r="EJ164" s="204"/>
      <c r="EK164" s="204"/>
      <c r="EL164" s="204"/>
      <c r="EM164" s="204"/>
      <c r="EN164" s="204"/>
      <c r="EO164" s="204"/>
      <c r="EP164" s="204"/>
      <c r="EQ164" s="204"/>
      <c r="ER164" s="204"/>
      <c r="ES164" s="204"/>
      <c r="ET164" s="204"/>
      <c r="EU164" s="204"/>
      <c r="EV164" s="204"/>
      <c r="EW164" s="204"/>
      <c r="EX164" s="204"/>
      <c r="FC164" s="200" t="str">
        <f t="shared" si="9"/>
        <v>I</v>
      </c>
    </row>
    <row r="165" spans="1:159" s="202" customFormat="1" ht="29.1" customHeight="1" x14ac:dyDescent="0.2">
      <c r="A165" s="142"/>
      <c r="B165" s="146"/>
      <c r="C165" s="153"/>
      <c r="D165" s="51"/>
      <c r="E165" s="38"/>
      <c r="F165" s="220"/>
      <c r="G165" s="221"/>
      <c r="H165" s="226"/>
      <c r="I165" s="226"/>
      <c r="J165" s="226"/>
      <c r="K165" s="224"/>
      <c r="L165" s="220"/>
      <c r="M165" s="221"/>
      <c r="N165" s="226"/>
      <c r="O165" s="226"/>
      <c r="P165" s="226"/>
      <c r="Q165" s="224"/>
      <c r="R165" s="220"/>
      <c r="S165" s="221"/>
      <c r="T165" s="226"/>
      <c r="U165" s="226"/>
      <c r="V165" s="220"/>
      <c r="W165" s="221"/>
      <c r="X165" s="226"/>
      <c r="Y165" s="226"/>
      <c r="Z165" s="220"/>
      <c r="AA165" s="221"/>
      <c r="AB165" s="226"/>
      <c r="AC165" s="220"/>
      <c r="AD165" s="168">
        <f t="shared" si="10"/>
        <v>0</v>
      </c>
      <c r="AE165" s="168">
        <f t="shared" si="11"/>
        <v>0</v>
      </c>
      <c r="AF165" s="169"/>
      <c r="AG165" s="195"/>
      <c r="AH165" s="195"/>
      <c r="AN165" s="203"/>
      <c r="AO165" s="203"/>
      <c r="AP165" s="203"/>
      <c r="AQ165" s="203"/>
      <c r="AR165" s="203"/>
      <c r="AS165" s="203"/>
      <c r="AT165" s="203"/>
      <c r="AU165" s="195"/>
      <c r="AV165" s="203"/>
      <c r="AW165" s="203"/>
      <c r="AX165" s="195"/>
      <c r="AY165" s="195"/>
      <c r="AZ165" s="203"/>
      <c r="BU165" s="204"/>
      <c r="BV165" s="204"/>
      <c r="BW165" s="204"/>
      <c r="BX165" s="204"/>
      <c r="BY165" s="204"/>
      <c r="BZ165" s="204"/>
      <c r="CA165" s="204"/>
      <c r="CB165" s="204"/>
      <c r="CC165" s="204"/>
      <c r="CD165" s="204"/>
      <c r="CE165" s="204"/>
      <c r="CF165" s="204"/>
      <c r="CG165" s="204"/>
      <c r="CH165" s="204"/>
      <c r="CI165" s="204"/>
      <c r="CJ165" s="204"/>
      <c r="CK165" s="204"/>
      <c r="CL165" s="204"/>
      <c r="CM165" s="204"/>
      <c r="CN165" s="204"/>
      <c r="CO165" s="204"/>
      <c r="CP165" s="204"/>
      <c r="CQ165" s="204"/>
      <c r="CR165" s="204"/>
      <c r="CS165" s="204"/>
      <c r="CT165" s="204"/>
      <c r="CU165" s="204"/>
      <c r="CV165" s="204"/>
      <c r="CW165" s="204"/>
      <c r="CX165" s="204"/>
      <c r="CY165" s="204"/>
      <c r="CZ165" s="204"/>
      <c r="DA165" s="204"/>
      <c r="DB165" s="204"/>
      <c r="DC165" s="204"/>
      <c r="DD165" s="204"/>
      <c r="DE165" s="204"/>
      <c r="DF165" s="204"/>
      <c r="DG165" s="204"/>
      <c r="DH165" s="204"/>
      <c r="DI165" s="204"/>
      <c r="DJ165" s="204"/>
      <c r="DK165" s="204"/>
      <c r="DL165" s="204"/>
      <c r="DM165" s="204"/>
      <c r="DN165" s="204"/>
      <c r="DO165" s="204"/>
      <c r="DP165" s="204"/>
      <c r="DQ165" s="204"/>
      <c r="DR165" s="204"/>
      <c r="DS165" s="204"/>
      <c r="DT165" s="204"/>
      <c r="DU165" s="204"/>
      <c r="DV165" s="204"/>
      <c r="DW165" s="204"/>
      <c r="DX165" s="204"/>
      <c r="DY165" s="204"/>
      <c r="DZ165" s="204"/>
      <c r="EA165" s="204"/>
      <c r="EB165" s="204"/>
      <c r="EC165" s="204"/>
      <c r="ED165" s="204"/>
      <c r="EE165" s="204"/>
      <c r="EF165" s="204"/>
      <c r="EG165" s="204"/>
      <c r="EH165" s="204"/>
      <c r="EI165" s="204"/>
      <c r="EJ165" s="204"/>
      <c r="EK165" s="204"/>
      <c r="EL165" s="204"/>
      <c r="EM165" s="204"/>
      <c r="EN165" s="204"/>
      <c r="EO165" s="204"/>
      <c r="EP165" s="204"/>
      <c r="EQ165" s="204"/>
      <c r="ER165" s="204"/>
      <c r="ES165" s="204"/>
      <c r="ET165" s="204"/>
      <c r="EU165" s="204"/>
      <c r="EV165" s="204"/>
      <c r="EW165" s="204"/>
      <c r="EX165" s="204"/>
      <c r="FC165" s="200" t="str">
        <f t="shared" si="9"/>
        <v>I</v>
      </c>
    </row>
    <row r="166" spans="1:159" s="202" customFormat="1" ht="29.1" customHeight="1" x14ac:dyDescent="0.2">
      <c r="A166" s="142"/>
      <c r="B166" s="146"/>
      <c r="C166" s="153"/>
      <c r="D166" s="51"/>
      <c r="E166" s="38"/>
      <c r="F166" s="220"/>
      <c r="G166" s="221"/>
      <c r="H166" s="226"/>
      <c r="I166" s="226"/>
      <c r="J166" s="226"/>
      <c r="K166" s="224"/>
      <c r="L166" s="220"/>
      <c r="M166" s="221"/>
      <c r="N166" s="226"/>
      <c r="O166" s="226"/>
      <c r="P166" s="226"/>
      <c r="Q166" s="224"/>
      <c r="R166" s="220"/>
      <c r="S166" s="221"/>
      <c r="T166" s="226"/>
      <c r="U166" s="226"/>
      <c r="V166" s="220"/>
      <c r="W166" s="221"/>
      <c r="X166" s="226"/>
      <c r="Y166" s="226"/>
      <c r="Z166" s="220"/>
      <c r="AA166" s="221"/>
      <c r="AB166" s="226"/>
      <c r="AC166" s="220"/>
      <c r="AD166" s="168">
        <f t="shared" si="10"/>
        <v>0</v>
      </c>
      <c r="AE166" s="168">
        <f t="shared" si="11"/>
        <v>0</v>
      </c>
      <c r="AF166" s="169"/>
      <c r="AG166" s="195"/>
      <c r="AH166" s="195"/>
      <c r="AN166" s="203"/>
      <c r="AO166" s="203"/>
      <c r="AP166" s="203"/>
      <c r="AQ166" s="203"/>
      <c r="AR166" s="203"/>
      <c r="AS166" s="203"/>
      <c r="AT166" s="203"/>
      <c r="AU166" s="195"/>
      <c r="AV166" s="203"/>
      <c r="AW166" s="203"/>
      <c r="AX166" s="195"/>
      <c r="AY166" s="195"/>
      <c r="AZ166" s="203"/>
      <c r="BU166" s="204"/>
      <c r="BV166" s="204"/>
      <c r="BW166" s="204"/>
      <c r="BX166" s="204"/>
      <c r="BY166" s="204"/>
      <c r="BZ166" s="204"/>
      <c r="CA166" s="204"/>
      <c r="CB166" s="204"/>
      <c r="CC166" s="204"/>
      <c r="CD166" s="204"/>
      <c r="CE166" s="204"/>
      <c r="CF166" s="204"/>
      <c r="CG166" s="204"/>
      <c r="CH166" s="204"/>
      <c r="CI166" s="204"/>
      <c r="CJ166" s="204"/>
      <c r="CK166" s="204"/>
      <c r="CL166" s="204"/>
      <c r="CM166" s="204"/>
      <c r="CN166" s="204"/>
      <c r="CO166" s="204"/>
      <c r="CP166" s="204"/>
      <c r="CQ166" s="204"/>
      <c r="CR166" s="204"/>
      <c r="CS166" s="204"/>
      <c r="CT166" s="204"/>
      <c r="CU166" s="204"/>
      <c r="CV166" s="204"/>
      <c r="CW166" s="204"/>
      <c r="CX166" s="204"/>
      <c r="CY166" s="204"/>
      <c r="CZ166" s="204"/>
      <c r="DA166" s="204"/>
      <c r="DB166" s="204"/>
      <c r="DC166" s="204"/>
      <c r="DD166" s="204"/>
      <c r="DE166" s="204"/>
      <c r="DF166" s="204"/>
      <c r="DG166" s="204"/>
      <c r="DH166" s="204"/>
      <c r="DI166" s="204"/>
      <c r="DJ166" s="204"/>
      <c r="DK166" s="204"/>
      <c r="DL166" s="204"/>
      <c r="DM166" s="204"/>
      <c r="DN166" s="204"/>
      <c r="DO166" s="204"/>
      <c r="DP166" s="204"/>
      <c r="DQ166" s="204"/>
      <c r="DR166" s="204"/>
      <c r="DS166" s="204"/>
      <c r="DT166" s="204"/>
      <c r="DU166" s="204"/>
      <c r="DV166" s="204"/>
      <c r="DW166" s="204"/>
      <c r="DX166" s="204"/>
      <c r="DY166" s="204"/>
      <c r="DZ166" s="204"/>
      <c r="EA166" s="204"/>
      <c r="EB166" s="204"/>
      <c r="EC166" s="204"/>
      <c r="ED166" s="204"/>
      <c r="EE166" s="204"/>
      <c r="EF166" s="204"/>
      <c r="EG166" s="204"/>
      <c r="EH166" s="204"/>
      <c r="EI166" s="204"/>
      <c r="EJ166" s="204"/>
      <c r="EK166" s="204"/>
      <c r="EL166" s="204"/>
      <c r="EM166" s="204"/>
      <c r="EN166" s="204"/>
      <c r="EO166" s="204"/>
      <c r="EP166" s="204"/>
      <c r="EQ166" s="204"/>
      <c r="ER166" s="204"/>
      <c r="ES166" s="204"/>
      <c r="ET166" s="204"/>
      <c r="EU166" s="204"/>
      <c r="EV166" s="204"/>
      <c r="EW166" s="204"/>
      <c r="EX166" s="204"/>
      <c r="FC166" s="200" t="str">
        <f t="shared" si="9"/>
        <v>I</v>
      </c>
    </row>
    <row r="167" spans="1:159" s="202" customFormat="1" ht="29.1" customHeight="1" x14ac:dyDescent="0.2">
      <c r="A167" s="142"/>
      <c r="B167" s="146"/>
      <c r="C167" s="153"/>
      <c r="D167" s="51"/>
      <c r="E167" s="38"/>
      <c r="F167" s="220"/>
      <c r="G167" s="221"/>
      <c r="H167" s="226"/>
      <c r="I167" s="226"/>
      <c r="J167" s="226"/>
      <c r="K167" s="224"/>
      <c r="L167" s="220"/>
      <c r="M167" s="221"/>
      <c r="N167" s="226"/>
      <c r="O167" s="226"/>
      <c r="P167" s="226"/>
      <c r="Q167" s="224"/>
      <c r="R167" s="220"/>
      <c r="S167" s="221"/>
      <c r="T167" s="226"/>
      <c r="U167" s="226"/>
      <c r="V167" s="220"/>
      <c r="W167" s="221"/>
      <c r="X167" s="226"/>
      <c r="Y167" s="226"/>
      <c r="Z167" s="220"/>
      <c r="AA167" s="221"/>
      <c r="AB167" s="226"/>
      <c r="AC167" s="220"/>
      <c r="AD167" s="168">
        <f t="shared" si="10"/>
        <v>0</v>
      </c>
      <c r="AE167" s="168">
        <f t="shared" si="11"/>
        <v>0</v>
      </c>
      <c r="AF167" s="169"/>
      <c r="AG167" s="195"/>
      <c r="AH167" s="195"/>
      <c r="AN167" s="203"/>
      <c r="AO167" s="203"/>
      <c r="AP167" s="203"/>
      <c r="AQ167" s="203"/>
      <c r="AR167" s="203"/>
      <c r="AS167" s="203"/>
      <c r="AT167" s="203"/>
      <c r="AU167" s="195"/>
      <c r="AV167" s="203"/>
      <c r="AW167" s="203"/>
      <c r="AX167" s="195"/>
      <c r="AY167" s="195"/>
      <c r="AZ167" s="203"/>
      <c r="BU167" s="204"/>
      <c r="BV167" s="204"/>
      <c r="BW167" s="204"/>
      <c r="BX167" s="204"/>
      <c r="BY167" s="204"/>
      <c r="BZ167" s="204"/>
      <c r="CA167" s="204"/>
      <c r="CB167" s="204"/>
      <c r="CC167" s="204"/>
      <c r="CD167" s="204"/>
      <c r="CE167" s="204"/>
      <c r="CF167" s="204"/>
      <c r="CG167" s="204"/>
      <c r="CH167" s="204"/>
      <c r="CI167" s="204"/>
      <c r="CJ167" s="204"/>
      <c r="CK167" s="204"/>
      <c r="CL167" s="204"/>
      <c r="CM167" s="204"/>
      <c r="CN167" s="204"/>
      <c r="CO167" s="204"/>
      <c r="CP167" s="204"/>
      <c r="CQ167" s="204"/>
      <c r="CR167" s="204"/>
      <c r="CS167" s="204"/>
      <c r="CT167" s="204"/>
      <c r="CU167" s="204"/>
      <c r="CV167" s="204"/>
      <c r="CW167" s="204"/>
      <c r="CX167" s="204"/>
      <c r="CY167" s="204"/>
      <c r="CZ167" s="204"/>
      <c r="DA167" s="204"/>
      <c r="DB167" s="204"/>
      <c r="DC167" s="204"/>
      <c r="DD167" s="204"/>
      <c r="DE167" s="204"/>
      <c r="DF167" s="204"/>
      <c r="DG167" s="204"/>
      <c r="DH167" s="204"/>
      <c r="DI167" s="204"/>
      <c r="DJ167" s="204"/>
      <c r="DK167" s="204"/>
      <c r="DL167" s="204"/>
      <c r="DM167" s="204"/>
      <c r="DN167" s="204"/>
      <c r="DO167" s="204"/>
      <c r="DP167" s="204"/>
      <c r="DQ167" s="204"/>
      <c r="DR167" s="204"/>
      <c r="DS167" s="204"/>
      <c r="DT167" s="204"/>
      <c r="DU167" s="204"/>
      <c r="DV167" s="204"/>
      <c r="DW167" s="204"/>
      <c r="DX167" s="204"/>
      <c r="DY167" s="204"/>
      <c r="DZ167" s="204"/>
      <c r="EA167" s="204"/>
      <c r="EB167" s="204"/>
      <c r="EC167" s="204"/>
      <c r="ED167" s="204"/>
      <c r="EE167" s="204"/>
      <c r="EF167" s="204"/>
      <c r="EG167" s="204"/>
      <c r="EH167" s="204"/>
      <c r="EI167" s="204"/>
      <c r="EJ167" s="204"/>
      <c r="EK167" s="204"/>
      <c r="EL167" s="204"/>
      <c r="EM167" s="204"/>
      <c r="EN167" s="204"/>
      <c r="EO167" s="204"/>
      <c r="EP167" s="204"/>
      <c r="EQ167" s="204"/>
      <c r="ER167" s="204"/>
      <c r="ES167" s="204"/>
      <c r="ET167" s="204"/>
      <c r="EU167" s="204"/>
      <c r="EV167" s="204"/>
      <c r="EW167" s="204"/>
      <c r="EX167" s="204"/>
      <c r="FC167" s="200" t="str">
        <f t="shared" si="9"/>
        <v>I</v>
      </c>
    </row>
    <row r="168" spans="1:159" s="202" customFormat="1" ht="29.1" customHeight="1" x14ac:dyDescent="0.2">
      <c r="A168" s="142"/>
      <c r="B168" s="146"/>
      <c r="C168" s="153"/>
      <c r="D168" s="51"/>
      <c r="E168" s="38"/>
      <c r="F168" s="220"/>
      <c r="G168" s="221"/>
      <c r="H168" s="226"/>
      <c r="I168" s="226"/>
      <c r="J168" s="226"/>
      <c r="K168" s="224"/>
      <c r="L168" s="220"/>
      <c r="M168" s="221"/>
      <c r="N168" s="226"/>
      <c r="O168" s="226"/>
      <c r="P168" s="226"/>
      <c r="Q168" s="224"/>
      <c r="R168" s="220"/>
      <c r="S168" s="221"/>
      <c r="T168" s="226"/>
      <c r="U168" s="226"/>
      <c r="V168" s="220"/>
      <c r="W168" s="221"/>
      <c r="X168" s="226"/>
      <c r="Y168" s="226"/>
      <c r="Z168" s="220"/>
      <c r="AA168" s="221"/>
      <c r="AB168" s="226"/>
      <c r="AC168" s="220"/>
      <c r="AD168" s="168">
        <f t="shared" si="10"/>
        <v>0</v>
      </c>
      <c r="AE168" s="168">
        <f t="shared" si="11"/>
        <v>0</v>
      </c>
      <c r="AF168" s="169"/>
      <c r="AG168" s="195"/>
      <c r="AH168" s="195"/>
      <c r="AN168" s="203"/>
      <c r="AO168" s="203"/>
      <c r="AP168" s="203"/>
      <c r="AQ168" s="203"/>
      <c r="AR168" s="203"/>
      <c r="AS168" s="203"/>
      <c r="AT168" s="203"/>
      <c r="AU168" s="195"/>
      <c r="AV168" s="203"/>
      <c r="AW168" s="203"/>
      <c r="AX168" s="195"/>
      <c r="AY168" s="195"/>
      <c r="AZ168" s="203"/>
      <c r="BU168" s="204"/>
      <c r="BV168" s="204"/>
      <c r="BW168" s="204"/>
      <c r="BX168" s="204"/>
      <c r="BY168" s="204"/>
      <c r="BZ168" s="204"/>
      <c r="CA168" s="204"/>
      <c r="CB168" s="204"/>
      <c r="CC168" s="204"/>
      <c r="CD168" s="204"/>
      <c r="CE168" s="204"/>
      <c r="CF168" s="204"/>
      <c r="CG168" s="204"/>
      <c r="CH168" s="204"/>
      <c r="CI168" s="204"/>
      <c r="CJ168" s="204"/>
      <c r="CK168" s="204"/>
      <c r="CL168" s="204"/>
      <c r="CM168" s="204"/>
      <c r="CN168" s="204"/>
      <c r="CO168" s="204"/>
      <c r="CP168" s="204"/>
      <c r="CQ168" s="204"/>
      <c r="CR168" s="204"/>
      <c r="CS168" s="204"/>
      <c r="CT168" s="204"/>
      <c r="CU168" s="204"/>
      <c r="CV168" s="204"/>
      <c r="CW168" s="204"/>
      <c r="CX168" s="204"/>
      <c r="CY168" s="204"/>
      <c r="CZ168" s="204"/>
      <c r="DA168" s="204"/>
      <c r="DB168" s="204"/>
      <c r="DC168" s="204"/>
      <c r="DD168" s="204"/>
      <c r="DE168" s="204"/>
      <c r="DF168" s="204"/>
      <c r="DG168" s="204"/>
      <c r="DH168" s="204"/>
      <c r="DI168" s="204"/>
      <c r="DJ168" s="204"/>
      <c r="DK168" s="204"/>
      <c r="DL168" s="204"/>
      <c r="DM168" s="204"/>
      <c r="DN168" s="204"/>
      <c r="DO168" s="204"/>
      <c r="DP168" s="204"/>
      <c r="DQ168" s="204"/>
      <c r="DR168" s="204"/>
      <c r="DS168" s="204"/>
      <c r="DT168" s="204"/>
      <c r="DU168" s="204"/>
      <c r="DV168" s="204"/>
      <c r="DW168" s="204"/>
      <c r="DX168" s="204"/>
      <c r="DY168" s="204"/>
      <c r="DZ168" s="204"/>
      <c r="EA168" s="204"/>
      <c r="EB168" s="204"/>
      <c r="EC168" s="204"/>
      <c r="ED168" s="204"/>
      <c r="EE168" s="204"/>
      <c r="EF168" s="204"/>
      <c r="EG168" s="204"/>
      <c r="EH168" s="204"/>
      <c r="EI168" s="204"/>
      <c r="EJ168" s="204"/>
      <c r="EK168" s="204"/>
      <c r="EL168" s="204"/>
      <c r="EM168" s="204"/>
      <c r="EN168" s="204"/>
      <c r="EO168" s="204"/>
      <c r="EP168" s="204"/>
      <c r="EQ168" s="204"/>
      <c r="ER168" s="204"/>
      <c r="ES168" s="204"/>
      <c r="ET168" s="204"/>
      <c r="EU168" s="204"/>
      <c r="EV168" s="204"/>
      <c r="EW168" s="204"/>
      <c r="EX168" s="204"/>
      <c r="FC168" s="200" t="str">
        <f t="shared" si="9"/>
        <v>I</v>
      </c>
    </row>
    <row r="169" spans="1:159" s="202" customFormat="1" ht="29.1" customHeight="1" x14ac:dyDescent="0.2">
      <c r="A169" s="142"/>
      <c r="B169" s="146"/>
      <c r="C169" s="153"/>
      <c r="D169" s="51"/>
      <c r="E169" s="38"/>
      <c r="F169" s="220"/>
      <c r="G169" s="221"/>
      <c r="H169" s="226"/>
      <c r="I169" s="226"/>
      <c r="J169" s="226"/>
      <c r="K169" s="224"/>
      <c r="L169" s="220"/>
      <c r="M169" s="221"/>
      <c r="N169" s="226"/>
      <c r="O169" s="226"/>
      <c r="P169" s="226"/>
      <c r="Q169" s="224"/>
      <c r="R169" s="220"/>
      <c r="S169" s="221"/>
      <c r="T169" s="226"/>
      <c r="U169" s="226"/>
      <c r="V169" s="220"/>
      <c r="W169" s="221"/>
      <c r="X169" s="226"/>
      <c r="Y169" s="226"/>
      <c r="Z169" s="220"/>
      <c r="AA169" s="221"/>
      <c r="AB169" s="226"/>
      <c r="AC169" s="220"/>
      <c r="AD169" s="168">
        <f t="shared" si="10"/>
        <v>0</v>
      </c>
      <c r="AE169" s="168">
        <f t="shared" si="11"/>
        <v>0</v>
      </c>
      <c r="AF169" s="169"/>
      <c r="AG169" s="195"/>
      <c r="AH169" s="195"/>
      <c r="AN169" s="203"/>
      <c r="AO169" s="203"/>
      <c r="AP169" s="203"/>
      <c r="AQ169" s="203"/>
      <c r="AR169" s="203"/>
      <c r="AS169" s="203"/>
      <c r="AT169" s="203"/>
      <c r="AU169" s="195"/>
      <c r="AV169" s="203"/>
      <c r="AW169" s="203"/>
      <c r="AX169" s="195"/>
      <c r="AY169" s="195"/>
      <c r="AZ169" s="203"/>
      <c r="BU169" s="204"/>
      <c r="BV169" s="204"/>
      <c r="BW169" s="204"/>
      <c r="BX169" s="204"/>
      <c r="BY169" s="204"/>
      <c r="BZ169" s="204"/>
      <c r="CA169" s="204"/>
      <c r="CB169" s="204"/>
      <c r="CC169" s="204"/>
      <c r="CD169" s="204"/>
      <c r="CE169" s="204"/>
      <c r="CF169" s="204"/>
      <c r="CG169" s="204"/>
      <c r="CH169" s="204"/>
      <c r="CI169" s="204"/>
      <c r="CJ169" s="204"/>
      <c r="CK169" s="204"/>
      <c r="CL169" s="204"/>
      <c r="CM169" s="204"/>
      <c r="CN169" s="204"/>
      <c r="CO169" s="204"/>
      <c r="CP169" s="204"/>
      <c r="CQ169" s="204"/>
      <c r="CR169" s="204"/>
      <c r="CS169" s="204"/>
      <c r="CT169" s="204"/>
      <c r="CU169" s="204"/>
      <c r="CV169" s="204"/>
      <c r="CW169" s="204"/>
      <c r="CX169" s="204"/>
      <c r="CY169" s="204"/>
      <c r="CZ169" s="204"/>
      <c r="DA169" s="204"/>
      <c r="DB169" s="204"/>
      <c r="DC169" s="204"/>
      <c r="DD169" s="204"/>
      <c r="DE169" s="204"/>
      <c r="DF169" s="204"/>
      <c r="DG169" s="204"/>
      <c r="DH169" s="204"/>
      <c r="DI169" s="204"/>
      <c r="DJ169" s="204"/>
      <c r="DK169" s="204"/>
      <c r="DL169" s="204"/>
      <c r="DM169" s="204"/>
      <c r="DN169" s="204"/>
      <c r="DO169" s="204"/>
      <c r="DP169" s="204"/>
      <c r="DQ169" s="204"/>
      <c r="DR169" s="204"/>
      <c r="DS169" s="204"/>
      <c r="DT169" s="204"/>
      <c r="DU169" s="204"/>
      <c r="DV169" s="204"/>
      <c r="DW169" s="204"/>
      <c r="DX169" s="204"/>
      <c r="DY169" s="204"/>
      <c r="DZ169" s="204"/>
      <c r="EA169" s="204"/>
      <c r="EB169" s="204"/>
      <c r="EC169" s="204"/>
      <c r="ED169" s="204"/>
      <c r="EE169" s="204"/>
      <c r="EF169" s="204"/>
      <c r="EG169" s="204"/>
      <c r="EH169" s="204"/>
      <c r="EI169" s="204"/>
      <c r="EJ169" s="204"/>
      <c r="EK169" s="204"/>
      <c r="EL169" s="204"/>
      <c r="EM169" s="204"/>
      <c r="EN169" s="204"/>
      <c r="EO169" s="204"/>
      <c r="EP169" s="204"/>
      <c r="EQ169" s="204"/>
      <c r="ER169" s="204"/>
      <c r="ES169" s="204"/>
      <c r="ET169" s="204"/>
      <c r="EU169" s="204"/>
      <c r="EV169" s="204"/>
      <c r="EW169" s="204"/>
      <c r="EX169" s="204"/>
      <c r="FC169" s="200" t="str">
        <f t="shared" si="9"/>
        <v>I</v>
      </c>
    </row>
    <row r="170" spans="1:159" s="202" customFormat="1" ht="29.1" customHeight="1" x14ac:dyDescent="0.2">
      <c r="A170" s="142"/>
      <c r="B170" s="146"/>
      <c r="C170" s="153"/>
      <c r="D170" s="51"/>
      <c r="E170" s="38"/>
      <c r="F170" s="220"/>
      <c r="G170" s="221"/>
      <c r="H170" s="226"/>
      <c r="I170" s="226"/>
      <c r="J170" s="226"/>
      <c r="K170" s="224"/>
      <c r="L170" s="220"/>
      <c r="M170" s="221"/>
      <c r="N170" s="226"/>
      <c r="O170" s="226"/>
      <c r="P170" s="226"/>
      <c r="Q170" s="224"/>
      <c r="R170" s="220"/>
      <c r="S170" s="221"/>
      <c r="T170" s="226"/>
      <c r="U170" s="226"/>
      <c r="V170" s="220"/>
      <c r="W170" s="221"/>
      <c r="X170" s="226"/>
      <c r="Y170" s="226"/>
      <c r="Z170" s="220"/>
      <c r="AA170" s="221"/>
      <c r="AB170" s="226"/>
      <c r="AC170" s="220"/>
      <c r="AD170" s="168">
        <f t="shared" si="10"/>
        <v>0</v>
      </c>
      <c r="AE170" s="168">
        <f t="shared" si="11"/>
        <v>0</v>
      </c>
      <c r="AF170" s="169"/>
      <c r="AG170" s="195"/>
      <c r="AH170" s="195"/>
      <c r="AN170" s="203"/>
      <c r="AO170" s="203"/>
      <c r="AP170" s="203"/>
      <c r="AQ170" s="203"/>
      <c r="AR170" s="203"/>
      <c r="AS170" s="203"/>
      <c r="AT170" s="203"/>
      <c r="AU170" s="195"/>
      <c r="AV170" s="203"/>
      <c r="AW170" s="203"/>
      <c r="AX170" s="195"/>
      <c r="AY170" s="195"/>
      <c r="AZ170" s="203"/>
      <c r="BU170" s="204"/>
      <c r="BV170" s="204"/>
      <c r="BW170" s="204"/>
      <c r="BX170" s="204"/>
      <c r="BY170" s="204"/>
      <c r="BZ170" s="204"/>
      <c r="CA170" s="204"/>
      <c r="CB170" s="204"/>
      <c r="CC170" s="204"/>
      <c r="CD170" s="204"/>
      <c r="CE170" s="204"/>
      <c r="CF170" s="204"/>
      <c r="CG170" s="204"/>
      <c r="CH170" s="204"/>
      <c r="CI170" s="204"/>
      <c r="CJ170" s="204"/>
      <c r="CK170" s="204"/>
      <c r="CL170" s="204"/>
      <c r="CM170" s="204"/>
      <c r="CN170" s="204"/>
      <c r="CO170" s="204"/>
      <c r="CP170" s="204"/>
      <c r="CQ170" s="204"/>
      <c r="CR170" s="204"/>
      <c r="CS170" s="204"/>
      <c r="CT170" s="204"/>
      <c r="CU170" s="204"/>
      <c r="CV170" s="204"/>
      <c r="CW170" s="204"/>
      <c r="CX170" s="204"/>
      <c r="CY170" s="204"/>
      <c r="CZ170" s="204"/>
      <c r="DA170" s="204"/>
      <c r="DB170" s="204"/>
      <c r="DC170" s="204"/>
      <c r="DD170" s="204"/>
      <c r="DE170" s="204"/>
      <c r="DF170" s="204"/>
      <c r="DG170" s="204"/>
      <c r="DH170" s="204"/>
      <c r="DI170" s="204"/>
      <c r="DJ170" s="204"/>
      <c r="DK170" s="204"/>
      <c r="DL170" s="204"/>
      <c r="DM170" s="204"/>
      <c r="DN170" s="204"/>
      <c r="DO170" s="204"/>
      <c r="DP170" s="204"/>
      <c r="DQ170" s="204"/>
      <c r="DR170" s="204"/>
      <c r="DS170" s="204"/>
      <c r="DT170" s="204"/>
      <c r="DU170" s="204"/>
      <c r="DV170" s="204"/>
      <c r="DW170" s="204"/>
      <c r="DX170" s="204"/>
      <c r="DY170" s="204"/>
      <c r="DZ170" s="204"/>
      <c r="EA170" s="204"/>
      <c r="EB170" s="204"/>
      <c r="EC170" s="204"/>
      <c r="ED170" s="204"/>
      <c r="EE170" s="204"/>
      <c r="EF170" s="204"/>
      <c r="EG170" s="204"/>
      <c r="EH170" s="204"/>
      <c r="EI170" s="204"/>
      <c r="EJ170" s="204"/>
      <c r="EK170" s="204"/>
      <c r="EL170" s="204"/>
      <c r="EM170" s="204"/>
      <c r="EN170" s="204"/>
      <c r="EO170" s="204"/>
      <c r="EP170" s="204"/>
      <c r="EQ170" s="204"/>
      <c r="ER170" s="204"/>
      <c r="ES170" s="204"/>
      <c r="ET170" s="204"/>
      <c r="EU170" s="204"/>
      <c r="EV170" s="204"/>
      <c r="EW170" s="204"/>
      <c r="EX170" s="204"/>
      <c r="FC170" s="200" t="str">
        <f t="shared" si="9"/>
        <v>I</v>
      </c>
    </row>
    <row r="171" spans="1:159" s="202" customFormat="1" ht="29.1" hidden="1" customHeight="1" x14ac:dyDescent="0.2">
      <c r="A171" s="142"/>
      <c r="B171" s="146"/>
      <c r="C171" s="153"/>
      <c r="D171" s="51"/>
      <c r="E171" s="38"/>
      <c r="F171" s="220"/>
      <c r="G171" s="221"/>
      <c r="H171" s="226"/>
      <c r="I171" s="226"/>
      <c r="J171" s="226"/>
      <c r="K171" s="224"/>
      <c r="L171" s="220"/>
      <c r="M171" s="221"/>
      <c r="N171" s="226"/>
      <c r="O171" s="226"/>
      <c r="P171" s="226"/>
      <c r="Q171" s="224"/>
      <c r="R171" s="220"/>
      <c r="S171" s="221"/>
      <c r="T171" s="226"/>
      <c r="U171" s="226"/>
      <c r="V171" s="220"/>
      <c r="W171" s="221"/>
      <c r="X171" s="226"/>
      <c r="Y171" s="226"/>
      <c r="Z171" s="220"/>
      <c r="AA171" s="221"/>
      <c r="AB171" s="226"/>
      <c r="AC171" s="220"/>
      <c r="AD171" s="168">
        <f t="shared" si="10"/>
        <v>0</v>
      </c>
      <c r="AE171" s="168">
        <f t="shared" si="11"/>
        <v>0</v>
      </c>
      <c r="AF171" s="169"/>
      <c r="AG171" s="195"/>
      <c r="AH171" s="195"/>
      <c r="AN171" s="203"/>
      <c r="AO171" s="203"/>
      <c r="AP171" s="203"/>
      <c r="AQ171" s="203"/>
      <c r="AR171" s="203"/>
      <c r="AS171" s="203"/>
      <c r="AT171" s="203"/>
      <c r="AU171" s="195"/>
      <c r="AV171" s="203"/>
      <c r="AW171" s="203"/>
      <c r="AX171" s="195"/>
      <c r="AY171" s="195"/>
      <c r="AZ171" s="203"/>
      <c r="BU171" s="204"/>
      <c r="BV171" s="204"/>
      <c r="BW171" s="204"/>
      <c r="BX171" s="204"/>
      <c r="BY171" s="204"/>
      <c r="BZ171" s="204"/>
      <c r="CA171" s="204"/>
      <c r="CB171" s="204"/>
      <c r="CC171" s="204"/>
      <c r="CD171" s="204"/>
      <c r="CE171" s="204"/>
      <c r="CF171" s="204"/>
      <c r="CG171" s="204"/>
      <c r="CH171" s="204"/>
      <c r="CI171" s="204"/>
      <c r="CJ171" s="204"/>
      <c r="CK171" s="204"/>
      <c r="CL171" s="204"/>
      <c r="CM171" s="204"/>
      <c r="CN171" s="204"/>
      <c r="CO171" s="204"/>
      <c r="CP171" s="204"/>
      <c r="CQ171" s="204"/>
      <c r="CR171" s="204"/>
      <c r="CS171" s="204"/>
      <c r="CT171" s="204"/>
      <c r="CU171" s="204"/>
      <c r="CV171" s="204"/>
      <c r="CW171" s="204"/>
      <c r="CX171" s="204"/>
      <c r="CY171" s="204"/>
      <c r="CZ171" s="204"/>
      <c r="DA171" s="204"/>
      <c r="DB171" s="204"/>
      <c r="DC171" s="204"/>
      <c r="DD171" s="204"/>
      <c r="DE171" s="204"/>
      <c r="DF171" s="204"/>
      <c r="DG171" s="204"/>
      <c r="DH171" s="204"/>
      <c r="DI171" s="204"/>
      <c r="DJ171" s="204"/>
      <c r="DK171" s="204"/>
      <c r="DL171" s="204"/>
      <c r="DM171" s="204"/>
      <c r="DN171" s="204"/>
      <c r="DO171" s="204"/>
      <c r="DP171" s="204"/>
      <c r="DQ171" s="204"/>
      <c r="DR171" s="204"/>
      <c r="DS171" s="204"/>
      <c r="DT171" s="204"/>
      <c r="DU171" s="204"/>
      <c r="DV171" s="204"/>
      <c r="DW171" s="204"/>
      <c r="DX171" s="204"/>
      <c r="DY171" s="204"/>
      <c r="DZ171" s="204"/>
      <c r="EA171" s="204"/>
      <c r="EB171" s="204"/>
      <c r="EC171" s="204"/>
      <c r="ED171" s="204"/>
      <c r="EE171" s="204"/>
      <c r="EF171" s="204"/>
      <c r="EG171" s="204"/>
      <c r="EH171" s="204"/>
      <c r="EI171" s="204"/>
      <c r="EJ171" s="204"/>
      <c r="EK171" s="204"/>
      <c r="EL171" s="204"/>
      <c r="EM171" s="204"/>
      <c r="EN171" s="204"/>
      <c r="EO171" s="204"/>
      <c r="EP171" s="204"/>
      <c r="EQ171" s="204"/>
      <c r="ER171" s="204"/>
      <c r="ES171" s="204"/>
      <c r="ET171" s="204"/>
      <c r="EU171" s="204"/>
      <c r="EV171" s="204"/>
      <c r="EW171" s="204"/>
      <c r="EX171" s="204"/>
      <c r="FC171" s="200" t="str">
        <f t="shared" si="9"/>
        <v>I</v>
      </c>
    </row>
    <row r="172" spans="1:159" s="202" customFormat="1" ht="29.1" hidden="1" customHeight="1" x14ac:dyDescent="0.2">
      <c r="A172" s="142"/>
      <c r="B172" s="146"/>
      <c r="C172" s="153"/>
      <c r="D172" s="51"/>
      <c r="E172" s="38"/>
      <c r="F172" s="220"/>
      <c r="G172" s="221"/>
      <c r="H172" s="226"/>
      <c r="I172" s="226"/>
      <c r="J172" s="226"/>
      <c r="K172" s="224"/>
      <c r="L172" s="220"/>
      <c r="M172" s="221"/>
      <c r="N172" s="226"/>
      <c r="O172" s="226"/>
      <c r="P172" s="226"/>
      <c r="Q172" s="224"/>
      <c r="R172" s="220"/>
      <c r="S172" s="221"/>
      <c r="T172" s="226"/>
      <c r="U172" s="226"/>
      <c r="V172" s="220"/>
      <c r="W172" s="221"/>
      <c r="X172" s="226"/>
      <c r="Y172" s="226"/>
      <c r="Z172" s="220"/>
      <c r="AA172" s="221"/>
      <c r="AB172" s="226"/>
      <c r="AC172" s="220"/>
      <c r="AD172" s="168">
        <f t="shared" si="10"/>
        <v>0</v>
      </c>
      <c r="AE172" s="168">
        <f t="shared" si="11"/>
        <v>0</v>
      </c>
      <c r="AF172" s="169"/>
      <c r="AG172" s="195"/>
      <c r="AH172" s="195"/>
      <c r="AN172" s="203"/>
      <c r="AO172" s="203"/>
      <c r="AP172" s="203"/>
      <c r="AQ172" s="203"/>
      <c r="AR172" s="203"/>
      <c r="AS172" s="203"/>
      <c r="AT172" s="203"/>
      <c r="AU172" s="195"/>
      <c r="AV172" s="203"/>
      <c r="AW172" s="203"/>
      <c r="AX172" s="195"/>
      <c r="AY172" s="195"/>
      <c r="AZ172" s="203"/>
      <c r="BU172" s="204"/>
      <c r="BV172" s="204"/>
      <c r="BW172" s="204"/>
      <c r="BX172" s="204"/>
      <c r="BY172" s="204"/>
      <c r="BZ172" s="204"/>
      <c r="CA172" s="204"/>
      <c r="CB172" s="204"/>
      <c r="CC172" s="204"/>
      <c r="CD172" s="204"/>
      <c r="CE172" s="204"/>
      <c r="CF172" s="204"/>
      <c r="CG172" s="204"/>
      <c r="CH172" s="204"/>
      <c r="CI172" s="204"/>
      <c r="CJ172" s="204"/>
      <c r="CK172" s="204"/>
      <c r="CL172" s="204"/>
      <c r="CM172" s="204"/>
      <c r="CN172" s="204"/>
      <c r="CO172" s="204"/>
      <c r="CP172" s="204"/>
      <c r="CQ172" s="204"/>
      <c r="CR172" s="204"/>
      <c r="CS172" s="204"/>
      <c r="CT172" s="204"/>
      <c r="CU172" s="204"/>
      <c r="CV172" s="204"/>
      <c r="CW172" s="204"/>
      <c r="CX172" s="204"/>
      <c r="CY172" s="204"/>
      <c r="CZ172" s="204"/>
      <c r="DA172" s="204"/>
      <c r="DB172" s="204"/>
      <c r="DC172" s="204"/>
      <c r="DD172" s="204"/>
      <c r="DE172" s="204"/>
      <c r="DF172" s="204"/>
      <c r="DG172" s="204"/>
      <c r="DH172" s="204"/>
      <c r="DI172" s="204"/>
      <c r="DJ172" s="204"/>
      <c r="DK172" s="204"/>
      <c r="DL172" s="204"/>
      <c r="DM172" s="204"/>
      <c r="DN172" s="204"/>
      <c r="DO172" s="204"/>
      <c r="DP172" s="204"/>
      <c r="DQ172" s="204"/>
      <c r="DR172" s="204"/>
      <c r="DS172" s="204"/>
      <c r="DT172" s="204"/>
      <c r="DU172" s="204"/>
      <c r="DV172" s="204"/>
      <c r="DW172" s="204"/>
      <c r="DX172" s="204"/>
      <c r="DY172" s="204"/>
      <c r="DZ172" s="204"/>
      <c r="EA172" s="204"/>
      <c r="EB172" s="204"/>
      <c r="EC172" s="204"/>
      <c r="ED172" s="204"/>
      <c r="EE172" s="204"/>
      <c r="EF172" s="204"/>
      <c r="EG172" s="204"/>
      <c r="EH172" s="204"/>
      <c r="EI172" s="204"/>
      <c r="EJ172" s="204"/>
      <c r="EK172" s="204"/>
      <c r="EL172" s="204"/>
      <c r="EM172" s="204"/>
      <c r="EN172" s="204"/>
      <c r="EO172" s="204"/>
      <c r="EP172" s="204"/>
      <c r="EQ172" s="204"/>
      <c r="ER172" s="204"/>
      <c r="ES172" s="204"/>
      <c r="ET172" s="204"/>
      <c r="EU172" s="204"/>
      <c r="EV172" s="204"/>
      <c r="EW172" s="204"/>
      <c r="EX172" s="204"/>
      <c r="FC172" s="200" t="str">
        <f t="shared" si="9"/>
        <v>I</v>
      </c>
    </row>
    <row r="173" spans="1:159" s="202" customFormat="1" ht="29.1" hidden="1" customHeight="1" x14ac:dyDescent="0.2">
      <c r="A173" s="142"/>
      <c r="B173" s="146"/>
      <c r="C173" s="153"/>
      <c r="D173" s="51"/>
      <c r="E173" s="38"/>
      <c r="F173" s="220"/>
      <c r="G173" s="221"/>
      <c r="H173" s="226"/>
      <c r="I173" s="226"/>
      <c r="J173" s="226"/>
      <c r="K173" s="224"/>
      <c r="L173" s="220"/>
      <c r="M173" s="221"/>
      <c r="N173" s="226"/>
      <c r="O173" s="226"/>
      <c r="P173" s="226"/>
      <c r="Q173" s="224"/>
      <c r="R173" s="220"/>
      <c r="S173" s="221"/>
      <c r="T173" s="226"/>
      <c r="U173" s="226"/>
      <c r="V173" s="220"/>
      <c r="W173" s="221"/>
      <c r="X173" s="226"/>
      <c r="Y173" s="226"/>
      <c r="Z173" s="220"/>
      <c r="AA173" s="221"/>
      <c r="AB173" s="226"/>
      <c r="AC173" s="220"/>
      <c r="AD173" s="168">
        <f t="shared" si="10"/>
        <v>0</v>
      </c>
      <c r="AE173" s="168">
        <f t="shared" si="11"/>
        <v>0</v>
      </c>
      <c r="AF173" s="169"/>
      <c r="AG173" s="195"/>
      <c r="AH173" s="195"/>
      <c r="AN173" s="203"/>
      <c r="AO173" s="203"/>
      <c r="AP173" s="203"/>
      <c r="AQ173" s="203"/>
      <c r="AR173" s="203"/>
      <c r="AS173" s="203"/>
      <c r="AT173" s="203"/>
      <c r="AU173" s="195"/>
      <c r="AV173" s="203"/>
      <c r="AW173" s="203"/>
      <c r="AX173" s="195"/>
      <c r="AY173" s="195"/>
      <c r="AZ173" s="203"/>
      <c r="BU173" s="204"/>
      <c r="BV173" s="204"/>
      <c r="BW173" s="204"/>
      <c r="BX173" s="204"/>
      <c r="BY173" s="204"/>
      <c r="BZ173" s="204"/>
      <c r="CA173" s="204"/>
      <c r="CB173" s="204"/>
      <c r="CC173" s="204"/>
      <c r="CD173" s="204"/>
      <c r="CE173" s="204"/>
      <c r="CF173" s="204"/>
      <c r="CG173" s="204"/>
      <c r="CH173" s="204"/>
      <c r="CI173" s="204"/>
      <c r="CJ173" s="204"/>
      <c r="CK173" s="204"/>
      <c r="CL173" s="204"/>
      <c r="CM173" s="204"/>
      <c r="CN173" s="204"/>
      <c r="CO173" s="204"/>
      <c r="CP173" s="204"/>
      <c r="CQ173" s="204"/>
      <c r="CR173" s="204"/>
      <c r="CS173" s="204"/>
      <c r="CT173" s="204"/>
      <c r="CU173" s="204"/>
      <c r="CV173" s="204"/>
      <c r="CW173" s="204"/>
      <c r="CX173" s="204"/>
      <c r="CY173" s="204"/>
      <c r="CZ173" s="204"/>
      <c r="DA173" s="204"/>
      <c r="DB173" s="204"/>
      <c r="DC173" s="204"/>
      <c r="DD173" s="204"/>
      <c r="DE173" s="204"/>
      <c r="DF173" s="204"/>
      <c r="DG173" s="204"/>
      <c r="DH173" s="204"/>
      <c r="DI173" s="204"/>
      <c r="DJ173" s="204"/>
      <c r="DK173" s="204"/>
      <c r="DL173" s="204"/>
      <c r="DM173" s="204"/>
      <c r="DN173" s="204"/>
      <c r="DO173" s="204"/>
      <c r="DP173" s="204"/>
      <c r="DQ173" s="204"/>
      <c r="DR173" s="204"/>
      <c r="DS173" s="204"/>
      <c r="DT173" s="204"/>
      <c r="DU173" s="204"/>
      <c r="DV173" s="204"/>
      <c r="DW173" s="204"/>
      <c r="DX173" s="204"/>
      <c r="DY173" s="204"/>
      <c r="DZ173" s="204"/>
      <c r="EA173" s="204"/>
      <c r="EB173" s="204"/>
      <c r="EC173" s="204"/>
      <c r="ED173" s="204"/>
      <c r="EE173" s="204"/>
      <c r="EF173" s="204"/>
      <c r="EG173" s="204"/>
      <c r="EH173" s="204"/>
      <c r="EI173" s="204"/>
      <c r="EJ173" s="204"/>
      <c r="EK173" s="204"/>
      <c r="EL173" s="204"/>
      <c r="EM173" s="204"/>
      <c r="EN173" s="204"/>
      <c r="EO173" s="204"/>
      <c r="EP173" s="204"/>
      <c r="EQ173" s="204"/>
      <c r="ER173" s="204"/>
      <c r="ES173" s="204"/>
      <c r="ET173" s="204"/>
      <c r="EU173" s="204"/>
      <c r="EV173" s="204"/>
      <c r="EW173" s="204"/>
      <c r="EX173" s="204"/>
      <c r="FC173" s="200" t="str">
        <f t="shared" si="9"/>
        <v>I</v>
      </c>
    </row>
    <row r="174" spans="1:159" s="202" customFormat="1" ht="29.1" hidden="1" customHeight="1" x14ac:dyDescent="0.2">
      <c r="A174" s="142"/>
      <c r="B174" s="146"/>
      <c r="C174" s="153"/>
      <c r="D174" s="51"/>
      <c r="E174" s="38"/>
      <c r="F174" s="220"/>
      <c r="G174" s="221"/>
      <c r="H174" s="226"/>
      <c r="I174" s="226"/>
      <c r="J174" s="226"/>
      <c r="K174" s="224"/>
      <c r="L174" s="220"/>
      <c r="M174" s="221"/>
      <c r="N174" s="226"/>
      <c r="O174" s="226"/>
      <c r="P174" s="226"/>
      <c r="Q174" s="224"/>
      <c r="R174" s="220"/>
      <c r="S174" s="221"/>
      <c r="T174" s="226"/>
      <c r="U174" s="226"/>
      <c r="V174" s="220"/>
      <c r="W174" s="221"/>
      <c r="X174" s="226"/>
      <c r="Y174" s="226"/>
      <c r="Z174" s="220"/>
      <c r="AA174" s="221"/>
      <c r="AB174" s="226"/>
      <c r="AC174" s="220"/>
      <c r="AD174" s="168">
        <f t="shared" si="10"/>
        <v>0</v>
      </c>
      <c r="AE174" s="168">
        <f t="shared" si="11"/>
        <v>0</v>
      </c>
      <c r="AF174" s="169"/>
      <c r="AG174" s="195"/>
      <c r="AH174" s="195"/>
      <c r="AN174" s="203"/>
      <c r="AO174" s="203"/>
      <c r="AP174" s="203"/>
      <c r="AQ174" s="203"/>
      <c r="AR174" s="203"/>
      <c r="AS174" s="203"/>
      <c r="AT174" s="203"/>
      <c r="AU174" s="195"/>
      <c r="AV174" s="203"/>
      <c r="AW174" s="203"/>
      <c r="AX174" s="195"/>
      <c r="AY174" s="195"/>
      <c r="AZ174" s="203"/>
      <c r="BU174" s="204"/>
      <c r="BV174" s="204"/>
      <c r="BW174" s="204"/>
      <c r="BX174" s="204"/>
      <c r="BY174" s="204"/>
      <c r="BZ174" s="204"/>
      <c r="CA174" s="204"/>
      <c r="CB174" s="204"/>
      <c r="CC174" s="204"/>
      <c r="CD174" s="204"/>
      <c r="CE174" s="204"/>
      <c r="CF174" s="204"/>
      <c r="CG174" s="204"/>
      <c r="CH174" s="204"/>
      <c r="CI174" s="204"/>
      <c r="CJ174" s="204"/>
      <c r="CK174" s="204"/>
      <c r="CL174" s="204"/>
      <c r="CM174" s="204"/>
      <c r="CN174" s="204"/>
      <c r="CO174" s="204"/>
      <c r="CP174" s="204"/>
      <c r="CQ174" s="204"/>
      <c r="CR174" s="204"/>
      <c r="CS174" s="204"/>
      <c r="CT174" s="204"/>
      <c r="CU174" s="204"/>
      <c r="CV174" s="204"/>
      <c r="CW174" s="204"/>
      <c r="CX174" s="204"/>
      <c r="CY174" s="204"/>
      <c r="CZ174" s="204"/>
      <c r="DA174" s="204"/>
      <c r="DB174" s="204"/>
      <c r="DC174" s="204"/>
      <c r="DD174" s="204"/>
      <c r="DE174" s="204"/>
      <c r="DF174" s="204"/>
      <c r="DG174" s="204"/>
      <c r="DH174" s="204"/>
      <c r="DI174" s="204"/>
      <c r="DJ174" s="204"/>
      <c r="DK174" s="204"/>
      <c r="DL174" s="204"/>
      <c r="DM174" s="204"/>
      <c r="DN174" s="204"/>
      <c r="DO174" s="204"/>
      <c r="DP174" s="204"/>
      <c r="DQ174" s="204"/>
      <c r="DR174" s="204"/>
      <c r="DS174" s="204"/>
      <c r="DT174" s="204"/>
      <c r="DU174" s="204"/>
      <c r="DV174" s="204"/>
      <c r="DW174" s="204"/>
      <c r="DX174" s="204"/>
      <c r="DY174" s="204"/>
      <c r="DZ174" s="204"/>
      <c r="EA174" s="204"/>
      <c r="EB174" s="204"/>
      <c r="EC174" s="204"/>
      <c r="ED174" s="204"/>
      <c r="EE174" s="204"/>
      <c r="EF174" s="204"/>
      <c r="EG174" s="204"/>
      <c r="EH174" s="204"/>
      <c r="EI174" s="204"/>
      <c r="EJ174" s="204"/>
      <c r="EK174" s="204"/>
      <c r="EL174" s="204"/>
      <c r="EM174" s="204"/>
      <c r="EN174" s="204"/>
      <c r="EO174" s="204"/>
      <c r="EP174" s="204"/>
      <c r="EQ174" s="204"/>
      <c r="ER174" s="204"/>
      <c r="ES174" s="204"/>
      <c r="ET174" s="204"/>
      <c r="EU174" s="204"/>
      <c r="EV174" s="204"/>
      <c r="EW174" s="204"/>
      <c r="EX174" s="204"/>
      <c r="FC174" s="200" t="str">
        <f t="shared" si="9"/>
        <v>I</v>
      </c>
    </row>
    <row r="175" spans="1:159" s="202" customFormat="1" ht="29.1" hidden="1" customHeight="1" x14ac:dyDescent="0.2">
      <c r="A175" s="142"/>
      <c r="B175" s="146"/>
      <c r="C175" s="153"/>
      <c r="D175" s="51"/>
      <c r="E175" s="38"/>
      <c r="F175" s="220"/>
      <c r="G175" s="221"/>
      <c r="H175" s="226"/>
      <c r="I175" s="226"/>
      <c r="J175" s="226"/>
      <c r="K175" s="224"/>
      <c r="L175" s="220"/>
      <c r="M175" s="221"/>
      <c r="N175" s="226"/>
      <c r="O175" s="226"/>
      <c r="P175" s="226"/>
      <c r="Q175" s="224"/>
      <c r="R175" s="220"/>
      <c r="S175" s="221"/>
      <c r="T175" s="226"/>
      <c r="U175" s="226"/>
      <c r="V175" s="220"/>
      <c r="W175" s="221"/>
      <c r="X175" s="226"/>
      <c r="Y175" s="226"/>
      <c r="Z175" s="220"/>
      <c r="AA175" s="221"/>
      <c r="AB175" s="226"/>
      <c r="AC175" s="220"/>
      <c r="AD175" s="168">
        <f t="shared" si="10"/>
        <v>0</v>
      </c>
      <c r="AE175" s="168">
        <f t="shared" si="11"/>
        <v>0</v>
      </c>
      <c r="AF175" s="169"/>
      <c r="AG175" s="195"/>
      <c r="AH175" s="195"/>
      <c r="AN175" s="203"/>
      <c r="AO175" s="203"/>
      <c r="AP175" s="203"/>
      <c r="AQ175" s="203"/>
      <c r="AR175" s="203"/>
      <c r="AS175" s="203"/>
      <c r="AT175" s="203"/>
      <c r="AU175" s="195"/>
      <c r="AV175" s="203"/>
      <c r="AW175" s="203"/>
      <c r="AX175" s="195"/>
      <c r="AY175" s="195"/>
      <c r="AZ175" s="203"/>
      <c r="BU175" s="204"/>
      <c r="BV175" s="204"/>
      <c r="BW175" s="204"/>
      <c r="BX175" s="204"/>
      <c r="BY175" s="204"/>
      <c r="BZ175" s="204"/>
      <c r="CA175" s="204"/>
      <c r="CB175" s="204"/>
      <c r="CC175" s="204"/>
      <c r="CD175" s="204"/>
      <c r="CE175" s="204"/>
      <c r="CF175" s="204"/>
      <c r="CG175" s="204"/>
      <c r="CH175" s="204"/>
      <c r="CI175" s="204"/>
      <c r="CJ175" s="204"/>
      <c r="CK175" s="204"/>
      <c r="CL175" s="204"/>
      <c r="CM175" s="204"/>
      <c r="CN175" s="204"/>
      <c r="CO175" s="204"/>
      <c r="CP175" s="204"/>
      <c r="CQ175" s="204"/>
      <c r="CR175" s="204"/>
      <c r="CS175" s="204"/>
      <c r="CT175" s="204"/>
      <c r="CU175" s="204"/>
      <c r="CV175" s="204"/>
      <c r="CW175" s="204"/>
      <c r="CX175" s="204"/>
      <c r="CY175" s="204"/>
      <c r="CZ175" s="204"/>
      <c r="DA175" s="204"/>
      <c r="DB175" s="204"/>
      <c r="DC175" s="204"/>
      <c r="DD175" s="204"/>
      <c r="DE175" s="204"/>
      <c r="DF175" s="204"/>
      <c r="DG175" s="204"/>
      <c r="DH175" s="204"/>
      <c r="DI175" s="204"/>
      <c r="DJ175" s="204"/>
      <c r="DK175" s="204"/>
      <c r="DL175" s="204"/>
      <c r="DM175" s="204"/>
      <c r="DN175" s="204"/>
      <c r="DO175" s="204"/>
      <c r="DP175" s="204"/>
      <c r="DQ175" s="204"/>
      <c r="DR175" s="204"/>
      <c r="DS175" s="204"/>
      <c r="DT175" s="204"/>
      <c r="DU175" s="204"/>
      <c r="DV175" s="204"/>
      <c r="DW175" s="204"/>
      <c r="DX175" s="204"/>
      <c r="DY175" s="204"/>
      <c r="DZ175" s="204"/>
      <c r="EA175" s="204"/>
      <c r="EB175" s="204"/>
      <c r="EC175" s="204"/>
      <c r="ED175" s="204"/>
      <c r="EE175" s="204"/>
      <c r="EF175" s="204"/>
      <c r="EG175" s="204"/>
      <c r="EH175" s="204"/>
      <c r="EI175" s="204"/>
      <c r="EJ175" s="204"/>
      <c r="EK175" s="204"/>
      <c r="EL175" s="204"/>
      <c r="EM175" s="204"/>
      <c r="EN175" s="204"/>
      <c r="EO175" s="204"/>
      <c r="EP175" s="204"/>
      <c r="EQ175" s="204"/>
      <c r="ER175" s="204"/>
      <c r="ES175" s="204"/>
      <c r="ET175" s="204"/>
      <c r="EU175" s="204"/>
      <c r="EV175" s="204"/>
      <c r="EW175" s="204"/>
      <c r="EX175" s="204"/>
      <c r="FC175" s="200" t="str">
        <f t="shared" si="9"/>
        <v>I</v>
      </c>
    </row>
    <row r="176" spans="1:159" s="202" customFormat="1" ht="29.1" hidden="1" customHeight="1" x14ac:dyDescent="0.2">
      <c r="A176" s="142"/>
      <c r="B176" s="146"/>
      <c r="C176" s="153"/>
      <c r="D176" s="51"/>
      <c r="E176" s="38"/>
      <c r="F176" s="220"/>
      <c r="G176" s="221"/>
      <c r="H176" s="226"/>
      <c r="I176" s="226"/>
      <c r="J176" s="226"/>
      <c r="K176" s="224"/>
      <c r="L176" s="220"/>
      <c r="M176" s="221"/>
      <c r="N176" s="226"/>
      <c r="O176" s="226"/>
      <c r="P176" s="226"/>
      <c r="Q176" s="224"/>
      <c r="R176" s="220"/>
      <c r="S176" s="221"/>
      <c r="T176" s="226"/>
      <c r="U176" s="226"/>
      <c r="V176" s="220"/>
      <c r="W176" s="221"/>
      <c r="X176" s="226"/>
      <c r="Y176" s="226"/>
      <c r="Z176" s="220"/>
      <c r="AA176" s="221"/>
      <c r="AB176" s="226"/>
      <c r="AC176" s="220"/>
      <c r="AD176" s="168">
        <f t="shared" si="10"/>
        <v>0</v>
      </c>
      <c r="AE176" s="168">
        <f t="shared" si="11"/>
        <v>0</v>
      </c>
      <c r="AF176" s="169"/>
      <c r="AG176" s="195"/>
      <c r="AH176" s="195"/>
      <c r="AN176" s="203"/>
      <c r="AO176" s="203"/>
      <c r="AP176" s="203"/>
      <c r="AQ176" s="203"/>
      <c r="AR176" s="203"/>
      <c r="AS176" s="203"/>
      <c r="AT176" s="203"/>
      <c r="AU176" s="195"/>
      <c r="AV176" s="203"/>
      <c r="AW176" s="203"/>
      <c r="AX176" s="195"/>
      <c r="AY176" s="195"/>
      <c r="AZ176" s="203"/>
      <c r="BU176" s="204"/>
      <c r="BV176" s="204"/>
      <c r="BW176" s="204"/>
      <c r="BX176" s="204"/>
      <c r="BY176" s="204"/>
      <c r="BZ176" s="204"/>
      <c r="CA176" s="204"/>
      <c r="CB176" s="204"/>
      <c r="CC176" s="204"/>
      <c r="CD176" s="204"/>
      <c r="CE176" s="204"/>
      <c r="CF176" s="204"/>
      <c r="CG176" s="204"/>
      <c r="CH176" s="204"/>
      <c r="CI176" s="204"/>
      <c r="CJ176" s="204"/>
      <c r="CK176" s="204"/>
      <c r="CL176" s="204"/>
      <c r="CM176" s="204"/>
      <c r="CN176" s="204"/>
      <c r="CO176" s="204"/>
      <c r="CP176" s="204"/>
      <c r="CQ176" s="204"/>
      <c r="CR176" s="204"/>
      <c r="CS176" s="204"/>
      <c r="CT176" s="204"/>
      <c r="CU176" s="204"/>
      <c r="CV176" s="204"/>
      <c r="CW176" s="204"/>
      <c r="CX176" s="204"/>
      <c r="CY176" s="204"/>
      <c r="CZ176" s="204"/>
      <c r="DA176" s="204"/>
      <c r="DB176" s="204"/>
      <c r="DC176" s="204"/>
      <c r="DD176" s="204"/>
      <c r="DE176" s="204"/>
      <c r="DF176" s="204"/>
      <c r="DG176" s="204"/>
      <c r="DH176" s="204"/>
      <c r="DI176" s="204"/>
      <c r="DJ176" s="204"/>
      <c r="DK176" s="204"/>
      <c r="DL176" s="204"/>
      <c r="DM176" s="204"/>
      <c r="DN176" s="204"/>
      <c r="DO176" s="204"/>
      <c r="DP176" s="204"/>
      <c r="DQ176" s="204"/>
      <c r="DR176" s="204"/>
      <c r="DS176" s="204"/>
      <c r="DT176" s="204"/>
      <c r="DU176" s="204"/>
      <c r="DV176" s="204"/>
      <c r="DW176" s="204"/>
      <c r="DX176" s="204"/>
      <c r="DY176" s="204"/>
      <c r="DZ176" s="204"/>
      <c r="EA176" s="204"/>
      <c r="EB176" s="204"/>
      <c r="EC176" s="204"/>
      <c r="ED176" s="204"/>
      <c r="EE176" s="204"/>
      <c r="EF176" s="204"/>
      <c r="EG176" s="204"/>
      <c r="EH176" s="204"/>
      <c r="EI176" s="204"/>
      <c r="EJ176" s="204"/>
      <c r="EK176" s="204"/>
      <c r="EL176" s="204"/>
      <c r="EM176" s="204"/>
      <c r="EN176" s="204"/>
      <c r="EO176" s="204"/>
      <c r="EP176" s="204"/>
      <c r="EQ176" s="204"/>
      <c r="ER176" s="204"/>
      <c r="ES176" s="204"/>
      <c r="ET176" s="204"/>
      <c r="EU176" s="204"/>
      <c r="EV176" s="204"/>
      <c r="EW176" s="204"/>
      <c r="EX176" s="204"/>
      <c r="FC176" s="200" t="str">
        <f t="shared" si="9"/>
        <v>I</v>
      </c>
    </row>
    <row r="177" spans="1:159" s="202" customFormat="1" ht="29.1" hidden="1" customHeight="1" x14ac:dyDescent="0.2">
      <c r="A177" s="142"/>
      <c r="B177" s="146"/>
      <c r="C177" s="153"/>
      <c r="D177" s="51"/>
      <c r="E177" s="38"/>
      <c r="F177" s="220"/>
      <c r="G177" s="221"/>
      <c r="H177" s="226"/>
      <c r="I177" s="226"/>
      <c r="J177" s="226"/>
      <c r="K177" s="224"/>
      <c r="L177" s="220"/>
      <c r="M177" s="221"/>
      <c r="N177" s="226"/>
      <c r="O177" s="226"/>
      <c r="P177" s="226"/>
      <c r="Q177" s="224"/>
      <c r="R177" s="220"/>
      <c r="S177" s="221"/>
      <c r="T177" s="226"/>
      <c r="U177" s="226"/>
      <c r="V177" s="220"/>
      <c r="W177" s="221"/>
      <c r="X177" s="226"/>
      <c r="Y177" s="226"/>
      <c r="Z177" s="220"/>
      <c r="AA177" s="221"/>
      <c r="AB177" s="226"/>
      <c r="AC177" s="220"/>
      <c r="AD177" s="168">
        <f t="shared" si="10"/>
        <v>0</v>
      </c>
      <c r="AE177" s="168">
        <f t="shared" si="11"/>
        <v>0</v>
      </c>
      <c r="AF177" s="169"/>
      <c r="AG177" s="195"/>
      <c r="AH177" s="195"/>
      <c r="AN177" s="203"/>
      <c r="AO177" s="203"/>
      <c r="AP177" s="203"/>
      <c r="AQ177" s="203"/>
      <c r="AR177" s="203"/>
      <c r="AS177" s="203"/>
      <c r="AT177" s="203"/>
      <c r="AU177" s="195"/>
      <c r="AV177" s="203"/>
      <c r="AW177" s="203"/>
      <c r="AX177" s="195"/>
      <c r="AY177" s="195"/>
      <c r="AZ177" s="203"/>
      <c r="BU177" s="204"/>
      <c r="BV177" s="204"/>
      <c r="BW177" s="204"/>
      <c r="BX177" s="204"/>
      <c r="BY177" s="204"/>
      <c r="BZ177" s="204"/>
      <c r="CA177" s="204"/>
      <c r="CB177" s="204"/>
      <c r="CC177" s="204"/>
      <c r="CD177" s="204"/>
      <c r="CE177" s="204"/>
      <c r="CF177" s="204"/>
      <c r="CG177" s="204"/>
      <c r="CH177" s="204"/>
      <c r="CI177" s="204"/>
      <c r="CJ177" s="204"/>
      <c r="CK177" s="204"/>
      <c r="CL177" s="204"/>
      <c r="CM177" s="204"/>
      <c r="CN177" s="204"/>
      <c r="CO177" s="204"/>
      <c r="CP177" s="204"/>
      <c r="CQ177" s="204"/>
      <c r="CR177" s="204"/>
      <c r="CS177" s="204"/>
      <c r="CT177" s="204"/>
      <c r="CU177" s="204"/>
      <c r="CV177" s="204"/>
      <c r="CW177" s="204"/>
      <c r="CX177" s="204"/>
      <c r="CY177" s="204"/>
      <c r="CZ177" s="204"/>
      <c r="DA177" s="204"/>
      <c r="DB177" s="204"/>
      <c r="DC177" s="204"/>
      <c r="DD177" s="204"/>
      <c r="DE177" s="204"/>
      <c r="DF177" s="204"/>
      <c r="DG177" s="204"/>
      <c r="DH177" s="204"/>
      <c r="DI177" s="204"/>
      <c r="DJ177" s="204"/>
      <c r="DK177" s="204"/>
      <c r="DL177" s="204"/>
      <c r="DM177" s="204"/>
      <c r="DN177" s="204"/>
      <c r="DO177" s="204"/>
      <c r="DP177" s="204"/>
      <c r="DQ177" s="204"/>
      <c r="DR177" s="204"/>
      <c r="DS177" s="204"/>
      <c r="DT177" s="204"/>
      <c r="DU177" s="204"/>
      <c r="DV177" s="204"/>
      <c r="DW177" s="204"/>
      <c r="DX177" s="204"/>
      <c r="DY177" s="204"/>
      <c r="DZ177" s="204"/>
      <c r="EA177" s="204"/>
      <c r="EB177" s="204"/>
      <c r="EC177" s="204"/>
      <c r="ED177" s="204"/>
      <c r="EE177" s="204"/>
      <c r="EF177" s="204"/>
      <c r="EG177" s="204"/>
      <c r="EH177" s="204"/>
      <c r="EI177" s="204"/>
      <c r="EJ177" s="204"/>
      <c r="EK177" s="204"/>
      <c r="EL177" s="204"/>
      <c r="EM177" s="204"/>
      <c r="EN177" s="204"/>
      <c r="EO177" s="204"/>
      <c r="EP177" s="204"/>
      <c r="EQ177" s="204"/>
      <c r="ER177" s="204"/>
      <c r="ES177" s="204"/>
      <c r="ET177" s="204"/>
      <c r="EU177" s="204"/>
      <c r="EV177" s="204"/>
      <c r="EW177" s="204"/>
      <c r="EX177" s="204"/>
      <c r="FC177" s="200" t="str">
        <f t="shared" si="9"/>
        <v>I</v>
      </c>
    </row>
    <row r="178" spans="1:159" s="202" customFormat="1" ht="29.1" hidden="1" customHeight="1" x14ac:dyDescent="0.2">
      <c r="A178" s="142"/>
      <c r="B178" s="146"/>
      <c r="C178" s="153"/>
      <c r="D178" s="51"/>
      <c r="E178" s="38"/>
      <c r="F178" s="220"/>
      <c r="G178" s="221"/>
      <c r="H178" s="226"/>
      <c r="I178" s="226"/>
      <c r="J178" s="226"/>
      <c r="K178" s="224"/>
      <c r="L178" s="220"/>
      <c r="M178" s="221"/>
      <c r="N178" s="226"/>
      <c r="O178" s="226"/>
      <c r="P178" s="226"/>
      <c r="Q178" s="224"/>
      <c r="R178" s="220"/>
      <c r="S178" s="221"/>
      <c r="T178" s="226"/>
      <c r="U178" s="226"/>
      <c r="V178" s="220"/>
      <c r="W178" s="221"/>
      <c r="X178" s="226"/>
      <c r="Y178" s="226"/>
      <c r="Z178" s="220"/>
      <c r="AA178" s="221"/>
      <c r="AB178" s="226"/>
      <c r="AC178" s="220"/>
      <c r="AD178" s="168">
        <f t="shared" si="10"/>
        <v>0</v>
      </c>
      <c r="AE178" s="168">
        <f t="shared" si="11"/>
        <v>0</v>
      </c>
      <c r="AF178" s="169"/>
      <c r="AG178" s="195"/>
      <c r="AH178" s="195"/>
      <c r="AN178" s="203"/>
      <c r="AO178" s="203"/>
      <c r="AP178" s="203"/>
      <c r="AQ178" s="203"/>
      <c r="AR178" s="203"/>
      <c r="AS178" s="203"/>
      <c r="AT178" s="203"/>
      <c r="AU178" s="195"/>
      <c r="AV178" s="203"/>
      <c r="AW178" s="203"/>
      <c r="AX178" s="195"/>
      <c r="AY178" s="195"/>
      <c r="AZ178" s="203"/>
      <c r="BU178" s="204"/>
      <c r="BV178" s="204"/>
      <c r="BW178" s="204"/>
      <c r="BX178" s="204"/>
      <c r="BY178" s="204"/>
      <c r="BZ178" s="204"/>
      <c r="CA178" s="204"/>
      <c r="CB178" s="204"/>
      <c r="CC178" s="204"/>
      <c r="CD178" s="204"/>
      <c r="CE178" s="204"/>
      <c r="CF178" s="204"/>
      <c r="CG178" s="204"/>
      <c r="CH178" s="204"/>
      <c r="CI178" s="204"/>
      <c r="CJ178" s="204"/>
      <c r="CK178" s="204"/>
      <c r="CL178" s="204"/>
      <c r="CM178" s="204"/>
      <c r="CN178" s="204"/>
      <c r="CO178" s="204"/>
      <c r="CP178" s="204"/>
      <c r="CQ178" s="204"/>
      <c r="CR178" s="204"/>
      <c r="CS178" s="204"/>
      <c r="CT178" s="204"/>
      <c r="CU178" s="204"/>
      <c r="CV178" s="204"/>
      <c r="CW178" s="204"/>
      <c r="CX178" s="204"/>
      <c r="CY178" s="204"/>
      <c r="CZ178" s="204"/>
      <c r="DA178" s="204"/>
      <c r="DB178" s="204"/>
      <c r="DC178" s="204"/>
      <c r="DD178" s="204"/>
      <c r="DE178" s="204"/>
      <c r="DF178" s="204"/>
      <c r="DG178" s="204"/>
      <c r="DH178" s="204"/>
      <c r="DI178" s="204"/>
      <c r="DJ178" s="204"/>
      <c r="DK178" s="204"/>
      <c r="DL178" s="204"/>
      <c r="DM178" s="204"/>
      <c r="DN178" s="204"/>
      <c r="DO178" s="204"/>
      <c r="DP178" s="204"/>
      <c r="DQ178" s="204"/>
      <c r="DR178" s="204"/>
      <c r="DS178" s="204"/>
      <c r="DT178" s="204"/>
      <c r="DU178" s="204"/>
      <c r="DV178" s="204"/>
      <c r="DW178" s="204"/>
      <c r="DX178" s="204"/>
      <c r="DY178" s="204"/>
      <c r="DZ178" s="204"/>
      <c r="EA178" s="204"/>
      <c r="EB178" s="204"/>
      <c r="EC178" s="204"/>
      <c r="ED178" s="204"/>
      <c r="EE178" s="204"/>
      <c r="EF178" s="204"/>
      <c r="EG178" s="204"/>
      <c r="EH178" s="204"/>
      <c r="EI178" s="204"/>
      <c r="EJ178" s="204"/>
      <c r="EK178" s="204"/>
      <c r="EL178" s="204"/>
      <c r="EM178" s="204"/>
      <c r="EN178" s="204"/>
      <c r="EO178" s="204"/>
      <c r="EP178" s="204"/>
      <c r="EQ178" s="204"/>
      <c r="ER178" s="204"/>
      <c r="ES178" s="204"/>
      <c r="ET178" s="204"/>
      <c r="EU178" s="204"/>
      <c r="EV178" s="204"/>
      <c r="EW178" s="204"/>
      <c r="EX178" s="204"/>
      <c r="FC178" s="200" t="str">
        <f t="shared" si="9"/>
        <v>I</v>
      </c>
    </row>
    <row r="179" spans="1:159" s="202" customFormat="1" ht="29.1" hidden="1" customHeight="1" x14ac:dyDescent="0.2">
      <c r="A179" s="142"/>
      <c r="B179" s="146"/>
      <c r="C179" s="153"/>
      <c r="D179" s="51"/>
      <c r="E179" s="38"/>
      <c r="F179" s="220"/>
      <c r="G179" s="221"/>
      <c r="H179" s="226"/>
      <c r="I179" s="226"/>
      <c r="J179" s="226"/>
      <c r="K179" s="224"/>
      <c r="L179" s="220"/>
      <c r="M179" s="221"/>
      <c r="N179" s="226"/>
      <c r="O179" s="226"/>
      <c r="P179" s="226"/>
      <c r="Q179" s="224"/>
      <c r="R179" s="220"/>
      <c r="S179" s="221"/>
      <c r="T179" s="226"/>
      <c r="U179" s="226"/>
      <c r="V179" s="220"/>
      <c r="W179" s="221"/>
      <c r="X179" s="226"/>
      <c r="Y179" s="226"/>
      <c r="Z179" s="220"/>
      <c r="AA179" s="221"/>
      <c r="AB179" s="226"/>
      <c r="AC179" s="220"/>
      <c r="AD179" s="168">
        <f t="shared" si="10"/>
        <v>0</v>
      </c>
      <c r="AE179" s="168">
        <f t="shared" si="11"/>
        <v>0</v>
      </c>
      <c r="AF179" s="169"/>
      <c r="AG179" s="195"/>
      <c r="AH179" s="195"/>
      <c r="AN179" s="203"/>
      <c r="AO179" s="203"/>
      <c r="AP179" s="203"/>
      <c r="AQ179" s="203"/>
      <c r="AR179" s="203"/>
      <c r="AS179" s="203"/>
      <c r="AT179" s="203"/>
      <c r="AU179" s="195"/>
      <c r="AV179" s="203"/>
      <c r="AW179" s="203"/>
      <c r="AX179" s="195"/>
      <c r="AY179" s="195"/>
      <c r="AZ179" s="203"/>
      <c r="BU179" s="204"/>
      <c r="BV179" s="204"/>
      <c r="BW179" s="204"/>
      <c r="BX179" s="204"/>
      <c r="BY179" s="204"/>
      <c r="BZ179" s="204"/>
      <c r="CA179" s="204"/>
      <c r="CB179" s="204"/>
      <c r="CC179" s="204"/>
      <c r="CD179" s="204"/>
      <c r="CE179" s="204"/>
      <c r="CF179" s="204"/>
      <c r="CG179" s="204"/>
      <c r="CH179" s="204"/>
      <c r="CI179" s="204"/>
      <c r="CJ179" s="204"/>
      <c r="CK179" s="204"/>
      <c r="CL179" s="204"/>
      <c r="CM179" s="204"/>
      <c r="CN179" s="204"/>
      <c r="CO179" s="204"/>
      <c r="CP179" s="204"/>
      <c r="CQ179" s="204"/>
      <c r="CR179" s="204"/>
      <c r="CS179" s="204"/>
      <c r="CT179" s="204"/>
      <c r="CU179" s="204"/>
      <c r="CV179" s="204"/>
      <c r="CW179" s="204"/>
      <c r="CX179" s="204"/>
      <c r="CY179" s="204"/>
      <c r="CZ179" s="204"/>
      <c r="DA179" s="204"/>
      <c r="DB179" s="204"/>
      <c r="DC179" s="204"/>
      <c r="DD179" s="204"/>
      <c r="DE179" s="204"/>
      <c r="DF179" s="204"/>
      <c r="DG179" s="204"/>
      <c r="DH179" s="204"/>
      <c r="DI179" s="204"/>
      <c r="DJ179" s="204"/>
      <c r="DK179" s="204"/>
      <c r="DL179" s="204"/>
      <c r="DM179" s="204"/>
      <c r="DN179" s="204"/>
      <c r="DO179" s="204"/>
      <c r="DP179" s="204"/>
      <c r="DQ179" s="204"/>
      <c r="DR179" s="204"/>
      <c r="DS179" s="204"/>
      <c r="DT179" s="204"/>
      <c r="DU179" s="204"/>
      <c r="DV179" s="204"/>
      <c r="DW179" s="204"/>
      <c r="DX179" s="204"/>
      <c r="DY179" s="204"/>
      <c r="DZ179" s="204"/>
      <c r="EA179" s="204"/>
      <c r="EB179" s="204"/>
      <c r="EC179" s="204"/>
      <c r="ED179" s="204"/>
      <c r="EE179" s="204"/>
      <c r="EF179" s="204"/>
      <c r="EG179" s="204"/>
      <c r="EH179" s="204"/>
      <c r="EI179" s="204"/>
      <c r="EJ179" s="204"/>
      <c r="EK179" s="204"/>
      <c r="EL179" s="204"/>
      <c r="EM179" s="204"/>
      <c r="EN179" s="204"/>
      <c r="EO179" s="204"/>
      <c r="EP179" s="204"/>
      <c r="EQ179" s="204"/>
      <c r="ER179" s="204"/>
      <c r="ES179" s="204"/>
      <c r="ET179" s="204"/>
      <c r="EU179" s="204"/>
      <c r="EV179" s="204"/>
      <c r="EW179" s="204"/>
      <c r="EX179" s="204"/>
      <c r="FC179" s="200" t="str">
        <f t="shared" si="9"/>
        <v>I</v>
      </c>
    </row>
    <row r="180" spans="1:159" s="202" customFormat="1" ht="29.1" hidden="1" customHeight="1" x14ac:dyDescent="0.2">
      <c r="A180" s="142"/>
      <c r="B180" s="146"/>
      <c r="C180" s="153"/>
      <c r="D180" s="51"/>
      <c r="E180" s="38"/>
      <c r="F180" s="220"/>
      <c r="G180" s="221"/>
      <c r="H180" s="226"/>
      <c r="I180" s="226"/>
      <c r="J180" s="226"/>
      <c r="K180" s="224"/>
      <c r="L180" s="220"/>
      <c r="M180" s="221"/>
      <c r="N180" s="226"/>
      <c r="O180" s="226"/>
      <c r="P180" s="226"/>
      <c r="Q180" s="224"/>
      <c r="R180" s="220"/>
      <c r="S180" s="221"/>
      <c r="T180" s="226"/>
      <c r="U180" s="226"/>
      <c r="V180" s="220"/>
      <c r="W180" s="221"/>
      <c r="X180" s="226"/>
      <c r="Y180" s="226"/>
      <c r="Z180" s="220"/>
      <c r="AA180" s="221"/>
      <c r="AB180" s="226"/>
      <c r="AC180" s="220"/>
      <c r="AD180" s="168">
        <f t="shared" si="10"/>
        <v>0</v>
      </c>
      <c r="AE180" s="168">
        <f t="shared" si="11"/>
        <v>0</v>
      </c>
      <c r="AF180" s="169"/>
      <c r="AG180" s="195"/>
      <c r="AH180" s="195"/>
      <c r="AN180" s="203"/>
      <c r="AO180" s="203"/>
      <c r="AP180" s="203"/>
      <c r="AQ180" s="203"/>
      <c r="AR180" s="203"/>
      <c r="AS180" s="203"/>
      <c r="AT180" s="203"/>
      <c r="AU180" s="195"/>
      <c r="AV180" s="203"/>
      <c r="AW180" s="203"/>
      <c r="AX180" s="195"/>
      <c r="AY180" s="195"/>
      <c r="AZ180" s="203"/>
      <c r="BU180" s="204"/>
      <c r="BV180" s="204"/>
      <c r="BW180" s="204"/>
      <c r="BX180" s="204"/>
      <c r="BY180" s="204"/>
      <c r="BZ180" s="204"/>
      <c r="CA180" s="204"/>
      <c r="CB180" s="204"/>
      <c r="CC180" s="204"/>
      <c r="CD180" s="204"/>
      <c r="CE180" s="204"/>
      <c r="CF180" s="204"/>
      <c r="CG180" s="204"/>
      <c r="CH180" s="204"/>
      <c r="CI180" s="204"/>
      <c r="CJ180" s="204"/>
      <c r="CK180" s="204"/>
      <c r="CL180" s="204"/>
      <c r="CM180" s="204"/>
      <c r="CN180" s="204"/>
      <c r="CO180" s="204"/>
      <c r="CP180" s="204"/>
      <c r="CQ180" s="204"/>
      <c r="CR180" s="204"/>
      <c r="CS180" s="204"/>
      <c r="CT180" s="204"/>
      <c r="CU180" s="204"/>
      <c r="CV180" s="204"/>
      <c r="CW180" s="204"/>
      <c r="CX180" s="204"/>
      <c r="CY180" s="204"/>
      <c r="CZ180" s="204"/>
      <c r="DA180" s="204"/>
      <c r="DB180" s="204"/>
      <c r="DC180" s="204"/>
      <c r="DD180" s="204"/>
      <c r="DE180" s="204"/>
      <c r="DF180" s="204"/>
      <c r="DG180" s="204"/>
      <c r="DH180" s="204"/>
      <c r="DI180" s="204"/>
      <c r="DJ180" s="204"/>
      <c r="DK180" s="204"/>
      <c r="DL180" s="204"/>
      <c r="DM180" s="204"/>
      <c r="DN180" s="204"/>
      <c r="DO180" s="204"/>
      <c r="DP180" s="204"/>
      <c r="DQ180" s="204"/>
      <c r="DR180" s="204"/>
      <c r="DS180" s="204"/>
      <c r="DT180" s="204"/>
      <c r="DU180" s="204"/>
      <c r="DV180" s="204"/>
      <c r="DW180" s="204"/>
      <c r="DX180" s="204"/>
      <c r="DY180" s="204"/>
      <c r="DZ180" s="204"/>
      <c r="EA180" s="204"/>
      <c r="EB180" s="204"/>
      <c r="EC180" s="204"/>
      <c r="ED180" s="204"/>
      <c r="EE180" s="204"/>
      <c r="EF180" s="204"/>
      <c r="EG180" s="204"/>
      <c r="EH180" s="204"/>
      <c r="EI180" s="204"/>
      <c r="EJ180" s="204"/>
      <c r="EK180" s="204"/>
      <c r="EL180" s="204"/>
      <c r="EM180" s="204"/>
      <c r="EN180" s="204"/>
      <c r="EO180" s="204"/>
      <c r="EP180" s="204"/>
      <c r="EQ180" s="204"/>
      <c r="ER180" s="204"/>
      <c r="ES180" s="204"/>
      <c r="ET180" s="204"/>
      <c r="EU180" s="204"/>
      <c r="EV180" s="204"/>
      <c r="EW180" s="204"/>
      <c r="EX180" s="204"/>
      <c r="FC180" s="200" t="str">
        <f t="shared" si="9"/>
        <v>I</v>
      </c>
    </row>
    <row r="181" spans="1:159" s="202" customFormat="1" ht="29.1" hidden="1" customHeight="1" x14ac:dyDescent="0.2">
      <c r="A181" s="142"/>
      <c r="B181" s="146"/>
      <c r="C181" s="153"/>
      <c r="D181" s="51"/>
      <c r="E181" s="38"/>
      <c r="F181" s="220"/>
      <c r="G181" s="221"/>
      <c r="H181" s="226"/>
      <c r="I181" s="226"/>
      <c r="J181" s="226"/>
      <c r="K181" s="224"/>
      <c r="L181" s="220"/>
      <c r="M181" s="221"/>
      <c r="N181" s="226"/>
      <c r="O181" s="226"/>
      <c r="P181" s="226"/>
      <c r="Q181" s="224"/>
      <c r="R181" s="220"/>
      <c r="S181" s="221"/>
      <c r="T181" s="226"/>
      <c r="U181" s="226"/>
      <c r="V181" s="220"/>
      <c r="W181" s="221"/>
      <c r="X181" s="226"/>
      <c r="Y181" s="226"/>
      <c r="Z181" s="220"/>
      <c r="AA181" s="221"/>
      <c r="AB181" s="226"/>
      <c r="AC181" s="220"/>
      <c r="AD181" s="168">
        <f t="shared" si="10"/>
        <v>0</v>
      </c>
      <c r="AE181" s="168">
        <f t="shared" si="11"/>
        <v>0</v>
      </c>
      <c r="AF181" s="169"/>
      <c r="AG181" s="195"/>
      <c r="AH181" s="195"/>
      <c r="AN181" s="203"/>
      <c r="AO181" s="203"/>
      <c r="AP181" s="203"/>
      <c r="AQ181" s="203"/>
      <c r="AR181" s="203"/>
      <c r="AS181" s="203"/>
      <c r="AT181" s="203"/>
      <c r="AU181" s="195"/>
      <c r="AV181" s="203"/>
      <c r="AW181" s="203"/>
      <c r="AX181" s="195"/>
      <c r="AY181" s="195"/>
      <c r="AZ181" s="203"/>
      <c r="BU181" s="204"/>
      <c r="BV181" s="204"/>
      <c r="BW181" s="204"/>
      <c r="BX181" s="204"/>
      <c r="BY181" s="204"/>
      <c r="BZ181" s="204"/>
      <c r="CA181" s="204"/>
      <c r="CB181" s="204"/>
      <c r="CC181" s="204"/>
      <c r="CD181" s="204"/>
      <c r="CE181" s="204"/>
      <c r="CF181" s="204"/>
      <c r="CG181" s="204"/>
      <c r="CH181" s="204"/>
      <c r="CI181" s="204"/>
      <c r="CJ181" s="204"/>
      <c r="CK181" s="204"/>
      <c r="CL181" s="204"/>
      <c r="CM181" s="204"/>
      <c r="CN181" s="204"/>
      <c r="CO181" s="204"/>
      <c r="CP181" s="204"/>
      <c r="CQ181" s="204"/>
      <c r="CR181" s="204"/>
      <c r="CS181" s="204"/>
      <c r="CT181" s="204"/>
      <c r="CU181" s="204"/>
      <c r="CV181" s="204"/>
      <c r="CW181" s="204"/>
      <c r="CX181" s="204"/>
      <c r="CY181" s="204"/>
      <c r="CZ181" s="204"/>
      <c r="DA181" s="204"/>
      <c r="DB181" s="204"/>
      <c r="DC181" s="204"/>
      <c r="DD181" s="204"/>
      <c r="DE181" s="204"/>
      <c r="DF181" s="204"/>
      <c r="DG181" s="204"/>
      <c r="DH181" s="204"/>
      <c r="DI181" s="204"/>
      <c r="DJ181" s="204"/>
      <c r="DK181" s="204"/>
      <c r="DL181" s="204"/>
      <c r="DM181" s="204"/>
      <c r="DN181" s="204"/>
      <c r="DO181" s="204"/>
      <c r="DP181" s="204"/>
      <c r="DQ181" s="204"/>
      <c r="DR181" s="204"/>
      <c r="DS181" s="204"/>
      <c r="DT181" s="204"/>
      <c r="DU181" s="204"/>
      <c r="DV181" s="204"/>
      <c r="DW181" s="204"/>
      <c r="DX181" s="204"/>
      <c r="DY181" s="204"/>
      <c r="DZ181" s="204"/>
      <c r="EA181" s="204"/>
      <c r="EB181" s="204"/>
      <c r="EC181" s="204"/>
      <c r="ED181" s="204"/>
      <c r="EE181" s="204"/>
      <c r="EF181" s="204"/>
      <c r="EG181" s="204"/>
      <c r="EH181" s="204"/>
      <c r="EI181" s="204"/>
      <c r="EJ181" s="204"/>
      <c r="EK181" s="204"/>
      <c r="EL181" s="204"/>
      <c r="EM181" s="204"/>
      <c r="EN181" s="204"/>
      <c r="EO181" s="204"/>
      <c r="EP181" s="204"/>
      <c r="EQ181" s="204"/>
      <c r="ER181" s="204"/>
      <c r="ES181" s="204"/>
      <c r="ET181" s="204"/>
      <c r="EU181" s="204"/>
      <c r="EV181" s="204"/>
      <c r="EW181" s="204"/>
      <c r="EX181" s="204"/>
      <c r="FC181" s="200" t="str">
        <f t="shared" si="9"/>
        <v>I</v>
      </c>
    </row>
    <row r="182" spans="1:159" s="202" customFormat="1" ht="29.1" hidden="1" customHeight="1" x14ac:dyDescent="0.2">
      <c r="A182" s="142"/>
      <c r="B182" s="146"/>
      <c r="C182" s="153"/>
      <c r="D182" s="51"/>
      <c r="E182" s="38"/>
      <c r="F182" s="220"/>
      <c r="G182" s="221"/>
      <c r="H182" s="226"/>
      <c r="I182" s="226"/>
      <c r="J182" s="226"/>
      <c r="K182" s="224"/>
      <c r="L182" s="220"/>
      <c r="M182" s="221"/>
      <c r="N182" s="226"/>
      <c r="O182" s="226"/>
      <c r="P182" s="226"/>
      <c r="Q182" s="224"/>
      <c r="R182" s="220"/>
      <c r="S182" s="221"/>
      <c r="T182" s="226"/>
      <c r="U182" s="226"/>
      <c r="V182" s="220"/>
      <c r="W182" s="221"/>
      <c r="X182" s="226"/>
      <c r="Y182" s="226"/>
      <c r="Z182" s="220"/>
      <c r="AA182" s="221"/>
      <c r="AB182" s="226"/>
      <c r="AC182" s="220"/>
      <c r="AD182" s="168">
        <f t="shared" si="10"/>
        <v>0</v>
      </c>
      <c r="AE182" s="168">
        <f t="shared" si="11"/>
        <v>0</v>
      </c>
      <c r="AF182" s="169"/>
      <c r="AG182" s="195"/>
      <c r="AH182" s="195"/>
      <c r="AN182" s="203"/>
      <c r="AO182" s="203"/>
      <c r="AP182" s="203"/>
      <c r="AQ182" s="203"/>
      <c r="AR182" s="203"/>
      <c r="AS182" s="203"/>
      <c r="AT182" s="203"/>
      <c r="AU182" s="195"/>
      <c r="AV182" s="203"/>
      <c r="AW182" s="203"/>
      <c r="AX182" s="195"/>
      <c r="AY182" s="195"/>
      <c r="AZ182" s="203"/>
      <c r="BU182" s="204"/>
      <c r="BV182" s="204"/>
      <c r="BW182" s="204"/>
      <c r="BX182" s="204"/>
      <c r="BY182" s="204"/>
      <c r="BZ182" s="204"/>
      <c r="CA182" s="204"/>
      <c r="CB182" s="204"/>
      <c r="CC182" s="204"/>
      <c r="CD182" s="204"/>
      <c r="CE182" s="204"/>
      <c r="CF182" s="204"/>
      <c r="CG182" s="204"/>
      <c r="CH182" s="204"/>
      <c r="CI182" s="204"/>
      <c r="CJ182" s="204"/>
      <c r="CK182" s="204"/>
      <c r="CL182" s="204"/>
      <c r="CM182" s="204"/>
      <c r="CN182" s="204"/>
      <c r="CO182" s="204"/>
      <c r="CP182" s="204"/>
      <c r="CQ182" s="204"/>
      <c r="CR182" s="204"/>
      <c r="CS182" s="204"/>
      <c r="CT182" s="204"/>
      <c r="CU182" s="204"/>
      <c r="CV182" s="204"/>
      <c r="CW182" s="204"/>
      <c r="CX182" s="204"/>
      <c r="CY182" s="204"/>
      <c r="CZ182" s="204"/>
      <c r="DA182" s="204"/>
      <c r="DB182" s="204"/>
      <c r="DC182" s="204"/>
      <c r="DD182" s="204"/>
      <c r="DE182" s="204"/>
      <c r="DF182" s="204"/>
      <c r="DG182" s="204"/>
      <c r="DH182" s="204"/>
      <c r="DI182" s="204"/>
      <c r="DJ182" s="204"/>
      <c r="DK182" s="204"/>
      <c r="DL182" s="204"/>
      <c r="DM182" s="204"/>
      <c r="DN182" s="204"/>
      <c r="DO182" s="204"/>
      <c r="DP182" s="204"/>
      <c r="DQ182" s="204"/>
      <c r="DR182" s="204"/>
      <c r="DS182" s="204"/>
      <c r="DT182" s="204"/>
      <c r="DU182" s="204"/>
      <c r="DV182" s="204"/>
      <c r="DW182" s="204"/>
      <c r="DX182" s="204"/>
      <c r="DY182" s="204"/>
      <c r="DZ182" s="204"/>
      <c r="EA182" s="204"/>
      <c r="EB182" s="204"/>
      <c r="EC182" s="204"/>
      <c r="ED182" s="204"/>
      <c r="EE182" s="204"/>
      <c r="EF182" s="204"/>
      <c r="EG182" s="204"/>
      <c r="EH182" s="204"/>
      <c r="EI182" s="204"/>
      <c r="EJ182" s="204"/>
      <c r="EK182" s="204"/>
      <c r="EL182" s="204"/>
      <c r="EM182" s="204"/>
      <c r="EN182" s="204"/>
      <c r="EO182" s="204"/>
      <c r="EP182" s="204"/>
      <c r="EQ182" s="204"/>
      <c r="ER182" s="204"/>
      <c r="ES182" s="204"/>
      <c r="ET182" s="204"/>
      <c r="EU182" s="204"/>
      <c r="EV182" s="204"/>
      <c r="EW182" s="204"/>
      <c r="EX182" s="204"/>
      <c r="FC182" s="200" t="str">
        <f t="shared" si="9"/>
        <v>I</v>
      </c>
    </row>
    <row r="183" spans="1:159" s="202" customFormat="1" ht="29.1" hidden="1" customHeight="1" x14ac:dyDescent="0.2">
      <c r="A183" s="142"/>
      <c r="B183" s="146"/>
      <c r="C183" s="153"/>
      <c r="D183" s="51"/>
      <c r="E183" s="38"/>
      <c r="F183" s="220"/>
      <c r="G183" s="221"/>
      <c r="H183" s="226"/>
      <c r="I183" s="226"/>
      <c r="J183" s="226"/>
      <c r="K183" s="224"/>
      <c r="L183" s="220"/>
      <c r="M183" s="221"/>
      <c r="N183" s="226"/>
      <c r="O183" s="226"/>
      <c r="P183" s="226"/>
      <c r="Q183" s="224"/>
      <c r="R183" s="220"/>
      <c r="S183" s="221"/>
      <c r="T183" s="226"/>
      <c r="U183" s="226"/>
      <c r="V183" s="220"/>
      <c r="W183" s="221"/>
      <c r="X183" s="226"/>
      <c r="Y183" s="226"/>
      <c r="Z183" s="220"/>
      <c r="AA183" s="221"/>
      <c r="AB183" s="226"/>
      <c r="AC183" s="220"/>
      <c r="AD183" s="168">
        <f t="shared" si="10"/>
        <v>0</v>
      </c>
      <c r="AE183" s="168">
        <f t="shared" si="11"/>
        <v>0</v>
      </c>
      <c r="AF183" s="169"/>
      <c r="AG183" s="195"/>
      <c r="AH183" s="195"/>
      <c r="AN183" s="203"/>
      <c r="AO183" s="203"/>
      <c r="AP183" s="203"/>
      <c r="AQ183" s="203"/>
      <c r="AR183" s="203"/>
      <c r="AS183" s="203"/>
      <c r="AT183" s="203"/>
      <c r="AU183" s="195"/>
      <c r="AV183" s="203"/>
      <c r="AW183" s="203"/>
      <c r="AX183" s="195"/>
      <c r="AY183" s="195"/>
      <c r="AZ183" s="203"/>
      <c r="BU183" s="204"/>
      <c r="BV183" s="204"/>
      <c r="BW183" s="204"/>
      <c r="BX183" s="204"/>
      <c r="BY183" s="204"/>
      <c r="BZ183" s="204"/>
      <c r="CA183" s="204"/>
      <c r="CB183" s="204"/>
      <c r="CC183" s="204"/>
      <c r="CD183" s="204"/>
      <c r="CE183" s="204"/>
      <c r="CF183" s="204"/>
      <c r="CG183" s="204"/>
      <c r="CH183" s="204"/>
      <c r="CI183" s="204"/>
      <c r="CJ183" s="204"/>
      <c r="CK183" s="204"/>
      <c r="CL183" s="204"/>
      <c r="CM183" s="204"/>
      <c r="CN183" s="204"/>
      <c r="CO183" s="204"/>
      <c r="CP183" s="204"/>
      <c r="CQ183" s="204"/>
      <c r="CR183" s="204"/>
      <c r="CS183" s="204"/>
      <c r="CT183" s="204"/>
      <c r="CU183" s="204"/>
      <c r="CV183" s="204"/>
      <c r="CW183" s="204"/>
      <c r="CX183" s="204"/>
      <c r="CY183" s="204"/>
      <c r="CZ183" s="204"/>
      <c r="DA183" s="204"/>
      <c r="DB183" s="204"/>
      <c r="DC183" s="204"/>
      <c r="DD183" s="204"/>
      <c r="DE183" s="204"/>
      <c r="DF183" s="204"/>
      <c r="DG183" s="204"/>
      <c r="DH183" s="204"/>
      <c r="DI183" s="204"/>
      <c r="DJ183" s="204"/>
      <c r="DK183" s="204"/>
      <c r="DL183" s="204"/>
      <c r="DM183" s="204"/>
      <c r="DN183" s="204"/>
      <c r="DO183" s="204"/>
      <c r="DP183" s="204"/>
      <c r="DQ183" s="204"/>
      <c r="DR183" s="204"/>
      <c r="DS183" s="204"/>
      <c r="DT183" s="204"/>
      <c r="DU183" s="204"/>
      <c r="DV183" s="204"/>
      <c r="DW183" s="204"/>
      <c r="DX183" s="204"/>
      <c r="DY183" s="204"/>
      <c r="DZ183" s="204"/>
      <c r="EA183" s="204"/>
      <c r="EB183" s="204"/>
      <c r="EC183" s="204"/>
      <c r="ED183" s="204"/>
      <c r="EE183" s="204"/>
      <c r="EF183" s="204"/>
      <c r="EG183" s="204"/>
      <c r="EH183" s="204"/>
      <c r="EI183" s="204"/>
      <c r="EJ183" s="204"/>
      <c r="EK183" s="204"/>
      <c r="EL183" s="204"/>
      <c r="EM183" s="204"/>
      <c r="EN183" s="204"/>
      <c r="EO183" s="204"/>
      <c r="EP183" s="204"/>
      <c r="EQ183" s="204"/>
      <c r="ER183" s="204"/>
      <c r="ES183" s="204"/>
      <c r="ET183" s="204"/>
      <c r="EU183" s="204"/>
      <c r="EV183" s="204"/>
      <c r="EW183" s="204"/>
      <c r="EX183" s="204"/>
      <c r="FC183" s="200" t="str">
        <f t="shared" si="9"/>
        <v>I</v>
      </c>
    </row>
    <row r="184" spans="1:159" s="202" customFormat="1" ht="29.1" hidden="1" customHeight="1" x14ac:dyDescent="0.2">
      <c r="A184" s="142"/>
      <c r="B184" s="146"/>
      <c r="C184" s="153"/>
      <c r="D184" s="51"/>
      <c r="E184" s="38"/>
      <c r="F184" s="220"/>
      <c r="G184" s="221"/>
      <c r="H184" s="226"/>
      <c r="I184" s="226"/>
      <c r="J184" s="226"/>
      <c r="K184" s="224"/>
      <c r="L184" s="220"/>
      <c r="M184" s="221"/>
      <c r="N184" s="226"/>
      <c r="O184" s="226"/>
      <c r="P184" s="226"/>
      <c r="Q184" s="224"/>
      <c r="R184" s="220"/>
      <c r="S184" s="221"/>
      <c r="T184" s="226"/>
      <c r="U184" s="226"/>
      <c r="V184" s="220"/>
      <c r="W184" s="221"/>
      <c r="X184" s="226"/>
      <c r="Y184" s="226"/>
      <c r="Z184" s="220"/>
      <c r="AA184" s="221"/>
      <c r="AB184" s="226"/>
      <c r="AC184" s="220"/>
      <c r="AD184" s="168">
        <f t="shared" si="10"/>
        <v>0</v>
      </c>
      <c r="AE184" s="168">
        <f t="shared" si="11"/>
        <v>0</v>
      </c>
      <c r="AF184" s="169"/>
      <c r="AG184" s="195"/>
      <c r="AH184" s="195"/>
      <c r="AN184" s="203"/>
      <c r="AO184" s="203"/>
      <c r="AP184" s="203"/>
      <c r="AQ184" s="203"/>
      <c r="AR184" s="203"/>
      <c r="AS184" s="203"/>
      <c r="AT184" s="203"/>
      <c r="AU184" s="195"/>
      <c r="AV184" s="203"/>
      <c r="AW184" s="203"/>
      <c r="AX184" s="195"/>
      <c r="AY184" s="195"/>
      <c r="AZ184" s="203"/>
      <c r="BU184" s="204"/>
      <c r="BV184" s="204"/>
      <c r="BW184" s="204"/>
      <c r="BX184" s="204"/>
      <c r="BY184" s="204"/>
      <c r="BZ184" s="204"/>
      <c r="CA184" s="204"/>
      <c r="CB184" s="204"/>
      <c r="CC184" s="204"/>
      <c r="CD184" s="204"/>
      <c r="CE184" s="204"/>
      <c r="CF184" s="204"/>
      <c r="CG184" s="204"/>
      <c r="CH184" s="204"/>
      <c r="CI184" s="204"/>
      <c r="CJ184" s="204"/>
      <c r="CK184" s="204"/>
      <c r="CL184" s="204"/>
      <c r="CM184" s="204"/>
      <c r="CN184" s="204"/>
      <c r="CO184" s="204"/>
      <c r="CP184" s="204"/>
      <c r="CQ184" s="204"/>
      <c r="CR184" s="204"/>
      <c r="CS184" s="204"/>
      <c r="CT184" s="204"/>
      <c r="CU184" s="204"/>
      <c r="CV184" s="204"/>
      <c r="CW184" s="204"/>
      <c r="CX184" s="204"/>
      <c r="CY184" s="204"/>
      <c r="CZ184" s="204"/>
      <c r="DA184" s="204"/>
      <c r="DB184" s="204"/>
      <c r="DC184" s="204"/>
      <c r="DD184" s="204"/>
      <c r="DE184" s="204"/>
      <c r="DF184" s="204"/>
      <c r="DG184" s="204"/>
      <c r="DH184" s="204"/>
      <c r="DI184" s="204"/>
      <c r="DJ184" s="204"/>
      <c r="DK184" s="204"/>
      <c r="DL184" s="204"/>
      <c r="DM184" s="204"/>
      <c r="DN184" s="204"/>
      <c r="DO184" s="204"/>
      <c r="DP184" s="204"/>
      <c r="DQ184" s="204"/>
      <c r="DR184" s="204"/>
      <c r="DS184" s="204"/>
      <c r="DT184" s="204"/>
      <c r="DU184" s="204"/>
      <c r="DV184" s="204"/>
      <c r="DW184" s="204"/>
      <c r="DX184" s="204"/>
      <c r="DY184" s="204"/>
      <c r="DZ184" s="204"/>
      <c r="EA184" s="204"/>
      <c r="EB184" s="204"/>
      <c r="EC184" s="204"/>
      <c r="ED184" s="204"/>
      <c r="EE184" s="204"/>
      <c r="EF184" s="204"/>
      <c r="EG184" s="204"/>
      <c r="EH184" s="204"/>
      <c r="EI184" s="204"/>
      <c r="EJ184" s="204"/>
      <c r="EK184" s="204"/>
      <c r="EL184" s="204"/>
      <c r="EM184" s="204"/>
      <c r="EN184" s="204"/>
      <c r="EO184" s="204"/>
      <c r="EP184" s="204"/>
      <c r="EQ184" s="204"/>
      <c r="ER184" s="204"/>
      <c r="ES184" s="204"/>
      <c r="ET184" s="204"/>
      <c r="EU184" s="204"/>
      <c r="EV184" s="204"/>
      <c r="EW184" s="204"/>
      <c r="EX184" s="204"/>
      <c r="FC184" s="200" t="str">
        <f t="shared" si="9"/>
        <v>I</v>
      </c>
    </row>
    <row r="185" spans="1:159" s="202" customFormat="1" ht="29.1" hidden="1" customHeight="1" x14ac:dyDescent="0.2">
      <c r="A185" s="142"/>
      <c r="B185" s="146"/>
      <c r="C185" s="153"/>
      <c r="D185" s="51"/>
      <c r="E185" s="38"/>
      <c r="F185" s="220"/>
      <c r="G185" s="221"/>
      <c r="H185" s="226"/>
      <c r="I185" s="226"/>
      <c r="J185" s="226"/>
      <c r="K185" s="224"/>
      <c r="L185" s="220"/>
      <c r="M185" s="221"/>
      <c r="N185" s="226"/>
      <c r="O185" s="226"/>
      <c r="P185" s="226"/>
      <c r="Q185" s="224"/>
      <c r="R185" s="220"/>
      <c r="S185" s="221"/>
      <c r="T185" s="226"/>
      <c r="U185" s="226"/>
      <c r="V185" s="220"/>
      <c r="W185" s="221"/>
      <c r="X185" s="226"/>
      <c r="Y185" s="226"/>
      <c r="Z185" s="220"/>
      <c r="AA185" s="221"/>
      <c r="AB185" s="226"/>
      <c r="AC185" s="220"/>
      <c r="AD185" s="168">
        <f t="shared" si="10"/>
        <v>0</v>
      </c>
      <c r="AE185" s="168">
        <f t="shared" si="11"/>
        <v>0</v>
      </c>
      <c r="AF185" s="169"/>
      <c r="AG185" s="195"/>
      <c r="AH185" s="195"/>
      <c r="AN185" s="203"/>
      <c r="AO185" s="203"/>
      <c r="AP185" s="203"/>
      <c r="AQ185" s="203"/>
      <c r="AR185" s="203"/>
      <c r="AS185" s="203"/>
      <c r="AT185" s="203"/>
      <c r="AU185" s="195"/>
      <c r="AV185" s="203"/>
      <c r="AW185" s="203"/>
      <c r="AX185" s="195"/>
      <c r="AY185" s="195"/>
      <c r="AZ185" s="203"/>
      <c r="BU185" s="204"/>
      <c r="BV185" s="204"/>
      <c r="BW185" s="204"/>
      <c r="BX185" s="204"/>
      <c r="BY185" s="204"/>
      <c r="BZ185" s="204"/>
      <c r="CA185" s="204"/>
      <c r="CB185" s="204"/>
      <c r="CC185" s="204"/>
      <c r="CD185" s="204"/>
      <c r="CE185" s="204"/>
      <c r="CF185" s="204"/>
      <c r="CG185" s="204"/>
      <c r="CH185" s="204"/>
      <c r="CI185" s="204"/>
      <c r="CJ185" s="204"/>
      <c r="CK185" s="204"/>
      <c r="CL185" s="204"/>
      <c r="CM185" s="204"/>
      <c r="CN185" s="204"/>
      <c r="CO185" s="204"/>
      <c r="CP185" s="204"/>
      <c r="CQ185" s="204"/>
      <c r="CR185" s="204"/>
      <c r="CS185" s="204"/>
      <c r="CT185" s="204"/>
      <c r="CU185" s="204"/>
      <c r="CV185" s="204"/>
      <c r="CW185" s="204"/>
      <c r="CX185" s="204"/>
      <c r="CY185" s="204"/>
      <c r="CZ185" s="204"/>
      <c r="DA185" s="204"/>
      <c r="DB185" s="204"/>
      <c r="DC185" s="204"/>
      <c r="DD185" s="204"/>
      <c r="DE185" s="204"/>
      <c r="DF185" s="204"/>
      <c r="DG185" s="204"/>
      <c r="DH185" s="204"/>
      <c r="DI185" s="204"/>
      <c r="DJ185" s="204"/>
      <c r="DK185" s="204"/>
      <c r="DL185" s="204"/>
      <c r="DM185" s="204"/>
      <c r="DN185" s="204"/>
      <c r="DO185" s="204"/>
      <c r="DP185" s="204"/>
      <c r="DQ185" s="204"/>
      <c r="DR185" s="204"/>
      <c r="DS185" s="204"/>
      <c r="DT185" s="204"/>
      <c r="DU185" s="204"/>
      <c r="DV185" s="204"/>
      <c r="DW185" s="204"/>
      <c r="DX185" s="204"/>
      <c r="DY185" s="204"/>
      <c r="DZ185" s="204"/>
      <c r="EA185" s="204"/>
      <c r="EB185" s="204"/>
      <c r="EC185" s="204"/>
      <c r="ED185" s="204"/>
      <c r="EE185" s="204"/>
      <c r="EF185" s="204"/>
      <c r="EG185" s="204"/>
      <c r="EH185" s="204"/>
      <c r="EI185" s="204"/>
      <c r="EJ185" s="204"/>
      <c r="EK185" s="204"/>
      <c r="EL185" s="204"/>
      <c r="EM185" s="204"/>
      <c r="EN185" s="204"/>
      <c r="EO185" s="204"/>
      <c r="EP185" s="204"/>
      <c r="EQ185" s="204"/>
      <c r="ER185" s="204"/>
      <c r="ES185" s="204"/>
      <c r="ET185" s="204"/>
      <c r="EU185" s="204"/>
      <c r="EV185" s="204"/>
      <c r="EW185" s="204"/>
      <c r="EX185" s="204"/>
      <c r="FC185" s="200" t="str">
        <f t="shared" si="9"/>
        <v>I</v>
      </c>
    </row>
    <row r="186" spans="1:159" s="202" customFormat="1" ht="29.1" hidden="1" customHeight="1" x14ac:dyDescent="0.2">
      <c r="A186" s="142"/>
      <c r="B186" s="146"/>
      <c r="C186" s="153"/>
      <c r="D186" s="51"/>
      <c r="E186" s="38"/>
      <c r="F186" s="220"/>
      <c r="G186" s="221"/>
      <c r="H186" s="226"/>
      <c r="I186" s="226"/>
      <c r="J186" s="226"/>
      <c r="K186" s="224"/>
      <c r="L186" s="220"/>
      <c r="M186" s="221"/>
      <c r="N186" s="226"/>
      <c r="O186" s="226"/>
      <c r="P186" s="226"/>
      <c r="Q186" s="224"/>
      <c r="R186" s="220"/>
      <c r="S186" s="221"/>
      <c r="T186" s="226"/>
      <c r="U186" s="226"/>
      <c r="V186" s="220"/>
      <c r="W186" s="221"/>
      <c r="X186" s="226"/>
      <c r="Y186" s="226"/>
      <c r="Z186" s="220"/>
      <c r="AA186" s="221"/>
      <c r="AB186" s="226"/>
      <c r="AC186" s="220"/>
      <c r="AD186" s="168">
        <f t="shared" si="10"/>
        <v>0</v>
      </c>
      <c r="AE186" s="168">
        <f t="shared" si="11"/>
        <v>0</v>
      </c>
      <c r="AF186" s="169"/>
      <c r="AG186" s="195"/>
      <c r="AH186" s="195"/>
      <c r="AN186" s="203"/>
      <c r="AO186" s="203"/>
      <c r="AP186" s="203"/>
      <c r="AQ186" s="203"/>
      <c r="AR186" s="203"/>
      <c r="AS186" s="203"/>
      <c r="AT186" s="203"/>
      <c r="AU186" s="195"/>
      <c r="AV186" s="203"/>
      <c r="AW186" s="203"/>
      <c r="AX186" s="195"/>
      <c r="AY186" s="195"/>
      <c r="AZ186" s="203"/>
      <c r="BU186" s="204"/>
      <c r="BV186" s="204"/>
      <c r="BW186" s="204"/>
      <c r="BX186" s="204"/>
      <c r="BY186" s="204"/>
      <c r="BZ186" s="204"/>
      <c r="CA186" s="204"/>
      <c r="CB186" s="204"/>
      <c r="CC186" s="204"/>
      <c r="CD186" s="204"/>
      <c r="CE186" s="204"/>
      <c r="CF186" s="204"/>
      <c r="CG186" s="204"/>
      <c r="CH186" s="204"/>
      <c r="CI186" s="204"/>
      <c r="CJ186" s="204"/>
      <c r="CK186" s="204"/>
      <c r="CL186" s="204"/>
      <c r="CM186" s="204"/>
      <c r="CN186" s="204"/>
      <c r="CO186" s="204"/>
      <c r="CP186" s="204"/>
      <c r="CQ186" s="204"/>
      <c r="CR186" s="204"/>
      <c r="CS186" s="204"/>
      <c r="CT186" s="204"/>
      <c r="CU186" s="204"/>
      <c r="CV186" s="204"/>
      <c r="CW186" s="204"/>
      <c r="CX186" s="204"/>
      <c r="CY186" s="204"/>
      <c r="CZ186" s="204"/>
      <c r="DA186" s="204"/>
      <c r="DB186" s="204"/>
      <c r="DC186" s="204"/>
      <c r="DD186" s="204"/>
      <c r="DE186" s="204"/>
      <c r="DF186" s="204"/>
      <c r="DG186" s="204"/>
      <c r="DH186" s="204"/>
      <c r="DI186" s="204"/>
      <c r="DJ186" s="204"/>
      <c r="DK186" s="204"/>
      <c r="DL186" s="204"/>
      <c r="DM186" s="204"/>
      <c r="DN186" s="204"/>
      <c r="DO186" s="204"/>
      <c r="DP186" s="204"/>
      <c r="DQ186" s="204"/>
      <c r="DR186" s="204"/>
      <c r="DS186" s="204"/>
      <c r="DT186" s="204"/>
      <c r="DU186" s="204"/>
      <c r="DV186" s="204"/>
      <c r="DW186" s="204"/>
      <c r="DX186" s="204"/>
      <c r="DY186" s="204"/>
      <c r="DZ186" s="204"/>
      <c r="EA186" s="204"/>
      <c r="EB186" s="204"/>
      <c r="EC186" s="204"/>
      <c r="ED186" s="204"/>
      <c r="EE186" s="204"/>
      <c r="EF186" s="204"/>
      <c r="EG186" s="204"/>
      <c r="EH186" s="204"/>
      <c r="EI186" s="204"/>
      <c r="EJ186" s="204"/>
      <c r="EK186" s="204"/>
      <c r="EL186" s="204"/>
      <c r="EM186" s="204"/>
      <c r="EN186" s="204"/>
      <c r="EO186" s="204"/>
      <c r="EP186" s="204"/>
      <c r="EQ186" s="204"/>
      <c r="ER186" s="204"/>
      <c r="ES186" s="204"/>
      <c r="ET186" s="204"/>
      <c r="EU186" s="204"/>
      <c r="EV186" s="204"/>
      <c r="EW186" s="204"/>
      <c r="EX186" s="204"/>
      <c r="FC186" s="200" t="str">
        <f t="shared" si="9"/>
        <v>I</v>
      </c>
    </row>
    <row r="187" spans="1:159" s="202" customFormat="1" ht="29.1" hidden="1" customHeight="1" x14ac:dyDescent="0.2">
      <c r="A187" s="142"/>
      <c r="B187" s="146"/>
      <c r="C187" s="153"/>
      <c r="D187" s="51"/>
      <c r="E187" s="38"/>
      <c r="F187" s="220"/>
      <c r="G187" s="221"/>
      <c r="H187" s="226"/>
      <c r="I187" s="226"/>
      <c r="J187" s="226"/>
      <c r="K187" s="224"/>
      <c r="L187" s="220"/>
      <c r="M187" s="221"/>
      <c r="N187" s="226"/>
      <c r="O187" s="226"/>
      <c r="P187" s="226"/>
      <c r="Q187" s="224"/>
      <c r="R187" s="220"/>
      <c r="S187" s="221"/>
      <c r="T187" s="226"/>
      <c r="U187" s="226"/>
      <c r="V187" s="220"/>
      <c r="W187" s="221"/>
      <c r="X187" s="226"/>
      <c r="Y187" s="226"/>
      <c r="Z187" s="220"/>
      <c r="AA187" s="221"/>
      <c r="AB187" s="226"/>
      <c r="AC187" s="220"/>
      <c r="AD187" s="168">
        <f t="shared" si="10"/>
        <v>0</v>
      </c>
      <c r="AE187" s="168">
        <f t="shared" si="11"/>
        <v>0</v>
      </c>
      <c r="AF187" s="169"/>
      <c r="AG187" s="195"/>
      <c r="AH187" s="195"/>
      <c r="AN187" s="203"/>
      <c r="AO187" s="203"/>
      <c r="AP187" s="203"/>
      <c r="AQ187" s="203"/>
      <c r="AR187" s="203"/>
      <c r="AS187" s="203"/>
      <c r="AT187" s="203"/>
      <c r="AU187" s="195"/>
      <c r="AV187" s="203"/>
      <c r="AW187" s="203"/>
      <c r="AX187" s="195"/>
      <c r="AY187" s="195"/>
      <c r="AZ187" s="203"/>
      <c r="BU187" s="204"/>
      <c r="BV187" s="204"/>
      <c r="BW187" s="204"/>
      <c r="BX187" s="204"/>
      <c r="BY187" s="204"/>
      <c r="BZ187" s="204"/>
      <c r="CA187" s="204"/>
      <c r="CB187" s="204"/>
      <c r="CC187" s="204"/>
      <c r="CD187" s="204"/>
      <c r="CE187" s="204"/>
      <c r="CF187" s="204"/>
      <c r="CG187" s="204"/>
      <c r="CH187" s="204"/>
      <c r="CI187" s="204"/>
      <c r="CJ187" s="204"/>
      <c r="CK187" s="204"/>
      <c r="CL187" s="204"/>
      <c r="CM187" s="204"/>
      <c r="CN187" s="204"/>
      <c r="CO187" s="204"/>
      <c r="CP187" s="204"/>
      <c r="CQ187" s="204"/>
      <c r="CR187" s="204"/>
      <c r="CS187" s="204"/>
      <c r="CT187" s="204"/>
      <c r="CU187" s="204"/>
      <c r="CV187" s="204"/>
      <c r="CW187" s="204"/>
      <c r="CX187" s="204"/>
      <c r="CY187" s="204"/>
      <c r="CZ187" s="204"/>
      <c r="DA187" s="204"/>
      <c r="DB187" s="204"/>
      <c r="DC187" s="204"/>
      <c r="DD187" s="204"/>
      <c r="DE187" s="204"/>
      <c r="DF187" s="204"/>
      <c r="DG187" s="204"/>
      <c r="DH187" s="204"/>
      <c r="DI187" s="204"/>
      <c r="DJ187" s="204"/>
      <c r="DK187" s="204"/>
      <c r="DL187" s="204"/>
      <c r="DM187" s="204"/>
      <c r="DN187" s="204"/>
      <c r="DO187" s="204"/>
      <c r="DP187" s="204"/>
      <c r="DQ187" s="204"/>
      <c r="DR187" s="204"/>
      <c r="DS187" s="204"/>
      <c r="DT187" s="204"/>
      <c r="DU187" s="204"/>
      <c r="DV187" s="204"/>
      <c r="DW187" s="204"/>
      <c r="DX187" s="204"/>
      <c r="DY187" s="204"/>
      <c r="DZ187" s="204"/>
      <c r="EA187" s="204"/>
      <c r="EB187" s="204"/>
      <c r="EC187" s="204"/>
      <c r="ED187" s="204"/>
      <c r="EE187" s="204"/>
      <c r="EF187" s="204"/>
      <c r="EG187" s="204"/>
      <c r="EH187" s="204"/>
      <c r="EI187" s="204"/>
      <c r="EJ187" s="204"/>
      <c r="EK187" s="204"/>
      <c r="EL187" s="204"/>
      <c r="EM187" s="204"/>
      <c r="EN187" s="204"/>
      <c r="EO187" s="204"/>
      <c r="EP187" s="204"/>
      <c r="EQ187" s="204"/>
      <c r="ER187" s="204"/>
      <c r="ES187" s="204"/>
      <c r="ET187" s="204"/>
      <c r="EU187" s="204"/>
      <c r="EV187" s="204"/>
      <c r="EW187" s="204"/>
      <c r="EX187" s="204"/>
      <c r="FC187" s="200" t="str">
        <f t="shared" si="9"/>
        <v>I</v>
      </c>
    </row>
    <row r="188" spans="1:159" s="202" customFormat="1" ht="29.1" hidden="1" customHeight="1" x14ac:dyDescent="0.2">
      <c r="A188" s="142"/>
      <c r="B188" s="146"/>
      <c r="C188" s="153"/>
      <c r="D188" s="51"/>
      <c r="E188" s="38"/>
      <c r="F188" s="220"/>
      <c r="G188" s="221"/>
      <c r="H188" s="226"/>
      <c r="I188" s="226"/>
      <c r="J188" s="226"/>
      <c r="K188" s="224"/>
      <c r="L188" s="220"/>
      <c r="M188" s="221"/>
      <c r="N188" s="226"/>
      <c r="O188" s="226"/>
      <c r="P188" s="226"/>
      <c r="Q188" s="224"/>
      <c r="R188" s="220"/>
      <c r="S188" s="221"/>
      <c r="T188" s="226"/>
      <c r="U188" s="226"/>
      <c r="V188" s="220"/>
      <c r="W188" s="221"/>
      <c r="X188" s="226"/>
      <c r="Y188" s="226"/>
      <c r="Z188" s="220"/>
      <c r="AA188" s="221"/>
      <c r="AB188" s="226"/>
      <c r="AC188" s="220"/>
      <c r="AD188" s="168">
        <f t="shared" si="10"/>
        <v>0</v>
      </c>
      <c r="AE188" s="168">
        <f t="shared" si="11"/>
        <v>0</v>
      </c>
      <c r="AF188" s="169"/>
      <c r="AG188" s="195"/>
      <c r="AH188" s="195"/>
      <c r="AN188" s="203"/>
      <c r="AO188" s="203"/>
      <c r="AP188" s="203"/>
      <c r="AQ188" s="203"/>
      <c r="AR188" s="203"/>
      <c r="AS188" s="203"/>
      <c r="AT188" s="203"/>
      <c r="AU188" s="195"/>
      <c r="AV188" s="203"/>
      <c r="AW188" s="203"/>
      <c r="AX188" s="195"/>
      <c r="AY188" s="195"/>
      <c r="AZ188" s="203"/>
      <c r="BU188" s="204"/>
      <c r="BV188" s="204"/>
      <c r="BW188" s="204"/>
      <c r="BX188" s="204"/>
      <c r="BY188" s="204"/>
      <c r="BZ188" s="204"/>
      <c r="CA188" s="204"/>
      <c r="CB188" s="204"/>
      <c r="CC188" s="204"/>
      <c r="CD188" s="204"/>
      <c r="CE188" s="204"/>
      <c r="CF188" s="204"/>
      <c r="CG188" s="204"/>
      <c r="CH188" s="204"/>
      <c r="CI188" s="204"/>
      <c r="CJ188" s="204"/>
      <c r="CK188" s="204"/>
      <c r="CL188" s="204"/>
      <c r="CM188" s="204"/>
      <c r="CN188" s="204"/>
      <c r="CO188" s="204"/>
      <c r="CP188" s="204"/>
      <c r="CQ188" s="204"/>
      <c r="CR188" s="204"/>
      <c r="CS188" s="204"/>
      <c r="CT188" s="204"/>
      <c r="CU188" s="204"/>
      <c r="CV188" s="204"/>
      <c r="CW188" s="204"/>
      <c r="CX188" s="204"/>
      <c r="CY188" s="204"/>
      <c r="CZ188" s="204"/>
      <c r="DA188" s="204"/>
      <c r="DB188" s="204"/>
      <c r="DC188" s="204"/>
      <c r="DD188" s="204"/>
      <c r="DE188" s="204"/>
      <c r="DF188" s="204"/>
      <c r="DG188" s="204"/>
      <c r="DH188" s="204"/>
      <c r="DI188" s="204"/>
      <c r="DJ188" s="204"/>
      <c r="DK188" s="204"/>
      <c r="DL188" s="204"/>
      <c r="DM188" s="204"/>
      <c r="DN188" s="204"/>
      <c r="DO188" s="204"/>
      <c r="DP188" s="204"/>
      <c r="DQ188" s="204"/>
      <c r="DR188" s="204"/>
      <c r="DS188" s="204"/>
      <c r="DT188" s="204"/>
      <c r="DU188" s="204"/>
      <c r="DV188" s="204"/>
      <c r="DW188" s="204"/>
      <c r="DX188" s="204"/>
      <c r="DY188" s="204"/>
      <c r="DZ188" s="204"/>
      <c r="EA188" s="204"/>
      <c r="EB188" s="204"/>
      <c r="EC188" s="204"/>
      <c r="ED188" s="204"/>
      <c r="EE188" s="204"/>
      <c r="EF188" s="204"/>
      <c r="EG188" s="204"/>
      <c r="EH188" s="204"/>
      <c r="EI188" s="204"/>
      <c r="EJ188" s="204"/>
      <c r="EK188" s="204"/>
      <c r="EL188" s="204"/>
      <c r="EM188" s="204"/>
      <c r="EN188" s="204"/>
      <c r="EO188" s="204"/>
      <c r="EP188" s="204"/>
      <c r="EQ188" s="204"/>
      <c r="ER188" s="204"/>
      <c r="ES188" s="204"/>
      <c r="ET188" s="204"/>
      <c r="EU188" s="204"/>
      <c r="EV188" s="204"/>
      <c r="EW188" s="204"/>
      <c r="EX188" s="204"/>
      <c r="FC188" s="200" t="str">
        <f t="shared" si="9"/>
        <v>I</v>
      </c>
    </row>
    <row r="189" spans="1:159" s="202" customFormat="1" ht="29.1" hidden="1" customHeight="1" x14ac:dyDescent="0.2">
      <c r="A189" s="142"/>
      <c r="B189" s="146"/>
      <c r="C189" s="153"/>
      <c r="D189" s="51"/>
      <c r="E189" s="38"/>
      <c r="F189" s="220"/>
      <c r="G189" s="221"/>
      <c r="H189" s="226"/>
      <c r="I189" s="226"/>
      <c r="J189" s="226"/>
      <c r="K189" s="224"/>
      <c r="L189" s="220"/>
      <c r="M189" s="221"/>
      <c r="N189" s="226"/>
      <c r="O189" s="226"/>
      <c r="P189" s="226"/>
      <c r="Q189" s="224"/>
      <c r="R189" s="220"/>
      <c r="S189" s="221"/>
      <c r="T189" s="226"/>
      <c r="U189" s="226"/>
      <c r="V189" s="220"/>
      <c r="W189" s="221"/>
      <c r="X189" s="226"/>
      <c r="Y189" s="226"/>
      <c r="Z189" s="220"/>
      <c r="AA189" s="221"/>
      <c r="AB189" s="226"/>
      <c r="AC189" s="220"/>
      <c r="AD189" s="168">
        <f t="shared" si="10"/>
        <v>0</v>
      </c>
      <c r="AE189" s="168">
        <f t="shared" si="11"/>
        <v>0</v>
      </c>
      <c r="AF189" s="169"/>
      <c r="AG189" s="195"/>
      <c r="AH189" s="195"/>
      <c r="AN189" s="203"/>
      <c r="AO189" s="203"/>
      <c r="AP189" s="203"/>
      <c r="AQ189" s="203"/>
      <c r="AR189" s="203"/>
      <c r="AS189" s="203"/>
      <c r="AT189" s="203"/>
      <c r="AU189" s="195"/>
      <c r="AV189" s="203"/>
      <c r="AW189" s="203"/>
      <c r="AX189" s="195"/>
      <c r="AY189" s="195"/>
      <c r="AZ189" s="203"/>
      <c r="BU189" s="204"/>
      <c r="BV189" s="204"/>
      <c r="BW189" s="204"/>
      <c r="BX189" s="204"/>
      <c r="BY189" s="204"/>
      <c r="BZ189" s="204"/>
      <c r="CA189" s="204"/>
      <c r="CB189" s="204"/>
      <c r="CC189" s="204"/>
      <c r="CD189" s="204"/>
      <c r="CE189" s="204"/>
      <c r="CF189" s="204"/>
      <c r="CG189" s="204"/>
      <c r="CH189" s="204"/>
      <c r="CI189" s="204"/>
      <c r="CJ189" s="204"/>
      <c r="CK189" s="204"/>
      <c r="CL189" s="204"/>
      <c r="CM189" s="204"/>
      <c r="CN189" s="204"/>
      <c r="CO189" s="204"/>
      <c r="CP189" s="204"/>
      <c r="CQ189" s="204"/>
      <c r="CR189" s="204"/>
      <c r="CS189" s="204"/>
      <c r="CT189" s="204"/>
      <c r="CU189" s="204"/>
      <c r="CV189" s="204"/>
      <c r="CW189" s="204"/>
      <c r="CX189" s="204"/>
      <c r="CY189" s="204"/>
      <c r="CZ189" s="204"/>
      <c r="DA189" s="204"/>
      <c r="DB189" s="204"/>
      <c r="DC189" s="204"/>
      <c r="DD189" s="204"/>
      <c r="DE189" s="204"/>
      <c r="DF189" s="204"/>
      <c r="DG189" s="204"/>
      <c r="DH189" s="204"/>
      <c r="DI189" s="204"/>
      <c r="DJ189" s="204"/>
      <c r="DK189" s="204"/>
      <c r="DL189" s="204"/>
      <c r="DM189" s="204"/>
      <c r="DN189" s="204"/>
      <c r="DO189" s="204"/>
      <c r="DP189" s="204"/>
      <c r="DQ189" s="204"/>
      <c r="DR189" s="204"/>
      <c r="DS189" s="204"/>
      <c r="DT189" s="204"/>
      <c r="DU189" s="204"/>
      <c r="DV189" s="204"/>
      <c r="DW189" s="204"/>
      <c r="DX189" s="204"/>
      <c r="DY189" s="204"/>
      <c r="DZ189" s="204"/>
      <c r="EA189" s="204"/>
      <c r="EB189" s="204"/>
      <c r="EC189" s="204"/>
      <c r="ED189" s="204"/>
      <c r="EE189" s="204"/>
      <c r="EF189" s="204"/>
      <c r="EG189" s="204"/>
      <c r="EH189" s="204"/>
      <c r="EI189" s="204"/>
      <c r="EJ189" s="204"/>
      <c r="EK189" s="204"/>
      <c r="EL189" s="204"/>
      <c r="EM189" s="204"/>
      <c r="EN189" s="204"/>
      <c r="EO189" s="204"/>
      <c r="EP189" s="204"/>
      <c r="EQ189" s="204"/>
      <c r="ER189" s="204"/>
      <c r="ES189" s="204"/>
      <c r="ET189" s="204"/>
      <c r="EU189" s="204"/>
      <c r="EV189" s="204"/>
      <c r="EW189" s="204"/>
      <c r="EX189" s="204"/>
      <c r="FC189" s="200" t="str">
        <f t="shared" si="9"/>
        <v>I</v>
      </c>
    </row>
    <row r="190" spans="1:159" s="202" customFormat="1" ht="29.1" hidden="1" customHeight="1" x14ac:dyDescent="0.2">
      <c r="A190" s="142"/>
      <c r="B190" s="146"/>
      <c r="C190" s="153"/>
      <c r="D190" s="51"/>
      <c r="E190" s="38"/>
      <c r="F190" s="220"/>
      <c r="G190" s="221"/>
      <c r="H190" s="226"/>
      <c r="I190" s="226"/>
      <c r="J190" s="226"/>
      <c r="K190" s="224"/>
      <c r="L190" s="220"/>
      <c r="M190" s="221"/>
      <c r="N190" s="226"/>
      <c r="O190" s="226"/>
      <c r="P190" s="226"/>
      <c r="Q190" s="224"/>
      <c r="R190" s="220"/>
      <c r="S190" s="221"/>
      <c r="T190" s="226"/>
      <c r="U190" s="226"/>
      <c r="V190" s="220"/>
      <c r="W190" s="221"/>
      <c r="X190" s="226"/>
      <c r="Y190" s="226"/>
      <c r="Z190" s="220"/>
      <c r="AA190" s="221"/>
      <c r="AB190" s="226"/>
      <c r="AC190" s="220"/>
      <c r="AD190" s="168">
        <f t="shared" si="10"/>
        <v>0</v>
      </c>
      <c r="AE190" s="168">
        <f t="shared" si="11"/>
        <v>0</v>
      </c>
      <c r="AF190" s="169"/>
      <c r="AG190" s="195"/>
      <c r="AH190" s="195"/>
      <c r="AN190" s="203"/>
      <c r="AO190" s="203"/>
      <c r="AP190" s="203"/>
      <c r="AQ190" s="203"/>
      <c r="AR190" s="203"/>
      <c r="AS190" s="203"/>
      <c r="AT190" s="203"/>
      <c r="AU190" s="195"/>
      <c r="AV190" s="203"/>
      <c r="AW190" s="203"/>
      <c r="AX190" s="195"/>
      <c r="AY190" s="195"/>
      <c r="AZ190" s="203"/>
      <c r="BU190" s="204"/>
      <c r="BV190" s="204"/>
      <c r="BW190" s="204"/>
      <c r="BX190" s="204"/>
      <c r="BY190" s="204"/>
      <c r="BZ190" s="204"/>
      <c r="CA190" s="204"/>
      <c r="CB190" s="204"/>
      <c r="CC190" s="204"/>
      <c r="CD190" s="204"/>
      <c r="CE190" s="204"/>
      <c r="CF190" s="204"/>
      <c r="CG190" s="204"/>
      <c r="CH190" s="204"/>
      <c r="CI190" s="204"/>
      <c r="CJ190" s="204"/>
      <c r="CK190" s="204"/>
      <c r="CL190" s="204"/>
      <c r="CM190" s="204"/>
      <c r="CN190" s="204"/>
      <c r="CO190" s="204"/>
      <c r="CP190" s="204"/>
      <c r="CQ190" s="204"/>
      <c r="CR190" s="204"/>
      <c r="CS190" s="204"/>
      <c r="CT190" s="204"/>
      <c r="CU190" s="204"/>
      <c r="CV190" s="204"/>
      <c r="CW190" s="204"/>
      <c r="CX190" s="204"/>
      <c r="CY190" s="204"/>
      <c r="CZ190" s="204"/>
      <c r="DA190" s="204"/>
      <c r="DB190" s="204"/>
      <c r="DC190" s="204"/>
      <c r="DD190" s="204"/>
      <c r="DE190" s="204"/>
      <c r="DF190" s="204"/>
      <c r="DG190" s="204"/>
      <c r="DH190" s="204"/>
      <c r="DI190" s="204"/>
      <c r="DJ190" s="204"/>
      <c r="DK190" s="204"/>
      <c r="DL190" s="204"/>
      <c r="DM190" s="204"/>
      <c r="DN190" s="204"/>
      <c r="DO190" s="204"/>
      <c r="DP190" s="204"/>
      <c r="DQ190" s="204"/>
      <c r="DR190" s="204"/>
      <c r="DS190" s="204"/>
      <c r="DT190" s="204"/>
      <c r="DU190" s="204"/>
      <c r="DV190" s="204"/>
      <c r="DW190" s="204"/>
      <c r="DX190" s="204"/>
      <c r="DY190" s="204"/>
      <c r="DZ190" s="204"/>
      <c r="EA190" s="204"/>
      <c r="EB190" s="204"/>
      <c r="EC190" s="204"/>
      <c r="ED190" s="204"/>
      <c r="EE190" s="204"/>
      <c r="EF190" s="204"/>
      <c r="EG190" s="204"/>
      <c r="EH190" s="204"/>
      <c r="EI190" s="204"/>
      <c r="EJ190" s="204"/>
      <c r="EK190" s="204"/>
      <c r="EL190" s="204"/>
      <c r="EM190" s="204"/>
      <c r="EN190" s="204"/>
      <c r="EO190" s="204"/>
      <c r="EP190" s="204"/>
      <c r="EQ190" s="204"/>
      <c r="ER190" s="204"/>
      <c r="ES190" s="204"/>
      <c r="ET190" s="204"/>
      <c r="EU190" s="204"/>
      <c r="EV190" s="204"/>
      <c r="EW190" s="204"/>
      <c r="EX190" s="204"/>
      <c r="FC190" s="200" t="str">
        <f t="shared" si="9"/>
        <v>I</v>
      </c>
    </row>
    <row r="191" spans="1:159" s="202" customFormat="1" ht="29.1" hidden="1" customHeight="1" x14ac:dyDescent="0.2">
      <c r="A191" s="142"/>
      <c r="B191" s="146"/>
      <c r="C191" s="153"/>
      <c r="D191" s="51"/>
      <c r="E191" s="38"/>
      <c r="F191" s="220"/>
      <c r="G191" s="221"/>
      <c r="H191" s="226"/>
      <c r="I191" s="226"/>
      <c r="J191" s="226"/>
      <c r="K191" s="224"/>
      <c r="L191" s="220"/>
      <c r="M191" s="221"/>
      <c r="N191" s="226"/>
      <c r="O191" s="226"/>
      <c r="P191" s="226"/>
      <c r="Q191" s="224"/>
      <c r="R191" s="220"/>
      <c r="S191" s="221"/>
      <c r="T191" s="226"/>
      <c r="U191" s="226"/>
      <c r="V191" s="220"/>
      <c r="W191" s="221"/>
      <c r="X191" s="226"/>
      <c r="Y191" s="226"/>
      <c r="Z191" s="220"/>
      <c r="AA191" s="221"/>
      <c r="AB191" s="226"/>
      <c r="AC191" s="220"/>
      <c r="AD191" s="168">
        <f t="shared" si="10"/>
        <v>0</v>
      </c>
      <c r="AE191" s="168">
        <f t="shared" si="11"/>
        <v>0</v>
      </c>
      <c r="AF191" s="169"/>
      <c r="AG191" s="195"/>
      <c r="AH191" s="195"/>
      <c r="AN191" s="203"/>
      <c r="AO191" s="203"/>
      <c r="AP191" s="203"/>
      <c r="AQ191" s="203"/>
      <c r="AR191" s="203"/>
      <c r="AS191" s="203"/>
      <c r="AT191" s="203"/>
      <c r="AU191" s="195"/>
      <c r="AV191" s="203"/>
      <c r="AW191" s="203"/>
      <c r="AX191" s="195"/>
      <c r="AY191" s="195"/>
      <c r="AZ191" s="203"/>
      <c r="BU191" s="204"/>
      <c r="BV191" s="204"/>
      <c r="BW191" s="204"/>
      <c r="BX191" s="204"/>
      <c r="BY191" s="204"/>
      <c r="BZ191" s="204"/>
      <c r="CA191" s="204"/>
      <c r="CB191" s="204"/>
      <c r="CC191" s="204"/>
      <c r="CD191" s="204"/>
      <c r="CE191" s="204"/>
      <c r="CF191" s="204"/>
      <c r="CG191" s="204"/>
      <c r="CH191" s="204"/>
      <c r="CI191" s="204"/>
      <c r="CJ191" s="204"/>
      <c r="CK191" s="204"/>
      <c r="CL191" s="204"/>
      <c r="CM191" s="204"/>
      <c r="CN191" s="204"/>
      <c r="CO191" s="204"/>
      <c r="CP191" s="204"/>
      <c r="CQ191" s="204"/>
      <c r="CR191" s="204"/>
      <c r="CS191" s="204"/>
      <c r="CT191" s="204"/>
      <c r="CU191" s="204"/>
      <c r="CV191" s="204"/>
      <c r="CW191" s="204"/>
      <c r="CX191" s="204"/>
      <c r="CY191" s="204"/>
      <c r="CZ191" s="204"/>
      <c r="DA191" s="204"/>
      <c r="DB191" s="204"/>
      <c r="DC191" s="204"/>
      <c r="DD191" s="204"/>
      <c r="DE191" s="204"/>
      <c r="DF191" s="204"/>
      <c r="DG191" s="204"/>
      <c r="DH191" s="204"/>
      <c r="DI191" s="204"/>
      <c r="DJ191" s="204"/>
      <c r="DK191" s="204"/>
      <c r="DL191" s="204"/>
      <c r="DM191" s="204"/>
      <c r="DN191" s="204"/>
      <c r="DO191" s="204"/>
      <c r="DP191" s="204"/>
      <c r="DQ191" s="204"/>
      <c r="DR191" s="204"/>
      <c r="DS191" s="204"/>
      <c r="DT191" s="204"/>
      <c r="DU191" s="204"/>
      <c r="DV191" s="204"/>
      <c r="DW191" s="204"/>
      <c r="DX191" s="204"/>
      <c r="DY191" s="204"/>
      <c r="DZ191" s="204"/>
      <c r="EA191" s="204"/>
      <c r="EB191" s="204"/>
      <c r="EC191" s="204"/>
      <c r="ED191" s="204"/>
      <c r="EE191" s="204"/>
      <c r="EF191" s="204"/>
      <c r="EG191" s="204"/>
      <c r="EH191" s="204"/>
      <c r="EI191" s="204"/>
      <c r="EJ191" s="204"/>
      <c r="EK191" s="204"/>
      <c r="EL191" s="204"/>
      <c r="EM191" s="204"/>
      <c r="EN191" s="204"/>
      <c r="EO191" s="204"/>
      <c r="EP191" s="204"/>
      <c r="EQ191" s="204"/>
      <c r="ER191" s="204"/>
      <c r="ES191" s="204"/>
      <c r="ET191" s="204"/>
      <c r="EU191" s="204"/>
      <c r="EV191" s="204"/>
      <c r="EW191" s="204"/>
      <c r="EX191" s="204"/>
      <c r="FC191" s="200" t="str">
        <f t="shared" si="9"/>
        <v>I</v>
      </c>
    </row>
    <row r="192" spans="1:159" s="202" customFormat="1" ht="29.1" hidden="1" customHeight="1" x14ac:dyDescent="0.2">
      <c r="A192" s="142"/>
      <c r="B192" s="146"/>
      <c r="C192" s="153"/>
      <c r="D192" s="51"/>
      <c r="E192" s="38"/>
      <c r="F192" s="220"/>
      <c r="G192" s="221"/>
      <c r="H192" s="226"/>
      <c r="I192" s="226"/>
      <c r="J192" s="226"/>
      <c r="K192" s="224"/>
      <c r="L192" s="220"/>
      <c r="M192" s="221"/>
      <c r="N192" s="226"/>
      <c r="O192" s="226"/>
      <c r="P192" s="226"/>
      <c r="Q192" s="224"/>
      <c r="R192" s="220"/>
      <c r="S192" s="221"/>
      <c r="T192" s="226"/>
      <c r="U192" s="226"/>
      <c r="V192" s="220"/>
      <c r="W192" s="221"/>
      <c r="X192" s="226"/>
      <c r="Y192" s="226"/>
      <c r="Z192" s="220"/>
      <c r="AA192" s="221"/>
      <c r="AB192" s="226"/>
      <c r="AC192" s="220"/>
      <c r="AD192" s="168">
        <f t="shared" si="10"/>
        <v>0</v>
      </c>
      <c r="AE192" s="168">
        <f t="shared" si="11"/>
        <v>0</v>
      </c>
      <c r="AF192" s="169"/>
      <c r="AG192" s="195"/>
      <c r="AH192" s="195"/>
      <c r="AN192" s="203"/>
      <c r="AO192" s="203"/>
      <c r="AP192" s="203"/>
      <c r="AQ192" s="203"/>
      <c r="AR192" s="203"/>
      <c r="AS192" s="203"/>
      <c r="AT192" s="203"/>
      <c r="AU192" s="195"/>
      <c r="AV192" s="203"/>
      <c r="AW192" s="203"/>
      <c r="AX192" s="195"/>
      <c r="AY192" s="195"/>
      <c r="AZ192" s="203"/>
      <c r="BU192" s="204"/>
      <c r="BV192" s="204"/>
      <c r="BW192" s="204"/>
      <c r="BX192" s="204"/>
      <c r="BY192" s="204"/>
      <c r="BZ192" s="204"/>
      <c r="CA192" s="204"/>
      <c r="CB192" s="204"/>
      <c r="CC192" s="204"/>
      <c r="CD192" s="204"/>
      <c r="CE192" s="204"/>
      <c r="CF192" s="204"/>
      <c r="CG192" s="204"/>
      <c r="CH192" s="204"/>
      <c r="CI192" s="204"/>
      <c r="CJ192" s="204"/>
      <c r="CK192" s="204"/>
      <c r="CL192" s="204"/>
      <c r="CM192" s="204"/>
      <c r="CN192" s="204"/>
      <c r="CO192" s="204"/>
      <c r="CP192" s="204"/>
      <c r="CQ192" s="204"/>
      <c r="CR192" s="204"/>
      <c r="CS192" s="204"/>
      <c r="CT192" s="204"/>
      <c r="CU192" s="204"/>
      <c r="CV192" s="204"/>
      <c r="CW192" s="204"/>
      <c r="CX192" s="204"/>
      <c r="CY192" s="204"/>
      <c r="CZ192" s="204"/>
      <c r="DA192" s="204"/>
      <c r="DB192" s="204"/>
      <c r="DC192" s="204"/>
      <c r="DD192" s="204"/>
      <c r="DE192" s="204"/>
      <c r="DF192" s="204"/>
      <c r="DG192" s="204"/>
      <c r="DH192" s="204"/>
      <c r="DI192" s="204"/>
      <c r="DJ192" s="204"/>
      <c r="DK192" s="204"/>
      <c r="DL192" s="204"/>
      <c r="DM192" s="204"/>
      <c r="DN192" s="204"/>
      <c r="DO192" s="204"/>
      <c r="DP192" s="204"/>
      <c r="DQ192" s="204"/>
      <c r="DR192" s="204"/>
      <c r="DS192" s="204"/>
      <c r="DT192" s="204"/>
      <c r="DU192" s="204"/>
      <c r="DV192" s="204"/>
      <c r="DW192" s="204"/>
      <c r="DX192" s="204"/>
      <c r="DY192" s="204"/>
      <c r="DZ192" s="204"/>
      <c r="EA192" s="204"/>
      <c r="EB192" s="204"/>
      <c r="EC192" s="204"/>
      <c r="ED192" s="204"/>
      <c r="EE192" s="204"/>
      <c r="EF192" s="204"/>
      <c r="EG192" s="204"/>
      <c r="EH192" s="204"/>
      <c r="EI192" s="204"/>
      <c r="EJ192" s="204"/>
      <c r="EK192" s="204"/>
      <c r="EL192" s="204"/>
      <c r="EM192" s="204"/>
      <c r="EN192" s="204"/>
      <c r="EO192" s="204"/>
      <c r="EP192" s="204"/>
      <c r="EQ192" s="204"/>
      <c r="ER192" s="204"/>
      <c r="ES192" s="204"/>
      <c r="ET192" s="204"/>
      <c r="EU192" s="204"/>
      <c r="EV192" s="204"/>
      <c r="EW192" s="204"/>
      <c r="EX192" s="204"/>
      <c r="FC192" s="200" t="str">
        <f t="shared" si="9"/>
        <v>I</v>
      </c>
    </row>
    <row r="193" spans="1:159" s="202" customFormat="1" ht="29.1" hidden="1" customHeight="1" x14ac:dyDescent="0.2">
      <c r="A193" s="142"/>
      <c r="B193" s="146"/>
      <c r="C193" s="153"/>
      <c r="D193" s="51"/>
      <c r="E193" s="38"/>
      <c r="F193" s="220"/>
      <c r="G193" s="221"/>
      <c r="H193" s="226"/>
      <c r="I193" s="226"/>
      <c r="J193" s="226"/>
      <c r="K193" s="224"/>
      <c r="L193" s="220"/>
      <c r="M193" s="221"/>
      <c r="N193" s="226"/>
      <c r="O193" s="226"/>
      <c r="P193" s="226"/>
      <c r="Q193" s="224"/>
      <c r="R193" s="220"/>
      <c r="S193" s="221"/>
      <c r="T193" s="226"/>
      <c r="U193" s="226"/>
      <c r="V193" s="220"/>
      <c r="W193" s="221"/>
      <c r="X193" s="226"/>
      <c r="Y193" s="226"/>
      <c r="Z193" s="220"/>
      <c r="AA193" s="221"/>
      <c r="AB193" s="226"/>
      <c r="AC193" s="220"/>
      <c r="AD193" s="168">
        <f t="shared" si="10"/>
        <v>0</v>
      </c>
      <c r="AE193" s="168">
        <f t="shared" si="11"/>
        <v>0</v>
      </c>
      <c r="AF193" s="169"/>
      <c r="AG193" s="195"/>
      <c r="AH193" s="195"/>
      <c r="AN193" s="203"/>
      <c r="AO193" s="203"/>
      <c r="AP193" s="203"/>
      <c r="AQ193" s="203"/>
      <c r="AR193" s="203"/>
      <c r="AS193" s="203"/>
      <c r="AT193" s="203"/>
      <c r="AU193" s="195"/>
      <c r="AV193" s="203"/>
      <c r="AW193" s="203"/>
      <c r="AX193" s="195"/>
      <c r="AY193" s="195"/>
      <c r="AZ193" s="203"/>
      <c r="BU193" s="204"/>
      <c r="BV193" s="204"/>
      <c r="BW193" s="204"/>
      <c r="BX193" s="204"/>
      <c r="BY193" s="204"/>
      <c r="BZ193" s="204"/>
      <c r="CA193" s="204"/>
      <c r="CB193" s="204"/>
      <c r="CC193" s="204"/>
      <c r="CD193" s="204"/>
      <c r="CE193" s="204"/>
      <c r="CF193" s="204"/>
      <c r="CG193" s="204"/>
      <c r="CH193" s="204"/>
      <c r="CI193" s="204"/>
      <c r="CJ193" s="204"/>
      <c r="CK193" s="204"/>
      <c r="CL193" s="204"/>
      <c r="CM193" s="204"/>
      <c r="CN193" s="204"/>
      <c r="CO193" s="204"/>
      <c r="CP193" s="204"/>
      <c r="CQ193" s="204"/>
      <c r="CR193" s="204"/>
      <c r="CS193" s="204"/>
      <c r="CT193" s="204"/>
      <c r="CU193" s="204"/>
      <c r="CV193" s="204"/>
      <c r="CW193" s="204"/>
      <c r="CX193" s="204"/>
      <c r="CY193" s="204"/>
      <c r="CZ193" s="204"/>
      <c r="DA193" s="204"/>
      <c r="DB193" s="204"/>
      <c r="DC193" s="204"/>
      <c r="DD193" s="204"/>
      <c r="DE193" s="204"/>
      <c r="DF193" s="204"/>
      <c r="DG193" s="204"/>
      <c r="DH193" s="204"/>
      <c r="DI193" s="204"/>
      <c r="DJ193" s="204"/>
      <c r="DK193" s="204"/>
      <c r="DL193" s="204"/>
      <c r="DM193" s="204"/>
      <c r="DN193" s="204"/>
      <c r="DO193" s="204"/>
      <c r="DP193" s="204"/>
      <c r="DQ193" s="204"/>
      <c r="DR193" s="204"/>
      <c r="DS193" s="204"/>
      <c r="DT193" s="204"/>
      <c r="DU193" s="204"/>
      <c r="DV193" s="204"/>
      <c r="DW193" s="204"/>
      <c r="DX193" s="204"/>
      <c r="DY193" s="204"/>
      <c r="DZ193" s="204"/>
      <c r="EA193" s="204"/>
      <c r="EB193" s="204"/>
      <c r="EC193" s="204"/>
      <c r="ED193" s="204"/>
      <c r="EE193" s="204"/>
      <c r="EF193" s="204"/>
      <c r="EG193" s="204"/>
      <c r="EH193" s="204"/>
      <c r="EI193" s="204"/>
      <c r="EJ193" s="204"/>
      <c r="EK193" s="204"/>
      <c r="EL193" s="204"/>
      <c r="EM193" s="204"/>
      <c r="EN193" s="204"/>
      <c r="EO193" s="204"/>
      <c r="EP193" s="204"/>
      <c r="EQ193" s="204"/>
      <c r="ER193" s="204"/>
      <c r="ES193" s="204"/>
      <c r="ET193" s="204"/>
      <c r="EU193" s="204"/>
      <c r="EV193" s="204"/>
      <c r="EW193" s="204"/>
      <c r="EX193" s="204"/>
      <c r="FC193" s="200" t="str">
        <f t="shared" si="9"/>
        <v>I</v>
      </c>
    </row>
    <row r="194" spans="1:159" s="202" customFormat="1" ht="29.1" hidden="1" customHeight="1" x14ac:dyDescent="0.2">
      <c r="A194" s="142"/>
      <c r="B194" s="146"/>
      <c r="C194" s="153"/>
      <c r="D194" s="51"/>
      <c r="E194" s="38"/>
      <c r="F194" s="220"/>
      <c r="G194" s="221"/>
      <c r="H194" s="226"/>
      <c r="I194" s="226"/>
      <c r="J194" s="226"/>
      <c r="K194" s="224"/>
      <c r="L194" s="220"/>
      <c r="M194" s="221"/>
      <c r="N194" s="226"/>
      <c r="O194" s="226"/>
      <c r="P194" s="226"/>
      <c r="Q194" s="224"/>
      <c r="R194" s="220"/>
      <c r="S194" s="221"/>
      <c r="T194" s="226"/>
      <c r="U194" s="226"/>
      <c r="V194" s="220"/>
      <c r="W194" s="221"/>
      <c r="X194" s="226"/>
      <c r="Y194" s="226"/>
      <c r="Z194" s="220"/>
      <c r="AA194" s="221"/>
      <c r="AB194" s="226"/>
      <c r="AC194" s="220"/>
      <c r="AD194" s="168">
        <f t="shared" si="10"/>
        <v>0</v>
      </c>
      <c r="AE194" s="168">
        <f t="shared" si="11"/>
        <v>0</v>
      </c>
      <c r="AF194" s="169"/>
      <c r="AG194" s="195"/>
      <c r="AH194" s="195"/>
      <c r="AN194" s="203"/>
      <c r="AO194" s="203"/>
      <c r="AP194" s="203"/>
      <c r="AQ194" s="203"/>
      <c r="AR194" s="203"/>
      <c r="AS194" s="203"/>
      <c r="AT194" s="203"/>
      <c r="AU194" s="195"/>
      <c r="AV194" s="203"/>
      <c r="AW194" s="203"/>
      <c r="AX194" s="195"/>
      <c r="AY194" s="195"/>
      <c r="AZ194" s="203"/>
      <c r="BU194" s="204"/>
      <c r="BV194" s="204"/>
      <c r="BW194" s="204"/>
      <c r="BX194" s="204"/>
      <c r="BY194" s="204"/>
      <c r="BZ194" s="204"/>
      <c r="CA194" s="204"/>
      <c r="CB194" s="204"/>
      <c r="CC194" s="204"/>
      <c r="CD194" s="204"/>
      <c r="CE194" s="204"/>
      <c r="CF194" s="204"/>
      <c r="CG194" s="204"/>
      <c r="CH194" s="204"/>
      <c r="CI194" s="204"/>
      <c r="CJ194" s="204"/>
      <c r="CK194" s="204"/>
      <c r="CL194" s="204"/>
      <c r="CM194" s="204"/>
      <c r="CN194" s="204"/>
      <c r="CO194" s="204"/>
      <c r="CP194" s="204"/>
      <c r="CQ194" s="204"/>
      <c r="CR194" s="204"/>
      <c r="CS194" s="204"/>
      <c r="CT194" s="204"/>
      <c r="CU194" s="204"/>
      <c r="CV194" s="204"/>
      <c r="CW194" s="204"/>
      <c r="CX194" s="204"/>
      <c r="CY194" s="204"/>
      <c r="CZ194" s="204"/>
      <c r="DA194" s="204"/>
      <c r="DB194" s="204"/>
      <c r="DC194" s="204"/>
      <c r="DD194" s="204"/>
      <c r="DE194" s="204"/>
      <c r="DF194" s="204"/>
      <c r="DG194" s="204"/>
      <c r="DH194" s="204"/>
      <c r="DI194" s="204"/>
      <c r="DJ194" s="204"/>
      <c r="DK194" s="204"/>
      <c r="DL194" s="204"/>
      <c r="DM194" s="204"/>
      <c r="DN194" s="204"/>
      <c r="DO194" s="204"/>
      <c r="DP194" s="204"/>
      <c r="DQ194" s="204"/>
      <c r="DR194" s="204"/>
      <c r="DS194" s="204"/>
      <c r="DT194" s="204"/>
      <c r="DU194" s="204"/>
      <c r="DV194" s="204"/>
      <c r="DW194" s="204"/>
      <c r="DX194" s="204"/>
      <c r="DY194" s="204"/>
      <c r="DZ194" s="204"/>
      <c r="EA194" s="204"/>
      <c r="EB194" s="204"/>
      <c r="EC194" s="204"/>
      <c r="ED194" s="204"/>
      <c r="EE194" s="204"/>
      <c r="EF194" s="204"/>
      <c r="EG194" s="204"/>
      <c r="EH194" s="204"/>
      <c r="EI194" s="204"/>
      <c r="EJ194" s="204"/>
      <c r="EK194" s="204"/>
      <c r="EL194" s="204"/>
      <c r="EM194" s="204"/>
      <c r="EN194" s="204"/>
      <c r="EO194" s="204"/>
      <c r="EP194" s="204"/>
      <c r="EQ194" s="204"/>
      <c r="ER194" s="204"/>
      <c r="ES194" s="204"/>
      <c r="ET194" s="204"/>
      <c r="EU194" s="204"/>
      <c r="EV194" s="204"/>
      <c r="EW194" s="204"/>
      <c r="EX194" s="204"/>
      <c r="FC194" s="200" t="str">
        <f t="shared" si="9"/>
        <v>I</v>
      </c>
    </row>
    <row r="195" spans="1:159" s="202" customFormat="1" ht="29.1" hidden="1" customHeight="1" x14ac:dyDescent="0.2">
      <c r="A195" s="142"/>
      <c r="B195" s="146"/>
      <c r="C195" s="153"/>
      <c r="D195" s="51"/>
      <c r="E195" s="38"/>
      <c r="F195" s="220"/>
      <c r="G195" s="221"/>
      <c r="H195" s="226"/>
      <c r="I195" s="226"/>
      <c r="J195" s="226"/>
      <c r="K195" s="224"/>
      <c r="L195" s="220"/>
      <c r="M195" s="221"/>
      <c r="N195" s="226"/>
      <c r="O195" s="226"/>
      <c r="P195" s="226"/>
      <c r="Q195" s="224"/>
      <c r="R195" s="220"/>
      <c r="S195" s="221"/>
      <c r="T195" s="226"/>
      <c r="U195" s="226"/>
      <c r="V195" s="220"/>
      <c r="W195" s="221"/>
      <c r="X195" s="226"/>
      <c r="Y195" s="226"/>
      <c r="Z195" s="220"/>
      <c r="AA195" s="221"/>
      <c r="AB195" s="226"/>
      <c r="AC195" s="220"/>
      <c r="AD195" s="168">
        <f t="shared" si="10"/>
        <v>0</v>
      </c>
      <c r="AE195" s="168">
        <f t="shared" si="11"/>
        <v>0</v>
      </c>
      <c r="AF195" s="169"/>
      <c r="AG195" s="195"/>
      <c r="AH195" s="195"/>
      <c r="AN195" s="203"/>
      <c r="AO195" s="203"/>
      <c r="AP195" s="203"/>
      <c r="AQ195" s="203"/>
      <c r="AR195" s="203"/>
      <c r="AS195" s="203"/>
      <c r="AT195" s="203"/>
      <c r="AU195" s="195"/>
      <c r="AV195" s="203"/>
      <c r="AW195" s="203"/>
      <c r="AX195" s="195"/>
      <c r="AY195" s="195"/>
      <c r="AZ195" s="203"/>
      <c r="BU195" s="204"/>
      <c r="BV195" s="204"/>
      <c r="BW195" s="204"/>
      <c r="BX195" s="204"/>
      <c r="BY195" s="204"/>
      <c r="BZ195" s="204"/>
      <c r="CA195" s="204"/>
      <c r="CB195" s="204"/>
      <c r="CC195" s="204"/>
      <c r="CD195" s="204"/>
      <c r="CE195" s="204"/>
      <c r="CF195" s="204"/>
      <c r="CG195" s="204"/>
      <c r="CH195" s="204"/>
      <c r="CI195" s="204"/>
      <c r="CJ195" s="204"/>
      <c r="CK195" s="204"/>
      <c r="CL195" s="204"/>
      <c r="CM195" s="204"/>
      <c r="CN195" s="204"/>
      <c r="CO195" s="204"/>
      <c r="CP195" s="204"/>
      <c r="CQ195" s="204"/>
      <c r="CR195" s="204"/>
      <c r="CS195" s="204"/>
      <c r="CT195" s="204"/>
      <c r="CU195" s="204"/>
      <c r="CV195" s="204"/>
      <c r="CW195" s="204"/>
      <c r="CX195" s="204"/>
      <c r="CY195" s="204"/>
      <c r="CZ195" s="204"/>
      <c r="DA195" s="204"/>
      <c r="DB195" s="204"/>
      <c r="DC195" s="204"/>
      <c r="DD195" s="204"/>
      <c r="DE195" s="204"/>
      <c r="DF195" s="204"/>
      <c r="DG195" s="204"/>
      <c r="DH195" s="204"/>
      <c r="DI195" s="204"/>
      <c r="DJ195" s="204"/>
      <c r="DK195" s="204"/>
      <c r="DL195" s="204"/>
      <c r="DM195" s="204"/>
      <c r="DN195" s="204"/>
      <c r="DO195" s="204"/>
      <c r="DP195" s="204"/>
      <c r="DQ195" s="204"/>
      <c r="DR195" s="204"/>
      <c r="DS195" s="204"/>
      <c r="DT195" s="204"/>
      <c r="DU195" s="204"/>
      <c r="DV195" s="204"/>
      <c r="DW195" s="204"/>
      <c r="DX195" s="204"/>
      <c r="DY195" s="204"/>
      <c r="DZ195" s="204"/>
      <c r="EA195" s="204"/>
      <c r="EB195" s="204"/>
      <c r="EC195" s="204"/>
      <c r="ED195" s="204"/>
      <c r="EE195" s="204"/>
      <c r="EF195" s="204"/>
      <c r="EG195" s="204"/>
      <c r="EH195" s="204"/>
      <c r="EI195" s="204"/>
      <c r="EJ195" s="204"/>
      <c r="EK195" s="204"/>
      <c r="EL195" s="204"/>
      <c r="EM195" s="204"/>
      <c r="EN195" s="204"/>
      <c r="EO195" s="204"/>
      <c r="EP195" s="204"/>
      <c r="EQ195" s="204"/>
      <c r="ER195" s="204"/>
      <c r="ES195" s="204"/>
      <c r="ET195" s="204"/>
      <c r="EU195" s="204"/>
      <c r="EV195" s="204"/>
      <c r="EW195" s="204"/>
      <c r="EX195" s="204"/>
      <c r="FC195" s="200" t="str">
        <f t="shared" ref="FC195:FC233" si="12">IF(EY195="","I",EY195)</f>
        <v>I</v>
      </c>
    </row>
    <row r="196" spans="1:159" s="202" customFormat="1" ht="29.1" hidden="1" customHeight="1" x14ac:dyDescent="0.2">
      <c r="A196" s="142"/>
      <c r="B196" s="146"/>
      <c r="C196" s="153"/>
      <c r="D196" s="51"/>
      <c r="E196" s="38"/>
      <c r="F196" s="220"/>
      <c r="G196" s="221"/>
      <c r="H196" s="226"/>
      <c r="I196" s="226"/>
      <c r="J196" s="226"/>
      <c r="K196" s="224"/>
      <c r="L196" s="220"/>
      <c r="M196" s="221"/>
      <c r="N196" s="226"/>
      <c r="O196" s="226"/>
      <c r="P196" s="226"/>
      <c r="Q196" s="224"/>
      <c r="R196" s="220"/>
      <c r="S196" s="221"/>
      <c r="T196" s="226"/>
      <c r="U196" s="226"/>
      <c r="V196" s="220"/>
      <c r="W196" s="221"/>
      <c r="X196" s="226"/>
      <c r="Y196" s="226"/>
      <c r="Z196" s="220"/>
      <c r="AA196" s="221"/>
      <c r="AB196" s="226"/>
      <c r="AC196" s="220"/>
      <c r="AD196" s="168">
        <f t="shared" si="10"/>
        <v>0</v>
      </c>
      <c r="AE196" s="168">
        <f t="shared" si="11"/>
        <v>0</v>
      </c>
      <c r="AF196" s="169"/>
      <c r="AG196" s="195"/>
      <c r="AH196" s="195"/>
      <c r="AN196" s="203"/>
      <c r="AO196" s="203"/>
      <c r="AP196" s="203"/>
      <c r="AQ196" s="203"/>
      <c r="AR196" s="203"/>
      <c r="AS196" s="203"/>
      <c r="AT196" s="203"/>
      <c r="AU196" s="195"/>
      <c r="AV196" s="203"/>
      <c r="AW196" s="203"/>
      <c r="AX196" s="195"/>
      <c r="AY196" s="195"/>
      <c r="AZ196" s="203"/>
      <c r="BU196" s="204"/>
      <c r="BV196" s="204"/>
      <c r="BW196" s="204"/>
      <c r="BX196" s="204"/>
      <c r="BY196" s="204"/>
      <c r="BZ196" s="204"/>
      <c r="CA196" s="204"/>
      <c r="CB196" s="204"/>
      <c r="CC196" s="204"/>
      <c r="CD196" s="204"/>
      <c r="CE196" s="204"/>
      <c r="CF196" s="204"/>
      <c r="CG196" s="204"/>
      <c r="CH196" s="204"/>
      <c r="CI196" s="204"/>
      <c r="CJ196" s="204"/>
      <c r="CK196" s="204"/>
      <c r="CL196" s="204"/>
      <c r="CM196" s="204"/>
      <c r="CN196" s="204"/>
      <c r="CO196" s="204"/>
      <c r="CP196" s="204"/>
      <c r="CQ196" s="204"/>
      <c r="CR196" s="204"/>
      <c r="CS196" s="204"/>
      <c r="CT196" s="204"/>
      <c r="CU196" s="204"/>
      <c r="CV196" s="204"/>
      <c r="CW196" s="204"/>
      <c r="CX196" s="204"/>
      <c r="CY196" s="204"/>
      <c r="CZ196" s="204"/>
      <c r="DA196" s="204"/>
      <c r="DB196" s="204"/>
      <c r="DC196" s="204"/>
      <c r="DD196" s="204"/>
      <c r="DE196" s="204"/>
      <c r="DF196" s="204"/>
      <c r="DG196" s="204"/>
      <c r="DH196" s="204"/>
      <c r="DI196" s="204"/>
      <c r="DJ196" s="204"/>
      <c r="DK196" s="204"/>
      <c r="DL196" s="204"/>
      <c r="DM196" s="204"/>
      <c r="DN196" s="204"/>
      <c r="DO196" s="204"/>
      <c r="DP196" s="204"/>
      <c r="DQ196" s="204"/>
      <c r="DR196" s="204"/>
      <c r="DS196" s="204"/>
      <c r="DT196" s="204"/>
      <c r="DU196" s="204"/>
      <c r="DV196" s="204"/>
      <c r="DW196" s="204"/>
      <c r="DX196" s="204"/>
      <c r="DY196" s="204"/>
      <c r="DZ196" s="204"/>
      <c r="EA196" s="204"/>
      <c r="EB196" s="204"/>
      <c r="EC196" s="204"/>
      <c r="ED196" s="204"/>
      <c r="EE196" s="204"/>
      <c r="EF196" s="204"/>
      <c r="EG196" s="204"/>
      <c r="EH196" s="204"/>
      <c r="EI196" s="204"/>
      <c r="EJ196" s="204"/>
      <c r="EK196" s="204"/>
      <c r="EL196" s="204"/>
      <c r="EM196" s="204"/>
      <c r="EN196" s="204"/>
      <c r="EO196" s="204"/>
      <c r="EP196" s="204"/>
      <c r="EQ196" s="204"/>
      <c r="ER196" s="204"/>
      <c r="ES196" s="204"/>
      <c r="ET196" s="204"/>
      <c r="EU196" s="204"/>
      <c r="EV196" s="204"/>
      <c r="EW196" s="204"/>
      <c r="EX196" s="204"/>
      <c r="FC196" s="200" t="str">
        <f t="shared" si="12"/>
        <v>I</v>
      </c>
    </row>
    <row r="197" spans="1:159" s="202" customFormat="1" ht="29.1" hidden="1" customHeight="1" x14ac:dyDescent="0.2">
      <c r="A197" s="142"/>
      <c r="B197" s="146"/>
      <c r="C197" s="153"/>
      <c r="D197" s="51"/>
      <c r="E197" s="38"/>
      <c r="F197" s="220"/>
      <c r="G197" s="221"/>
      <c r="H197" s="226"/>
      <c r="I197" s="226"/>
      <c r="J197" s="226"/>
      <c r="K197" s="224"/>
      <c r="L197" s="220"/>
      <c r="M197" s="221"/>
      <c r="N197" s="226"/>
      <c r="O197" s="226"/>
      <c r="P197" s="226"/>
      <c r="Q197" s="224"/>
      <c r="R197" s="220"/>
      <c r="S197" s="221"/>
      <c r="T197" s="226"/>
      <c r="U197" s="226"/>
      <c r="V197" s="220"/>
      <c r="W197" s="221"/>
      <c r="X197" s="226"/>
      <c r="Y197" s="226"/>
      <c r="Z197" s="220"/>
      <c r="AA197" s="221"/>
      <c r="AB197" s="226"/>
      <c r="AC197" s="220"/>
      <c r="AD197" s="168">
        <f t="shared" si="10"/>
        <v>0</v>
      </c>
      <c r="AE197" s="168">
        <f t="shared" si="11"/>
        <v>0</v>
      </c>
      <c r="AF197" s="169"/>
      <c r="AG197" s="195"/>
      <c r="AH197" s="195"/>
      <c r="AN197" s="203"/>
      <c r="AO197" s="203"/>
      <c r="AP197" s="203"/>
      <c r="AQ197" s="203"/>
      <c r="AR197" s="203"/>
      <c r="AS197" s="203"/>
      <c r="AT197" s="203"/>
      <c r="AU197" s="195"/>
      <c r="AV197" s="203"/>
      <c r="AW197" s="203"/>
      <c r="AX197" s="195"/>
      <c r="AY197" s="195"/>
      <c r="AZ197" s="203"/>
      <c r="BU197" s="204"/>
      <c r="BV197" s="204"/>
      <c r="BW197" s="204"/>
      <c r="BX197" s="204"/>
      <c r="BY197" s="204"/>
      <c r="BZ197" s="204"/>
      <c r="CA197" s="204"/>
      <c r="CB197" s="204"/>
      <c r="CC197" s="204"/>
      <c r="CD197" s="204"/>
      <c r="CE197" s="204"/>
      <c r="CF197" s="204"/>
      <c r="CG197" s="204"/>
      <c r="CH197" s="204"/>
      <c r="CI197" s="204"/>
      <c r="CJ197" s="204"/>
      <c r="CK197" s="204"/>
      <c r="CL197" s="204"/>
      <c r="CM197" s="204"/>
      <c r="CN197" s="204"/>
      <c r="CO197" s="204"/>
      <c r="CP197" s="204"/>
      <c r="CQ197" s="204"/>
      <c r="CR197" s="204"/>
      <c r="CS197" s="204"/>
      <c r="CT197" s="204"/>
      <c r="CU197" s="204"/>
      <c r="CV197" s="204"/>
      <c r="CW197" s="204"/>
      <c r="CX197" s="204"/>
      <c r="CY197" s="204"/>
      <c r="CZ197" s="204"/>
      <c r="DA197" s="204"/>
      <c r="DB197" s="204"/>
      <c r="DC197" s="204"/>
      <c r="DD197" s="204"/>
      <c r="DE197" s="204"/>
      <c r="DF197" s="204"/>
      <c r="DG197" s="204"/>
      <c r="DH197" s="204"/>
      <c r="DI197" s="204"/>
      <c r="DJ197" s="204"/>
      <c r="DK197" s="204"/>
      <c r="DL197" s="204"/>
      <c r="DM197" s="204"/>
      <c r="DN197" s="204"/>
      <c r="DO197" s="204"/>
      <c r="DP197" s="204"/>
      <c r="DQ197" s="204"/>
      <c r="DR197" s="204"/>
      <c r="DS197" s="204"/>
      <c r="DT197" s="204"/>
      <c r="DU197" s="204"/>
      <c r="DV197" s="204"/>
      <c r="DW197" s="204"/>
      <c r="DX197" s="204"/>
      <c r="DY197" s="204"/>
      <c r="DZ197" s="204"/>
      <c r="EA197" s="204"/>
      <c r="EB197" s="204"/>
      <c r="EC197" s="204"/>
      <c r="ED197" s="204"/>
      <c r="EE197" s="204"/>
      <c r="EF197" s="204"/>
      <c r="EG197" s="204"/>
      <c r="EH197" s="204"/>
      <c r="EI197" s="204"/>
      <c r="EJ197" s="204"/>
      <c r="EK197" s="204"/>
      <c r="EL197" s="204"/>
      <c r="EM197" s="204"/>
      <c r="EN197" s="204"/>
      <c r="EO197" s="204"/>
      <c r="EP197" s="204"/>
      <c r="EQ197" s="204"/>
      <c r="ER197" s="204"/>
      <c r="ES197" s="204"/>
      <c r="ET197" s="204"/>
      <c r="EU197" s="204"/>
      <c r="EV197" s="204"/>
      <c r="EW197" s="204"/>
      <c r="EX197" s="204"/>
      <c r="FC197" s="200" t="str">
        <f t="shared" si="12"/>
        <v>I</v>
      </c>
    </row>
    <row r="198" spans="1:159" s="202" customFormat="1" ht="29.1" hidden="1" customHeight="1" x14ac:dyDescent="0.2">
      <c r="A198" s="142"/>
      <c r="B198" s="146"/>
      <c r="C198" s="153"/>
      <c r="D198" s="51"/>
      <c r="E198" s="38"/>
      <c r="F198" s="220"/>
      <c r="G198" s="221"/>
      <c r="H198" s="226"/>
      <c r="I198" s="226"/>
      <c r="J198" s="226"/>
      <c r="K198" s="224"/>
      <c r="L198" s="220"/>
      <c r="M198" s="221"/>
      <c r="N198" s="226"/>
      <c r="O198" s="226"/>
      <c r="P198" s="226"/>
      <c r="Q198" s="224"/>
      <c r="R198" s="220"/>
      <c r="S198" s="221"/>
      <c r="T198" s="226"/>
      <c r="U198" s="226"/>
      <c r="V198" s="220"/>
      <c r="W198" s="221"/>
      <c r="X198" s="226"/>
      <c r="Y198" s="226"/>
      <c r="Z198" s="220"/>
      <c r="AA198" s="221"/>
      <c r="AB198" s="226"/>
      <c r="AC198" s="220"/>
      <c r="AD198" s="168">
        <f t="shared" si="10"/>
        <v>0</v>
      </c>
      <c r="AE198" s="168">
        <f t="shared" si="11"/>
        <v>0</v>
      </c>
      <c r="AF198" s="169"/>
      <c r="AG198" s="195"/>
      <c r="AH198" s="195"/>
      <c r="AN198" s="203"/>
      <c r="AO198" s="203"/>
      <c r="AP198" s="203"/>
      <c r="AQ198" s="203"/>
      <c r="AR198" s="203"/>
      <c r="AS198" s="203"/>
      <c r="AT198" s="203"/>
      <c r="AU198" s="195"/>
      <c r="AV198" s="203"/>
      <c r="AW198" s="203"/>
      <c r="AX198" s="195"/>
      <c r="AY198" s="195"/>
      <c r="AZ198" s="203"/>
      <c r="BU198" s="204"/>
      <c r="BV198" s="204"/>
      <c r="BW198" s="204"/>
      <c r="BX198" s="204"/>
      <c r="BY198" s="204"/>
      <c r="BZ198" s="204"/>
      <c r="CA198" s="204"/>
      <c r="CB198" s="204"/>
      <c r="CC198" s="204"/>
      <c r="CD198" s="204"/>
      <c r="CE198" s="204"/>
      <c r="CF198" s="204"/>
      <c r="CG198" s="204"/>
      <c r="CH198" s="204"/>
      <c r="CI198" s="204"/>
      <c r="CJ198" s="204"/>
      <c r="CK198" s="204"/>
      <c r="CL198" s="204"/>
      <c r="CM198" s="204"/>
      <c r="CN198" s="204"/>
      <c r="CO198" s="204"/>
      <c r="CP198" s="204"/>
      <c r="CQ198" s="204"/>
      <c r="CR198" s="204"/>
      <c r="CS198" s="204"/>
      <c r="CT198" s="204"/>
      <c r="CU198" s="204"/>
      <c r="CV198" s="204"/>
      <c r="CW198" s="204"/>
      <c r="CX198" s="204"/>
      <c r="CY198" s="204"/>
      <c r="CZ198" s="204"/>
      <c r="DA198" s="204"/>
      <c r="DB198" s="204"/>
      <c r="DC198" s="204"/>
      <c r="DD198" s="204"/>
      <c r="DE198" s="204"/>
      <c r="DF198" s="204"/>
      <c r="DG198" s="204"/>
      <c r="DH198" s="204"/>
      <c r="DI198" s="204"/>
      <c r="DJ198" s="204"/>
      <c r="DK198" s="204"/>
      <c r="DL198" s="204"/>
      <c r="DM198" s="204"/>
      <c r="DN198" s="204"/>
      <c r="DO198" s="204"/>
      <c r="DP198" s="204"/>
      <c r="DQ198" s="204"/>
      <c r="DR198" s="204"/>
      <c r="DS198" s="204"/>
      <c r="DT198" s="204"/>
      <c r="DU198" s="204"/>
      <c r="DV198" s="204"/>
      <c r="DW198" s="204"/>
      <c r="DX198" s="204"/>
      <c r="DY198" s="204"/>
      <c r="DZ198" s="204"/>
      <c r="EA198" s="204"/>
      <c r="EB198" s="204"/>
      <c r="EC198" s="204"/>
      <c r="ED198" s="204"/>
      <c r="EE198" s="204"/>
      <c r="EF198" s="204"/>
      <c r="EG198" s="204"/>
      <c r="EH198" s="204"/>
      <c r="EI198" s="204"/>
      <c r="EJ198" s="204"/>
      <c r="EK198" s="204"/>
      <c r="EL198" s="204"/>
      <c r="EM198" s="204"/>
      <c r="EN198" s="204"/>
      <c r="EO198" s="204"/>
      <c r="EP198" s="204"/>
      <c r="EQ198" s="204"/>
      <c r="ER198" s="204"/>
      <c r="ES198" s="204"/>
      <c r="ET198" s="204"/>
      <c r="EU198" s="204"/>
      <c r="EV198" s="204"/>
      <c r="EW198" s="204"/>
      <c r="EX198" s="204"/>
      <c r="FC198" s="200" t="str">
        <f t="shared" si="12"/>
        <v>I</v>
      </c>
    </row>
    <row r="199" spans="1:159" s="202" customFormat="1" ht="29.1" hidden="1" customHeight="1" x14ac:dyDescent="0.2">
      <c r="A199" s="142"/>
      <c r="B199" s="146"/>
      <c r="C199" s="153"/>
      <c r="D199" s="51"/>
      <c r="E199" s="38"/>
      <c r="F199" s="220"/>
      <c r="G199" s="221"/>
      <c r="H199" s="226"/>
      <c r="I199" s="226"/>
      <c r="J199" s="226"/>
      <c r="K199" s="224"/>
      <c r="L199" s="220"/>
      <c r="M199" s="221"/>
      <c r="N199" s="226"/>
      <c r="O199" s="226"/>
      <c r="P199" s="226"/>
      <c r="Q199" s="224"/>
      <c r="R199" s="220"/>
      <c r="S199" s="221"/>
      <c r="T199" s="226"/>
      <c r="U199" s="226"/>
      <c r="V199" s="220"/>
      <c r="W199" s="221"/>
      <c r="X199" s="226"/>
      <c r="Y199" s="226"/>
      <c r="Z199" s="220"/>
      <c r="AA199" s="221"/>
      <c r="AB199" s="226"/>
      <c r="AC199" s="220"/>
      <c r="AD199" s="168">
        <f t="shared" si="10"/>
        <v>0</v>
      </c>
      <c r="AE199" s="168">
        <f t="shared" si="11"/>
        <v>0</v>
      </c>
      <c r="AF199" s="169"/>
      <c r="AG199" s="195"/>
      <c r="AH199" s="195"/>
      <c r="AN199" s="203"/>
      <c r="AO199" s="203"/>
      <c r="AP199" s="203"/>
      <c r="AQ199" s="203"/>
      <c r="AR199" s="203"/>
      <c r="AS199" s="203"/>
      <c r="AT199" s="203"/>
      <c r="AU199" s="195"/>
      <c r="AV199" s="203"/>
      <c r="AW199" s="203"/>
      <c r="AX199" s="195"/>
      <c r="AY199" s="195"/>
      <c r="AZ199" s="203"/>
      <c r="BU199" s="204"/>
      <c r="BV199" s="204"/>
      <c r="BW199" s="204"/>
      <c r="BX199" s="204"/>
      <c r="BY199" s="204"/>
      <c r="BZ199" s="204"/>
      <c r="CA199" s="204"/>
      <c r="CB199" s="204"/>
      <c r="CC199" s="204"/>
      <c r="CD199" s="204"/>
      <c r="CE199" s="204"/>
      <c r="CF199" s="204"/>
      <c r="CG199" s="204"/>
      <c r="CH199" s="204"/>
      <c r="CI199" s="204"/>
      <c r="CJ199" s="204"/>
      <c r="CK199" s="204"/>
      <c r="CL199" s="204"/>
      <c r="CM199" s="204"/>
      <c r="CN199" s="204"/>
      <c r="CO199" s="204"/>
      <c r="CP199" s="204"/>
      <c r="CQ199" s="204"/>
      <c r="CR199" s="204"/>
      <c r="CS199" s="204"/>
      <c r="CT199" s="204"/>
      <c r="CU199" s="204"/>
      <c r="CV199" s="204"/>
      <c r="CW199" s="204"/>
      <c r="CX199" s="204"/>
      <c r="CY199" s="204"/>
      <c r="CZ199" s="204"/>
      <c r="DA199" s="204"/>
      <c r="DB199" s="204"/>
      <c r="DC199" s="204"/>
      <c r="DD199" s="204"/>
      <c r="DE199" s="204"/>
      <c r="DF199" s="204"/>
      <c r="DG199" s="204"/>
      <c r="DH199" s="204"/>
      <c r="DI199" s="204"/>
      <c r="DJ199" s="204"/>
      <c r="DK199" s="204"/>
      <c r="DL199" s="204"/>
      <c r="DM199" s="204"/>
      <c r="DN199" s="204"/>
      <c r="DO199" s="204"/>
      <c r="DP199" s="204"/>
      <c r="DQ199" s="204"/>
      <c r="DR199" s="204"/>
      <c r="DS199" s="204"/>
      <c r="DT199" s="204"/>
      <c r="DU199" s="204"/>
      <c r="DV199" s="204"/>
      <c r="DW199" s="204"/>
      <c r="DX199" s="204"/>
      <c r="DY199" s="204"/>
      <c r="DZ199" s="204"/>
      <c r="EA199" s="204"/>
      <c r="EB199" s="204"/>
      <c r="EC199" s="204"/>
      <c r="ED199" s="204"/>
      <c r="EE199" s="204"/>
      <c r="EF199" s="204"/>
      <c r="EG199" s="204"/>
      <c r="EH199" s="204"/>
      <c r="EI199" s="204"/>
      <c r="EJ199" s="204"/>
      <c r="EK199" s="204"/>
      <c r="EL199" s="204"/>
      <c r="EM199" s="204"/>
      <c r="EN199" s="204"/>
      <c r="EO199" s="204"/>
      <c r="EP199" s="204"/>
      <c r="EQ199" s="204"/>
      <c r="ER199" s="204"/>
      <c r="ES199" s="204"/>
      <c r="ET199" s="204"/>
      <c r="EU199" s="204"/>
      <c r="EV199" s="204"/>
      <c r="EW199" s="204"/>
      <c r="EX199" s="204"/>
      <c r="FC199" s="200" t="str">
        <f t="shared" si="12"/>
        <v>I</v>
      </c>
    </row>
    <row r="200" spans="1:159" s="202" customFormat="1" ht="29.1" hidden="1" customHeight="1" x14ac:dyDescent="0.2">
      <c r="A200" s="142"/>
      <c r="B200" s="146"/>
      <c r="C200" s="153"/>
      <c r="D200" s="51"/>
      <c r="E200" s="38"/>
      <c r="F200" s="220"/>
      <c r="G200" s="221"/>
      <c r="H200" s="226"/>
      <c r="I200" s="226"/>
      <c r="J200" s="226"/>
      <c r="K200" s="224"/>
      <c r="L200" s="220"/>
      <c r="M200" s="221"/>
      <c r="N200" s="226"/>
      <c r="O200" s="226"/>
      <c r="P200" s="226"/>
      <c r="Q200" s="224"/>
      <c r="R200" s="220"/>
      <c r="S200" s="221"/>
      <c r="T200" s="226"/>
      <c r="U200" s="226"/>
      <c r="V200" s="220"/>
      <c r="W200" s="221"/>
      <c r="X200" s="226"/>
      <c r="Y200" s="226"/>
      <c r="Z200" s="220"/>
      <c r="AA200" s="221"/>
      <c r="AB200" s="226"/>
      <c r="AC200" s="220"/>
      <c r="AD200" s="168">
        <f t="shared" si="10"/>
        <v>0</v>
      </c>
      <c r="AE200" s="168">
        <f t="shared" si="11"/>
        <v>0</v>
      </c>
      <c r="AF200" s="169"/>
      <c r="AG200" s="195"/>
      <c r="AH200" s="195"/>
      <c r="AN200" s="203"/>
      <c r="AO200" s="203"/>
      <c r="AP200" s="203"/>
      <c r="AQ200" s="203"/>
      <c r="AR200" s="203"/>
      <c r="AS200" s="203"/>
      <c r="AT200" s="203"/>
      <c r="AU200" s="195"/>
      <c r="AV200" s="203"/>
      <c r="AW200" s="203"/>
      <c r="AX200" s="195"/>
      <c r="AY200" s="195"/>
      <c r="AZ200" s="203"/>
      <c r="BU200" s="204"/>
      <c r="BV200" s="204"/>
      <c r="BW200" s="204"/>
      <c r="BX200" s="204"/>
      <c r="BY200" s="204"/>
      <c r="BZ200" s="204"/>
      <c r="CA200" s="204"/>
      <c r="CB200" s="204"/>
      <c r="CC200" s="204"/>
      <c r="CD200" s="204"/>
      <c r="CE200" s="204"/>
      <c r="CF200" s="204"/>
      <c r="CG200" s="204"/>
      <c r="CH200" s="204"/>
      <c r="CI200" s="204"/>
      <c r="CJ200" s="204"/>
      <c r="CK200" s="204"/>
      <c r="CL200" s="204"/>
      <c r="CM200" s="204"/>
      <c r="CN200" s="204"/>
      <c r="CO200" s="204"/>
      <c r="CP200" s="204"/>
      <c r="CQ200" s="204"/>
      <c r="CR200" s="204"/>
      <c r="CS200" s="204"/>
      <c r="CT200" s="204"/>
      <c r="CU200" s="204"/>
      <c r="CV200" s="204"/>
      <c r="CW200" s="204"/>
      <c r="CX200" s="204"/>
      <c r="CY200" s="204"/>
      <c r="CZ200" s="204"/>
      <c r="DA200" s="204"/>
      <c r="DB200" s="204"/>
      <c r="DC200" s="204"/>
      <c r="DD200" s="204"/>
      <c r="DE200" s="204"/>
      <c r="DF200" s="204"/>
      <c r="DG200" s="204"/>
      <c r="DH200" s="204"/>
      <c r="DI200" s="204"/>
      <c r="DJ200" s="204"/>
      <c r="DK200" s="204"/>
      <c r="DL200" s="204"/>
      <c r="DM200" s="204"/>
      <c r="DN200" s="204"/>
      <c r="DO200" s="204"/>
      <c r="DP200" s="204"/>
      <c r="DQ200" s="204"/>
      <c r="DR200" s="204"/>
      <c r="DS200" s="204"/>
      <c r="DT200" s="204"/>
      <c r="DU200" s="204"/>
      <c r="DV200" s="204"/>
      <c r="DW200" s="204"/>
      <c r="DX200" s="204"/>
      <c r="DY200" s="204"/>
      <c r="DZ200" s="204"/>
      <c r="EA200" s="204"/>
      <c r="EB200" s="204"/>
      <c r="EC200" s="204"/>
      <c r="ED200" s="204"/>
      <c r="EE200" s="204"/>
      <c r="EF200" s="204"/>
      <c r="EG200" s="204"/>
      <c r="EH200" s="204"/>
      <c r="EI200" s="204"/>
      <c r="EJ200" s="204"/>
      <c r="EK200" s="204"/>
      <c r="EL200" s="204"/>
      <c r="EM200" s="204"/>
      <c r="EN200" s="204"/>
      <c r="EO200" s="204"/>
      <c r="EP200" s="204"/>
      <c r="EQ200" s="204"/>
      <c r="ER200" s="204"/>
      <c r="ES200" s="204"/>
      <c r="ET200" s="204"/>
      <c r="EU200" s="204"/>
      <c r="EV200" s="204"/>
      <c r="EW200" s="204"/>
      <c r="EX200" s="204"/>
      <c r="FC200" s="200" t="str">
        <f t="shared" si="12"/>
        <v>I</v>
      </c>
    </row>
    <row r="201" spans="1:159" s="202" customFormat="1" ht="29.1" hidden="1" customHeight="1" x14ac:dyDescent="0.2">
      <c r="A201" s="142"/>
      <c r="B201" s="146"/>
      <c r="C201" s="153"/>
      <c r="D201" s="51"/>
      <c r="E201" s="38"/>
      <c r="F201" s="220"/>
      <c r="G201" s="221"/>
      <c r="H201" s="226"/>
      <c r="I201" s="226"/>
      <c r="J201" s="226"/>
      <c r="K201" s="224"/>
      <c r="L201" s="220"/>
      <c r="M201" s="221"/>
      <c r="N201" s="226"/>
      <c r="O201" s="226"/>
      <c r="P201" s="226"/>
      <c r="Q201" s="224"/>
      <c r="R201" s="220"/>
      <c r="S201" s="221"/>
      <c r="T201" s="226"/>
      <c r="U201" s="226"/>
      <c r="V201" s="220"/>
      <c r="W201" s="221"/>
      <c r="X201" s="226"/>
      <c r="Y201" s="226"/>
      <c r="Z201" s="220"/>
      <c r="AA201" s="221"/>
      <c r="AB201" s="226"/>
      <c r="AC201" s="220"/>
      <c r="AD201" s="168">
        <f t="shared" si="10"/>
        <v>0</v>
      </c>
      <c r="AE201" s="168">
        <f t="shared" si="11"/>
        <v>0</v>
      </c>
      <c r="AF201" s="169"/>
      <c r="AG201" s="195"/>
      <c r="AH201" s="195"/>
      <c r="AN201" s="203"/>
      <c r="AO201" s="203"/>
      <c r="AP201" s="203"/>
      <c r="AQ201" s="203"/>
      <c r="AR201" s="203"/>
      <c r="AS201" s="203"/>
      <c r="AT201" s="203"/>
      <c r="AU201" s="195"/>
      <c r="AV201" s="203"/>
      <c r="AW201" s="203"/>
      <c r="AX201" s="195"/>
      <c r="AY201" s="195"/>
      <c r="AZ201" s="203"/>
      <c r="BU201" s="204"/>
      <c r="BV201" s="204"/>
      <c r="BW201" s="204"/>
      <c r="BX201" s="204"/>
      <c r="BY201" s="204"/>
      <c r="BZ201" s="204"/>
      <c r="CA201" s="204"/>
      <c r="CB201" s="204"/>
      <c r="CC201" s="204"/>
      <c r="CD201" s="204"/>
      <c r="CE201" s="204"/>
      <c r="CF201" s="204"/>
      <c r="CG201" s="204"/>
      <c r="CH201" s="204"/>
      <c r="CI201" s="204"/>
      <c r="CJ201" s="204"/>
      <c r="CK201" s="204"/>
      <c r="CL201" s="204"/>
      <c r="CM201" s="204"/>
      <c r="CN201" s="204"/>
      <c r="CO201" s="204"/>
      <c r="CP201" s="204"/>
      <c r="CQ201" s="204"/>
      <c r="CR201" s="204"/>
      <c r="CS201" s="204"/>
      <c r="CT201" s="204"/>
      <c r="CU201" s="204"/>
      <c r="CV201" s="204"/>
      <c r="CW201" s="204"/>
      <c r="CX201" s="204"/>
      <c r="CY201" s="204"/>
      <c r="CZ201" s="204"/>
      <c r="DA201" s="204"/>
      <c r="DB201" s="204"/>
      <c r="DC201" s="204"/>
      <c r="DD201" s="204"/>
      <c r="DE201" s="204"/>
      <c r="DF201" s="204"/>
      <c r="DG201" s="204"/>
      <c r="DH201" s="204"/>
      <c r="DI201" s="204"/>
      <c r="DJ201" s="204"/>
      <c r="DK201" s="204"/>
      <c r="DL201" s="204"/>
      <c r="DM201" s="204"/>
      <c r="DN201" s="204"/>
      <c r="DO201" s="204"/>
      <c r="DP201" s="204"/>
      <c r="DQ201" s="204"/>
      <c r="DR201" s="204"/>
      <c r="DS201" s="204"/>
      <c r="DT201" s="204"/>
      <c r="DU201" s="204"/>
      <c r="DV201" s="204"/>
      <c r="DW201" s="204"/>
      <c r="DX201" s="204"/>
      <c r="DY201" s="204"/>
      <c r="DZ201" s="204"/>
      <c r="EA201" s="204"/>
      <c r="EB201" s="204"/>
      <c r="EC201" s="204"/>
      <c r="ED201" s="204"/>
      <c r="EE201" s="204"/>
      <c r="EF201" s="204"/>
      <c r="EG201" s="204"/>
      <c r="EH201" s="204"/>
      <c r="EI201" s="204"/>
      <c r="EJ201" s="204"/>
      <c r="EK201" s="204"/>
      <c r="EL201" s="204"/>
      <c r="EM201" s="204"/>
      <c r="EN201" s="204"/>
      <c r="EO201" s="204"/>
      <c r="EP201" s="204"/>
      <c r="EQ201" s="204"/>
      <c r="ER201" s="204"/>
      <c r="ES201" s="204"/>
      <c r="ET201" s="204"/>
      <c r="EU201" s="204"/>
      <c r="EV201" s="204"/>
      <c r="EW201" s="204"/>
      <c r="EX201" s="204"/>
      <c r="FC201" s="200" t="str">
        <f t="shared" si="12"/>
        <v>I</v>
      </c>
    </row>
    <row r="202" spans="1:159" s="202" customFormat="1" ht="29.1" hidden="1" customHeight="1" x14ac:dyDescent="0.2">
      <c r="A202" s="142"/>
      <c r="B202" s="146"/>
      <c r="C202" s="153"/>
      <c r="D202" s="51"/>
      <c r="E202" s="38"/>
      <c r="F202" s="220"/>
      <c r="G202" s="221"/>
      <c r="H202" s="226"/>
      <c r="I202" s="226"/>
      <c r="J202" s="226"/>
      <c r="K202" s="224"/>
      <c r="L202" s="220"/>
      <c r="M202" s="221"/>
      <c r="N202" s="226"/>
      <c r="O202" s="226"/>
      <c r="P202" s="226"/>
      <c r="Q202" s="224"/>
      <c r="R202" s="220"/>
      <c r="S202" s="221"/>
      <c r="T202" s="226"/>
      <c r="U202" s="226"/>
      <c r="V202" s="220"/>
      <c r="W202" s="221"/>
      <c r="X202" s="226"/>
      <c r="Y202" s="226"/>
      <c r="Z202" s="220"/>
      <c r="AA202" s="221"/>
      <c r="AB202" s="226"/>
      <c r="AC202" s="220"/>
      <c r="AD202" s="168">
        <f t="shared" ref="AD202:AD232" si="13">IF(ISBLANK(Z202),IF(ISBLANK(V202),IF(ISBLANK(R202),IF(ISBLANK(L202),IF(ISBLANK(F202),0,$F$234),$L$234),$R$234),$V$234),$Z$234)</f>
        <v>0</v>
      </c>
      <c r="AE202" s="168">
        <f t="shared" ref="AE202:AE232" si="14">IF(ISBLANK(AC202),IF(ISBLANK(W202),IF(ISBLANK(S202),IF(ISBLANK(M202),IF(ISBLANK(G202),0,$G$234),$M$234),$S$234),$W$234),$AC$234)</f>
        <v>0</v>
      </c>
      <c r="AF202" s="169"/>
      <c r="AG202" s="195"/>
      <c r="AH202" s="195"/>
      <c r="AN202" s="203"/>
      <c r="AO202" s="203"/>
      <c r="AP202" s="203"/>
      <c r="AQ202" s="203"/>
      <c r="AR202" s="203"/>
      <c r="AS202" s="203"/>
      <c r="AT202" s="203"/>
      <c r="AU202" s="195"/>
      <c r="AV202" s="203"/>
      <c r="AW202" s="203"/>
      <c r="AX202" s="195"/>
      <c r="AY202" s="195"/>
      <c r="AZ202" s="203"/>
      <c r="BU202" s="204"/>
      <c r="BV202" s="204"/>
      <c r="BW202" s="204"/>
      <c r="BX202" s="204"/>
      <c r="BY202" s="204"/>
      <c r="BZ202" s="204"/>
      <c r="CA202" s="204"/>
      <c r="CB202" s="204"/>
      <c r="CC202" s="204"/>
      <c r="CD202" s="204"/>
      <c r="CE202" s="204"/>
      <c r="CF202" s="204"/>
      <c r="CG202" s="204"/>
      <c r="CH202" s="204"/>
      <c r="CI202" s="204"/>
      <c r="CJ202" s="204"/>
      <c r="CK202" s="204"/>
      <c r="CL202" s="204"/>
      <c r="CM202" s="204"/>
      <c r="CN202" s="204"/>
      <c r="CO202" s="204"/>
      <c r="CP202" s="204"/>
      <c r="CQ202" s="204"/>
      <c r="CR202" s="204"/>
      <c r="CS202" s="204"/>
      <c r="CT202" s="204"/>
      <c r="CU202" s="204"/>
      <c r="CV202" s="204"/>
      <c r="CW202" s="204"/>
      <c r="CX202" s="204"/>
      <c r="CY202" s="204"/>
      <c r="CZ202" s="204"/>
      <c r="DA202" s="204"/>
      <c r="DB202" s="204"/>
      <c r="DC202" s="204"/>
      <c r="DD202" s="204"/>
      <c r="DE202" s="204"/>
      <c r="DF202" s="204"/>
      <c r="DG202" s="204"/>
      <c r="DH202" s="204"/>
      <c r="DI202" s="204"/>
      <c r="DJ202" s="204"/>
      <c r="DK202" s="204"/>
      <c r="DL202" s="204"/>
      <c r="DM202" s="204"/>
      <c r="DN202" s="204"/>
      <c r="DO202" s="204"/>
      <c r="DP202" s="204"/>
      <c r="DQ202" s="204"/>
      <c r="DR202" s="204"/>
      <c r="DS202" s="204"/>
      <c r="DT202" s="204"/>
      <c r="DU202" s="204"/>
      <c r="DV202" s="204"/>
      <c r="DW202" s="204"/>
      <c r="DX202" s="204"/>
      <c r="DY202" s="204"/>
      <c r="DZ202" s="204"/>
      <c r="EA202" s="204"/>
      <c r="EB202" s="204"/>
      <c r="EC202" s="204"/>
      <c r="ED202" s="204"/>
      <c r="EE202" s="204"/>
      <c r="EF202" s="204"/>
      <c r="EG202" s="204"/>
      <c r="EH202" s="204"/>
      <c r="EI202" s="204"/>
      <c r="EJ202" s="204"/>
      <c r="EK202" s="204"/>
      <c r="EL202" s="204"/>
      <c r="EM202" s="204"/>
      <c r="EN202" s="204"/>
      <c r="EO202" s="204"/>
      <c r="EP202" s="204"/>
      <c r="EQ202" s="204"/>
      <c r="ER202" s="204"/>
      <c r="ES202" s="204"/>
      <c r="ET202" s="204"/>
      <c r="EU202" s="204"/>
      <c r="EV202" s="204"/>
      <c r="EW202" s="204"/>
      <c r="EX202" s="204"/>
      <c r="FC202" s="200" t="str">
        <f t="shared" si="12"/>
        <v>I</v>
      </c>
    </row>
    <row r="203" spans="1:159" s="202" customFormat="1" ht="29.1" hidden="1" customHeight="1" x14ac:dyDescent="0.2">
      <c r="A203" s="142"/>
      <c r="B203" s="146"/>
      <c r="C203" s="153"/>
      <c r="D203" s="51"/>
      <c r="E203" s="38"/>
      <c r="F203" s="220"/>
      <c r="G203" s="221"/>
      <c r="H203" s="226"/>
      <c r="I203" s="226"/>
      <c r="J203" s="226"/>
      <c r="K203" s="224"/>
      <c r="L203" s="220"/>
      <c r="M203" s="221"/>
      <c r="N203" s="226"/>
      <c r="O203" s="226"/>
      <c r="P203" s="226"/>
      <c r="Q203" s="224"/>
      <c r="R203" s="220"/>
      <c r="S203" s="221"/>
      <c r="T203" s="226"/>
      <c r="U203" s="226"/>
      <c r="V203" s="220"/>
      <c r="W203" s="221"/>
      <c r="X203" s="226"/>
      <c r="Y203" s="226"/>
      <c r="Z203" s="220"/>
      <c r="AA203" s="221"/>
      <c r="AB203" s="226"/>
      <c r="AC203" s="220"/>
      <c r="AD203" s="168">
        <f t="shared" si="13"/>
        <v>0</v>
      </c>
      <c r="AE203" s="168">
        <f t="shared" si="14"/>
        <v>0</v>
      </c>
      <c r="AF203" s="169"/>
      <c r="AG203" s="195"/>
      <c r="AH203" s="195"/>
      <c r="AN203" s="203"/>
      <c r="AO203" s="203"/>
      <c r="AP203" s="203"/>
      <c r="AQ203" s="203"/>
      <c r="AR203" s="203"/>
      <c r="AS203" s="203"/>
      <c r="AT203" s="203"/>
      <c r="AU203" s="195"/>
      <c r="AV203" s="203"/>
      <c r="AW203" s="203"/>
      <c r="AX203" s="195"/>
      <c r="AY203" s="195"/>
      <c r="AZ203" s="203"/>
      <c r="BU203" s="204"/>
      <c r="BV203" s="204"/>
      <c r="BW203" s="204"/>
      <c r="BX203" s="204"/>
      <c r="BY203" s="204"/>
      <c r="BZ203" s="204"/>
      <c r="CA203" s="204"/>
      <c r="CB203" s="204"/>
      <c r="CC203" s="204"/>
      <c r="CD203" s="204"/>
      <c r="CE203" s="204"/>
      <c r="CF203" s="204"/>
      <c r="CG203" s="204"/>
      <c r="CH203" s="204"/>
      <c r="CI203" s="204"/>
      <c r="CJ203" s="204"/>
      <c r="CK203" s="204"/>
      <c r="CL203" s="204"/>
      <c r="CM203" s="204"/>
      <c r="CN203" s="204"/>
      <c r="CO203" s="204"/>
      <c r="CP203" s="204"/>
      <c r="CQ203" s="204"/>
      <c r="CR203" s="204"/>
      <c r="CS203" s="204"/>
      <c r="CT203" s="204"/>
      <c r="CU203" s="204"/>
      <c r="CV203" s="204"/>
      <c r="CW203" s="204"/>
      <c r="CX203" s="204"/>
      <c r="CY203" s="204"/>
      <c r="CZ203" s="204"/>
      <c r="DA203" s="204"/>
      <c r="DB203" s="204"/>
      <c r="DC203" s="204"/>
      <c r="DD203" s="204"/>
      <c r="DE203" s="204"/>
      <c r="DF203" s="204"/>
      <c r="DG203" s="204"/>
      <c r="DH203" s="204"/>
      <c r="DI203" s="204"/>
      <c r="DJ203" s="204"/>
      <c r="DK203" s="204"/>
      <c r="DL203" s="204"/>
      <c r="DM203" s="204"/>
      <c r="DN203" s="204"/>
      <c r="DO203" s="204"/>
      <c r="DP203" s="204"/>
      <c r="DQ203" s="204"/>
      <c r="DR203" s="204"/>
      <c r="DS203" s="204"/>
      <c r="DT203" s="204"/>
      <c r="DU203" s="204"/>
      <c r="DV203" s="204"/>
      <c r="DW203" s="204"/>
      <c r="DX203" s="204"/>
      <c r="DY203" s="204"/>
      <c r="DZ203" s="204"/>
      <c r="EA203" s="204"/>
      <c r="EB203" s="204"/>
      <c r="EC203" s="204"/>
      <c r="ED203" s="204"/>
      <c r="EE203" s="204"/>
      <c r="EF203" s="204"/>
      <c r="EG203" s="204"/>
      <c r="EH203" s="204"/>
      <c r="EI203" s="204"/>
      <c r="EJ203" s="204"/>
      <c r="EK203" s="204"/>
      <c r="EL203" s="204"/>
      <c r="EM203" s="204"/>
      <c r="EN203" s="204"/>
      <c r="EO203" s="204"/>
      <c r="EP203" s="204"/>
      <c r="EQ203" s="204"/>
      <c r="ER203" s="204"/>
      <c r="ES203" s="204"/>
      <c r="ET203" s="204"/>
      <c r="EU203" s="204"/>
      <c r="EV203" s="204"/>
      <c r="EW203" s="204"/>
      <c r="EX203" s="204"/>
      <c r="FC203" s="200" t="str">
        <f t="shared" si="12"/>
        <v>I</v>
      </c>
    </row>
    <row r="204" spans="1:159" s="202" customFormat="1" ht="29.1" hidden="1" customHeight="1" x14ac:dyDescent="0.2">
      <c r="A204" s="142"/>
      <c r="B204" s="146"/>
      <c r="C204" s="153"/>
      <c r="D204" s="51"/>
      <c r="E204" s="38"/>
      <c r="F204" s="220"/>
      <c r="G204" s="221"/>
      <c r="H204" s="226"/>
      <c r="I204" s="226"/>
      <c r="J204" s="226"/>
      <c r="K204" s="224"/>
      <c r="L204" s="220"/>
      <c r="M204" s="221"/>
      <c r="N204" s="226"/>
      <c r="O204" s="226"/>
      <c r="P204" s="226"/>
      <c r="Q204" s="224"/>
      <c r="R204" s="220"/>
      <c r="S204" s="221"/>
      <c r="T204" s="226"/>
      <c r="U204" s="226"/>
      <c r="V204" s="220"/>
      <c r="W204" s="221"/>
      <c r="X204" s="226"/>
      <c r="Y204" s="226"/>
      <c r="Z204" s="220"/>
      <c r="AA204" s="221"/>
      <c r="AB204" s="226"/>
      <c r="AC204" s="220"/>
      <c r="AD204" s="168">
        <f t="shared" si="13"/>
        <v>0</v>
      </c>
      <c r="AE204" s="168">
        <f t="shared" si="14"/>
        <v>0</v>
      </c>
      <c r="AF204" s="169"/>
      <c r="AG204" s="195"/>
      <c r="AH204" s="195"/>
      <c r="AN204" s="203"/>
      <c r="AO204" s="203"/>
      <c r="AP204" s="203"/>
      <c r="AQ204" s="203"/>
      <c r="AR204" s="203"/>
      <c r="AS204" s="203"/>
      <c r="AT204" s="203"/>
      <c r="AU204" s="195"/>
      <c r="AV204" s="203"/>
      <c r="AW204" s="203"/>
      <c r="AX204" s="195"/>
      <c r="AY204" s="195"/>
      <c r="AZ204" s="203"/>
      <c r="BU204" s="204"/>
      <c r="BV204" s="204"/>
      <c r="BW204" s="204"/>
      <c r="BX204" s="204"/>
      <c r="BY204" s="204"/>
      <c r="BZ204" s="204"/>
      <c r="CA204" s="204"/>
      <c r="CB204" s="204"/>
      <c r="CC204" s="204"/>
      <c r="CD204" s="204"/>
      <c r="CE204" s="204"/>
      <c r="CF204" s="204"/>
      <c r="CG204" s="204"/>
      <c r="CH204" s="204"/>
      <c r="CI204" s="204"/>
      <c r="CJ204" s="204"/>
      <c r="CK204" s="204"/>
      <c r="CL204" s="204"/>
      <c r="CM204" s="204"/>
      <c r="CN204" s="204"/>
      <c r="CO204" s="204"/>
      <c r="CP204" s="204"/>
      <c r="CQ204" s="204"/>
      <c r="CR204" s="204"/>
      <c r="CS204" s="204"/>
      <c r="CT204" s="204"/>
      <c r="CU204" s="204"/>
      <c r="CV204" s="204"/>
      <c r="CW204" s="204"/>
      <c r="CX204" s="204"/>
      <c r="CY204" s="204"/>
      <c r="CZ204" s="204"/>
      <c r="DA204" s="204"/>
      <c r="DB204" s="204"/>
      <c r="DC204" s="204"/>
      <c r="DD204" s="204"/>
      <c r="DE204" s="204"/>
      <c r="DF204" s="204"/>
      <c r="DG204" s="204"/>
      <c r="DH204" s="204"/>
      <c r="DI204" s="204"/>
      <c r="DJ204" s="204"/>
      <c r="DK204" s="204"/>
      <c r="DL204" s="204"/>
      <c r="DM204" s="204"/>
      <c r="DN204" s="204"/>
      <c r="DO204" s="204"/>
      <c r="DP204" s="204"/>
      <c r="DQ204" s="204"/>
      <c r="DR204" s="204"/>
      <c r="DS204" s="204"/>
      <c r="DT204" s="204"/>
      <c r="DU204" s="204"/>
      <c r="DV204" s="204"/>
      <c r="DW204" s="204"/>
      <c r="DX204" s="204"/>
      <c r="DY204" s="204"/>
      <c r="DZ204" s="204"/>
      <c r="EA204" s="204"/>
      <c r="EB204" s="204"/>
      <c r="EC204" s="204"/>
      <c r="ED204" s="204"/>
      <c r="EE204" s="204"/>
      <c r="EF204" s="204"/>
      <c r="EG204" s="204"/>
      <c r="EH204" s="204"/>
      <c r="EI204" s="204"/>
      <c r="EJ204" s="204"/>
      <c r="EK204" s="204"/>
      <c r="EL204" s="204"/>
      <c r="EM204" s="204"/>
      <c r="EN204" s="204"/>
      <c r="EO204" s="204"/>
      <c r="EP204" s="204"/>
      <c r="EQ204" s="204"/>
      <c r="ER204" s="204"/>
      <c r="ES204" s="204"/>
      <c r="ET204" s="204"/>
      <c r="EU204" s="204"/>
      <c r="EV204" s="204"/>
      <c r="EW204" s="204"/>
      <c r="EX204" s="204"/>
      <c r="FC204" s="200" t="str">
        <f t="shared" si="12"/>
        <v>I</v>
      </c>
    </row>
    <row r="205" spans="1:159" s="202" customFormat="1" ht="29.1" hidden="1" customHeight="1" x14ac:dyDescent="0.2">
      <c r="A205" s="142"/>
      <c r="B205" s="146"/>
      <c r="C205" s="153"/>
      <c r="D205" s="51"/>
      <c r="E205" s="38"/>
      <c r="F205" s="220"/>
      <c r="G205" s="221"/>
      <c r="H205" s="226"/>
      <c r="I205" s="226"/>
      <c r="J205" s="226"/>
      <c r="K205" s="224"/>
      <c r="L205" s="220"/>
      <c r="M205" s="221"/>
      <c r="N205" s="226"/>
      <c r="O205" s="226"/>
      <c r="P205" s="226"/>
      <c r="Q205" s="224"/>
      <c r="R205" s="220"/>
      <c r="S205" s="221"/>
      <c r="T205" s="226"/>
      <c r="U205" s="226"/>
      <c r="V205" s="220"/>
      <c r="W205" s="221"/>
      <c r="X205" s="226"/>
      <c r="Y205" s="226"/>
      <c r="Z205" s="220"/>
      <c r="AA205" s="221"/>
      <c r="AB205" s="226"/>
      <c r="AC205" s="220"/>
      <c r="AD205" s="168">
        <f t="shared" si="13"/>
        <v>0</v>
      </c>
      <c r="AE205" s="168">
        <f t="shared" si="14"/>
        <v>0</v>
      </c>
      <c r="AF205" s="169"/>
      <c r="AG205" s="195"/>
      <c r="AH205" s="195"/>
      <c r="AN205" s="203"/>
      <c r="AO205" s="203"/>
      <c r="AP205" s="203"/>
      <c r="AQ205" s="203"/>
      <c r="AR205" s="203"/>
      <c r="AS205" s="203"/>
      <c r="AT205" s="203"/>
      <c r="AU205" s="195"/>
      <c r="AV205" s="203"/>
      <c r="AW205" s="203"/>
      <c r="AX205" s="195"/>
      <c r="AY205" s="195"/>
      <c r="AZ205" s="203"/>
      <c r="BU205" s="204"/>
      <c r="BV205" s="204"/>
      <c r="BW205" s="204"/>
      <c r="BX205" s="204"/>
      <c r="BY205" s="204"/>
      <c r="BZ205" s="204"/>
      <c r="CA205" s="204"/>
      <c r="CB205" s="204"/>
      <c r="CC205" s="204"/>
      <c r="CD205" s="204"/>
      <c r="CE205" s="204"/>
      <c r="CF205" s="204"/>
      <c r="CG205" s="204"/>
      <c r="CH205" s="204"/>
      <c r="CI205" s="204"/>
      <c r="CJ205" s="204"/>
      <c r="CK205" s="204"/>
      <c r="CL205" s="204"/>
      <c r="CM205" s="204"/>
      <c r="CN205" s="204"/>
      <c r="CO205" s="204"/>
      <c r="CP205" s="204"/>
      <c r="CQ205" s="204"/>
      <c r="CR205" s="204"/>
      <c r="CS205" s="204"/>
      <c r="CT205" s="204"/>
      <c r="CU205" s="204"/>
      <c r="CV205" s="204"/>
      <c r="CW205" s="204"/>
      <c r="CX205" s="204"/>
      <c r="CY205" s="204"/>
      <c r="CZ205" s="204"/>
      <c r="DA205" s="204"/>
      <c r="DB205" s="204"/>
      <c r="DC205" s="204"/>
      <c r="DD205" s="204"/>
      <c r="DE205" s="204"/>
      <c r="DF205" s="204"/>
      <c r="DG205" s="204"/>
      <c r="DH205" s="204"/>
      <c r="DI205" s="204"/>
      <c r="DJ205" s="204"/>
      <c r="DK205" s="204"/>
      <c r="DL205" s="204"/>
      <c r="DM205" s="204"/>
      <c r="DN205" s="204"/>
      <c r="DO205" s="204"/>
      <c r="DP205" s="204"/>
      <c r="DQ205" s="204"/>
      <c r="DR205" s="204"/>
      <c r="DS205" s="204"/>
      <c r="DT205" s="204"/>
      <c r="DU205" s="204"/>
      <c r="DV205" s="204"/>
      <c r="DW205" s="204"/>
      <c r="DX205" s="204"/>
      <c r="DY205" s="204"/>
      <c r="DZ205" s="204"/>
      <c r="EA205" s="204"/>
      <c r="EB205" s="204"/>
      <c r="EC205" s="204"/>
      <c r="ED205" s="204"/>
      <c r="EE205" s="204"/>
      <c r="EF205" s="204"/>
      <c r="EG205" s="204"/>
      <c r="EH205" s="204"/>
      <c r="EI205" s="204"/>
      <c r="EJ205" s="204"/>
      <c r="EK205" s="204"/>
      <c r="EL205" s="204"/>
      <c r="EM205" s="204"/>
      <c r="EN205" s="204"/>
      <c r="EO205" s="204"/>
      <c r="EP205" s="204"/>
      <c r="EQ205" s="204"/>
      <c r="ER205" s="204"/>
      <c r="ES205" s="204"/>
      <c r="ET205" s="204"/>
      <c r="EU205" s="204"/>
      <c r="EV205" s="204"/>
      <c r="EW205" s="204"/>
      <c r="EX205" s="204"/>
      <c r="FC205" s="200" t="str">
        <f t="shared" si="12"/>
        <v>I</v>
      </c>
    </row>
    <row r="206" spans="1:159" s="202" customFormat="1" ht="29.1" hidden="1" customHeight="1" x14ac:dyDescent="0.2">
      <c r="A206" s="142"/>
      <c r="B206" s="146"/>
      <c r="C206" s="153"/>
      <c r="D206" s="51"/>
      <c r="E206" s="38"/>
      <c r="F206" s="220"/>
      <c r="G206" s="221"/>
      <c r="H206" s="226"/>
      <c r="I206" s="226"/>
      <c r="J206" s="226"/>
      <c r="K206" s="224"/>
      <c r="L206" s="220"/>
      <c r="M206" s="221"/>
      <c r="N206" s="226"/>
      <c r="O206" s="226"/>
      <c r="P206" s="226"/>
      <c r="Q206" s="224"/>
      <c r="R206" s="220"/>
      <c r="S206" s="221"/>
      <c r="T206" s="226"/>
      <c r="U206" s="226"/>
      <c r="V206" s="220"/>
      <c r="W206" s="221"/>
      <c r="X206" s="226"/>
      <c r="Y206" s="226"/>
      <c r="Z206" s="220"/>
      <c r="AA206" s="221"/>
      <c r="AB206" s="226"/>
      <c r="AC206" s="220"/>
      <c r="AD206" s="168">
        <f t="shared" si="13"/>
        <v>0</v>
      </c>
      <c r="AE206" s="168">
        <f t="shared" si="14"/>
        <v>0</v>
      </c>
      <c r="AF206" s="169"/>
      <c r="AG206" s="195"/>
      <c r="AH206" s="195"/>
      <c r="AN206" s="203"/>
      <c r="AO206" s="203"/>
      <c r="AP206" s="203"/>
      <c r="AQ206" s="203"/>
      <c r="AR206" s="203"/>
      <c r="AS206" s="203"/>
      <c r="AT206" s="203"/>
      <c r="AU206" s="195"/>
      <c r="AV206" s="203"/>
      <c r="AW206" s="203"/>
      <c r="AX206" s="195"/>
      <c r="AY206" s="195"/>
      <c r="AZ206" s="203"/>
      <c r="BU206" s="204"/>
      <c r="BV206" s="204"/>
      <c r="BW206" s="204"/>
      <c r="BX206" s="204"/>
      <c r="BY206" s="204"/>
      <c r="BZ206" s="204"/>
      <c r="CA206" s="204"/>
      <c r="CB206" s="204"/>
      <c r="CC206" s="204"/>
      <c r="CD206" s="204"/>
      <c r="CE206" s="204"/>
      <c r="CF206" s="204"/>
      <c r="CG206" s="204"/>
      <c r="CH206" s="204"/>
      <c r="CI206" s="204"/>
      <c r="CJ206" s="204"/>
      <c r="CK206" s="204"/>
      <c r="CL206" s="204"/>
      <c r="CM206" s="204"/>
      <c r="CN206" s="204"/>
      <c r="CO206" s="204"/>
      <c r="CP206" s="204"/>
      <c r="CQ206" s="204"/>
      <c r="CR206" s="204"/>
      <c r="CS206" s="204"/>
      <c r="CT206" s="204"/>
      <c r="CU206" s="204"/>
      <c r="CV206" s="204"/>
      <c r="CW206" s="204"/>
      <c r="CX206" s="204"/>
      <c r="CY206" s="204"/>
      <c r="CZ206" s="204"/>
      <c r="DA206" s="204"/>
      <c r="DB206" s="204"/>
      <c r="DC206" s="204"/>
      <c r="DD206" s="204"/>
      <c r="DE206" s="204"/>
      <c r="DF206" s="204"/>
      <c r="DG206" s="204"/>
      <c r="DH206" s="204"/>
      <c r="DI206" s="204"/>
      <c r="DJ206" s="204"/>
      <c r="DK206" s="204"/>
      <c r="DL206" s="204"/>
      <c r="DM206" s="204"/>
      <c r="DN206" s="204"/>
      <c r="DO206" s="204"/>
      <c r="DP206" s="204"/>
      <c r="DQ206" s="204"/>
      <c r="DR206" s="204"/>
      <c r="DS206" s="204"/>
      <c r="DT206" s="204"/>
      <c r="DU206" s="204"/>
      <c r="DV206" s="204"/>
      <c r="DW206" s="204"/>
      <c r="DX206" s="204"/>
      <c r="DY206" s="204"/>
      <c r="DZ206" s="204"/>
      <c r="EA206" s="204"/>
      <c r="EB206" s="204"/>
      <c r="EC206" s="204"/>
      <c r="ED206" s="204"/>
      <c r="EE206" s="204"/>
      <c r="EF206" s="204"/>
      <c r="EG206" s="204"/>
      <c r="EH206" s="204"/>
      <c r="EI206" s="204"/>
      <c r="EJ206" s="204"/>
      <c r="EK206" s="204"/>
      <c r="EL206" s="204"/>
      <c r="EM206" s="204"/>
      <c r="EN206" s="204"/>
      <c r="EO206" s="204"/>
      <c r="EP206" s="204"/>
      <c r="EQ206" s="204"/>
      <c r="ER206" s="204"/>
      <c r="ES206" s="204"/>
      <c r="ET206" s="204"/>
      <c r="EU206" s="204"/>
      <c r="EV206" s="204"/>
      <c r="EW206" s="204"/>
      <c r="EX206" s="204"/>
      <c r="FC206" s="200" t="str">
        <f t="shared" si="12"/>
        <v>I</v>
      </c>
    </row>
    <row r="207" spans="1:159" s="202" customFormat="1" ht="29.1" hidden="1" customHeight="1" x14ac:dyDescent="0.2">
      <c r="A207" s="142"/>
      <c r="B207" s="146"/>
      <c r="C207" s="153"/>
      <c r="D207" s="51"/>
      <c r="E207" s="38"/>
      <c r="F207" s="220"/>
      <c r="G207" s="221"/>
      <c r="H207" s="226"/>
      <c r="I207" s="226"/>
      <c r="J207" s="226"/>
      <c r="K207" s="224"/>
      <c r="L207" s="220"/>
      <c r="M207" s="221"/>
      <c r="N207" s="226"/>
      <c r="O207" s="226"/>
      <c r="P207" s="226"/>
      <c r="Q207" s="224"/>
      <c r="R207" s="220"/>
      <c r="S207" s="221"/>
      <c r="T207" s="226"/>
      <c r="U207" s="226"/>
      <c r="V207" s="220"/>
      <c r="W207" s="221"/>
      <c r="X207" s="226"/>
      <c r="Y207" s="226"/>
      <c r="Z207" s="220"/>
      <c r="AA207" s="221"/>
      <c r="AB207" s="226"/>
      <c r="AC207" s="220"/>
      <c r="AD207" s="168">
        <f t="shared" si="13"/>
        <v>0</v>
      </c>
      <c r="AE207" s="168">
        <f t="shared" si="14"/>
        <v>0</v>
      </c>
      <c r="AF207" s="169"/>
      <c r="AG207" s="195"/>
      <c r="AH207" s="195"/>
      <c r="AN207" s="203"/>
      <c r="AO207" s="203"/>
      <c r="AP207" s="203"/>
      <c r="AQ207" s="203"/>
      <c r="AR207" s="203"/>
      <c r="AS207" s="203"/>
      <c r="AT207" s="203"/>
      <c r="AU207" s="195"/>
      <c r="AV207" s="203"/>
      <c r="AW207" s="203"/>
      <c r="AX207" s="195"/>
      <c r="AY207" s="195"/>
      <c r="AZ207" s="203"/>
      <c r="BU207" s="204"/>
      <c r="BV207" s="204"/>
      <c r="BW207" s="204"/>
      <c r="BX207" s="204"/>
      <c r="BY207" s="204"/>
      <c r="BZ207" s="204"/>
      <c r="CA207" s="204"/>
      <c r="CB207" s="204"/>
      <c r="CC207" s="204"/>
      <c r="CD207" s="204"/>
      <c r="CE207" s="204"/>
      <c r="CF207" s="204"/>
      <c r="CG207" s="204"/>
      <c r="CH207" s="204"/>
      <c r="CI207" s="204"/>
      <c r="CJ207" s="204"/>
      <c r="CK207" s="204"/>
      <c r="CL207" s="204"/>
      <c r="CM207" s="204"/>
      <c r="CN207" s="204"/>
      <c r="CO207" s="204"/>
      <c r="CP207" s="204"/>
      <c r="CQ207" s="204"/>
      <c r="CR207" s="204"/>
      <c r="CS207" s="204"/>
      <c r="CT207" s="204"/>
      <c r="CU207" s="204"/>
      <c r="CV207" s="204"/>
      <c r="CW207" s="204"/>
      <c r="CX207" s="204"/>
      <c r="CY207" s="204"/>
      <c r="CZ207" s="204"/>
      <c r="DA207" s="204"/>
      <c r="DB207" s="204"/>
      <c r="DC207" s="204"/>
      <c r="DD207" s="204"/>
      <c r="DE207" s="204"/>
      <c r="DF207" s="204"/>
      <c r="DG207" s="204"/>
      <c r="DH207" s="204"/>
      <c r="DI207" s="204"/>
      <c r="DJ207" s="204"/>
      <c r="DK207" s="204"/>
      <c r="DL207" s="204"/>
      <c r="DM207" s="204"/>
      <c r="DN207" s="204"/>
      <c r="DO207" s="204"/>
      <c r="DP207" s="204"/>
      <c r="DQ207" s="204"/>
      <c r="DR207" s="204"/>
      <c r="DS207" s="204"/>
      <c r="DT207" s="204"/>
      <c r="DU207" s="204"/>
      <c r="DV207" s="204"/>
      <c r="DW207" s="204"/>
      <c r="DX207" s="204"/>
      <c r="DY207" s="204"/>
      <c r="DZ207" s="204"/>
      <c r="EA207" s="204"/>
      <c r="EB207" s="204"/>
      <c r="EC207" s="204"/>
      <c r="ED207" s="204"/>
      <c r="EE207" s="204"/>
      <c r="EF207" s="204"/>
      <c r="EG207" s="204"/>
      <c r="EH207" s="204"/>
      <c r="EI207" s="204"/>
      <c r="EJ207" s="204"/>
      <c r="EK207" s="204"/>
      <c r="EL207" s="204"/>
      <c r="EM207" s="204"/>
      <c r="EN207" s="204"/>
      <c r="EO207" s="204"/>
      <c r="EP207" s="204"/>
      <c r="EQ207" s="204"/>
      <c r="ER207" s="204"/>
      <c r="ES207" s="204"/>
      <c r="ET207" s="204"/>
      <c r="EU207" s="204"/>
      <c r="EV207" s="204"/>
      <c r="EW207" s="204"/>
      <c r="EX207" s="204"/>
      <c r="FC207" s="200" t="str">
        <f t="shared" si="12"/>
        <v>I</v>
      </c>
    </row>
    <row r="208" spans="1:159" s="202" customFormat="1" ht="29.1" hidden="1" customHeight="1" x14ac:dyDescent="0.2">
      <c r="A208" s="142"/>
      <c r="B208" s="146"/>
      <c r="C208" s="153"/>
      <c r="D208" s="51"/>
      <c r="E208" s="38"/>
      <c r="F208" s="220"/>
      <c r="G208" s="221"/>
      <c r="H208" s="226"/>
      <c r="I208" s="226"/>
      <c r="J208" s="226"/>
      <c r="K208" s="224"/>
      <c r="L208" s="220"/>
      <c r="M208" s="221"/>
      <c r="N208" s="226"/>
      <c r="O208" s="226"/>
      <c r="P208" s="226"/>
      <c r="Q208" s="224"/>
      <c r="R208" s="220"/>
      <c r="S208" s="221"/>
      <c r="T208" s="226"/>
      <c r="U208" s="226"/>
      <c r="V208" s="220"/>
      <c r="W208" s="221"/>
      <c r="X208" s="226"/>
      <c r="Y208" s="226"/>
      <c r="Z208" s="220"/>
      <c r="AA208" s="221"/>
      <c r="AB208" s="226"/>
      <c r="AC208" s="220"/>
      <c r="AD208" s="168">
        <f t="shared" si="13"/>
        <v>0</v>
      </c>
      <c r="AE208" s="168">
        <f t="shared" si="14"/>
        <v>0</v>
      </c>
      <c r="AF208" s="169"/>
      <c r="AG208" s="195"/>
      <c r="AH208" s="195"/>
      <c r="AN208" s="203"/>
      <c r="AO208" s="203"/>
      <c r="AP208" s="203"/>
      <c r="AQ208" s="203"/>
      <c r="AR208" s="203"/>
      <c r="AS208" s="203"/>
      <c r="AT208" s="203"/>
      <c r="AU208" s="195"/>
      <c r="AV208" s="203"/>
      <c r="AW208" s="203"/>
      <c r="AX208" s="195"/>
      <c r="AY208" s="195"/>
      <c r="AZ208" s="203"/>
      <c r="BU208" s="204"/>
      <c r="BV208" s="204"/>
      <c r="BW208" s="204"/>
      <c r="BX208" s="204"/>
      <c r="BY208" s="204"/>
      <c r="BZ208" s="204"/>
      <c r="CA208" s="204"/>
      <c r="CB208" s="204"/>
      <c r="CC208" s="204"/>
      <c r="CD208" s="204"/>
      <c r="CE208" s="204"/>
      <c r="CF208" s="204"/>
      <c r="CG208" s="204"/>
      <c r="CH208" s="204"/>
      <c r="CI208" s="204"/>
      <c r="CJ208" s="204"/>
      <c r="CK208" s="204"/>
      <c r="CL208" s="204"/>
      <c r="CM208" s="204"/>
      <c r="CN208" s="204"/>
      <c r="CO208" s="204"/>
      <c r="CP208" s="204"/>
      <c r="CQ208" s="204"/>
      <c r="CR208" s="204"/>
      <c r="CS208" s="204"/>
      <c r="CT208" s="204"/>
      <c r="CU208" s="204"/>
      <c r="CV208" s="204"/>
      <c r="CW208" s="204"/>
      <c r="CX208" s="204"/>
      <c r="CY208" s="204"/>
      <c r="CZ208" s="204"/>
      <c r="DA208" s="204"/>
      <c r="DB208" s="204"/>
      <c r="DC208" s="204"/>
      <c r="DD208" s="204"/>
      <c r="DE208" s="204"/>
      <c r="DF208" s="204"/>
      <c r="DG208" s="204"/>
      <c r="DH208" s="204"/>
      <c r="DI208" s="204"/>
      <c r="DJ208" s="204"/>
      <c r="DK208" s="204"/>
      <c r="DL208" s="204"/>
      <c r="DM208" s="204"/>
      <c r="DN208" s="204"/>
      <c r="DO208" s="204"/>
      <c r="DP208" s="204"/>
      <c r="DQ208" s="204"/>
      <c r="DR208" s="204"/>
      <c r="DS208" s="204"/>
      <c r="DT208" s="204"/>
      <c r="DU208" s="204"/>
      <c r="DV208" s="204"/>
      <c r="DW208" s="204"/>
      <c r="DX208" s="204"/>
      <c r="DY208" s="204"/>
      <c r="DZ208" s="204"/>
      <c r="EA208" s="204"/>
      <c r="EB208" s="204"/>
      <c r="EC208" s="204"/>
      <c r="ED208" s="204"/>
      <c r="EE208" s="204"/>
      <c r="EF208" s="204"/>
      <c r="EG208" s="204"/>
      <c r="EH208" s="204"/>
      <c r="EI208" s="204"/>
      <c r="EJ208" s="204"/>
      <c r="EK208" s="204"/>
      <c r="EL208" s="204"/>
      <c r="EM208" s="204"/>
      <c r="EN208" s="204"/>
      <c r="EO208" s="204"/>
      <c r="EP208" s="204"/>
      <c r="EQ208" s="204"/>
      <c r="ER208" s="204"/>
      <c r="ES208" s="204"/>
      <c r="ET208" s="204"/>
      <c r="EU208" s="204"/>
      <c r="EV208" s="204"/>
      <c r="EW208" s="204"/>
      <c r="EX208" s="204"/>
      <c r="FC208" s="200" t="str">
        <f t="shared" si="12"/>
        <v>I</v>
      </c>
    </row>
    <row r="209" spans="1:159" s="202" customFormat="1" ht="29.1" hidden="1" customHeight="1" x14ac:dyDescent="0.2">
      <c r="A209" s="142"/>
      <c r="B209" s="146"/>
      <c r="C209" s="153"/>
      <c r="D209" s="51"/>
      <c r="E209" s="38"/>
      <c r="F209" s="220"/>
      <c r="G209" s="221"/>
      <c r="H209" s="226"/>
      <c r="I209" s="226"/>
      <c r="J209" s="226"/>
      <c r="K209" s="224"/>
      <c r="L209" s="220"/>
      <c r="M209" s="221"/>
      <c r="N209" s="226"/>
      <c r="O209" s="226"/>
      <c r="P209" s="226"/>
      <c r="Q209" s="224"/>
      <c r="R209" s="220"/>
      <c r="S209" s="221"/>
      <c r="T209" s="226"/>
      <c r="U209" s="226"/>
      <c r="V209" s="220"/>
      <c r="W209" s="221"/>
      <c r="X209" s="226"/>
      <c r="Y209" s="226"/>
      <c r="Z209" s="220"/>
      <c r="AA209" s="221"/>
      <c r="AB209" s="226"/>
      <c r="AC209" s="220"/>
      <c r="AD209" s="168">
        <f t="shared" si="13"/>
        <v>0</v>
      </c>
      <c r="AE209" s="168">
        <f t="shared" si="14"/>
        <v>0</v>
      </c>
      <c r="AF209" s="169"/>
      <c r="AG209" s="195"/>
      <c r="AH209" s="195"/>
      <c r="AN209" s="203"/>
      <c r="AO209" s="203"/>
      <c r="AP209" s="203"/>
      <c r="AQ209" s="203"/>
      <c r="AR209" s="203"/>
      <c r="AS209" s="203"/>
      <c r="AT209" s="203"/>
      <c r="AU209" s="195"/>
      <c r="AV209" s="203"/>
      <c r="AW209" s="203"/>
      <c r="AX209" s="195"/>
      <c r="AY209" s="195"/>
      <c r="AZ209" s="203"/>
      <c r="BU209" s="204"/>
      <c r="BV209" s="204"/>
      <c r="BW209" s="204"/>
      <c r="BX209" s="204"/>
      <c r="BY209" s="204"/>
      <c r="BZ209" s="204"/>
      <c r="CA209" s="204"/>
      <c r="CB209" s="204"/>
      <c r="CC209" s="204"/>
      <c r="CD209" s="204"/>
      <c r="CE209" s="204"/>
      <c r="CF209" s="204"/>
      <c r="CG209" s="204"/>
      <c r="CH209" s="204"/>
      <c r="CI209" s="204"/>
      <c r="CJ209" s="204"/>
      <c r="CK209" s="204"/>
      <c r="CL209" s="204"/>
      <c r="CM209" s="204"/>
      <c r="CN209" s="204"/>
      <c r="CO209" s="204"/>
      <c r="CP209" s="204"/>
      <c r="CQ209" s="204"/>
      <c r="CR209" s="204"/>
      <c r="CS209" s="204"/>
      <c r="CT209" s="204"/>
      <c r="CU209" s="204"/>
      <c r="CV209" s="204"/>
      <c r="CW209" s="204"/>
      <c r="CX209" s="204"/>
      <c r="CY209" s="204"/>
      <c r="CZ209" s="204"/>
      <c r="DA209" s="204"/>
      <c r="DB209" s="204"/>
      <c r="DC209" s="204"/>
      <c r="DD209" s="204"/>
      <c r="DE209" s="204"/>
      <c r="DF209" s="204"/>
      <c r="DG209" s="204"/>
      <c r="DH209" s="204"/>
      <c r="DI209" s="204"/>
      <c r="DJ209" s="204"/>
      <c r="DK209" s="204"/>
      <c r="DL209" s="204"/>
      <c r="DM209" s="204"/>
      <c r="DN209" s="204"/>
      <c r="DO209" s="204"/>
      <c r="DP209" s="204"/>
      <c r="DQ209" s="204"/>
      <c r="DR209" s="204"/>
      <c r="DS209" s="204"/>
      <c r="DT209" s="204"/>
      <c r="DU209" s="204"/>
      <c r="DV209" s="204"/>
      <c r="DW209" s="204"/>
      <c r="DX209" s="204"/>
      <c r="DY209" s="204"/>
      <c r="DZ209" s="204"/>
      <c r="EA209" s="204"/>
      <c r="EB209" s="204"/>
      <c r="EC209" s="204"/>
      <c r="ED209" s="204"/>
      <c r="EE209" s="204"/>
      <c r="EF209" s="204"/>
      <c r="EG209" s="204"/>
      <c r="EH209" s="204"/>
      <c r="EI209" s="204"/>
      <c r="EJ209" s="204"/>
      <c r="EK209" s="204"/>
      <c r="EL209" s="204"/>
      <c r="EM209" s="204"/>
      <c r="EN209" s="204"/>
      <c r="EO209" s="204"/>
      <c r="EP209" s="204"/>
      <c r="EQ209" s="204"/>
      <c r="ER209" s="204"/>
      <c r="ES209" s="204"/>
      <c r="ET209" s="204"/>
      <c r="EU209" s="204"/>
      <c r="EV209" s="204"/>
      <c r="EW209" s="204"/>
      <c r="EX209" s="204"/>
      <c r="FC209" s="200" t="str">
        <f t="shared" si="12"/>
        <v>I</v>
      </c>
    </row>
    <row r="210" spans="1:159" s="202" customFormat="1" ht="29.1" hidden="1" customHeight="1" x14ac:dyDescent="0.2">
      <c r="A210" s="142"/>
      <c r="B210" s="146"/>
      <c r="C210" s="153"/>
      <c r="D210" s="51"/>
      <c r="E210" s="38"/>
      <c r="F210" s="220"/>
      <c r="G210" s="221"/>
      <c r="H210" s="226"/>
      <c r="I210" s="226"/>
      <c r="J210" s="226"/>
      <c r="K210" s="224"/>
      <c r="L210" s="220"/>
      <c r="M210" s="221"/>
      <c r="N210" s="226"/>
      <c r="O210" s="226"/>
      <c r="P210" s="226"/>
      <c r="Q210" s="224"/>
      <c r="R210" s="220"/>
      <c r="S210" s="221"/>
      <c r="T210" s="226"/>
      <c r="U210" s="226"/>
      <c r="V210" s="220"/>
      <c r="W210" s="221"/>
      <c r="X210" s="226"/>
      <c r="Y210" s="226"/>
      <c r="Z210" s="220"/>
      <c r="AA210" s="221"/>
      <c r="AB210" s="226"/>
      <c r="AC210" s="220"/>
      <c r="AD210" s="168">
        <f t="shared" si="13"/>
        <v>0</v>
      </c>
      <c r="AE210" s="168">
        <f t="shared" si="14"/>
        <v>0</v>
      </c>
      <c r="AF210" s="169"/>
      <c r="AG210" s="195"/>
      <c r="AH210" s="195"/>
      <c r="AN210" s="203"/>
      <c r="AO210" s="203"/>
      <c r="AP210" s="203"/>
      <c r="AQ210" s="203"/>
      <c r="AR210" s="203"/>
      <c r="AS210" s="203"/>
      <c r="AT210" s="203"/>
      <c r="AU210" s="195"/>
      <c r="AV210" s="203"/>
      <c r="AW210" s="203"/>
      <c r="AX210" s="195"/>
      <c r="AY210" s="195"/>
      <c r="AZ210" s="203"/>
      <c r="BU210" s="204"/>
      <c r="BV210" s="204"/>
      <c r="BW210" s="204"/>
      <c r="BX210" s="204"/>
      <c r="BY210" s="204"/>
      <c r="BZ210" s="204"/>
      <c r="CA210" s="204"/>
      <c r="CB210" s="204"/>
      <c r="CC210" s="204"/>
      <c r="CD210" s="204"/>
      <c r="CE210" s="204"/>
      <c r="CF210" s="204"/>
      <c r="CG210" s="204"/>
      <c r="CH210" s="204"/>
      <c r="CI210" s="204"/>
      <c r="CJ210" s="204"/>
      <c r="CK210" s="204"/>
      <c r="CL210" s="204"/>
      <c r="CM210" s="204"/>
      <c r="CN210" s="204"/>
      <c r="CO210" s="204"/>
      <c r="CP210" s="204"/>
      <c r="CQ210" s="204"/>
      <c r="CR210" s="204"/>
      <c r="CS210" s="204"/>
      <c r="CT210" s="204"/>
      <c r="CU210" s="204"/>
      <c r="CV210" s="204"/>
      <c r="CW210" s="204"/>
      <c r="CX210" s="204"/>
      <c r="CY210" s="204"/>
      <c r="CZ210" s="204"/>
      <c r="DA210" s="204"/>
      <c r="DB210" s="204"/>
      <c r="DC210" s="204"/>
      <c r="DD210" s="204"/>
      <c r="DE210" s="204"/>
      <c r="DF210" s="204"/>
      <c r="DG210" s="204"/>
      <c r="DH210" s="204"/>
      <c r="DI210" s="204"/>
      <c r="DJ210" s="204"/>
      <c r="DK210" s="204"/>
      <c r="DL210" s="204"/>
      <c r="DM210" s="204"/>
      <c r="DN210" s="204"/>
      <c r="DO210" s="204"/>
      <c r="DP210" s="204"/>
      <c r="DQ210" s="204"/>
      <c r="DR210" s="204"/>
      <c r="DS210" s="204"/>
      <c r="DT210" s="204"/>
      <c r="DU210" s="204"/>
      <c r="DV210" s="204"/>
      <c r="DW210" s="204"/>
      <c r="DX210" s="204"/>
      <c r="DY210" s="204"/>
      <c r="DZ210" s="204"/>
      <c r="EA210" s="204"/>
      <c r="EB210" s="204"/>
      <c r="EC210" s="204"/>
      <c r="ED210" s="204"/>
      <c r="EE210" s="204"/>
      <c r="EF210" s="204"/>
      <c r="EG210" s="204"/>
      <c r="EH210" s="204"/>
      <c r="EI210" s="204"/>
      <c r="EJ210" s="204"/>
      <c r="EK210" s="204"/>
      <c r="EL210" s="204"/>
      <c r="EM210" s="204"/>
      <c r="EN210" s="204"/>
      <c r="EO210" s="204"/>
      <c r="EP210" s="204"/>
      <c r="EQ210" s="204"/>
      <c r="ER210" s="204"/>
      <c r="ES210" s="204"/>
      <c r="ET210" s="204"/>
      <c r="EU210" s="204"/>
      <c r="EV210" s="204"/>
      <c r="EW210" s="204"/>
      <c r="EX210" s="204"/>
      <c r="FC210" s="200" t="str">
        <f t="shared" si="12"/>
        <v>I</v>
      </c>
    </row>
    <row r="211" spans="1:159" s="202" customFormat="1" ht="29.1" hidden="1" customHeight="1" x14ac:dyDescent="0.2">
      <c r="A211" s="142"/>
      <c r="B211" s="146"/>
      <c r="C211" s="153"/>
      <c r="D211" s="51"/>
      <c r="E211" s="38"/>
      <c r="F211" s="220"/>
      <c r="G211" s="221"/>
      <c r="H211" s="226"/>
      <c r="I211" s="226"/>
      <c r="J211" s="226"/>
      <c r="K211" s="224"/>
      <c r="L211" s="220"/>
      <c r="M211" s="221"/>
      <c r="N211" s="226"/>
      <c r="O211" s="226"/>
      <c r="P211" s="226"/>
      <c r="Q211" s="224"/>
      <c r="R211" s="220"/>
      <c r="S211" s="221"/>
      <c r="T211" s="226"/>
      <c r="U211" s="226"/>
      <c r="V211" s="220"/>
      <c r="W211" s="221"/>
      <c r="X211" s="226"/>
      <c r="Y211" s="226"/>
      <c r="Z211" s="220"/>
      <c r="AA211" s="221"/>
      <c r="AB211" s="226"/>
      <c r="AC211" s="220"/>
      <c r="AD211" s="168">
        <f t="shared" si="13"/>
        <v>0</v>
      </c>
      <c r="AE211" s="168">
        <f t="shared" si="14"/>
        <v>0</v>
      </c>
      <c r="AF211" s="169"/>
      <c r="AG211" s="195"/>
      <c r="AH211" s="195"/>
      <c r="AN211" s="203"/>
      <c r="AO211" s="203"/>
      <c r="AP211" s="203"/>
      <c r="AQ211" s="203"/>
      <c r="AR211" s="203"/>
      <c r="AS211" s="203"/>
      <c r="AT211" s="203"/>
      <c r="AU211" s="195"/>
      <c r="AV211" s="203"/>
      <c r="AW211" s="203"/>
      <c r="AX211" s="195"/>
      <c r="AY211" s="195"/>
      <c r="AZ211" s="203"/>
      <c r="BU211" s="204"/>
      <c r="BV211" s="204"/>
      <c r="BW211" s="204"/>
      <c r="BX211" s="204"/>
      <c r="BY211" s="204"/>
      <c r="BZ211" s="204"/>
      <c r="CA211" s="204"/>
      <c r="CB211" s="204"/>
      <c r="CC211" s="204"/>
      <c r="CD211" s="204"/>
      <c r="CE211" s="204"/>
      <c r="CF211" s="204"/>
      <c r="CG211" s="204"/>
      <c r="CH211" s="204"/>
      <c r="CI211" s="204"/>
      <c r="CJ211" s="204"/>
      <c r="CK211" s="204"/>
      <c r="CL211" s="204"/>
      <c r="CM211" s="204"/>
      <c r="CN211" s="204"/>
      <c r="CO211" s="204"/>
      <c r="CP211" s="204"/>
      <c r="CQ211" s="204"/>
      <c r="CR211" s="204"/>
      <c r="CS211" s="204"/>
      <c r="CT211" s="204"/>
      <c r="CU211" s="204"/>
      <c r="CV211" s="204"/>
      <c r="CW211" s="204"/>
      <c r="CX211" s="204"/>
      <c r="CY211" s="204"/>
      <c r="CZ211" s="204"/>
      <c r="DA211" s="204"/>
      <c r="DB211" s="204"/>
      <c r="DC211" s="204"/>
      <c r="DD211" s="204"/>
      <c r="DE211" s="204"/>
      <c r="DF211" s="204"/>
      <c r="DG211" s="204"/>
      <c r="DH211" s="204"/>
      <c r="DI211" s="204"/>
      <c r="DJ211" s="204"/>
      <c r="DK211" s="204"/>
      <c r="DL211" s="204"/>
      <c r="DM211" s="204"/>
      <c r="DN211" s="204"/>
      <c r="DO211" s="204"/>
      <c r="DP211" s="204"/>
      <c r="DQ211" s="204"/>
      <c r="DR211" s="204"/>
      <c r="DS211" s="204"/>
      <c r="DT211" s="204"/>
      <c r="DU211" s="204"/>
      <c r="DV211" s="204"/>
      <c r="DW211" s="204"/>
      <c r="DX211" s="204"/>
      <c r="DY211" s="204"/>
      <c r="DZ211" s="204"/>
      <c r="EA211" s="204"/>
      <c r="EB211" s="204"/>
      <c r="EC211" s="204"/>
      <c r="ED211" s="204"/>
      <c r="EE211" s="204"/>
      <c r="EF211" s="204"/>
      <c r="EG211" s="204"/>
      <c r="EH211" s="204"/>
      <c r="EI211" s="204"/>
      <c r="EJ211" s="204"/>
      <c r="EK211" s="204"/>
      <c r="EL211" s="204"/>
      <c r="EM211" s="204"/>
      <c r="EN211" s="204"/>
      <c r="EO211" s="204"/>
      <c r="EP211" s="204"/>
      <c r="EQ211" s="204"/>
      <c r="ER211" s="204"/>
      <c r="ES211" s="204"/>
      <c r="ET211" s="204"/>
      <c r="EU211" s="204"/>
      <c r="EV211" s="204"/>
      <c r="EW211" s="204"/>
      <c r="EX211" s="204"/>
      <c r="FC211" s="200" t="str">
        <f t="shared" si="12"/>
        <v>I</v>
      </c>
    </row>
    <row r="212" spans="1:159" s="202" customFormat="1" ht="29.1" hidden="1" customHeight="1" x14ac:dyDescent="0.2">
      <c r="A212" s="142"/>
      <c r="B212" s="146"/>
      <c r="C212" s="153"/>
      <c r="D212" s="51"/>
      <c r="E212" s="38"/>
      <c r="F212" s="220"/>
      <c r="G212" s="221"/>
      <c r="H212" s="226"/>
      <c r="I212" s="226"/>
      <c r="J212" s="226"/>
      <c r="K212" s="224"/>
      <c r="L212" s="220"/>
      <c r="M212" s="221"/>
      <c r="N212" s="226"/>
      <c r="O212" s="226"/>
      <c r="P212" s="226"/>
      <c r="Q212" s="224"/>
      <c r="R212" s="220"/>
      <c r="S212" s="221"/>
      <c r="T212" s="226"/>
      <c r="U212" s="226"/>
      <c r="V212" s="220"/>
      <c r="W212" s="221"/>
      <c r="X212" s="226"/>
      <c r="Y212" s="226"/>
      <c r="Z212" s="220"/>
      <c r="AA212" s="221"/>
      <c r="AB212" s="226"/>
      <c r="AC212" s="220"/>
      <c r="AD212" s="168">
        <f t="shared" si="13"/>
        <v>0</v>
      </c>
      <c r="AE212" s="168">
        <f t="shared" si="14"/>
        <v>0</v>
      </c>
      <c r="AF212" s="169"/>
      <c r="AG212" s="195"/>
      <c r="AH212" s="195"/>
      <c r="AN212" s="203"/>
      <c r="AO212" s="203"/>
      <c r="AP212" s="203"/>
      <c r="AQ212" s="203"/>
      <c r="AR212" s="203"/>
      <c r="AS212" s="203"/>
      <c r="AT212" s="203"/>
      <c r="AU212" s="195"/>
      <c r="AV212" s="203"/>
      <c r="AW212" s="203"/>
      <c r="AX212" s="195"/>
      <c r="AY212" s="195"/>
      <c r="AZ212" s="203"/>
      <c r="BU212" s="204"/>
      <c r="BV212" s="204"/>
      <c r="BW212" s="204"/>
      <c r="BX212" s="204"/>
      <c r="BY212" s="204"/>
      <c r="BZ212" s="204"/>
      <c r="CA212" s="204"/>
      <c r="CB212" s="204"/>
      <c r="CC212" s="204"/>
      <c r="CD212" s="204"/>
      <c r="CE212" s="204"/>
      <c r="CF212" s="204"/>
      <c r="CG212" s="204"/>
      <c r="CH212" s="204"/>
      <c r="CI212" s="204"/>
      <c r="CJ212" s="204"/>
      <c r="CK212" s="204"/>
      <c r="CL212" s="204"/>
      <c r="CM212" s="204"/>
      <c r="CN212" s="204"/>
      <c r="CO212" s="204"/>
      <c r="CP212" s="204"/>
      <c r="CQ212" s="204"/>
      <c r="CR212" s="204"/>
      <c r="CS212" s="204"/>
      <c r="CT212" s="204"/>
      <c r="CU212" s="204"/>
      <c r="CV212" s="204"/>
      <c r="CW212" s="204"/>
      <c r="CX212" s="204"/>
      <c r="CY212" s="204"/>
      <c r="CZ212" s="204"/>
      <c r="DA212" s="204"/>
      <c r="DB212" s="204"/>
      <c r="DC212" s="204"/>
      <c r="DD212" s="204"/>
      <c r="DE212" s="204"/>
      <c r="DF212" s="204"/>
      <c r="DG212" s="204"/>
      <c r="DH212" s="204"/>
      <c r="DI212" s="204"/>
      <c r="DJ212" s="204"/>
      <c r="DK212" s="204"/>
      <c r="DL212" s="204"/>
      <c r="DM212" s="204"/>
      <c r="DN212" s="204"/>
      <c r="DO212" s="204"/>
      <c r="DP212" s="204"/>
      <c r="DQ212" s="204"/>
      <c r="DR212" s="204"/>
      <c r="DS212" s="204"/>
      <c r="DT212" s="204"/>
      <c r="DU212" s="204"/>
      <c r="DV212" s="204"/>
      <c r="DW212" s="204"/>
      <c r="DX212" s="204"/>
      <c r="DY212" s="204"/>
      <c r="DZ212" s="204"/>
      <c r="EA212" s="204"/>
      <c r="EB212" s="204"/>
      <c r="EC212" s="204"/>
      <c r="ED212" s="204"/>
      <c r="EE212" s="204"/>
      <c r="EF212" s="204"/>
      <c r="EG212" s="204"/>
      <c r="EH212" s="204"/>
      <c r="EI212" s="204"/>
      <c r="EJ212" s="204"/>
      <c r="EK212" s="204"/>
      <c r="EL212" s="204"/>
      <c r="EM212" s="204"/>
      <c r="EN212" s="204"/>
      <c r="EO212" s="204"/>
      <c r="EP212" s="204"/>
      <c r="EQ212" s="204"/>
      <c r="ER212" s="204"/>
      <c r="ES212" s="204"/>
      <c r="ET212" s="204"/>
      <c r="EU212" s="204"/>
      <c r="EV212" s="204"/>
      <c r="EW212" s="204"/>
      <c r="EX212" s="204"/>
      <c r="FC212" s="200" t="str">
        <f t="shared" si="12"/>
        <v>I</v>
      </c>
    </row>
    <row r="213" spans="1:159" s="202" customFormat="1" ht="29.1" hidden="1" customHeight="1" x14ac:dyDescent="0.2">
      <c r="A213" s="142"/>
      <c r="B213" s="146"/>
      <c r="C213" s="153"/>
      <c r="D213" s="51"/>
      <c r="E213" s="38"/>
      <c r="F213" s="220"/>
      <c r="G213" s="221"/>
      <c r="H213" s="226"/>
      <c r="I213" s="226"/>
      <c r="J213" s="226"/>
      <c r="K213" s="224"/>
      <c r="L213" s="220"/>
      <c r="M213" s="221"/>
      <c r="N213" s="226"/>
      <c r="O213" s="226"/>
      <c r="P213" s="226"/>
      <c r="Q213" s="224"/>
      <c r="R213" s="220"/>
      <c r="S213" s="221"/>
      <c r="T213" s="226"/>
      <c r="U213" s="226"/>
      <c r="V213" s="220"/>
      <c r="W213" s="221"/>
      <c r="X213" s="226"/>
      <c r="Y213" s="226"/>
      <c r="Z213" s="220"/>
      <c r="AA213" s="221"/>
      <c r="AB213" s="226"/>
      <c r="AC213" s="220"/>
      <c r="AD213" s="168">
        <f t="shared" si="13"/>
        <v>0</v>
      </c>
      <c r="AE213" s="168">
        <f t="shared" si="14"/>
        <v>0</v>
      </c>
      <c r="AF213" s="169"/>
      <c r="AG213" s="195"/>
      <c r="AH213" s="195"/>
      <c r="AN213" s="203"/>
      <c r="AO213" s="203"/>
      <c r="AP213" s="203"/>
      <c r="AQ213" s="203"/>
      <c r="AR213" s="203"/>
      <c r="AS213" s="203"/>
      <c r="AT213" s="203"/>
      <c r="AU213" s="195"/>
      <c r="AV213" s="203"/>
      <c r="AW213" s="203"/>
      <c r="AX213" s="195"/>
      <c r="AY213" s="195"/>
      <c r="AZ213" s="203"/>
      <c r="BU213" s="204"/>
      <c r="BV213" s="204"/>
      <c r="BW213" s="204"/>
      <c r="BX213" s="204"/>
      <c r="BY213" s="204"/>
      <c r="BZ213" s="204"/>
      <c r="CA213" s="204"/>
      <c r="CB213" s="204"/>
      <c r="CC213" s="204"/>
      <c r="CD213" s="204"/>
      <c r="CE213" s="204"/>
      <c r="CF213" s="204"/>
      <c r="CG213" s="204"/>
      <c r="CH213" s="204"/>
      <c r="CI213" s="204"/>
      <c r="CJ213" s="204"/>
      <c r="CK213" s="204"/>
      <c r="CL213" s="204"/>
      <c r="CM213" s="204"/>
      <c r="CN213" s="204"/>
      <c r="CO213" s="204"/>
      <c r="CP213" s="204"/>
      <c r="CQ213" s="204"/>
      <c r="CR213" s="204"/>
      <c r="CS213" s="204"/>
      <c r="CT213" s="204"/>
      <c r="CU213" s="204"/>
      <c r="CV213" s="204"/>
      <c r="CW213" s="204"/>
      <c r="CX213" s="204"/>
      <c r="CY213" s="204"/>
      <c r="CZ213" s="204"/>
      <c r="DA213" s="204"/>
      <c r="DB213" s="204"/>
      <c r="DC213" s="204"/>
      <c r="DD213" s="204"/>
      <c r="DE213" s="204"/>
      <c r="DF213" s="204"/>
      <c r="DG213" s="204"/>
      <c r="DH213" s="204"/>
      <c r="DI213" s="204"/>
      <c r="DJ213" s="204"/>
      <c r="DK213" s="204"/>
      <c r="DL213" s="204"/>
      <c r="DM213" s="204"/>
      <c r="DN213" s="204"/>
      <c r="DO213" s="204"/>
      <c r="DP213" s="204"/>
      <c r="DQ213" s="204"/>
      <c r="DR213" s="204"/>
      <c r="DS213" s="204"/>
      <c r="DT213" s="204"/>
      <c r="DU213" s="204"/>
      <c r="DV213" s="204"/>
      <c r="DW213" s="204"/>
      <c r="DX213" s="204"/>
      <c r="DY213" s="204"/>
      <c r="DZ213" s="204"/>
      <c r="EA213" s="204"/>
      <c r="EB213" s="204"/>
      <c r="EC213" s="204"/>
      <c r="ED213" s="204"/>
      <c r="EE213" s="204"/>
      <c r="EF213" s="204"/>
      <c r="EG213" s="204"/>
      <c r="EH213" s="204"/>
      <c r="EI213" s="204"/>
      <c r="EJ213" s="204"/>
      <c r="EK213" s="204"/>
      <c r="EL213" s="204"/>
      <c r="EM213" s="204"/>
      <c r="EN213" s="204"/>
      <c r="EO213" s="204"/>
      <c r="EP213" s="204"/>
      <c r="EQ213" s="204"/>
      <c r="ER213" s="204"/>
      <c r="ES213" s="204"/>
      <c r="ET213" s="204"/>
      <c r="EU213" s="204"/>
      <c r="EV213" s="204"/>
      <c r="EW213" s="204"/>
      <c r="EX213" s="204"/>
      <c r="FC213" s="200" t="str">
        <f t="shared" si="12"/>
        <v>I</v>
      </c>
    </row>
    <row r="214" spans="1:159" s="202" customFormat="1" ht="29.1" hidden="1" customHeight="1" x14ac:dyDescent="0.2">
      <c r="A214" s="142"/>
      <c r="B214" s="146"/>
      <c r="C214" s="153"/>
      <c r="D214" s="51"/>
      <c r="E214" s="38"/>
      <c r="F214" s="220"/>
      <c r="G214" s="221"/>
      <c r="H214" s="226"/>
      <c r="I214" s="226"/>
      <c r="J214" s="226"/>
      <c r="K214" s="224"/>
      <c r="L214" s="220"/>
      <c r="M214" s="221"/>
      <c r="N214" s="226"/>
      <c r="O214" s="226"/>
      <c r="P214" s="226"/>
      <c r="Q214" s="224"/>
      <c r="R214" s="220"/>
      <c r="S214" s="221"/>
      <c r="T214" s="226"/>
      <c r="U214" s="226"/>
      <c r="V214" s="220"/>
      <c r="W214" s="221"/>
      <c r="X214" s="226"/>
      <c r="Y214" s="226"/>
      <c r="Z214" s="220"/>
      <c r="AA214" s="221"/>
      <c r="AB214" s="226"/>
      <c r="AC214" s="220"/>
      <c r="AD214" s="168">
        <f t="shared" si="13"/>
        <v>0</v>
      </c>
      <c r="AE214" s="168">
        <f t="shared" si="14"/>
        <v>0</v>
      </c>
      <c r="AF214" s="169"/>
      <c r="AG214" s="195"/>
      <c r="AH214" s="195"/>
      <c r="AN214" s="203"/>
      <c r="AO214" s="203"/>
      <c r="AP214" s="203"/>
      <c r="AQ214" s="203"/>
      <c r="AR214" s="203"/>
      <c r="AS214" s="203"/>
      <c r="AT214" s="203"/>
      <c r="AU214" s="195"/>
      <c r="AV214" s="203"/>
      <c r="AW214" s="203"/>
      <c r="AX214" s="195"/>
      <c r="AY214" s="195"/>
      <c r="AZ214" s="203"/>
      <c r="BU214" s="204"/>
      <c r="BV214" s="204"/>
      <c r="BW214" s="204"/>
      <c r="BX214" s="204"/>
      <c r="BY214" s="204"/>
      <c r="BZ214" s="204"/>
      <c r="CA214" s="204"/>
      <c r="CB214" s="204"/>
      <c r="CC214" s="204"/>
      <c r="CD214" s="204"/>
      <c r="CE214" s="204"/>
      <c r="CF214" s="204"/>
      <c r="CG214" s="204"/>
      <c r="CH214" s="204"/>
      <c r="CI214" s="204"/>
      <c r="CJ214" s="204"/>
      <c r="CK214" s="204"/>
      <c r="CL214" s="204"/>
      <c r="CM214" s="204"/>
      <c r="CN214" s="204"/>
      <c r="CO214" s="204"/>
      <c r="CP214" s="204"/>
      <c r="CQ214" s="204"/>
      <c r="CR214" s="204"/>
      <c r="CS214" s="204"/>
      <c r="CT214" s="204"/>
      <c r="CU214" s="204"/>
      <c r="CV214" s="204"/>
      <c r="CW214" s="204"/>
      <c r="CX214" s="204"/>
      <c r="CY214" s="204"/>
      <c r="CZ214" s="204"/>
      <c r="DA214" s="204"/>
      <c r="DB214" s="204"/>
      <c r="DC214" s="204"/>
      <c r="DD214" s="204"/>
      <c r="DE214" s="204"/>
      <c r="DF214" s="204"/>
      <c r="DG214" s="204"/>
      <c r="DH214" s="204"/>
      <c r="DI214" s="204"/>
      <c r="DJ214" s="204"/>
      <c r="DK214" s="204"/>
      <c r="DL214" s="204"/>
      <c r="DM214" s="204"/>
      <c r="DN214" s="204"/>
      <c r="DO214" s="204"/>
      <c r="DP214" s="204"/>
      <c r="DQ214" s="204"/>
      <c r="DR214" s="204"/>
      <c r="DS214" s="204"/>
      <c r="DT214" s="204"/>
      <c r="DU214" s="204"/>
      <c r="DV214" s="204"/>
      <c r="DW214" s="204"/>
      <c r="DX214" s="204"/>
      <c r="DY214" s="204"/>
      <c r="DZ214" s="204"/>
      <c r="EA214" s="204"/>
      <c r="EB214" s="204"/>
      <c r="EC214" s="204"/>
      <c r="ED214" s="204"/>
      <c r="EE214" s="204"/>
      <c r="EF214" s="204"/>
      <c r="EG214" s="204"/>
      <c r="EH214" s="204"/>
      <c r="EI214" s="204"/>
      <c r="EJ214" s="204"/>
      <c r="EK214" s="204"/>
      <c r="EL214" s="204"/>
      <c r="EM214" s="204"/>
      <c r="EN214" s="204"/>
      <c r="EO214" s="204"/>
      <c r="EP214" s="204"/>
      <c r="EQ214" s="204"/>
      <c r="ER214" s="204"/>
      <c r="ES214" s="204"/>
      <c r="ET214" s="204"/>
      <c r="EU214" s="204"/>
      <c r="EV214" s="204"/>
      <c r="EW214" s="204"/>
      <c r="EX214" s="204"/>
      <c r="FC214" s="200" t="str">
        <f t="shared" si="12"/>
        <v>I</v>
      </c>
    </row>
    <row r="215" spans="1:159" s="202" customFormat="1" ht="29.1" hidden="1" customHeight="1" x14ac:dyDescent="0.2">
      <c r="A215" s="142"/>
      <c r="B215" s="146"/>
      <c r="C215" s="153"/>
      <c r="D215" s="51"/>
      <c r="E215" s="38"/>
      <c r="F215" s="220"/>
      <c r="G215" s="221"/>
      <c r="H215" s="226"/>
      <c r="I215" s="226"/>
      <c r="J215" s="226"/>
      <c r="K215" s="224"/>
      <c r="L215" s="220"/>
      <c r="M215" s="221"/>
      <c r="N215" s="226"/>
      <c r="O215" s="226"/>
      <c r="P215" s="226"/>
      <c r="Q215" s="224"/>
      <c r="R215" s="220"/>
      <c r="S215" s="221"/>
      <c r="T215" s="226"/>
      <c r="U215" s="226"/>
      <c r="V215" s="220"/>
      <c r="W215" s="221"/>
      <c r="X215" s="226"/>
      <c r="Y215" s="226"/>
      <c r="Z215" s="220"/>
      <c r="AA215" s="221"/>
      <c r="AB215" s="226"/>
      <c r="AC215" s="220"/>
      <c r="AD215" s="168">
        <f t="shared" si="13"/>
        <v>0</v>
      </c>
      <c r="AE215" s="168">
        <f t="shared" si="14"/>
        <v>0</v>
      </c>
      <c r="AF215" s="169"/>
      <c r="AG215" s="195"/>
      <c r="AH215" s="195"/>
      <c r="AN215" s="203"/>
      <c r="AO215" s="203"/>
      <c r="AP215" s="203"/>
      <c r="AQ215" s="203"/>
      <c r="AR215" s="203"/>
      <c r="AS215" s="203"/>
      <c r="AT215" s="203"/>
      <c r="AU215" s="195"/>
      <c r="AV215" s="203"/>
      <c r="AW215" s="203"/>
      <c r="AX215" s="195"/>
      <c r="AY215" s="195"/>
      <c r="AZ215" s="203"/>
      <c r="BU215" s="204"/>
      <c r="BV215" s="204"/>
      <c r="BW215" s="204"/>
      <c r="BX215" s="204"/>
      <c r="BY215" s="204"/>
      <c r="BZ215" s="204"/>
      <c r="CA215" s="204"/>
      <c r="CB215" s="204"/>
      <c r="CC215" s="204"/>
      <c r="CD215" s="204"/>
      <c r="CE215" s="204"/>
      <c r="CF215" s="204"/>
      <c r="CG215" s="204"/>
      <c r="CH215" s="204"/>
      <c r="CI215" s="204"/>
      <c r="CJ215" s="204"/>
      <c r="CK215" s="204"/>
      <c r="CL215" s="204"/>
      <c r="CM215" s="204"/>
      <c r="CN215" s="204"/>
      <c r="CO215" s="204"/>
      <c r="CP215" s="204"/>
      <c r="CQ215" s="204"/>
      <c r="CR215" s="204"/>
      <c r="CS215" s="204"/>
      <c r="CT215" s="204"/>
      <c r="CU215" s="204"/>
      <c r="CV215" s="204"/>
      <c r="CW215" s="204"/>
      <c r="CX215" s="204"/>
      <c r="CY215" s="204"/>
      <c r="CZ215" s="204"/>
      <c r="DA215" s="204"/>
      <c r="DB215" s="204"/>
      <c r="DC215" s="204"/>
      <c r="DD215" s="204"/>
      <c r="DE215" s="204"/>
      <c r="DF215" s="204"/>
      <c r="DG215" s="204"/>
      <c r="DH215" s="204"/>
      <c r="DI215" s="204"/>
      <c r="DJ215" s="204"/>
      <c r="DK215" s="204"/>
      <c r="DL215" s="204"/>
      <c r="DM215" s="204"/>
      <c r="DN215" s="204"/>
      <c r="DO215" s="204"/>
      <c r="DP215" s="204"/>
      <c r="DQ215" s="204"/>
      <c r="DR215" s="204"/>
      <c r="DS215" s="204"/>
      <c r="DT215" s="204"/>
      <c r="DU215" s="204"/>
      <c r="DV215" s="204"/>
      <c r="DW215" s="204"/>
      <c r="DX215" s="204"/>
      <c r="DY215" s="204"/>
      <c r="DZ215" s="204"/>
      <c r="EA215" s="204"/>
      <c r="EB215" s="204"/>
      <c r="EC215" s="204"/>
      <c r="ED215" s="204"/>
      <c r="EE215" s="204"/>
      <c r="EF215" s="204"/>
      <c r="EG215" s="204"/>
      <c r="EH215" s="204"/>
      <c r="EI215" s="204"/>
      <c r="EJ215" s="204"/>
      <c r="EK215" s="204"/>
      <c r="EL215" s="204"/>
      <c r="EM215" s="204"/>
      <c r="EN215" s="204"/>
      <c r="EO215" s="204"/>
      <c r="EP215" s="204"/>
      <c r="EQ215" s="204"/>
      <c r="ER215" s="204"/>
      <c r="ES215" s="204"/>
      <c r="ET215" s="204"/>
      <c r="EU215" s="204"/>
      <c r="EV215" s="204"/>
      <c r="EW215" s="204"/>
      <c r="EX215" s="204"/>
      <c r="FC215" s="200" t="str">
        <f t="shared" si="12"/>
        <v>I</v>
      </c>
    </row>
    <row r="216" spans="1:159" s="202" customFormat="1" ht="29.1" hidden="1" customHeight="1" x14ac:dyDescent="0.2">
      <c r="A216" s="142"/>
      <c r="B216" s="146"/>
      <c r="C216" s="153"/>
      <c r="D216" s="51"/>
      <c r="E216" s="38"/>
      <c r="F216" s="220"/>
      <c r="G216" s="221"/>
      <c r="H216" s="226"/>
      <c r="I216" s="226"/>
      <c r="J216" s="226"/>
      <c r="K216" s="224"/>
      <c r="L216" s="220"/>
      <c r="M216" s="221"/>
      <c r="N216" s="226"/>
      <c r="O216" s="226"/>
      <c r="P216" s="226"/>
      <c r="Q216" s="224"/>
      <c r="R216" s="220"/>
      <c r="S216" s="221"/>
      <c r="T216" s="226"/>
      <c r="U216" s="226"/>
      <c r="V216" s="220"/>
      <c r="W216" s="221"/>
      <c r="X216" s="226"/>
      <c r="Y216" s="226"/>
      <c r="Z216" s="220"/>
      <c r="AA216" s="221"/>
      <c r="AB216" s="226"/>
      <c r="AC216" s="220"/>
      <c r="AD216" s="168">
        <f t="shared" si="13"/>
        <v>0</v>
      </c>
      <c r="AE216" s="168">
        <f t="shared" si="14"/>
        <v>0</v>
      </c>
      <c r="AF216" s="169"/>
      <c r="AG216" s="195"/>
      <c r="AH216" s="195"/>
      <c r="AN216" s="203"/>
      <c r="AO216" s="203"/>
      <c r="AP216" s="203"/>
      <c r="AQ216" s="203"/>
      <c r="AR216" s="203"/>
      <c r="AS216" s="203"/>
      <c r="AT216" s="203"/>
      <c r="AU216" s="195"/>
      <c r="AV216" s="203"/>
      <c r="AW216" s="203"/>
      <c r="AX216" s="195"/>
      <c r="AY216" s="195"/>
      <c r="AZ216" s="203"/>
      <c r="BU216" s="204"/>
      <c r="BV216" s="204"/>
      <c r="BW216" s="204"/>
      <c r="BX216" s="204"/>
      <c r="BY216" s="204"/>
      <c r="BZ216" s="204"/>
      <c r="CA216" s="204"/>
      <c r="CB216" s="204"/>
      <c r="CC216" s="204"/>
      <c r="CD216" s="204"/>
      <c r="CE216" s="204"/>
      <c r="CF216" s="204"/>
      <c r="CG216" s="204"/>
      <c r="CH216" s="204"/>
      <c r="CI216" s="204"/>
      <c r="CJ216" s="204"/>
      <c r="CK216" s="204"/>
      <c r="CL216" s="204"/>
      <c r="CM216" s="204"/>
      <c r="CN216" s="204"/>
      <c r="CO216" s="204"/>
      <c r="CP216" s="204"/>
      <c r="CQ216" s="204"/>
      <c r="CR216" s="204"/>
      <c r="CS216" s="204"/>
      <c r="CT216" s="204"/>
      <c r="CU216" s="204"/>
      <c r="CV216" s="204"/>
      <c r="CW216" s="204"/>
      <c r="CX216" s="204"/>
      <c r="CY216" s="204"/>
      <c r="CZ216" s="204"/>
      <c r="DA216" s="204"/>
      <c r="DB216" s="204"/>
      <c r="DC216" s="204"/>
      <c r="DD216" s="204"/>
      <c r="DE216" s="204"/>
      <c r="DF216" s="204"/>
      <c r="DG216" s="204"/>
      <c r="DH216" s="204"/>
      <c r="DI216" s="204"/>
      <c r="DJ216" s="204"/>
      <c r="DK216" s="204"/>
      <c r="DL216" s="204"/>
      <c r="DM216" s="204"/>
      <c r="DN216" s="204"/>
      <c r="DO216" s="204"/>
      <c r="DP216" s="204"/>
      <c r="DQ216" s="204"/>
      <c r="DR216" s="204"/>
      <c r="DS216" s="204"/>
      <c r="DT216" s="204"/>
      <c r="DU216" s="204"/>
      <c r="DV216" s="204"/>
      <c r="DW216" s="204"/>
      <c r="DX216" s="204"/>
      <c r="DY216" s="204"/>
      <c r="DZ216" s="204"/>
      <c r="EA216" s="204"/>
      <c r="EB216" s="204"/>
      <c r="EC216" s="204"/>
      <c r="ED216" s="204"/>
      <c r="EE216" s="204"/>
      <c r="EF216" s="204"/>
      <c r="EG216" s="204"/>
      <c r="EH216" s="204"/>
      <c r="EI216" s="204"/>
      <c r="EJ216" s="204"/>
      <c r="EK216" s="204"/>
      <c r="EL216" s="204"/>
      <c r="EM216" s="204"/>
      <c r="EN216" s="204"/>
      <c r="EO216" s="204"/>
      <c r="EP216" s="204"/>
      <c r="EQ216" s="204"/>
      <c r="ER216" s="204"/>
      <c r="ES216" s="204"/>
      <c r="ET216" s="204"/>
      <c r="EU216" s="204"/>
      <c r="EV216" s="204"/>
      <c r="EW216" s="204"/>
      <c r="EX216" s="204"/>
      <c r="FC216" s="200" t="str">
        <f t="shared" si="12"/>
        <v>I</v>
      </c>
    </row>
    <row r="217" spans="1:159" s="202" customFormat="1" ht="29.1" hidden="1" customHeight="1" x14ac:dyDescent="0.2">
      <c r="A217" s="142"/>
      <c r="B217" s="146"/>
      <c r="C217" s="153"/>
      <c r="D217" s="51"/>
      <c r="E217" s="38"/>
      <c r="F217" s="220"/>
      <c r="G217" s="221"/>
      <c r="H217" s="226"/>
      <c r="I217" s="226"/>
      <c r="J217" s="226"/>
      <c r="K217" s="224"/>
      <c r="L217" s="220"/>
      <c r="M217" s="221"/>
      <c r="N217" s="226"/>
      <c r="O217" s="226"/>
      <c r="P217" s="226"/>
      <c r="Q217" s="224"/>
      <c r="R217" s="220"/>
      <c r="S217" s="221"/>
      <c r="T217" s="226"/>
      <c r="U217" s="226"/>
      <c r="V217" s="220"/>
      <c r="W217" s="221"/>
      <c r="X217" s="226"/>
      <c r="Y217" s="226"/>
      <c r="Z217" s="220"/>
      <c r="AA217" s="221"/>
      <c r="AB217" s="226"/>
      <c r="AC217" s="220"/>
      <c r="AD217" s="168">
        <f t="shared" si="13"/>
        <v>0</v>
      </c>
      <c r="AE217" s="168">
        <f t="shared" si="14"/>
        <v>0</v>
      </c>
      <c r="AF217" s="169"/>
      <c r="AG217" s="195"/>
      <c r="AH217" s="195"/>
      <c r="AN217" s="203"/>
      <c r="AO217" s="203"/>
      <c r="AP217" s="203"/>
      <c r="AQ217" s="203"/>
      <c r="AR217" s="203"/>
      <c r="AS217" s="203"/>
      <c r="AT217" s="203"/>
      <c r="AU217" s="195"/>
      <c r="AV217" s="203"/>
      <c r="AW217" s="203"/>
      <c r="AX217" s="195"/>
      <c r="AY217" s="195"/>
      <c r="AZ217" s="203"/>
      <c r="BU217" s="204"/>
      <c r="BV217" s="204"/>
      <c r="BW217" s="204"/>
      <c r="BX217" s="204"/>
      <c r="BY217" s="204"/>
      <c r="BZ217" s="204"/>
      <c r="CA217" s="204"/>
      <c r="CB217" s="204"/>
      <c r="CC217" s="204"/>
      <c r="CD217" s="204"/>
      <c r="CE217" s="204"/>
      <c r="CF217" s="204"/>
      <c r="CG217" s="204"/>
      <c r="CH217" s="204"/>
      <c r="CI217" s="204"/>
      <c r="CJ217" s="204"/>
      <c r="CK217" s="204"/>
      <c r="CL217" s="204"/>
      <c r="CM217" s="204"/>
      <c r="CN217" s="204"/>
      <c r="CO217" s="204"/>
      <c r="CP217" s="204"/>
      <c r="CQ217" s="204"/>
      <c r="CR217" s="204"/>
      <c r="CS217" s="204"/>
      <c r="CT217" s="204"/>
      <c r="CU217" s="204"/>
      <c r="CV217" s="204"/>
      <c r="CW217" s="204"/>
      <c r="CX217" s="204"/>
      <c r="CY217" s="204"/>
      <c r="CZ217" s="204"/>
      <c r="DA217" s="204"/>
      <c r="DB217" s="204"/>
      <c r="DC217" s="204"/>
      <c r="DD217" s="204"/>
      <c r="DE217" s="204"/>
      <c r="DF217" s="204"/>
      <c r="DG217" s="204"/>
      <c r="DH217" s="204"/>
      <c r="DI217" s="204"/>
      <c r="DJ217" s="204"/>
      <c r="DK217" s="204"/>
      <c r="DL217" s="204"/>
      <c r="DM217" s="204"/>
      <c r="DN217" s="204"/>
      <c r="DO217" s="204"/>
      <c r="DP217" s="204"/>
      <c r="DQ217" s="204"/>
      <c r="DR217" s="204"/>
      <c r="DS217" s="204"/>
      <c r="DT217" s="204"/>
      <c r="DU217" s="204"/>
      <c r="DV217" s="204"/>
      <c r="DW217" s="204"/>
      <c r="DX217" s="204"/>
      <c r="DY217" s="204"/>
      <c r="DZ217" s="204"/>
      <c r="EA217" s="204"/>
      <c r="EB217" s="204"/>
      <c r="EC217" s="204"/>
      <c r="ED217" s="204"/>
      <c r="EE217" s="204"/>
      <c r="EF217" s="204"/>
      <c r="EG217" s="204"/>
      <c r="EH217" s="204"/>
      <c r="EI217" s="204"/>
      <c r="EJ217" s="204"/>
      <c r="EK217" s="204"/>
      <c r="EL217" s="204"/>
      <c r="EM217" s="204"/>
      <c r="EN217" s="204"/>
      <c r="EO217" s="204"/>
      <c r="EP217" s="204"/>
      <c r="EQ217" s="204"/>
      <c r="ER217" s="204"/>
      <c r="ES217" s="204"/>
      <c r="ET217" s="204"/>
      <c r="EU217" s="204"/>
      <c r="EV217" s="204"/>
      <c r="EW217" s="204"/>
      <c r="EX217" s="204"/>
      <c r="FC217" s="200" t="str">
        <f t="shared" si="12"/>
        <v>I</v>
      </c>
    </row>
    <row r="218" spans="1:159" s="202" customFormat="1" ht="29.1" hidden="1" customHeight="1" x14ac:dyDescent="0.2">
      <c r="A218" s="142"/>
      <c r="B218" s="146"/>
      <c r="C218" s="153"/>
      <c r="D218" s="51"/>
      <c r="E218" s="38"/>
      <c r="F218" s="220"/>
      <c r="G218" s="221"/>
      <c r="H218" s="226"/>
      <c r="I218" s="226"/>
      <c r="J218" s="226"/>
      <c r="K218" s="224"/>
      <c r="L218" s="220"/>
      <c r="M218" s="221"/>
      <c r="N218" s="226"/>
      <c r="O218" s="226"/>
      <c r="P218" s="226"/>
      <c r="Q218" s="224"/>
      <c r="R218" s="220"/>
      <c r="S218" s="221"/>
      <c r="T218" s="226"/>
      <c r="U218" s="226"/>
      <c r="V218" s="220"/>
      <c r="W218" s="221"/>
      <c r="X218" s="226"/>
      <c r="Y218" s="226"/>
      <c r="Z218" s="220"/>
      <c r="AA218" s="221"/>
      <c r="AB218" s="226"/>
      <c r="AC218" s="220"/>
      <c r="AD218" s="168">
        <f t="shared" si="13"/>
        <v>0</v>
      </c>
      <c r="AE218" s="168">
        <f t="shared" si="14"/>
        <v>0</v>
      </c>
      <c r="AF218" s="169"/>
      <c r="AG218" s="195"/>
      <c r="AH218" s="195"/>
      <c r="AN218" s="203"/>
      <c r="AO218" s="203"/>
      <c r="AP218" s="203"/>
      <c r="AQ218" s="203"/>
      <c r="AR218" s="203"/>
      <c r="AS218" s="203"/>
      <c r="AT218" s="203"/>
      <c r="AU218" s="195"/>
      <c r="AV218" s="203"/>
      <c r="AW218" s="203"/>
      <c r="AX218" s="195"/>
      <c r="AY218" s="195"/>
      <c r="AZ218" s="203"/>
      <c r="BU218" s="204"/>
      <c r="BV218" s="204"/>
      <c r="BW218" s="204"/>
      <c r="BX218" s="204"/>
      <c r="BY218" s="204"/>
      <c r="BZ218" s="204"/>
      <c r="CA218" s="204"/>
      <c r="CB218" s="204"/>
      <c r="CC218" s="204"/>
      <c r="CD218" s="204"/>
      <c r="CE218" s="204"/>
      <c r="CF218" s="204"/>
      <c r="CG218" s="204"/>
      <c r="CH218" s="204"/>
      <c r="CI218" s="204"/>
      <c r="CJ218" s="204"/>
      <c r="CK218" s="204"/>
      <c r="CL218" s="204"/>
      <c r="CM218" s="204"/>
      <c r="CN218" s="204"/>
      <c r="CO218" s="204"/>
      <c r="CP218" s="204"/>
      <c r="CQ218" s="204"/>
      <c r="CR218" s="204"/>
      <c r="CS218" s="204"/>
      <c r="CT218" s="204"/>
      <c r="CU218" s="204"/>
      <c r="CV218" s="204"/>
      <c r="CW218" s="204"/>
      <c r="CX218" s="204"/>
      <c r="CY218" s="204"/>
      <c r="CZ218" s="204"/>
      <c r="DA218" s="204"/>
      <c r="DB218" s="204"/>
      <c r="DC218" s="204"/>
      <c r="DD218" s="204"/>
      <c r="DE218" s="204"/>
      <c r="DF218" s="204"/>
      <c r="DG218" s="204"/>
      <c r="DH218" s="204"/>
      <c r="DI218" s="204"/>
      <c r="DJ218" s="204"/>
      <c r="DK218" s="204"/>
      <c r="DL218" s="204"/>
      <c r="DM218" s="204"/>
      <c r="DN218" s="204"/>
      <c r="DO218" s="204"/>
      <c r="DP218" s="204"/>
      <c r="DQ218" s="204"/>
      <c r="DR218" s="204"/>
      <c r="DS218" s="204"/>
      <c r="DT218" s="204"/>
      <c r="DU218" s="204"/>
      <c r="DV218" s="204"/>
      <c r="DW218" s="204"/>
      <c r="DX218" s="204"/>
      <c r="DY218" s="204"/>
      <c r="DZ218" s="204"/>
      <c r="EA218" s="204"/>
      <c r="EB218" s="204"/>
      <c r="EC218" s="204"/>
      <c r="ED218" s="204"/>
      <c r="EE218" s="204"/>
      <c r="EF218" s="204"/>
      <c r="EG218" s="204"/>
      <c r="EH218" s="204"/>
      <c r="EI218" s="204"/>
      <c r="EJ218" s="204"/>
      <c r="EK218" s="204"/>
      <c r="EL218" s="204"/>
      <c r="EM218" s="204"/>
      <c r="EN218" s="204"/>
      <c r="EO218" s="204"/>
      <c r="EP218" s="204"/>
      <c r="EQ218" s="204"/>
      <c r="ER218" s="204"/>
      <c r="ES218" s="204"/>
      <c r="ET218" s="204"/>
      <c r="EU218" s="204"/>
      <c r="EV218" s="204"/>
      <c r="EW218" s="204"/>
      <c r="EX218" s="204"/>
      <c r="FC218" s="200" t="str">
        <f t="shared" si="12"/>
        <v>I</v>
      </c>
    </row>
    <row r="219" spans="1:159" s="202" customFormat="1" ht="29.1" hidden="1" customHeight="1" x14ac:dyDescent="0.2">
      <c r="A219" s="142"/>
      <c r="B219" s="146"/>
      <c r="C219" s="153"/>
      <c r="D219" s="51"/>
      <c r="E219" s="38"/>
      <c r="F219" s="220"/>
      <c r="G219" s="221"/>
      <c r="H219" s="226"/>
      <c r="I219" s="226"/>
      <c r="J219" s="226"/>
      <c r="K219" s="224"/>
      <c r="L219" s="220"/>
      <c r="M219" s="221"/>
      <c r="N219" s="226"/>
      <c r="O219" s="226"/>
      <c r="P219" s="226"/>
      <c r="Q219" s="224"/>
      <c r="R219" s="220"/>
      <c r="S219" s="221"/>
      <c r="T219" s="226"/>
      <c r="U219" s="226"/>
      <c r="V219" s="220"/>
      <c r="W219" s="221"/>
      <c r="X219" s="226"/>
      <c r="Y219" s="226"/>
      <c r="Z219" s="220"/>
      <c r="AA219" s="221"/>
      <c r="AB219" s="226"/>
      <c r="AC219" s="220"/>
      <c r="AD219" s="168">
        <f t="shared" si="13"/>
        <v>0</v>
      </c>
      <c r="AE219" s="168">
        <f t="shared" si="14"/>
        <v>0</v>
      </c>
      <c r="AF219" s="169"/>
      <c r="AG219" s="195"/>
      <c r="AH219" s="195"/>
      <c r="AN219" s="203"/>
      <c r="AO219" s="203"/>
      <c r="AP219" s="203"/>
      <c r="AQ219" s="203"/>
      <c r="AR219" s="203"/>
      <c r="AS219" s="203"/>
      <c r="AT219" s="203"/>
      <c r="AU219" s="195"/>
      <c r="AV219" s="203"/>
      <c r="AW219" s="203"/>
      <c r="AX219" s="195"/>
      <c r="AY219" s="195"/>
      <c r="AZ219" s="203"/>
      <c r="BU219" s="204"/>
      <c r="BV219" s="204"/>
      <c r="BW219" s="204"/>
      <c r="BX219" s="204"/>
      <c r="BY219" s="204"/>
      <c r="BZ219" s="204"/>
      <c r="CA219" s="204"/>
      <c r="CB219" s="204"/>
      <c r="CC219" s="204"/>
      <c r="CD219" s="204"/>
      <c r="CE219" s="204"/>
      <c r="CF219" s="204"/>
      <c r="CG219" s="204"/>
      <c r="CH219" s="204"/>
      <c r="CI219" s="204"/>
      <c r="CJ219" s="204"/>
      <c r="CK219" s="204"/>
      <c r="CL219" s="204"/>
      <c r="CM219" s="204"/>
      <c r="CN219" s="204"/>
      <c r="CO219" s="204"/>
      <c r="CP219" s="204"/>
      <c r="CQ219" s="204"/>
      <c r="CR219" s="204"/>
      <c r="CS219" s="204"/>
      <c r="CT219" s="204"/>
      <c r="CU219" s="204"/>
      <c r="CV219" s="204"/>
      <c r="CW219" s="204"/>
      <c r="CX219" s="204"/>
      <c r="CY219" s="204"/>
      <c r="CZ219" s="204"/>
      <c r="DA219" s="204"/>
      <c r="DB219" s="204"/>
      <c r="DC219" s="204"/>
      <c r="DD219" s="204"/>
      <c r="DE219" s="204"/>
      <c r="DF219" s="204"/>
      <c r="DG219" s="204"/>
      <c r="DH219" s="204"/>
      <c r="DI219" s="204"/>
      <c r="DJ219" s="204"/>
      <c r="DK219" s="204"/>
      <c r="DL219" s="204"/>
      <c r="DM219" s="204"/>
      <c r="DN219" s="204"/>
      <c r="DO219" s="204"/>
      <c r="DP219" s="204"/>
      <c r="DQ219" s="204"/>
      <c r="DR219" s="204"/>
      <c r="DS219" s="204"/>
      <c r="DT219" s="204"/>
      <c r="DU219" s="204"/>
      <c r="DV219" s="204"/>
      <c r="DW219" s="204"/>
      <c r="DX219" s="204"/>
      <c r="DY219" s="204"/>
      <c r="DZ219" s="204"/>
      <c r="EA219" s="204"/>
      <c r="EB219" s="204"/>
      <c r="EC219" s="204"/>
      <c r="ED219" s="204"/>
      <c r="EE219" s="204"/>
      <c r="EF219" s="204"/>
      <c r="EG219" s="204"/>
      <c r="EH219" s="204"/>
      <c r="EI219" s="204"/>
      <c r="EJ219" s="204"/>
      <c r="EK219" s="204"/>
      <c r="EL219" s="204"/>
      <c r="EM219" s="204"/>
      <c r="EN219" s="204"/>
      <c r="EO219" s="204"/>
      <c r="EP219" s="204"/>
      <c r="EQ219" s="204"/>
      <c r="ER219" s="204"/>
      <c r="ES219" s="204"/>
      <c r="ET219" s="204"/>
      <c r="EU219" s="204"/>
      <c r="EV219" s="204"/>
      <c r="EW219" s="204"/>
      <c r="EX219" s="204"/>
      <c r="FC219" s="200" t="str">
        <f t="shared" si="12"/>
        <v>I</v>
      </c>
    </row>
    <row r="220" spans="1:159" s="202" customFormat="1" ht="29.1" hidden="1" customHeight="1" x14ac:dyDescent="0.2">
      <c r="A220" s="142"/>
      <c r="B220" s="146"/>
      <c r="C220" s="153"/>
      <c r="D220" s="51"/>
      <c r="E220" s="38"/>
      <c r="F220" s="220"/>
      <c r="G220" s="221"/>
      <c r="H220" s="226"/>
      <c r="I220" s="226"/>
      <c r="J220" s="226"/>
      <c r="K220" s="224"/>
      <c r="L220" s="220"/>
      <c r="M220" s="221"/>
      <c r="N220" s="226"/>
      <c r="O220" s="226"/>
      <c r="P220" s="226"/>
      <c r="Q220" s="224"/>
      <c r="R220" s="220"/>
      <c r="S220" s="221"/>
      <c r="T220" s="226"/>
      <c r="U220" s="226"/>
      <c r="V220" s="220"/>
      <c r="W220" s="221"/>
      <c r="X220" s="226"/>
      <c r="Y220" s="226"/>
      <c r="Z220" s="220"/>
      <c r="AA220" s="221"/>
      <c r="AB220" s="226"/>
      <c r="AC220" s="220"/>
      <c r="AD220" s="168">
        <f t="shared" si="13"/>
        <v>0</v>
      </c>
      <c r="AE220" s="168">
        <f t="shared" si="14"/>
        <v>0</v>
      </c>
      <c r="AF220" s="169"/>
      <c r="AG220" s="195"/>
      <c r="AH220" s="195"/>
      <c r="AN220" s="203"/>
      <c r="AO220" s="203"/>
      <c r="AP220" s="203"/>
      <c r="AQ220" s="203"/>
      <c r="AR220" s="203"/>
      <c r="AS220" s="203"/>
      <c r="AT220" s="203"/>
      <c r="AU220" s="195"/>
      <c r="AV220" s="203"/>
      <c r="AW220" s="203"/>
      <c r="AX220" s="195"/>
      <c r="AY220" s="195"/>
      <c r="AZ220" s="203"/>
      <c r="BU220" s="204"/>
      <c r="BV220" s="204"/>
      <c r="BW220" s="204"/>
      <c r="BX220" s="204"/>
      <c r="BY220" s="204"/>
      <c r="BZ220" s="204"/>
      <c r="CA220" s="204"/>
      <c r="CB220" s="204"/>
      <c r="CC220" s="204"/>
      <c r="CD220" s="204"/>
      <c r="CE220" s="204"/>
      <c r="CF220" s="204"/>
      <c r="CG220" s="204"/>
      <c r="CH220" s="204"/>
      <c r="CI220" s="204"/>
      <c r="CJ220" s="204"/>
      <c r="CK220" s="204"/>
      <c r="CL220" s="204"/>
      <c r="CM220" s="204"/>
      <c r="CN220" s="204"/>
      <c r="CO220" s="204"/>
      <c r="CP220" s="204"/>
      <c r="CQ220" s="204"/>
      <c r="CR220" s="204"/>
      <c r="CS220" s="204"/>
      <c r="CT220" s="204"/>
      <c r="CU220" s="204"/>
      <c r="CV220" s="204"/>
      <c r="CW220" s="204"/>
      <c r="CX220" s="204"/>
      <c r="CY220" s="204"/>
      <c r="CZ220" s="204"/>
      <c r="DA220" s="204"/>
      <c r="DB220" s="204"/>
      <c r="DC220" s="204"/>
      <c r="DD220" s="204"/>
      <c r="DE220" s="204"/>
      <c r="DF220" s="204"/>
      <c r="DG220" s="204"/>
      <c r="DH220" s="204"/>
      <c r="DI220" s="204"/>
      <c r="DJ220" s="204"/>
      <c r="DK220" s="204"/>
      <c r="DL220" s="204"/>
      <c r="DM220" s="204"/>
      <c r="DN220" s="204"/>
      <c r="DO220" s="204"/>
      <c r="DP220" s="204"/>
      <c r="DQ220" s="204"/>
      <c r="DR220" s="204"/>
      <c r="DS220" s="204"/>
      <c r="DT220" s="204"/>
      <c r="DU220" s="204"/>
      <c r="DV220" s="204"/>
      <c r="DW220" s="204"/>
      <c r="DX220" s="204"/>
      <c r="DY220" s="204"/>
      <c r="DZ220" s="204"/>
      <c r="EA220" s="204"/>
      <c r="EB220" s="204"/>
      <c r="EC220" s="204"/>
      <c r="ED220" s="204"/>
      <c r="EE220" s="204"/>
      <c r="EF220" s="204"/>
      <c r="EG220" s="204"/>
      <c r="EH220" s="204"/>
      <c r="EI220" s="204"/>
      <c r="EJ220" s="204"/>
      <c r="EK220" s="204"/>
      <c r="EL220" s="204"/>
      <c r="EM220" s="204"/>
      <c r="EN220" s="204"/>
      <c r="EO220" s="204"/>
      <c r="EP220" s="204"/>
      <c r="EQ220" s="204"/>
      <c r="ER220" s="204"/>
      <c r="ES220" s="204"/>
      <c r="ET220" s="204"/>
      <c r="EU220" s="204"/>
      <c r="EV220" s="204"/>
      <c r="EW220" s="204"/>
      <c r="EX220" s="204"/>
      <c r="FC220" s="200" t="str">
        <f t="shared" si="12"/>
        <v>I</v>
      </c>
    </row>
    <row r="221" spans="1:159" s="202" customFormat="1" ht="29.1" hidden="1" customHeight="1" x14ac:dyDescent="0.2">
      <c r="A221" s="142"/>
      <c r="B221" s="146"/>
      <c r="C221" s="153"/>
      <c r="D221" s="51"/>
      <c r="E221" s="38"/>
      <c r="F221" s="220"/>
      <c r="G221" s="221"/>
      <c r="H221" s="226"/>
      <c r="I221" s="226"/>
      <c r="J221" s="226"/>
      <c r="K221" s="224"/>
      <c r="L221" s="220"/>
      <c r="M221" s="221"/>
      <c r="N221" s="226"/>
      <c r="O221" s="226"/>
      <c r="P221" s="226"/>
      <c r="Q221" s="224"/>
      <c r="R221" s="220"/>
      <c r="S221" s="221"/>
      <c r="T221" s="226"/>
      <c r="U221" s="226"/>
      <c r="V221" s="220"/>
      <c r="W221" s="221"/>
      <c r="X221" s="226"/>
      <c r="Y221" s="226"/>
      <c r="Z221" s="220"/>
      <c r="AA221" s="221"/>
      <c r="AB221" s="226"/>
      <c r="AC221" s="220"/>
      <c r="AD221" s="168">
        <f t="shared" si="13"/>
        <v>0</v>
      </c>
      <c r="AE221" s="168">
        <f t="shared" si="14"/>
        <v>0</v>
      </c>
      <c r="AF221" s="169"/>
      <c r="AG221" s="195"/>
      <c r="AH221" s="195"/>
      <c r="AN221" s="203"/>
      <c r="AO221" s="203"/>
      <c r="AP221" s="203"/>
      <c r="AQ221" s="203"/>
      <c r="AR221" s="203"/>
      <c r="AS221" s="203"/>
      <c r="AT221" s="203"/>
      <c r="AU221" s="195"/>
      <c r="AV221" s="203"/>
      <c r="AW221" s="203"/>
      <c r="AX221" s="195"/>
      <c r="AY221" s="195"/>
      <c r="AZ221" s="203"/>
      <c r="BU221" s="204"/>
      <c r="BV221" s="204"/>
      <c r="BW221" s="204"/>
      <c r="BX221" s="204"/>
      <c r="BY221" s="204"/>
      <c r="BZ221" s="204"/>
      <c r="CA221" s="204"/>
      <c r="CB221" s="204"/>
      <c r="CC221" s="204"/>
      <c r="CD221" s="204"/>
      <c r="CE221" s="204"/>
      <c r="CF221" s="204"/>
      <c r="CG221" s="204"/>
      <c r="CH221" s="204"/>
      <c r="CI221" s="204"/>
      <c r="CJ221" s="204"/>
      <c r="CK221" s="204"/>
      <c r="CL221" s="204"/>
      <c r="CM221" s="204"/>
      <c r="CN221" s="204"/>
      <c r="CO221" s="204"/>
      <c r="CP221" s="204"/>
      <c r="CQ221" s="204"/>
      <c r="CR221" s="204"/>
      <c r="CS221" s="204"/>
      <c r="CT221" s="204"/>
      <c r="CU221" s="204"/>
      <c r="CV221" s="204"/>
      <c r="CW221" s="204"/>
      <c r="CX221" s="204"/>
      <c r="CY221" s="204"/>
      <c r="CZ221" s="204"/>
      <c r="DA221" s="204"/>
      <c r="DB221" s="204"/>
      <c r="DC221" s="204"/>
      <c r="DD221" s="204"/>
      <c r="DE221" s="204"/>
      <c r="DF221" s="204"/>
      <c r="DG221" s="204"/>
      <c r="DH221" s="204"/>
      <c r="DI221" s="204"/>
      <c r="DJ221" s="204"/>
      <c r="DK221" s="204"/>
      <c r="DL221" s="204"/>
      <c r="DM221" s="204"/>
      <c r="DN221" s="204"/>
      <c r="DO221" s="204"/>
      <c r="DP221" s="204"/>
      <c r="DQ221" s="204"/>
      <c r="DR221" s="204"/>
      <c r="DS221" s="204"/>
      <c r="DT221" s="204"/>
      <c r="DU221" s="204"/>
      <c r="DV221" s="204"/>
      <c r="DW221" s="204"/>
      <c r="DX221" s="204"/>
      <c r="DY221" s="204"/>
      <c r="DZ221" s="204"/>
      <c r="EA221" s="204"/>
      <c r="EB221" s="204"/>
      <c r="EC221" s="204"/>
      <c r="ED221" s="204"/>
      <c r="EE221" s="204"/>
      <c r="EF221" s="204"/>
      <c r="EG221" s="204"/>
      <c r="EH221" s="204"/>
      <c r="EI221" s="204"/>
      <c r="EJ221" s="204"/>
      <c r="EK221" s="204"/>
      <c r="EL221" s="204"/>
      <c r="EM221" s="204"/>
      <c r="EN221" s="204"/>
      <c r="EO221" s="204"/>
      <c r="EP221" s="204"/>
      <c r="EQ221" s="204"/>
      <c r="ER221" s="204"/>
      <c r="ES221" s="204"/>
      <c r="ET221" s="204"/>
      <c r="EU221" s="204"/>
      <c r="EV221" s="204"/>
      <c r="EW221" s="204"/>
      <c r="EX221" s="204"/>
      <c r="FC221" s="200" t="str">
        <f t="shared" si="12"/>
        <v>I</v>
      </c>
    </row>
    <row r="222" spans="1:159" s="202" customFormat="1" ht="29.1" hidden="1" customHeight="1" x14ac:dyDescent="0.2">
      <c r="A222" s="142"/>
      <c r="B222" s="146"/>
      <c r="C222" s="153"/>
      <c r="D222" s="51"/>
      <c r="E222" s="38"/>
      <c r="F222" s="220"/>
      <c r="G222" s="221"/>
      <c r="H222" s="226"/>
      <c r="I222" s="226"/>
      <c r="J222" s="226"/>
      <c r="K222" s="224"/>
      <c r="L222" s="220"/>
      <c r="M222" s="221"/>
      <c r="N222" s="226"/>
      <c r="O222" s="226"/>
      <c r="P222" s="226"/>
      <c r="Q222" s="224"/>
      <c r="R222" s="220"/>
      <c r="S222" s="221"/>
      <c r="T222" s="226"/>
      <c r="U222" s="226"/>
      <c r="V222" s="220"/>
      <c r="W222" s="221"/>
      <c r="X222" s="226"/>
      <c r="Y222" s="226"/>
      <c r="Z222" s="220"/>
      <c r="AA222" s="221"/>
      <c r="AB222" s="226"/>
      <c r="AC222" s="220"/>
      <c r="AD222" s="168">
        <f t="shared" si="13"/>
        <v>0</v>
      </c>
      <c r="AE222" s="168">
        <f t="shared" si="14"/>
        <v>0</v>
      </c>
      <c r="AF222" s="169"/>
      <c r="AG222" s="195"/>
      <c r="AH222" s="195"/>
      <c r="AN222" s="203"/>
      <c r="AO222" s="203"/>
      <c r="AP222" s="203"/>
      <c r="AQ222" s="203"/>
      <c r="AR222" s="203"/>
      <c r="AS222" s="203"/>
      <c r="AT222" s="203"/>
      <c r="AU222" s="195"/>
      <c r="AV222" s="203"/>
      <c r="AW222" s="203"/>
      <c r="AX222" s="195"/>
      <c r="AY222" s="195"/>
      <c r="AZ222" s="203"/>
      <c r="BU222" s="204"/>
      <c r="BV222" s="204"/>
      <c r="BW222" s="204"/>
      <c r="BX222" s="204"/>
      <c r="BY222" s="204"/>
      <c r="BZ222" s="204"/>
      <c r="CA222" s="204"/>
      <c r="CB222" s="204"/>
      <c r="CC222" s="204"/>
      <c r="CD222" s="204"/>
      <c r="CE222" s="204"/>
      <c r="CF222" s="204"/>
      <c r="CG222" s="204"/>
      <c r="CH222" s="204"/>
      <c r="CI222" s="204"/>
      <c r="CJ222" s="204"/>
      <c r="CK222" s="204"/>
      <c r="CL222" s="204"/>
      <c r="CM222" s="204"/>
      <c r="CN222" s="204"/>
      <c r="CO222" s="204"/>
      <c r="CP222" s="204"/>
      <c r="CQ222" s="204"/>
      <c r="CR222" s="204"/>
      <c r="CS222" s="204"/>
      <c r="CT222" s="204"/>
      <c r="CU222" s="204"/>
      <c r="CV222" s="204"/>
      <c r="CW222" s="204"/>
      <c r="CX222" s="204"/>
      <c r="CY222" s="204"/>
      <c r="CZ222" s="204"/>
      <c r="DA222" s="204"/>
      <c r="DB222" s="204"/>
      <c r="DC222" s="204"/>
      <c r="DD222" s="204"/>
      <c r="DE222" s="204"/>
      <c r="DF222" s="204"/>
      <c r="DG222" s="204"/>
      <c r="DH222" s="204"/>
      <c r="DI222" s="204"/>
      <c r="DJ222" s="204"/>
      <c r="DK222" s="204"/>
      <c r="DL222" s="204"/>
      <c r="DM222" s="204"/>
      <c r="DN222" s="204"/>
      <c r="DO222" s="204"/>
      <c r="DP222" s="204"/>
      <c r="DQ222" s="204"/>
      <c r="DR222" s="204"/>
      <c r="DS222" s="204"/>
      <c r="DT222" s="204"/>
      <c r="DU222" s="204"/>
      <c r="DV222" s="204"/>
      <c r="DW222" s="204"/>
      <c r="DX222" s="204"/>
      <c r="DY222" s="204"/>
      <c r="DZ222" s="204"/>
      <c r="EA222" s="204"/>
      <c r="EB222" s="204"/>
      <c r="EC222" s="204"/>
      <c r="ED222" s="204"/>
      <c r="EE222" s="204"/>
      <c r="EF222" s="204"/>
      <c r="EG222" s="204"/>
      <c r="EH222" s="204"/>
      <c r="EI222" s="204"/>
      <c r="EJ222" s="204"/>
      <c r="EK222" s="204"/>
      <c r="EL222" s="204"/>
      <c r="EM222" s="204"/>
      <c r="EN222" s="204"/>
      <c r="EO222" s="204"/>
      <c r="EP222" s="204"/>
      <c r="EQ222" s="204"/>
      <c r="ER222" s="204"/>
      <c r="ES222" s="204"/>
      <c r="ET222" s="204"/>
      <c r="EU222" s="204"/>
      <c r="EV222" s="204"/>
      <c r="EW222" s="204"/>
      <c r="EX222" s="204"/>
      <c r="FC222" s="200" t="str">
        <f t="shared" si="12"/>
        <v>I</v>
      </c>
    </row>
    <row r="223" spans="1:159" s="202" customFormat="1" ht="29.1" hidden="1" customHeight="1" x14ac:dyDescent="0.2">
      <c r="A223" s="142"/>
      <c r="B223" s="146"/>
      <c r="C223" s="153"/>
      <c r="D223" s="51"/>
      <c r="E223" s="38"/>
      <c r="F223" s="220"/>
      <c r="G223" s="221"/>
      <c r="H223" s="226"/>
      <c r="I223" s="226"/>
      <c r="J223" s="226"/>
      <c r="K223" s="224"/>
      <c r="L223" s="220"/>
      <c r="M223" s="221"/>
      <c r="N223" s="226"/>
      <c r="O223" s="226"/>
      <c r="P223" s="226"/>
      <c r="Q223" s="224"/>
      <c r="R223" s="220"/>
      <c r="S223" s="221"/>
      <c r="T223" s="226"/>
      <c r="U223" s="226"/>
      <c r="V223" s="220"/>
      <c r="W223" s="221"/>
      <c r="X223" s="226"/>
      <c r="Y223" s="226"/>
      <c r="Z223" s="220"/>
      <c r="AA223" s="221"/>
      <c r="AB223" s="226"/>
      <c r="AC223" s="220"/>
      <c r="AD223" s="168">
        <f t="shared" si="13"/>
        <v>0</v>
      </c>
      <c r="AE223" s="168">
        <f t="shared" si="14"/>
        <v>0</v>
      </c>
      <c r="AF223" s="169"/>
      <c r="AG223" s="195"/>
      <c r="AH223" s="195"/>
      <c r="AN223" s="203"/>
      <c r="AO223" s="203"/>
      <c r="AP223" s="203"/>
      <c r="AQ223" s="203"/>
      <c r="AR223" s="203"/>
      <c r="AS223" s="203"/>
      <c r="AT223" s="203"/>
      <c r="AU223" s="195"/>
      <c r="AV223" s="203"/>
      <c r="AW223" s="203"/>
      <c r="AX223" s="195"/>
      <c r="AY223" s="195"/>
      <c r="AZ223" s="203"/>
      <c r="BU223" s="204"/>
      <c r="BV223" s="204"/>
      <c r="BW223" s="204"/>
      <c r="BX223" s="204"/>
      <c r="BY223" s="204"/>
      <c r="BZ223" s="204"/>
      <c r="CA223" s="204"/>
      <c r="CB223" s="204"/>
      <c r="CC223" s="204"/>
      <c r="CD223" s="204"/>
      <c r="CE223" s="204"/>
      <c r="CF223" s="204"/>
      <c r="CG223" s="204"/>
      <c r="CH223" s="204"/>
      <c r="CI223" s="204"/>
      <c r="CJ223" s="204"/>
      <c r="CK223" s="204"/>
      <c r="CL223" s="204"/>
      <c r="CM223" s="204"/>
      <c r="CN223" s="204"/>
      <c r="CO223" s="204"/>
      <c r="CP223" s="204"/>
      <c r="CQ223" s="204"/>
      <c r="CR223" s="204"/>
      <c r="CS223" s="204"/>
      <c r="CT223" s="204"/>
      <c r="CU223" s="204"/>
      <c r="CV223" s="204"/>
      <c r="CW223" s="204"/>
      <c r="CX223" s="204"/>
      <c r="CY223" s="204"/>
      <c r="CZ223" s="204"/>
      <c r="DA223" s="204"/>
      <c r="DB223" s="204"/>
      <c r="DC223" s="204"/>
      <c r="DD223" s="204"/>
      <c r="DE223" s="204"/>
      <c r="DF223" s="204"/>
      <c r="DG223" s="204"/>
      <c r="DH223" s="204"/>
      <c r="DI223" s="204"/>
      <c r="DJ223" s="204"/>
      <c r="DK223" s="204"/>
      <c r="DL223" s="204"/>
      <c r="DM223" s="204"/>
      <c r="DN223" s="204"/>
      <c r="DO223" s="204"/>
      <c r="DP223" s="204"/>
      <c r="DQ223" s="204"/>
      <c r="DR223" s="204"/>
      <c r="DS223" s="204"/>
      <c r="DT223" s="204"/>
      <c r="DU223" s="204"/>
      <c r="DV223" s="204"/>
      <c r="DW223" s="204"/>
      <c r="DX223" s="204"/>
      <c r="DY223" s="204"/>
      <c r="DZ223" s="204"/>
      <c r="EA223" s="204"/>
      <c r="EB223" s="204"/>
      <c r="EC223" s="204"/>
      <c r="ED223" s="204"/>
      <c r="EE223" s="204"/>
      <c r="EF223" s="204"/>
      <c r="EG223" s="204"/>
      <c r="EH223" s="204"/>
      <c r="EI223" s="204"/>
      <c r="EJ223" s="204"/>
      <c r="EK223" s="204"/>
      <c r="EL223" s="204"/>
      <c r="EM223" s="204"/>
      <c r="EN223" s="204"/>
      <c r="EO223" s="204"/>
      <c r="EP223" s="204"/>
      <c r="EQ223" s="204"/>
      <c r="ER223" s="204"/>
      <c r="ES223" s="204"/>
      <c r="ET223" s="204"/>
      <c r="EU223" s="204"/>
      <c r="EV223" s="204"/>
      <c r="EW223" s="204"/>
      <c r="EX223" s="204"/>
      <c r="FC223" s="200" t="str">
        <f t="shared" si="12"/>
        <v>I</v>
      </c>
    </row>
    <row r="224" spans="1:159" s="202" customFormat="1" ht="29.1" hidden="1" customHeight="1" x14ac:dyDescent="0.2">
      <c r="A224" s="142"/>
      <c r="B224" s="146"/>
      <c r="C224" s="153"/>
      <c r="D224" s="51"/>
      <c r="E224" s="38"/>
      <c r="F224" s="220"/>
      <c r="G224" s="221"/>
      <c r="H224" s="226"/>
      <c r="I224" s="226"/>
      <c r="J224" s="226"/>
      <c r="K224" s="224"/>
      <c r="L224" s="220"/>
      <c r="M224" s="221"/>
      <c r="N224" s="226"/>
      <c r="O224" s="226"/>
      <c r="P224" s="226"/>
      <c r="Q224" s="224"/>
      <c r="R224" s="220"/>
      <c r="S224" s="221"/>
      <c r="T224" s="226"/>
      <c r="U224" s="226"/>
      <c r="V224" s="220"/>
      <c r="W224" s="221"/>
      <c r="X224" s="226"/>
      <c r="Y224" s="226"/>
      <c r="Z224" s="220"/>
      <c r="AA224" s="221"/>
      <c r="AB224" s="226"/>
      <c r="AC224" s="220"/>
      <c r="AD224" s="168">
        <f t="shared" si="13"/>
        <v>0</v>
      </c>
      <c r="AE224" s="168">
        <f t="shared" si="14"/>
        <v>0</v>
      </c>
      <c r="AF224" s="169"/>
      <c r="AG224" s="195"/>
      <c r="AH224" s="195"/>
      <c r="AN224" s="203"/>
      <c r="AO224" s="203"/>
      <c r="AP224" s="203"/>
      <c r="AQ224" s="203"/>
      <c r="AR224" s="203"/>
      <c r="AS224" s="203"/>
      <c r="AT224" s="203"/>
      <c r="AU224" s="195"/>
      <c r="AV224" s="203"/>
      <c r="AW224" s="203"/>
      <c r="AX224" s="195"/>
      <c r="AY224" s="195"/>
      <c r="AZ224" s="203"/>
      <c r="BU224" s="204"/>
      <c r="BV224" s="204"/>
      <c r="BW224" s="204"/>
      <c r="BX224" s="204"/>
      <c r="BY224" s="204"/>
      <c r="BZ224" s="204"/>
      <c r="CA224" s="204"/>
      <c r="CB224" s="204"/>
      <c r="CC224" s="204"/>
      <c r="CD224" s="204"/>
      <c r="CE224" s="204"/>
      <c r="CF224" s="204"/>
      <c r="CG224" s="204"/>
      <c r="CH224" s="204"/>
      <c r="CI224" s="204"/>
      <c r="CJ224" s="204"/>
      <c r="CK224" s="204"/>
      <c r="CL224" s="204"/>
      <c r="CM224" s="204"/>
      <c r="CN224" s="204"/>
      <c r="CO224" s="204"/>
      <c r="CP224" s="204"/>
      <c r="CQ224" s="204"/>
      <c r="CR224" s="204"/>
      <c r="CS224" s="204"/>
      <c r="CT224" s="204"/>
      <c r="CU224" s="204"/>
      <c r="CV224" s="204"/>
      <c r="CW224" s="204"/>
      <c r="CX224" s="204"/>
      <c r="CY224" s="204"/>
      <c r="CZ224" s="204"/>
      <c r="DA224" s="204"/>
      <c r="DB224" s="204"/>
      <c r="DC224" s="204"/>
      <c r="DD224" s="204"/>
      <c r="DE224" s="204"/>
      <c r="DF224" s="204"/>
      <c r="DG224" s="204"/>
      <c r="DH224" s="204"/>
      <c r="DI224" s="204"/>
      <c r="DJ224" s="204"/>
      <c r="DK224" s="204"/>
      <c r="DL224" s="204"/>
      <c r="DM224" s="204"/>
      <c r="DN224" s="204"/>
      <c r="DO224" s="204"/>
      <c r="DP224" s="204"/>
      <c r="DQ224" s="204"/>
      <c r="DR224" s="204"/>
      <c r="DS224" s="204"/>
      <c r="DT224" s="204"/>
      <c r="DU224" s="204"/>
      <c r="DV224" s="204"/>
      <c r="DW224" s="204"/>
      <c r="DX224" s="204"/>
      <c r="DY224" s="204"/>
      <c r="DZ224" s="204"/>
      <c r="EA224" s="204"/>
      <c r="EB224" s="204"/>
      <c r="EC224" s="204"/>
      <c r="ED224" s="204"/>
      <c r="EE224" s="204"/>
      <c r="EF224" s="204"/>
      <c r="EG224" s="204"/>
      <c r="EH224" s="204"/>
      <c r="EI224" s="204"/>
      <c r="EJ224" s="204"/>
      <c r="EK224" s="204"/>
      <c r="EL224" s="204"/>
      <c r="EM224" s="204"/>
      <c r="EN224" s="204"/>
      <c r="EO224" s="204"/>
      <c r="EP224" s="204"/>
      <c r="EQ224" s="204"/>
      <c r="ER224" s="204"/>
      <c r="ES224" s="204"/>
      <c r="ET224" s="204"/>
      <c r="EU224" s="204"/>
      <c r="EV224" s="204"/>
      <c r="EW224" s="204"/>
      <c r="EX224" s="204"/>
      <c r="FC224" s="200" t="str">
        <f t="shared" si="12"/>
        <v>I</v>
      </c>
    </row>
    <row r="225" spans="1:159" s="202" customFormat="1" ht="29.1" hidden="1" customHeight="1" x14ac:dyDescent="0.2">
      <c r="A225" s="142"/>
      <c r="B225" s="146"/>
      <c r="C225" s="153"/>
      <c r="D225" s="51"/>
      <c r="E225" s="38"/>
      <c r="F225" s="220"/>
      <c r="G225" s="221"/>
      <c r="H225" s="226"/>
      <c r="I225" s="226"/>
      <c r="J225" s="226"/>
      <c r="K225" s="224"/>
      <c r="L225" s="220"/>
      <c r="M225" s="221"/>
      <c r="N225" s="226"/>
      <c r="O225" s="226"/>
      <c r="P225" s="226"/>
      <c r="Q225" s="224"/>
      <c r="R225" s="220"/>
      <c r="S225" s="221"/>
      <c r="T225" s="226"/>
      <c r="U225" s="226"/>
      <c r="V225" s="220"/>
      <c r="W225" s="221"/>
      <c r="X225" s="226"/>
      <c r="Y225" s="226"/>
      <c r="Z225" s="220"/>
      <c r="AA225" s="221"/>
      <c r="AB225" s="226"/>
      <c r="AC225" s="220"/>
      <c r="AD225" s="168">
        <f t="shared" si="13"/>
        <v>0</v>
      </c>
      <c r="AE225" s="168">
        <f t="shared" si="14"/>
        <v>0</v>
      </c>
      <c r="AF225" s="169"/>
      <c r="AG225" s="195"/>
      <c r="AH225" s="195"/>
      <c r="AN225" s="203"/>
      <c r="AO225" s="203"/>
      <c r="AP225" s="203"/>
      <c r="AQ225" s="203"/>
      <c r="AR225" s="203"/>
      <c r="AS225" s="203"/>
      <c r="AT225" s="203"/>
      <c r="AU225" s="195"/>
      <c r="AV225" s="203"/>
      <c r="AW225" s="203"/>
      <c r="AX225" s="195"/>
      <c r="AY225" s="195"/>
      <c r="AZ225" s="203"/>
      <c r="BU225" s="204"/>
      <c r="BV225" s="204"/>
      <c r="BW225" s="204"/>
      <c r="BX225" s="204"/>
      <c r="BY225" s="204"/>
      <c r="BZ225" s="204"/>
      <c r="CA225" s="204"/>
      <c r="CB225" s="204"/>
      <c r="CC225" s="204"/>
      <c r="CD225" s="204"/>
      <c r="CE225" s="204"/>
      <c r="CF225" s="204"/>
      <c r="CG225" s="204"/>
      <c r="CH225" s="204"/>
      <c r="CI225" s="204"/>
      <c r="CJ225" s="204"/>
      <c r="CK225" s="204"/>
      <c r="CL225" s="204"/>
      <c r="CM225" s="204"/>
      <c r="CN225" s="204"/>
      <c r="CO225" s="204"/>
      <c r="CP225" s="204"/>
      <c r="CQ225" s="204"/>
      <c r="CR225" s="204"/>
      <c r="CS225" s="204"/>
      <c r="CT225" s="204"/>
      <c r="CU225" s="204"/>
      <c r="CV225" s="204"/>
      <c r="CW225" s="204"/>
      <c r="CX225" s="204"/>
      <c r="CY225" s="204"/>
      <c r="CZ225" s="204"/>
      <c r="DA225" s="204"/>
      <c r="DB225" s="204"/>
      <c r="DC225" s="204"/>
      <c r="DD225" s="204"/>
      <c r="DE225" s="204"/>
      <c r="DF225" s="204"/>
      <c r="DG225" s="204"/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EK225" s="204"/>
      <c r="EL225" s="204"/>
      <c r="EM225" s="204"/>
      <c r="EN225" s="204"/>
      <c r="EO225" s="204"/>
      <c r="EP225" s="204"/>
      <c r="EQ225" s="204"/>
      <c r="ER225" s="204"/>
      <c r="ES225" s="204"/>
      <c r="ET225" s="204"/>
      <c r="EU225" s="204"/>
      <c r="EV225" s="204"/>
      <c r="EW225" s="204"/>
      <c r="EX225" s="204"/>
      <c r="FC225" s="200" t="str">
        <f t="shared" si="12"/>
        <v>I</v>
      </c>
    </row>
    <row r="226" spans="1:159" s="202" customFormat="1" ht="29.1" hidden="1" customHeight="1" x14ac:dyDescent="0.2">
      <c r="A226" s="142"/>
      <c r="B226" s="146"/>
      <c r="C226" s="153"/>
      <c r="D226" s="51"/>
      <c r="E226" s="38"/>
      <c r="F226" s="220"/>
      <c r="G226" s="221"/>
      <c r="H226" s="226"/>
      <c r="I226" s="226"/>
      <c r="J226" s="226"/>
      <c r="K226" s="224"/>
      <c r="L226" s="220"/>
      <c r="M226" s="221"/>
      <c r="N226" s="226"/>
      <c r="O226" s="226"/>
      <c r="P226" s="226"/>
      <c r="Q226" s="224"/>
      <c r="R226" s="220"/>
      <c r="S226" s="221"/>
      <c r="T226" s="226"/>
      <c r="U226" s="226"/>
      <c r="V226" s="220"/>
      <c r="W226" s="221"/>
      <c r="X226" s="226"/>
      <c r="Y226" s="226"/>
      <c r="Z226" s="220"/>
      <c r="AA226" s="221"/>
      <c r="AB226" s="226"/>
      <c r="AC226" s="220"/>
      <c r="AD226" s="168">
        <f t="shared" si="13"/>
        <v>0</v>
      </c>
      <c r="AE226" s="168">
        <f t="shared" si="14"/>
        <v>0</v>
      </c>
      <c r="AF226" s="169"/>
      <c r="AG226" s="195"/>
      <c r="AH226" s="195"/>
      <c r="AN226" s="203"/>
      <c r="AO226" s="203"/>
      <c r="AP226" s="203"/>
      <c r="AQ226" s="203"/>
      <c r="AR226" s="203"/>
      <c r="AS226" s="203"/>
      <c r="AT226" s="203"/>
      <c r="AU226" s="195"/>
      <c r="AV226" s="203"/>
      <c r="AW226" s="203"/>
      <c r="AX226" s="195"/>
      <c r="AY226" s="195"/>
      <c r="AZ226" s="203"/>
      <c r="BU226" s="204"/>
      <c r="BV226" s="204"/>
      <c r="BW226" s="204"/>
      <c r="BX226" s="204"/>
      <c r="BY226" s="204"/>
      <c r="BZ226" s="204"/>
      <c r="CA226" s="204"/>
      <c r="CB226" s="204"/>
      <c r="CC226" s="204"/>
      <c r="CD226" s="204"/>
      <c r="CE226" s="204"/>
      <c r="CF226" s="204"/>
      <c r="CG226" s="204"/>
      <c r="CH226" s="204"/>
      <c r="CI226" s="204"/>
      <c r="CJ226" s="204"/>
      <c r="CK226" s="204"/>
      <c r="CL226" s="204"/>
      <c r="CM226" s="204"/>
      <c r="CN226" s="204"/>
      <c r="CO226" s="204"/>
      <c r="CP226" s="204"/>
      <c r="CQ226" s="204"/>
      <c r="CR226" s="204"/>
      <c r="CS226" s="204"/>
      <c r="CT226" s="204"/>
      <c r="CU226" s="204"/>
      <c r="CV226" s="204"/>
      <c r="CW226" s="204"/>
      <c r="CX226" s="204"/>
      <c r="CY226" s="204"/>
      <c r="CZ226" s="204"/>
      <c r="DA226" s="204"/>
      <c r="DB226" s="204"/>
      <c r="DC226" s="204"/>
      <c r="DD226" s="204"/>
      <c r="DE226" s="204"/>
      <c r="DF226" s="204"/>
      <c r="DG226" s="204"/>
      <c r="DH226" s="204"/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EK226" s="204"/>
      <c r="EL226" s="204"/>
      <c r="EM226" s="204"/>
      <c r="EN226" s="204"/>
      <c r="EO226" s="204"/>
      <c r="EP226" s="204"/>
      <c r="EQ226" s="204"/>
      <c r="ER226" s="204"/>
      <c r="ES226" s="204"/>
      <c r="ET226" s="204"/>
      <c r="EU226" s="204"/>
      <c r="EV226" s="204"/>
      <c r="EW226" s="204"/>
      <c r="EX226" s="204"/>
      <c r="FC226" s="200" t="str">
        <f t="shared" si="12"/>
        <v>I</v>
      </c>
    </row>
    <row r="227" spans="1:159" s="202" customFormat="1" ht="29.1" hidden="1" customHeight="1" x14ac:dyDescent="0.2">
      <c r="A227" s="142"/>
      <c r="B227" s="146"/>
      <c r="C227" s="153"/>
      <c r="D227" s="51"/>
      <c r="E227" s="38"/>
      <c r="F227" s="220"/>
      <c r="G227" s="221"/>
      <c r="H227" s="226"/>
      <c r="I227" s="226"/>
      <c r="J227" s="226"/>
      <c r="K227" s="224"/>
      <c r="L227" s="220"/>
      <c r="M227" s="221"/>
      <c r="N227" s="226"/>
      <c r="O227" s="226"/>
      <c r="P227" s="226"/>
      <c r="Q227" s="224"/>
      <c r="R227" s="220"/>
      <c r="S227" s="221"/>
      <c r="T227" s="226"/>
      <c r="U227" s="226"/>
      <c r="V227" s="220"/>
      <c r="W227" s="221"/>
      <c r="X227" s="226"/>
      <c r="Y227" s="226"/>
      <c r="Z227" s="220"/>
      <c r="AA227" s="221"/>
      <c r="AB227" s="226"/>
      <c r="AC227" s="220"/>
      <c r="AD227" s="168">
        <f t="shared" si="13"/>
        <v>0</v>
      </c>
      <c r="AE227" s="168">
        <f t="shared" si="14"/>
        <v>0</v>
      </c>
      <c r="AF227" s="169"/>
      <c r="AG227" s="195"/>
      <c r="AH227" s="195"/>
      <c r="AN227" s="203"/>
      <c r="AO227" s="203"/>
      <c r="AP227" s="203"/>
      <c r="AQ227" s="203"/>
      <c r="AR227" s="203"/>
      <c r="AS227" s="203"/>
      <c r="AT227" s="203"/>
      <c r="AU227" s="195"/>
      <c r="AV227" s="203"/>
      <c r="AW227" s="203"/>
      <c r="AX227" s="195"/>
      <c r="AY227" s="195"/>
      <c r="AZ227" s="203"/>
      <c r="BU227" s="204"/>
      <c r="BV227" s="204"/>
      <c r="BW227" s="204"/>
      <c r="BX227" s="204"/>
      <c r="BY227" s="204"/>
      <c r="BZ227" s="204"/>
      <c r="CA227" s="204"/>
      <c r="CB227" s="204"/>
      <c r="CC227" s="204"/>
      <c r="CD227" s="204"/>
      <c r="CE227" s="204"/>
      <c r="CF227" s="204"/>
      <c r="CG227" s="204"/>
      <c r="CH227" s="204"/>
      <c r="CI227" s="204"/>
      <c r="CJ227" s="204"/>
      <c r="CK227" s="204"/>
      <c r="CL227" s="204"/>
      <c r="CM227" s="204"/>
      <c r="CN227" s="204"/>
      <c r="CO227" s="204"/>
      <c r="CP227" s="204"/>
      <c r="CQ227" s="204"/>
      <c r="CR227" s="204"/>
      <c r="CS227" s="204"/>
      <c r="CT227" s="204"/>
      <c r="CU227" s="204"/>
      <c r="CV227" s="204"/>
      <c r="CW227" s="204"/>
      <c r="CX227" s="204"/>
      <c r="CY227" s="204"/>
      <c r="CZ227" s="204"/>
      <c r="DA227" s="204"/>
      <c r="DB227" s="204"/>
      <c r="DC227" s="204"/>
      <c r="DD227" s="204"/>
      <c r="DE227" s="204"/>
      <c r="DF227" s="204"/>
      <c r="DG227" s="204"/>
      <c r="DH227" s="204"/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EK227" s="204"/>
      <c r="EL227" s="204"/>
      <c r="EM227" s="204"/>
      <c r="EN227" s="204"/>
      <c r="EO227" s="204"/>
      <c r="EP227" s="204"/>
      <c r="EQ227" s="204"/>
      <c r="ER227" s="204"/>
      <c r="ES227" s="204"/>
      <c r="ET227" s="204"/>
      <c r="EU227" s="204"/>
      <c r="EV227" s="204"/>
      <c r="EW227" s="204"/>
      <c r="EX227" s="204"/>
      <c r="FC227" s="200" t="str">
        <f t="shared" si="12"/>
        <v>I</v>
      </c>
    </row>
    <row r="228" spans="1:159" s="202" customFormat="1" ht="29.1" hidden="1" customHeight="1" x14ac:dyDescent="0.2">
      <c r="A228" s="142"/>
      <c r="B228" s="146"/>
      <c r="C228" s="153"/>
      <c r="D228" s="51"/>
      <c r="E228" s="38"/>
      <c r="F228" s="220"/>
      <c r="G228" s="221"/>
      <c r="H228" s="226"/>
      <c r="I228" s="226"/>
      <c r="J228" s="226"/>
      <c r="K228" s="224"/>
      <c r="L228" s="220"/>
      <c r="M228" s="221"/>
      <c r="N228" s="226"/>
      <c r="O228" s="226"/>
      <c r="P228" s="226"/>
      <c r="Q228" s="224"/>
      <c r="R228" s="220"/>
      <c r="S228" s="221"/>
      <c r="T228" s="226"/>
      <c r="U228" s="226"/>
      <c r="V228" s="220"/>
      <c r="W228" s="221"/>
      <c r="X228" s="226"/>
      <c r="Y228" s="226"/>
      <c r="Z228" s="220"/>
      <c r="AA228" s="221"/>
      <c r="AB228" s="226"/>
      <c r="AC228" s="220"/>
      <c r="AD228" s="168">
        <f t="shared" si="13"/>
        <v>0</v>
      </c>
      <c r="AE228" s="168">
        <f t="shared" si="14"/>
        <v>0</v>
      </c>
      <c r="AF228" s="169"/>
      <c r="AG228" s="195"/>
      <c r="AH228" s="195"/>
      <c r="AN228" s="203"/>
      <c r="AO228" s="203"/>
      <c r="AP228" s="203"/>
      <c r="AQ228" s="203"/>
      <c r="AR228" s="203"/>
      <c r="AS228" s="203"/>
      <c r="AT228" s="203"/>
      <c r="AU228" s="195"/>
      <c r="AV228" s="203"/>
      <c r="AW228" s="203"/>
      <c r="AX228" s="195"/>
      <c r="AY228" s="195"/>
      <c r="AZ228" s="203"/>
      <c r="BU228" s="204"/>
      <c r="BV228" s="204"/>
      <c r="BW228" s="204"/>
      <c r="BX228" s="204"/>
      <c r="BY228" s="204"/>
      <c r="BZ228" s="204"/>
      <c r="CA228" s="204"/>
      <c r="CB228" s="204"/>
      <c r="CC228" s="204"/>
      <c r="CD228" s="204"/>
      <c r="CE228" s="204"/>
      <c r="CF228" s="204"/>
      <c r="CG228" s="204"/>
      <c r="CH228" s="204"/>
      <c r="CI228" s="204"/>
      <c r="CJ228" s="204"/>
      <c r="CK228" s="204"/>
      <c r="CL228" s="204"/>
      <c r="CM228" s="204"/>
      <c r="CN228" s="204"/>
      <c r="CO228" s="204"/>
      <c r="CP228" s="204"/>
      <c r="CQ228" s="204"/>
      <c r="CR228" s="204"/>
      <c r="CS228" s="204"/>
      <c r="CT228" s="204"/>
      <c r="CU228" s="204"/>
      <c r="CV228" s="204"/>
      <c r="CW228" s="204"/>
      <c r="CX228" s="204"/>
      <c r="CY228" s="204"/>
      <c r="CZ228" s="204"/>
      <c r="DA228" s="204"/>
      <c r="DB228" s="204"/>
      <c r="DC228" s="204"/>
      <c r="DD228" s="204"/>
      <c r="DE228" s="204"/>
      <c r="DF228" s="204"/>
      <c r="DG228" s="204"/>
      <c r="DH228" s="204"/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EK228" s="204"/>
      <c r="EL228" s="204"/>
      <c r="EM228" s="204"/>
      <c r="EN228" s="204"/>
      <c r="EO228" s="204"/>
      <c r="EP228" s="204"/>
      <c r="EQ228" s="204"/>
      <c r="ER228" s="204"/>
      <c r="ES228" s="204"/>
      <c r="ET228" s="204"/>
      <c r="EU228" s="204"/>
      <c r="EV228" s="204"/>
      <c r="EW228" s="204"/>
      <c r="EX228" s="204"/>
      <c r="FC228" s="200" t="str">
        <f t="shared" si="12"/>
        <v>I</v>
      </c>
    </row>
    <row r="229" spans="1:159" s="202" customFormat="1" ht="29.1" hidden="1" customHeight="1" x14ac:dyDescent="0.2">
      <c r="A229" s="142"/>
      <c r="B229" s="146"/>
      <c r="C229" s="153"/>
      <c r="D229" s="51"/>
      <c r="E229" s="38"/>
      <c r="F229" s="220"/>
      <c r="G229" s="221"/>
      <c r="H229" s="226"/>
      <c r="I229" s="226"/>
      <c r="J229" s="226"/>
      <c r="K229" s="224"/>
      <c r="L229" s="220"/>
      <c r="M229" s="221"/>
      <c r="N229" s="226"/>
      <c r="O229" s="226"/>
      <c r="P229" s="226"/>
      <c r="Q229" s="224"/>
      <c r="R229" s="220"/>
      <c r="S229" s="221"/>
      <c r="T229" s="226"/>
      <c r="U229" s="226"/>
      <c r="V229" s="220"/>
      <c r="W229" s="221"/>
      <c r="X229" s="226"/>
      <c r="Y229" s="226"/>
      <c r="Z229" s="220"/>
      <c r="AA229" s="221"/>
      <c r="AB229" s="226"/>
      <c r="AC229" s="220"/>
      <c r="AD229" s="168">
        <f t="shared" si="13"/>
        <v>0</v>
      </c>
      <c r="AE229" s="168">
        <f t="shared" si="14"/>
        <v>0</v>
      </c>
      <c r="AF229" s="169"/>
      <c r="AG229" s="195"/>
      <c r="AH229" s="195"/>
      <c r="AN229" s="203"/>
      <c r="AO229" s="203"/>
      <c r="AP229" s="203"/>
      <c r="AQ229" s="203"/>
      <c r="AR229" s="203"/>
      <c r="AS229" s="203"/>
      <c r="AT229" s="203"/>
      <c r="AU229" s="195"/>
      <c r="AV229" s="203"/>
      <c r="AW229" s="203"/>
      <c r="AX229" s="195"/>
      <c r="AY229" s="195"/>
      <c r="AZ229" s="203"/>
      <c r="BU229" s="204"/>
      <c r="BV229" s="204"/>
      <c r="BW229" s="204"/>
      <c r="BX229" s="204"/>
      <c r="BY229" s="204"/>
      <c r="BZ229" s="204"/>
      <c r="CA229" s="204"/>
      <c r="CB229" s="204"/>
      <c r="CC229" s="204"/>
      <c r="CD229" s="204"/>
      <c r="CE229" s="204"/>
      <c r="CF229" s="204"/>
      <c r="CG229" s="204"/>
      <c r="CH229" s="204"/>
      <c r="CI229" s="204"/>
      <c r="CJ229" s="204"/>
      <c r="CK229" s="204"/>
      <c r="CL229" s="204"/>
      <c r="CM229" s="204"/>
      <c r="CN229" s="204"/>
      <c r="CO229" s="204"/>
      <c r="CP229" s="204"/>
      <c r="CQ229" s="204"/>
      <c r="CR229" s="204"/>
      <c r="CS229" s="204"/>
      <c r="CT229" s="204"/>
      <c r="CU229" s="204"/>
      <c r="CV229" s="204"/>
      <c r="CW229" s="204"/>
      <c r="CX229" s="204"/>
      <c r="CY229" s="204"/>
      <c r="CZ229" s="204"/>
      <c r="DA229" s="204"/>
      <c r="DB229" s="204"/>
      <c r="DC229" s="204"/>
      <c r="DD229" s="204"/>
      <c r="DE229" s="204"/>
      <c r="DF229" s="204"/>
      <c r="DG229" s="204"/>
      <c r="DH229" s="204"/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EK229" s="204"/>
      <c r="EL229" s="204"/>
      <c r="EM229" s="204"/>
      <c r="EN229" s="204"/>
      <c r="EO229" s="204"/>
      <c r="EP229" s="204"/>
      <c r="EQ229" s="204"/>
      <c r="ER229" s="204"/>
      <c r="ES229" s="204"/>
      <c r="ET229" s="204"/>
      <c r="EU229" s="204"/>
      <c r="EV229" s="204"/>
      <c r="EW229" s="204"/>
      <c r="EX229" s="204"/>
      <c r="FC229" s="200" t="str">
        <f t="shared" si="12"/>
        <v>I</v>
      </c>
    </row>
    <row r="230" spans="1:159" s="202" customFormat="1" ht="29.1" hidden="1" customHeight="1" x14ac:dyDescent="0.2">
      <c r="A230" s="142"/>
      <c r="B230" s="146"/>
      <c r="C230" s="153"/>
      <c r="D230" s="51"/>
      <c r="E230" s="38"/>
      <c r="F230" s="220"/>
      <c r="G230" s="221"/>
      <c r="H230" s="226"/>
      <c r="I230" s="226"/>
      <c r="J230" s="226"/>
      <c r="K230" s="224"/>
      <c r="L230" s="220"/>
      <c r="M230" s="221"/>
      <c r="N230" s="226"/>
      <c r="O230" s="226"/>
      <c r="P230" s="226"/>
      <c r="Q230" s="224"/>
      <c r="R230" s="220"/>
      <c r="S230" s="221"/>
      <c r="T230" s="226"/>
      <c r="U230" s="226"/>
      <c r="V230" s="220"/>
      <c r="W230" s="221"/>
      <c r="X230" s="226"/>
      <c r="Y230" s="226"/>
      <c r="Z230" s="220"/>
      <c r="AA230" s="221"/>
      <c r="AB230" s="226"/>
      <c r="AC230" s="220"/>
      <c r="AD230" s="168">
        <f t="shared" si="13"/>
        <v>0</v>
      </c>
      <c r="AE230" s="168">
        <f t="shared" si="14"/>
        <v>0</v>
      </c>
      <c r="AF230" s="169"/>
      <c r="AG230" s="195"/>
      <c r="AH230" s="195"/>
      <c r="AN230" s="203"/>
      <c r="AO230" s="203"/>
      <c r="AP230" s="203"/>
      <c r="AQ230" s="203"/>
      <c r="AR230" s="203"/>
      <c r="AS230" s="203"/>
      <c r="AT230" s="203"/>
      <c r="AU230" s="195"/>
      <c r="AV230" s="203"/>
      <c r="AW230" s="203"/>
      <c r="AX230" s="195"/>
      <c r="AY230" s="195"/>
      <c r="AZ230" s="203"/>
      <c r="BU230" s="204"/>
      <c r="BV230" s="204"/>
      <c r="BW230" s="204"/>
      <c r="BX230" s="204"/>
      <c r="BY230" s="204"/>
      <c r="BZ230" s="204"/>
      <c r="CA230" s="204"/>
      <c r="CB230" s="204"/>
      <c r="CC230" s="204"/>
      <c r="CD230" s="204"/>
      <c r="CE230" s="204"/>
      <c r="CF230" s="204"/>
      <c r="CG230" s="204"/>
      <c r="CH230" s="204"/>
      <c r="CI230" s="204"/>
      <c r="CJ230" s="204"/>
      <c r="CK230" s="204"/>
      <c r="CL230" s="204"/>
      <c r="CM230" s="204"/>
      <c r="CN230" s="204"/>
      <c r="CO230" s="204"/>
      <c r="CP230" s="204"/>
      <c r="CQ230" s="204"/>
      <c r="CR230" s="204"/>
      <c r="CS230" s="204"/>
      <c r="CT230" s="204"/>
      <c r="CU230" s="204"/>
      <c r="CV230" s="204"/>
      <c r="CW230" s="204"/>
      <c r="CX230" s="204"/>
      <c r="CY230" s="204"/>
      <c r="CZ230" s="204"/>
      <c r="DA230" s="204"/>
      <c r="DB230" s="204"/>
      <c r="DC230" s="204"/>
      <c r="DD230" s="204"/>
      <c r="DE230" s="204"/>
      <c r="DF230" s="204"/>
      <c r="DG230" s="204"/>
      <c r="DH230" s="204"/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EK230" s="204"/>
      <c r="EL230" s="204"/>
      <c r="EM230" s="204"/>
      <c r="EN230" s="204"/>
      <c r="EO230" s="204"/>
      <c r="EP230" s="204"/>
      <c r="EQ230" s="204"/>
      <c r="ER230" s="204"/>
      <c r="ES230" s="204"/>
      <c r="ET230" s="204"/>
      <c r="EU230" s="204"/>
      <c r="EV230" s="204"/>
      <c r="EW230" s="204"/>
      <c r="EX230" s="204"/>
      <c r="FC230" s="200" t="str">
        <f t="shared" si="12"/>
        <v>I</v>
      </c>
    </row>
    <row r="231" spans="1:159" s="202" customFormat="1" ht="29.1" hidden="1" customHeight="1" x14ac:dyDescent="0.2">
      <c r="A231" s="142"/>
      <c r="B231" s="146"/>
      <c r="C231" s="153"/>
      <c r="D231" s="51"/>
      <c r="E231" s="38"/>
      <c r="F231" s="220"/>
      <c r="G231" s="221"/>
      <c r="H231" s="226"/>
      <c r="I231" s="226"/>
      <c r="J231" s="226"/>
      <c r="K231" s="224"/>
      <c r="L231" s="220"/>
      <c r="M231" s="221"/>
      <c r="N231" s="226"/>
      <c r="O231" s="226"/>
      <c r="P231" s="226"/>
      <c r="Q231" s="224"/>
      <c r="R231" s="220"/>
      <c r="S231" s="221"/>
      <c r="T231" s="226"/>
      <c r="U231" s="226"/>
      <c r="V231" s="220"/>
      <c r="W231" s="221"/>
      <c r="X231" s="226"/>
      <c r="Y231" s="226"/>
      <c r="Z231" s="220"/>
      <c r="AA231" s="221"/>
      <c r="AB231" s="226"/>
      <c r="AC231" s="220"/>
      <c r="AD231" s="168">
        <f t="shared" si="13"/>
        <v>0</v>
      </c>
      <c r="AE231" s="168">
        <f t="shared" si="14"/>
        <v>0</v>
      </c>
      <c r="AF231" s="169"/>
      <c r="AG231" s="195"/>
      <c r="AH231" s="195"/>
      <c r="AN231" s="203"/>
      <c r="AO231" s="203"/>
      <c r="AP231" s="203"/>
      <c r="AQ231" s="203"/>
      <c r="AR231" s="203"/>
      <c r="AS231" s="203"/>
      <c r="AT231" s="203"/>
      <c r="AU231" s="195"/>
      <c r="AV231" s="203"/>
      <c r="AW231" s="203"/>
      <c r="AX231" s="195"/>
      <c r="AY231" s="195"/>
      <c r="AZ231" s="203"/>
      <c r="BU231" s="204"/>
      <c r="BV231" s="204"/>
      <c r="BW231" s="204"/>
      <c r="BX231" s="204"/>
      <c r="BY231" s="204"/>
      <c r="BZ231" s="204"/>
      <c r="CA231" s="204"/>
      <c r="CB231" s="204"/>
      <c r="CC231" s="204"/>
      <c r="CD231" s="204"/>
      <c r="CE231" s="204"/>
      <c r="CF231" s="204"/>
      <c r="CG231" s="204"/>
      <c r="CH231" s="204"/>
      <c r="CI231" s="204"/>
      <c r="CJ231" s="204"/>
      <c r="CK231" s="204"/>
      <c r="CL231" s="204"/>
      <c r="CM231" s="204"/>
      <c r="CN231" s="204"/>
      <c r="CO231" s="204"/>
      <c r="CP231" s="204"/>
      <c r="CQ231" s="204"/>
      <c r="CR231" s="204"/>
      <c r="CS231" s="204"/>
      <c r="CT231" s="204"/>
      <c r="CU231" s="204"/>
      <c r="CV231" s="204"/>
      <c r="CW231" s="204"/>
      <c r="CX231" s="204"/>
      <c r="CY231" s="204"/>
      <c r="CZ231" s="204"/>
      <c r="DA231" s="204"/>
      <c r="DB231" s="204"/>
      <c r="DC231" s="204"/>
      <c r="DD231" s="204"/>
      <c r="DE231" s="204"/>
      <c r="DF231" s="204"/>
      <c r="DG231" s="204"/>
      <c r="DH231" s="204"/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EK231" s="204"/>
      <c r="EL231" s="204"/>
      <c r="EM231" s="204"/>
      <c r="EN231" s="204"/>
      <c r="EO231" s="204"/>
      <c r="EP231" s="204"/>
      <c r="EQ231" s="204"/>
      <c r="ER231" s="204"/>
      <c r="ES231" s="204"/>
      <c r="ET231" s="204"/>
      <c r="EU231" s="204"/>
      <c r="EV231" s="204"/>
      <c r="EW231" s="204"/>
      <c r="EX231" s="204"/>
      <c r="FC231" s="200" t="str">
        <f t="shared" si="12"/>
        <v>I</v>
      </c>
    </row>
    <row r="232" spans="1:159" s="202" customFormat="1" ht="29.1" hidden="1" customHeight="1" x14ac:dyDescent="0.2">
      <c r="A232" s="142"/>
      <c r="B232" s="146"/>
      <c r="C232" s="153"/>
      <c r="D232" s="51"/>
      <c r="E232" s="38"/>
      <c r="F232" s="220"/>
      <c r="G232" s="221"/>
      <c r="H232" s="226"/>
      <c r="I232" s="226"/>
      <c r="J232" s="226"/>
      <c r="K232" s="224"/>
      <c r="L232" s="220"/>
      <c r="M232" s="221"/>
      <c r="N232" s="226"/>
      <c r="O232" s="226"/>
      <c r="P232" s="226"/>
      <c r="Q232" s="224"/>
      <c r="R232" s="220"/>
      <c r="S232" s="221"/>
      <c r="T232" s="226"/>
      <c r="U232" s="226"/>
      <c r="V232" s="220"/>
      <c r="W232" s="221"/>
      <c r="X232" s="226"/>
      <c r="Y232" s="226"/>
      <c r="Z232" s="220"/>
      <c r="AA232" s="221"/>
      <c r="AB232" s="226"/>
      <c r="AC232" s="220"/>
      <c r="AD232" s="168">
        <f t="shared" si="13"/>
        <v>0</v>
      </c>
      <c r="AE232" s="168">
        <f t="shared" si="14"/>
        <v>0</v>
      </c>
      <c r="AF232" s="169"/>
      <c r="AG232" s="195"/>
      <c r="AH232" s="195"/>
      <c r="AN232" s="203"/>
      <c r="AO232" s="203"/>
      <c r="AP232" s="203"/>
      <c r="AQ232" s="203"/>
      <c r="AR232" s="203"/>
      <c r="AS232" s="203"/>
      <c r="AT232" s="203"/>
      <c r="AU232" s="195"/>
      <c r="AV232" s="203"/>
      <c r="AW232" s="203"/>
      <c r="AX232" s="195"/>
      <c r="AY232" s="195"/>
      <c r="AZ232" s="203"/>
      <c r="BU232" s="204"/>
      <c r="BV232" s="204"/>
      <c r="BW232" s="204"/>
      <c r="BX232" s="204"/>
      <c r="BY232" s="204"/>
      <c r="BZ232" s="204"/>
      <c r="CA232" s="204"/>
      <c r="CB232" s="204"/>
      <c r="CC232" s="204"/>
      <c r="CD232" s="204"/>
      <c r="CE232" s="204"/>
      <c r="CF232" s="204"/>
      <c r="CG232" s="204"/>
      <c r="CH232" s="204"/>
      <c r="CI232" s="204"/>
      <c r="CJ232" s="204"/>
      <c r="CK232" s="204"/>
      <c r="CL232" s="204"/>
      <c r="CM232" s="204"/>
      <c r="CN232" s="204"/>
      <c r="CO232" s="204"/>
      <c r="CP232" s="204"/>
      <c r="CQ232" s="204"/>
      <c r="CR232" s="204"/>
      <c r="CS232" s="204"/>
      <c r="CT232" s="204"/>
      <c r="CU232" s="204"/>
      <c r="CV232" s="204"/>
      <c r="CW232" s="204"/>
      <c r="CX232" s="204"/>
      <c r="CY232" s="204"/>
      <c r="CZ232" s="204"/>
      <c r="DA232" s="204"/>
      <c r="DB232" s="204"/>
      <c r="DC232" s="204"/>
      <c r="DD232" s="204"/>
      <c r="DE232" s="204"/>
      <c r="DF232" s="204"/>
      <c r="DG232" s="204"/>
      <c r="DH232" s="204"/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EK232" s="204"/>
      <c r="EL232" s="204"/>
      <c r="EM232" s="204"/>
      <c r="EN232" s="204"/>
      <c r="EO232" s="204"/>
      <c r="EP232" s="204"/>
      <c r="EQ232" s="204"/>
      <c r="ER232" s="204"/>
      <c r="ES232" s="204"/>
      <c r="ET232" s="204"/>
      <c r="EU232" s="204"/>
      <c r="EV232" s="204"/>
      <c r="EW232" s="204"/>
      <c r="EX232" s="204"/>
      <c r="FC232" s="200" t="str">
        <f t="shared" si="12"/>
        <v>I</v>
      </c>
    </row>
    <row r="233" spans="1:159" s="202" customFormat="1" ht="29.1" customHeight="1" x14ac:dyDescent="0.2">
      <c r="A233" s="143"/>
      <c r="B233" s="150"/>
      <c r="C233" s="154"/>
      <c r="D233" s="52"/>
      <c r="E233" s="62"/>
      <c r="F233" s="220"/>
      <c r="G233" s="221"/>
      <c r="H233" s="226"/>
      <c r="I233" s="226"/>
      <c r="J233" s="226"/>
      <c r="K233" s="224"/>
      <c r="L233" s="220"/>
      <c r="M233" s="221"/>
      <c r="N233" s="226"/>
      <c r="O233" s="226"/>
      <c r="P233" s="226"/>
      <c r="Q233" s="224"/>
      <c r="R233" s="220"/>
      <c r="S233" s="221"/>
      <c r="T233" s="226"/>
      <c r="U233" s="226"/>
      <c r="V233" s="220"/>
      <c r="W233" s="221"/>
      <c r="X233" s="226"/>
      <c r="Y233" s="226"/>
      <c r="Z233" s="220"/>
      <c r="AA233" s="221"/>
      <c r="AB233" s="226"/>
      <c r="AC233" s="220"/>
      <c r="AD233" s="168"/>
      <c r="AE233" s="168"/>
      <c r="AF233" s="169"/>
      <c r="AG233" s="203"/>
      <c r="AH233" s="203"/>
      <c r="AN233" s="203"/>
      <c r="AO233" s="203"/>
      <c r="AP233" s="203"/>
      <c r="AQ233" s="203"/>
      <c r="AR233" s="203"/>
      <c r="AS233" s="203"/>
      <c r="AT233" s="203"/>
      <c r="AU233" s="195"/>
      <c r="AV233" s="203"/>
      <c r="AW233" s="203"/>
      <c r="AX233" s="195"/>
      <c r="AY233" s="195"/>
      <c r="AZ233" s="203"/>
      <c r="BU233" s="204"/>
      <c r="BV233" s="204"/>
      <c r="BW233" s="204"/>
      <c r="BX233" s="204"/>
      <c r="BY233" s="204"/>
      <c r="BZ233" s="204"/>
      <c r="CA233" s="204"/>
      <c r="CB233" s="204"/>
      <c r="CC233" s="204"/>
      <c r="CD233" s="204"/>
      <c r="CE233" s="204"/>
      <c r="CF233" s="204"/>
      <c r="CG233" s="204"/>
      <c r="CH233" s="204"/>
      <c r="CI233" s="204"/>
      <c r="CJ233" s="204"/>
      <c r="CK233" s="204"/>
      <c r="CL233" s="204"/>
      <c r="CM233" s="204"/>
      <c r="CN233" s="204"/>
      <c r="CO233" s="204"/>
      <c r="CP233" s="204"/>
      <c r="CQ233" s="204"/>
      <c r="CR233" s="204"/>
      <c r="CS233" s="204"/>
      <c r="CT233" s="204"/>
      <c r="CU233" s="204"/>
      <c r="CV233" s="204"/>
      <c r="CW233" s="204"/>
      <c r="CX233" s="204"/>
      <c r="CY233" s="204"/>
      <c r="CZ233" s="204"/>
      <c r="DA233" s="204"/>
      <c r="DB233" s="204"/>
      <c r="DC233" s="204"/>
      <c r="DD233" s="204"/>
      <c r="DE233" s="204"/>
      <c r="DF233" s="204"/>
      <c r="DG233" s="204"/>
      <c r="DH233" s="204"/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EK233" s="204"/>
      <c r="EL233" s="204"/>
      <c r="EM233" s="204"/>
      <c r="EN233" s="204"/>
      <c r="EO233" s="204"/>
      <c r="EP233" s="204"/>
      <c r="EQ233" s="204"/>
      <c r="ER233" s="204"/>
      <c r="ES233" s="204"/>
      <c r="ET233" s="204"/>
      <c r="EU233" s="204"/>
      <c r="EV233" s="204"/>
      <c r="EW233" s="204"/>
      <c r="EX233" s="204"/>
      <c r="FC233" s="200" t="str">
        <f t="shared" si="12"/>
        <v>I</v>
      </c>
    </row>
    <row r="234" spans="1:159" s="13" customFormat="1" ht="24.95" customHeight="1" x14ac:dyDescent="0.2">
      <c r="A234" s="272" t="s">
        <v>31</v>
      </c>
      <c r="B234" s="273"/>
      <c r="C234" s="290"/>
      <c r="D234" s="139">
        <f>COUNTIF($E$3:$E$233,"N")+COUNTIF($E$3:$E$233,"E")+COUNTIF($E$3:$E$233,"D")</f>
        <v>0</v>
      </c>
      <c r="E234" s="96"/>
      <c r="F234" s="97">
        <v>0.5</v>
      </c>
      <c r="G234" s="86">
        <v>0.4</v>
      </c>
      <c r="H234" s="93"/>
      <c r="I234" s="93"/>
      <c r="J234" s="93"/>
      <c r="K234" s="94"/>
      <c r="L234" s="85">
        <v>0.7</v>
      </c>
      <c r="M234" s="86">
        <v>0.7</v>
      </c>
      <c r="N234" s="93"/>
      <c r="O234" s="93"/>
      <c r="P234" s="93"/>
      <c r="Q234" s="94"/>
      <c r="R234" s="87">
        <v>0.85</v>
      </c>
      <c r="S234" s="86">
        <v>0.85</v>
      </c>
      <c r="T234" s="93"/>
      <c r="U234" s="92"/>
      <c r="V234" s="87">
        <v>0.95</v>
      </c>
      <c r="W234" s="86">
        <v>0.95</v>
      </c>
      <c r="X234" s="92"/>
      <c r="Y234" s="92"/>
      <c r="Z234" s="87">
        <v>1</v>
      </c>
      <c r="AA234" s="92"/>
      <c r="AB234" s="92"/>
      <c r="AC234" s="88">
        <v>1</v>
      </c>
      <c r="AD234" s="83">
        <f>IFERROR(SUM(AD3:AD233)/$D$234,0)</f>
        <v>0</v>
      </c>
      <c r="AE234" s="83">
        <f>IFERROR(SUM(AE3:AE233)/$D$234,0)</f>
        <v>0</v>
      </c>
      <c r="AF234" s="84"/>
      <c r="AG234" s="11"/>
      <c r="AH234" s="11"/>
      <c r="AN234" s="11"/>
      <c r="AO234" s="11"/>
      <c r="AP234" s="11"/>
      <c r="AQ234" s="11"/>
      <c r="AR234" s="11"/>
      <c r="AS234" s="11"/>
      <c r="AT234" s="11"/>
      <c r="AU234" s="9"/>
      <c r="AV234" s="11"/>
      <c r="AW234" s="11"/>
      <c r="AX234" s="9"/>
      <c r="AY234" s="9"/>
      <c r="AZ234" s="11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12"/>
      <c r="EP234" s="12"/>
      <c r="EQ234" s="12"/>
      <c r="ER234" s="12"/>
      <c r="ES234" s="12"/>
      <c r="ET234" s="12"/>
      <c r="EU234" s="12"/>
      <c r="EV234" s="12"/>
      <c r="EW234" s="12"/>
      <c r="EX234" s="12"/>
    </row>
    <row r="235" spans="1:159" s="15" customFormat="1" ht="15.75" thickBot="1" x14ac:dyDescent="0.25">
      <c r="A235" s="274" t="s">
        <v>32</v>
      </c>
      <c r="B235" s="275"/>
      <c r="C235" s="275"/>
      <c r="D235" s="289"/>
      <c r="E235" s="138"/>
      <c r="F235" s="89">
        <f>COUNTA(F3:F233)</f>
        <v>0</v>
      </c>
      <c r="G235" s="90">
        <f t="shared" ref="G235:Q235" si="15">COUNTA(G3:G233)</f>
        <v>0</v>
      </c>
      <c r="H235" s="90">
        <f t="shared" si="15"/>
        <v>0</v>
      </c>
      <c r="I235" s="90">
        <f t="shared" si="15"/>
        <v>0</v>
      </c>
      <c r="J235" s="90">
        <f t="shared" si="15"/>
        <v>0</v>
      </c>
      <c r="K235" s="91">
        <f t="shared" si="15"/>
        <v>0</v>
      </c>
      <c r="L235" s="89">
        <f t="shared" si="15"/>
        <v>0</v>
      </c>
      <c r="M235" s="90">
        <f t="shared" si="15"/>
        <v>0</v>
      </c>
      <c r="N235" s="90">
        <f t="shared" si="15"/>
        <v>0</v>
      </c>
      <c r="O235" s="90">
        <f t="shared" si="15"/>
        <v>0</v>
      </c>
      <c r="P235" s="90">
        <f t="shared" si="15"/>
        <v>0</v>
      </c>
      <c r="Q235" s="91">
        <f t="shared" si="15"/>
        <v>0</v>
      </c>
      <c r="R235" s="89">
        <f>COUNT(R3:R233)</f>
        <v>0</v>
      </c>
      <c r="S235" s="90">
        <f>COUNT(S3:S233)</f>
        <v>0</v>
      </c>
      <c r="T235" s="90">
        <f>COUNTA(T3:T233)</f>
        <v>0</v>
      </c>
      <c r="U235" s="91">
        <f>COUNTA(U3:U233)</f>
        <v>0</v>
      </c>
      <c r="V235" s="89">
        <f>COUNT(V3:V233)</f>
        <v>0</v>
      </c>
      <c r="W235" s="90">
        <f>COUNT(W3:W233)</f>
        <v>0</v>
      </c>
      <c r="X235" s="90">
        <f>COUNTA(X3:X233)</f>
        <v>0</v>
      </c>
      <c r="Y235" s="91">
        <f>COUNTA(Y3:Y233)</f>
        <v>0</v>
      </c>
      <c r="Z235" s="89">
        <f>COUNT(Z3:Z233)</f>
        <v>0</v>
      </c>
      <c r="AA235" s="90">
        <f>COUNT(AA3:AA233)</f>
        <v>0</v>
      </c>
      <c r="AB235" s="90">
        <f>COUNTA(AB3:AB233)</f>
        <v>0</v>
      </c>
      <c r="AC235" s="91">
        <f>COUNT(AC3:AC233)</f>
        <v>0</v>
      </c>
      <c r="AD235" s="291"/>
      <c r="AE235" s="292"/>
      <c r="AF235" s="293"/>
      <c r="AG235" s="14"/>
      <c r="AH235" s="14"/>
      <c r="AI235" s="14"/>
      <c r="AJ235" s="14"/>
      <c r="AK235" s="14"/>
      <c r="AL235" s="14"/>
      <c r="AN235" s="14"/>
      <c r="AO235" s="14"/>
      <c r="AP235" s="14"/>
      <c r="AQ235" s="14"/>
      <c r="AR235" s="14"/>
      <c r="AS235" s="14"/>
      <c r="AT235" s="14"/>
      <c r="AU235" s="9"/>
      <c r="AV235" s="14"/>
      <c r="AW235" s="118"/>
      <c r="AX235" s="9"/>
      <c r="AY235" s="9"/>
      <c r="AZ235" s="14"/>
    </row>
    <row r="236" spans="1:159" s="15" customFormat="1" ht="14.25" x14ac:dyDescent="0.2">
      <c r="B236" s="27"/>
      <c r="C236" s="27"/>
      <c r="D236" s="27"/>
      <c r="E236" s="27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9"/>
      <c r="AE236" s="29"/>
      <c r="AF236" s="29"/>
      <c r="AG236" s="14"/>
      <c r="AH236" s="14"/>
      <c r="AI236" s="14"/>
      <c r="AJ236" s="14"/>
      <c r="AK236" s="14"/>
      <c r="AL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18"/>
      <c r="AX236" s="118"/>
      <c r="AY236" s="118"/>
      <c r="AZ236" s="14"/>
      <c r="BA236" s="14"/>
      <c r="BB236" s="14"/>
      <c r="BC236" s="14"/>
      <c r="BD236" s="14"/>
      <c r="BE236" s="14"/>
      <c r="BF236" s="14"/>
      <c r="BG236" s="14"/>
    </row>
    <row r="237" spans="1:159" s="15" customFormat="1" ht="14.25" x14ac:dyDescent="0.2">
      <c r="B237" s="27"/>
      <c r="C237" s="27"/>
      <c r="D237" s="27"/>
      <c r="E237" s="27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9"/>
      <c r="AE237" s="29"/>
      <c r="AF237" s="29"/>
      <c r="AG237" s="14"/>
      <c r="AH237" s="14"/>
      <c r="AI237" s="14"/>
      <c r="AJ237" s="14"/>
      <c r="AK237" s="14"/>
      <c r="AL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18"/>
      <c r="AX237" s="118"/>
      <c r="AY237" s="118"/>
      <c r="AZ237" s="14"/>
      <c r="BA237" s="14"/>
      <c r="BB237" s="14"/>
      <c r="BC237" s="14"/>
      <c r="BD237" s="14"/>
      <c r="BE237" s="14"/>
      <c r="BF237" s="14"/>
      <c r="BG237" s="14"/>
    </row>
    <row r="238" spans="1:159" s="15" customFormat="1" ht="14.25" x14ac:dyDescent="0.2">
      <c r="B238" s="27"/>
      <c r="C238" s="27"/>
      <c r="D238" s="27"/>
      <c r="E238" s="27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9"/>
      <c r="AE238" s="29"/>
      <c r="AF238" s="29"/>
      <c r="AG238" s="14"/>
      <c r="AH238" s="14"/>
      <c r="AI238" s="14"/>
      <c r="AJ238" s="14"/>
      <c r="AK238" s="14"/>
      <c r="AL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18"/>
      <c r="AX238" s="118"/>
      <c r="AY238" s="118"/>
      <c r="AZ238" s="14"/>
      <c r="BA238" s="14"/>
      <c r="BB238" s="14"/>
      <c r="BC238" s="14"/>
      <c r="BD238" s="14"/>
      <c r="BE238" s="14"/>
      <c r="BF238" s="14"/>
      <c r="BG238" s="14"/>
    </row>
    <row r="239" spans="1:159" s="15" customFormat="1" ht="14.25" x14ac:dyDescent="0.2">
      <c r="B239" s="27"/>
      <c r="C239" s="27"/>
      <c r="D239" s="27"/>
      <c r="E239" s="27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9"/>
      <c r="AE239" s="29"/>
      <c r="AF239" s="29"/>
      <c r="AG239" s="14"/>
      <c r="AH239" s="14"/>
      <c r="AI239" s="14"/>
      <c r="AJ239" s="14"/>
      <c r="AK239" s="14"/>
      <c r="AL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18"/>
      <c r="AX239" s="118"/>
      <c r="AY239" s="118"/>
      <c r="AZ239" s="14"/>
      <c r="BA239" s="14"/>
      <c r="BB239" s="14"/>
      <c r="BC239" s="14"/>
      <c r="BD239" s="14"/>
      <c r="BE239" s="14"/>
      <c r="BF239" s="14"/>
      <c r="BG239" s="14"/>
    </row>
    <row r="240" spans="1:159" s="15" customFormat="1" ht="14.25" x14ac:dyDescent="0.2">
      <c r="B240" s="27"/>
      <c r="C240" s="27"/>
      <c r="D240" s="27"/>
      <c r="E240" s="27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9"/>
      <c r="AE240" s="29"/>
      <c r="AF240" s="29"/>
      <c r="AG240" s="14"/>
      <c r="AH240" s="14"/>
      <c r="AI240" s="14"/>
      <c r="AJ240" s="14"/>
      <c r="AK240" s="14"/>
      <c r="AL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18"/>
      <c r="AX240" s="118"/>
      <c r="AY240" s="118"/>
      <c r="AZ240" s="14"/>
      <c r="BA240" s="14"/>
      <c r="BB240" s="14"/>
      <c r="BC240" s="14"/>
      <c r="BD240" s="14"/>
      <c r="BE240" s="14"/>
      <c r="BF240" s="14"/>
      <c r="BG240" s="14"/>
    </row>
    <row r="241" spans="2:59" s="15" customFormat="1" ht="14.25" x14ac:dyDescent="0.2">
      <c r="B241" s="27"/>
      <c r="C241" s="27"/>
      <c r="D241" s="27"/>
      <c r="E241" s="27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9"/>
      <c r="AE241" s="29"/>
      <c r="AF241" s="29"/>
      <c r="AG241" s="14"/>
      <c r="AH241" s="14"/>
      <c r="AI241" s="14"/>
      <c r="AJ241" s="14"/>
      <c r="AK241" s="14"/>
      <c r="AL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18"/>
      <c r="AX241" s="118"/>
      <c r="AY241" s="118"/>
      <c r="AZ241" s="14"/>
      <c r="BA241" s="14"/>
      <c r="BB241" s="14"/>
      <c r="BC241" s="14"/>
      <c r="BD241" s="14"/>
      <c r="BE241" s="14"/>
      <c r="BF241" s="14"/>
      <c r="BG241" s="14"/>
    </row>
    <row r="242" spans="2:59" s="15" customFormat="1" ht="14.25" x14ac:dyDescent="0.2">
      <c r="B242" s="27"/>
      <c r="C242" s="27"/>
      <c r="D242" s="27"/>
      <c r="E242" s="27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9"/>
      <c r="AE242" s="29"/>
      <c r="AF242" s="29"/>
      <c r="AG242" s="14"/>
      <c r="AH242" s="14"/>
      <c r="AI242" s="14"/>
      <c r="AJ242" s="14"/>
      <c r="AK242" s="14"/>
      <c r="AL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18"/>
      <c r="AX242" s="118"/>
      <c r="AY242" s="118"/>
      <c r="AZ242" s="14"/>
      <c r="BA242" s="14"/>
      <c r="BB242" s="14"/>
      <c r="BC242" s="14"/>
      <c r="BD242" s="14"/>
      <c r="BE242" s="14"/>
      <c r="BF242" s="14"/>
      <c r="BG242" s="14"/>
    </row>
    <row r="243" spans="2:59" s="15" customFormat="1" ht="14.25" x14ac:dyDescent="0.2">
      <c r="B243" s="27"/>
      <c r="C243" s="27"/>
      <c r="D243" s="27"/>
      <c r="E243" s="27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9"/>
      <c r="AE243" s="29"/>
      <c r="AF243" s="29"/>
      <c r="AG243" s="14"/>
      <c r="AH243" s="14"/>
      <c r="AI243" s="14"/>
      <c r="AJ243" s="14"/>
      <c r="AK243" s="14"/>
      <c r="AL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18"/>
      <c r="AX243" s="118"/>
      <c r="AY243" s="118"/>
      <c r="AZ243" s="14"/>
      <c r="BA243" s="14"/>
      <c r="BB243" s="14"/>
      <c r="BC243" s="14"/>
      <c r="BD243" s="14"/>
      <c r="BE243" s="14"/>
      <c r="BF243" s="14"/>
      <c r="BG243" s="14"/>
    </row>
    <row r="244" spans="2:59" s="15" customFormat="1" ht="14.25" x14ac:dyDescent="0.2">
      <c r="B244" s="27"/>
      <c r="C244" s="27"/>
      <c r="D244" s="27"/>
      <c r="E244" s="27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9"/>
      <c r="AE244" s="29"/>
      <c r="AF244" s="29"/>
      <c r="AG244" s="14"/>
      <c r="AH244" s="14"/>
      <c r="AI244" s="14"/>
      <c r="AJ244" s="14"/>
      <c r="AK244" s="14"/>
      <c r="AL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18"/>
      <c r="AX244" s="118"/>
      <c r="AY244" s="118"/>
      <c r="AZ244" s="14"/>
      <c r="BA244" s="14"/>
      <c r="BB244" s="14"/>
      <c r="BC244" s="14"/>
      <c r="BD244" s="14"/>
      <c r="BE244" s="14"/>
      <c r="BF244" s="14"/>
      <c r="BG244" s="14"/>
    </row>
    <row r="245" spans="2:59" s="15" customFormat="1" ht="14.25" x14ac:dyDescent="0.2">
      <c r="B245" s="27"/>
      <c r="C245" s="27"/>
      <c r="D245" s="27"/>
      <c r="E245" s="27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9"/>
      <c r="AE245" s="29"/>
      <c r="AF245" s="29"/>
      <c r="AG245" s="14"/>
      <c r="AH245" s="14"/>
      <c r="AI245" s="14"/>
      <c r="AJ245" s="14"/>
      <c r="AK245" s="14"/>
      <c r="AL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18"/>
      <c r="AX245" s="118"/>
      <c r="AY245" s="118"/>
      <c r="AZ245" s="14"/>
      <c r="BA245" s="14"/>
      <c r="BB245" s="14"/>
      <c r="BC245" s="14"/>
      <c r="BD245" s="14"/>
      <c r="BE245" s="14"/>
      <c r="BF245" s="14"/>
      <c r="BG245" s="14"/>
    </row>
    <row r="246" spans="2:59" s="15" customFormat="1" ht="14.25" x14ac:dyDescent="0.2">
      <c r="B246" s="27"/>
      <c r="C246" s="27"/>
      <c r="D246" s="27"/>
      <c r="E246" s="27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9"/>
      <c r="AE246" s="29"/>
      <c r="AF246" s="29"/>
      <c r="AG246" s="14"/>
      <c r="AH246" s="14"/>
      <c r="AI246" s="14"/>
      <c r="AJ246" s="14"/>
      <c r="AK246" s="14"/>
      <c r="AL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18"/>
      <c r="AX246" s="118"/>
      <c r="AY246" s="118"/>
      <c r="AZ246" s="14"/>
      <c r="BA246" s="14"/>
      <c r="BB246" s="14"/>
      <c r="BC246" s="14"/>
      <c r="BD246" s="14"/>
      <c r="BE246" s="14"/>
      <c r="BF246" s="14"/>
      <c r="BG246" s="14"/>
    </row>
    <row r="247" spans="2:59" s="15" customFormat="1" ht="14.25" x14ac:dyDescent="0.2">
      <c r="B247" s="27"/>
      <c r="C247" s="27"/>
      <c r="D247" s="27"/>
      <c r="E247" s="27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9"/>
      <c r="AE247" s="29"/>
      <c r="AF247" s="29"/>
      <c r="AG247" s="14"/>
      <c r="AH247" s="14"/>
      <c r="AI247" s="14"/>
      <c r="AJ247" s="14"/>
      <c r="AK247" s="14"/>
      <c r="AL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18"/>
      <c r="AX247" s="118"/>
      <c r="AY247" s="118"/>
      <c r="AZ247" s="14"/>
      <c r="BA247" s="14"/>
      <c r="BB247" s="14"/>
      <c r="BC247" s="14"/>
      <c r="BD247" s="14"/>
      <c r="BE247" s="14"/>
      <c r="BF247" s="14"/>
      <c r="BG247" s="14"/>
    </row>
    <row r="248" spans="2:59" s="15" customFormat="1" ht="14.25" x14ac:dyDescent="0.2">
      <c r="B248" s="27"/>
      <c r="C248" s="27"/>
      <c r="D248" s="27"/>
      <c r="E248" s="27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9"/>
      <c r="AE248" s="29"/>
      <c r="AF248" s="29"/>
      <c r="AG248" s="14"/>
      <c r="AH248" s="14"/>
      <c r="AI248" s="14"/>
      <c r="AJ248" s="14"/>
      <c r="AK248" s="14"/>
      <c r="AL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18"/>
      <c r="AX248" s="118"/>
      <c r="AY248" s="118"/>
      <c r="AZ248" s="14"/>
      <c r="BA248" s="14"/>
      <c r="BB248" s="14"/>
      <c r="BC248" s="14"/>
      <c r="BD248" s="14"/>
      <c r="BE248" s="14"/>
      <c r="BF248" s="14"/>
      <c r="BG248" s="14"/>
    </row>
    <row r="249" spans="2:59" s="15" customFormat="1" ht="14.25" x14ac:dyDescent="0.2">
      <c r="B249" s="27"/>
      <c r="C249" s="27"/>
      <c r="D249" s="27"/>
      <c r="E249" s="27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9"/>
      <c r="AE249" s="29"/>
      <c r="AF249" s="29"/>
      <c r="AG249" s="14"/>
      <c r="AH249" s="14"/>
      <c r="AI249" s="14"/>
      <c r="AJ249" s="14"/>
      <c r="AK249" s="14"/>
      <c r="AL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18"/>
      <c r="AX249" s="118"/>
      <c r="AY249" s="118"/>
      <c r="AZ249" s="14"/>
      <c r="BA249" s="14"/>
      <c r="BB249" s="14"/>
      <c r="BC249" s="14"/>
      <c r="BD249" s="14"/>
      <c r="BE249" s="14"/>
      <c r="BF249" s="14"/>
      <c r="BG249" s="14"/>
    </row>
    <row r="250" spans="2:59" s="15" customFormat="1" ht="14.25" x14ac:dyDescent="0.2">
      <c r="B250" s="27"/>
      <c r="C250" s="27"/>
      <c r="D250" s="27"/>
      <c r="E250" s="27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9"/>
      <c r="AE250" s="29"/>
      <c r="AF250" s="29"/>
      <c r="AG250" s="14"/>
      <c r="AH250" s="14"/>
      <c r="AI250" s="14"/>
      <c r="AJ250" s="14"/>
      <c r="AK250" s="14"/>
      <c r="AL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18"/>
      <c r="AX250" s="118"/>
      <c r="AY250" s="118"/>
      <c r="AZ250" s="14"/>
      <c r="BA250" s="14"/>
      <c r="BB250" s="14"/>
      <c r="BC250" s="14"/>
      <c r="BD250" s="14"/>
      <c r="BE250" s="14"/>
      <c r="BF250" s="14"/>
      <c r="BG250" s="14"/>
    </row>
    <row r="251" spans="2:59" s="15" customFormat="1" ht="14.25" x14ac:dyDescent="0.2">
      <c r="B251" s="27"/>
      <c r="C251" s="27"/>
      <c r="D251" s="27"/>
      <c r="E251" s="27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9"/>
      <c r="AE251" s="29"/>
      <c r="AF251" s="29"/>
      <c r="AG251" s="14"/>
      <c r="AH251" s="14"/>
      <c r="AI251" s="14"/>
      <c r="AJ251" s="14"/>
      <c r="AK251" s="14"/>
      <c r="AL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18"/>
      <c r="AX251" s="118"/>
      <c r="AY251" s="118"/>
      <c r="AZ251" s="14"/>
      <c r="BA251" s="14"/>
      <c r="BB251" s="14"/>
      <c r="BC251" s="14"/>
      <c r="BD251" s="14"/>
      <c r="BE251" s="14"/>
      <c r="BF251" s="14"/>
      <c r="BG251" s="14"/>
    </row>
    <row r="252" spans="2:59" s="15" customFormat="1" ht="14.25" x14ac:dyDescent="0.2">
      <c r="B252" s="27"/>
      <c r="C252" s="27"/>
      <c r="D252" s="27"/>
      <c r="E252" s="27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9"/>
      <c r="AE252" s="29"/>
      <c r="AF252" s="29"/>
      <c r="AG252" s="14"/>
      <c r="AH252" s="14"/>
      <c r="AI252" s="14"/>
      <c r="AJ252" s="14"/>
      <c r="AK252" s="14"/>
      <c r="AL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18"/>
      <c r="AX252" s="118"/>
      <c r="AY252" s="118"/>
      <c r="AZ252" s="14"/>
      <c r="BA252" s="14"/>
      <c r="BB252" s="14"/>
      <c r="BC252" s="14"/>
      <c r="BD252" s="14"/>
      <c r="BE252" s="14"/>
      <c r="BF252" s="14"/>
      <c r="BG252" s="14"/>
    </row>
    <row r="253" spans="2:59" s="15" customFormat="1" ht="14.25" x14ac:dyDescent="0.2">
      <c r="B253" s="27"/>
      <c r="C253" s="27"/>
      <c r="D253" s="27"/>
      <c r="E253" s="27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9"/>
      <c r="AE253" s="29"/>
      <c r="AF253" s="29"/>
      <c r="AG253" s="14"/>
      <c r="AH253" s="14"/>
      <c r="AI253" s="14"/>
      <c r="AJ253" s="14"/>
      <c r="AK253" s="14"/>
      <c r="AL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18"/>
      <c r="AX253" s="118"/>
      <c r="AY253" s="118"/>
      <c r="AZ253" s="14"/>
      <c r="BA253" s="14"/>
      <c r="BB253" s="14"/>
      <c r="BC253" s="14"/>
      <c r="BD253" s="14"/>
      <c r="BE253" s="14"/>
      <c r="BF253" s="14"/>
      <c r="BG253" s="14"/>
    </row>
    <row r="254" spans="2:59" s="15" customFormat="1" ht="14.25" x14ac:dyDescent="0.2">
      <c r="B254" s="27"/>
      <c r="C254" s="27"/>
      <c r="D254" s="27"/>
      <c r="E254" s="27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9"/>
      <c r="AE254" s="29"/>
      <c r="AF254" s="29"/>
      <c r="AG254" s="14"/>
      <c r="AH254" s="14"/>
      <c r="AI254" s="14"/>
      <c r="AJ254" s="14"/>
      <c r="AK254" s="14"/>
      <c r="AL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18"/>
      <c r="AX254" s="118"/>
      <c r="AY254" s="118"/>
      <c r="AZ254" s="14"/>
      <c r="BA254" s="14"/>
      <c r="BB254" s="14"/>
      <c r="BC254" s="14"/>
      <c r="BD254" s="14"/>
      <c r="BE254" s="14"/>
      <c r="BF254" s="14"/>
      <c r="BG254" s="14"/>
    </row>
    <row r="255" spans="2:59" s="15" customFormat="1" ht="14.25" x14ac:dyDescent="0.2">
      <c r="B255" s="27"/>
      <c r="C255" s="27"/>
      <c r="D255" s="27"/>
      <c r="E255" s="27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9"/>
      <c r="AE255" s="29"/>
      <c r="AF255" s="29"/>
      <c r="AG255" s="14"/>
      <c r="AH255" s="14"/>
      <c r="AI255" s="14"/>
      <c r="AJ255" s="14"/>
      <c r="AK255" s="14"/>
      <c r="AL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18"/>
      <c r="AX255" s="118"/>
      <c r="AY255" s="118"/>
      <c r="AZ255" s="14"/>
      <c r="BA255" s="14"/>
      <c r="BB255" s="14"/>
      <c r="BC255" s="14"/>
      <c r="BD255" s="14"/>
      <c r="BE255" s="14"/>
      <c r="BF255" s="14"/>
      <c r="BG255" s="14"/>
    </row>
    <row r="256" spans="2:59" s="15" customFormat="1" ht="14.25" x14ac:dyDescent="0.2">
      <c r="B256" s="27"/>
      <c r="C256" s="27"/>
      <c r="D256" s="27"/>
      <c r="E256" s="27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9"/>
      <c r="AE256" s="29"/>
      <c r="AF256" s="29"/>
      <c r="AG256" s="14"/>
      <c r="AH256" s="14"/>
      <c r="AI256" s="14"/>
      <c r="AJ256" s="14"/>
      <c r="AK256" s="14"/>
      <c r="AL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18"/>
      <c r="AX256" s="118"/>
      <c r="AY256" s="118"/>
      <c r="AZ256" s="14"/>
      <c r="BA256" s="14"/>
      <c r="BB256" s="14"/>
      <c r="BC256" s="14"/>
      <c r="BD256" s="14"/>
      <c r="BE256" s="14"/>
      <c r="BF256" s="14"/>
      <c r="BG256" s="14"/>
    </row>
    <row r="257" spans="2:59" s="15" customFormat="1" ht="14.25" x14ac:dyDescent="0.2">
      <c r="B257" s="27"/>
      <c r="C257" s="27"/>
      <c r="D257" s="27"/>
      <c r="E257" s="27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9"/>
      <c r="AE257" s="29"/>
      <c r="AF257" s="29"/>
      <c r="AG257" s="14"/>
      <c r="AH257" s="14"/>
      <c r="AI257" s="14"/>
      <c r="AJ257" s="14"/>
      <c r="AK257" s="14"/>
      <c r="AL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18"/>
      <c r="AX257" s="118"/>
      <c r="AY257" s="118"/>
      <c r="AZ257" s="14"/>
      <c r="BA257" s="14"/>
      <c r="BB257" s="14"/>
      <c r="BC257" s="14"/>
      <c r="BD257" s="14"/>
      <c r="BE257" s="14"/>
      <c r="BF257" s="14"/>
      <c r="BG257" s="14"/>
    </row>
    <row r="258" spans="2:59" s="15" customFormat="1" ht="14.25" x14ac:dyDescent="0.2">
      <c r="B258" s="27"/>
      <c r="C258" s="27"/>
      <c r="D258" s="27"/>
      <c r="E258" s="27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9"/>
      <c r="AE258" s="29"/>
      <c r="AF258" s="29"/>
      <c r="AG258" s="14"/>
      <c r="AH258" s="14"/>
      <c r="AI258" s="14"/>
      <c r="AJ258" s="14"/>
      <c r="AK258" s="14"/>
      <c r="AL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18"/>
      <c r="AX258" s="118"/>
      <c r="AY258" s="118"/>
      <c r="AZ258" s="14"/>
      <c r="BA258" s="14"/>
      <c r="BB258" s="14"/>
      <c r="BC258" s="14"/>
      <c r="BD258" s="14"/>
      <c r="BE258" s="14"/>
      <c r="BF258" s="14"/>
      <c r="BG258" s="14"/>
    </row>
    <row r="259" spans="2:59" s="15" customFormat="1" ht="14.25" x14ac:dyDescent="0.2">
      <c r="B259" s="27"/>
      <c r="C259" s="27"/>
      <c r="D259" s="27"/>
      <c r="E259" s="27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9"/>
      <c r="AE259" s="29"/>
      <c r="AF259" s="29"/>
      <c r="AG259" s="14"/>
      <c r="AH259" s="14"/>
      <c r="AI259" s="14"/>
      <c r="AJ259" s="14"/>
      <c r="AK259" s="14"/>
      <c r="AL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18"/>
      <c r="AX259" s="118"/>
      <c r="AY259" s="118"/>
      <c r="AZ259" s="14"/>
      <c r="BA259" s="14"/>
      <c r="BB259" s="14"/>
      <c r="BC259" s="14"/>
      <c r="BD259" s="14"/>
      <c r="BE259" s="14"/>
      <c r="BF259" s="14"/>
      <c r="BG259" s="14"/>
    </row>
    <row r="260" spans="2:59" s="15" customFormat="1" ht="14.25" x14ac:dyDescent="0.2">
      <c r="B260" s="27"/>
      <c r="C260" s="27"/>
      <c r="D260" s="27"/>
      <c r="E260" s="27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9"/>
      <c r="AE260" s="29"/>
      <c r="AF260" s="29"/>
      <c r="AG260" s="14"/>
      <c r="AH260" s="14"/>
      <c r="AI260" s="14"/>
      <c r="AJ260" s="14"/>
      <c r="AK260" s="14"/>
      <c r="AL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18"/>
      <c r="AX260" s="118"/>
      <c r="AY260" s="118"/>
      <c r="AZ260" s="14"/>
      <c r="BA260" s="14"/>
      <c r="BB260" s="14"/>
      <c r="BC260" s="14"/>
      <c r="BD260" s="14"/>
      <c r="BE260" s="14"/>
      <c r="BF260" s="14"/>
      <c r="BG260" s="14"/>
    </row>
    <row r="261" spans="2:59" s="15" customFormat="1" ht="14.25" x14ac:dyDescent="0.2">
      <c r="B261" s="27"/>
      <c r="C261" s="27"/>
      <c r="D261" s="27"/>
      <c r="E261" s="27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9"/>
      <c r="AE261" s="29"/>
      <c r="AF261" s="29"/>
      <c r="AG261" s="14"/>
      <c r="AH261" s="14"/>
      <c r="AI261" s="14"/>
      <c r="AJ261" s="14"/>
      <c r="AK261" s="14"/>
      <c r="AL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18"/>
      <c r="AX261" s="118"/>
      <c r="AY261" s="118"/>
      <c r="AZ261" s="14"/>
      <c r="BA261" s="14"/>
      <c r="BB261" s="14"/>
      <c r="BC261" s="14"/>
      <c r="BD261" s="14"/>
      <c r="BE261" s="14"/>
      <c r="BF261" s="14"/>
      <c r="BG261" s="14"/>
    </row>
    <row r="262" spans="2:59" s="15" customFormat="1" ht="14.25" x14ac:dyDescent="0.2">
      <c r="B262" s="27"/>
      <c r="C262" s="27"/>
      <c r="D262" s="27"/>
      <c r="E262" s="27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9"/>
      <c r="AE262" s="29"/>
      <c r="AF262" s="29"/>
      <c r="AG262" s="14"/>
      <c r="AH262" s="14"/>
      <c r="AI262" s="14"/>
      <c r="AJ262" s="14"/>
      <c r="AK262" s="14"/>
      <c r="AL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18"/>
      <c r="AX262" s="118"/>
      <c r="AY262" s="118"/>
      <c r="AZ262" s="14"/>
      <c r="BA262" s="14"/>
      <c r="BB262" s="14"/>
      <c r="BC262" s="14"/>
      <c r="BD262" s="14"/>
      <c r="BE262" s="14"/>
      <c r="BF262" s="14"/>
      <c r="BG262" s="14"/>
    </row>
    <row r="263" spans="2:59" s="15" customFormat="1" ht="14.25" x14ac:dyDescent="0.2">
      <c r="B263" s="27"/>
      <c r="C263" s="27"/>
      <c r="D263" s="27"/>
      <c r="E263" s="27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9"/>
      <c r="AE263" s="29"/>
      <c r="AF263" s="29"/>
      <c r="AG263" s="14"/>
      <c r="AH263" s="14"/>
      <c r="AI263" s="14"/>
      <c r="AJ263" s="14"/>
      <c r="AK263" s="14"/>
      <c r="AL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18"/>
      <c r="AX263" s="118"/>
      <c r="AY263" s="118"/>
      <c r="AZ263" s="14"/>
      <c r="BA263" s="14"/>
      <c r="BB263" s="14"/>
      <c r="BC263" s="14"/>
      <c r="BD263" s="14"/>
      <c r="BE263" s="14"/>
      <c r="BF263" s="14"/>
      <c r="BG263" s="14"/>
    </row>
    <row r="264" spans="2:59" s="15" customFormat="1" ht="14.25" x14ac:dyDescent="0.2">
      <c r="B264" s="27"/>
      <c r="C264" s="27"/>
      <c r="D264" s="27"/>
      <c r="E264" s="27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9"/>
      <c r="AE264" s="29"/>
      <c r="AF264" s="29"/>
      <c r="AG264" s="14"/>
      <c r="AH264" s="14"/>
      <c r="AI264" s="14"/>
      <c r="AJ264" s="14"/>
      <c r="AK264" s="14"/>
      <c r="AL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18"/>
      <c r="AX264" s="118"/>
      <c r="AY264" s="118"/>
      <c r="AZ264" s="14"/>
      <c r="BA264" s="14"/>
      <c r="BB264" s="14"/>
      <c r="BC264" s="14"/>
      <c r="BD264" s="14"/>
      <c r="BE264" s="14"/>
      <c r="BF264" s="14"/>
      <c r="BG264" s="14"/>
    </row>
    <row r="265" spans="2:59" s="15" customFormat="1" ht="14.25" x14ac:dyDescent="0.2">
      <c r="B265" s="27"/>
      <c r="C265" s="27"/>
      <c r="D265" s="27"/>
      <c r="E265" s="27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9"/>
      <c r="AE265" s="29"/>
      <c r="AF265" s="29"/>
      <c r="AG265" s="14"/>
      <c r="AH265" s="14"/>
      <c r="AI265" s="14"/>
      <c r="AJ265" s="14"/>
      <c r="AK265" s="14"/>
      <c r="AL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18"/>
      <c r="AX265" s="118"/>
      <c r="AY265" s="118"/>
      <c r="AZ265" s="14"/>
      <c r="BA265" s="14"/>
      <c r="BB265" s="14"/>
      <c r="BC265" s="14"/>
      <c r="BD265" s="14"/>
      <c r="BE265" s="14"/>
      <c r="BF265" s="14"/>
      <c r="BG265" s="14"/>
    </row>
    <row r="266" spans="2:59" s="15" customFormat="1" ht="14.25" x14ac:dyDescent="0.2">
      <c r="B266" s="27"/>
      <c r="C266" s="27"/>
      <c r="D266" s="27"/>
      <c r="E266" s="27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9"/>
      <c r="AE266" s="29"/>
      <c r="AF266" s="29"/>
      <c r="AG266" s="14"/>
      <c r="AH266" s="14"/>
      <c r="AI266" s="14"/>
      <c r="AJ266" s="14"/>
      <c r="AK266" s="14"/>
      <c r="AL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18"/>
      <c r="AX266" s="118"/>
      <c r="AY266" s="118"/>
      <c r="AZ266" s="14"/>
      <c r="BA266" s="14"/>
      <c r="BB266" s="14"/>
      <c r="BC266" s="14"/>
      <c r="BD266" s="14"/>
      <c r="BE266" s="14"/>
      <c r="BF266" s="14"/>
      <c r="BG266" s="14"/>
    </row>
    <row r="267" spans="2:59" s="15" customFormat="1" ht="14.25" x14ac:dyDescent="0.2">
      <c r="B267" s="27"/>
      <c r="C267" s="27"/>
      <c r="D267" s="27"/>
      <c r="E267" s="27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9"/>
      <c r="AE267" s="29"/>
      <c r="AF267" s="29"/>
      <c r="AG267" s="14"/>
      <c r="AH267" s="14"/>
      <c r="AI267" s="14"/>
      <c r="AJ267" s="14"/>
      <c r="AK267" s="14"/>
      <c r="AL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18"/>
      <c r="AX267" s="118"/>
      <c r="AY267" s="118"/>
      <c r="AZ267" s="14"/>
      <c r="BA267" s="14"/>
      <c r="BB267" s="14"/>
      <c r="BC267" s="14"/>
      <c r="BD267" s="14"/>
      <c r="BE267" s="14"/>
      <c r="BF267" s="14"/>
      <c r="BG267" s="14"/>
    </row>
    <row r="268" spans="2:59" s="15" customFormat="1" ht="14.25" x14ac:dyDescent="0.2">
      <c r="B268" s="27"/>
      <c r="C268" s="27"/>
      <c r="D268" s="27"/>
      <c r="E268" s="27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9"/>
      <c r="AE268" s="29"/>
      <c r="AF268" s="29"/>
      <c r="AG268" s="14"/>
      <c r="AH268" s="14"/>
      <c r="AI268" s="14"/>
      <c r="AJ268" s="14"/>
      <c r="AK268" s="14"/>
      <c r="AL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18"/>
      <c r="AX268" s="118"/>
      <c r="AY268" s="118"/>
      <c r="AZ268" s="14"/>
      <c r="BA268" s="14"/>
      <c r="BB268" s="14"/>
      <c r="BC268" s="14"/>
      <c r="BD268" s="14"/>
      <c r="BE268" s="14"/>
      <c r="BF268" s="14"/>
      <c r="BG268" s="14"/>
    </row>
    <row r="269" spans="2:59" s="15" customFormat="1" ht="14.25" x14ac:dyDescent="0.2">
      <c r="B269" s="27"/>
      <c r="C269" s="27"/>
      <c r="D269" s="27"/>
      <c r="E269" s="27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9"/>
      <c r="AE269" s="29"/>
      <c r="AF269" s="29"/>
      <c r="AG269" s="14"/>
      <c r="AH269" s="14"/>
      <c r="AI269" s="14"/>
      <c r="AJ269" s="14"/>
      <c r="AK269" s="14"/>
      <c r="AL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18"/>
      <c r="AX269" s="118"/>
      <c r="AY269" s="118"/>
      <c r="AZ269" s="14"/>
      <c r="BA269" s="14"/>
      <c r="BB269" s="14"/>
      <c r="BC269" s="14"/>
      <c r="BD269" s="14"/>
      <c r="BE269" s="14"/>
      <c r="BF269" s="14"/>
      <c r="BG269" s="14"/>
    </row>
    <row r="270" spans="2:59" s="15" customFormat="1" ht="14.25" x14ac:dyDescent="0.2">
      <c r="B270" s="27"/>
      <c r="C270" s="27"/>
      <c r="D270" s="27"/>
      <c r="E270" s="27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9"/>
      <c r="AE270" s="29"/>
      <c r="AF270" s="29"/>
      <c r="AG270" s="14"/>
      <c r="AH270" s="14"/>
      <c r="AI270" s="14"/>
      <c r="AJ270" s="14"/>
      <c r="AK270" s="14"/>
      <c r="AL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18"/>
      <c r="AX270" s="118"/>
      <c r="AY270" s="118"/>
      <c r="AZ270" s="14"/>
      <c r="BA270" s="14"/>
      <c r="BB270" s="14"/>
      <c r="BC270" s="14"/>
      <c r="BD270" s="14"/>
      <c r="BE270" s="14"/>
      <c r="BF270" s="14"/>
      <c r="BG270" s="14"/>
    </row>
    <row r="271" spans="2:59" s="15" customFormat="1" ht="14.25" x14ac:dyDescent="0.2">
      <c r="B271" s="27"/>
      <c r="C271" s="27"/>
      <c r="D271" s="27"/>
      <c r="E271" s="27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9"/>
      <c r="AE271" s="29"/>
      <c r="AF271" s="29"/>
      <c r="AG271" s="14"/>
      <c r="AH271" s="14"/>
      <c r="AI271" s="14"/>
      <c r="AJ271" s="14"/>
      <c r="AK271" s="14"/>
      <c r="AL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18"/>
      <c r="AX271" s="118"/>
      <c r="AY271" s="118"/>
      <c r="AZ271" s="14"/>
      <c r="BA271" s="14"/>
      <c r="BB271" s="14"/>
      <c r="BC271" s="14"/>
      <c r="BD271" s="14"/>
      <c r="BE271" s="14"/>
      <c r="BF271" s="14"/>
      <c r="BG271" s="14"/>
    </row>
    <row r="272" spans="2:59" s="15" customFormat="1" ht="14.25" x14ac:dyDescent="0.2">
      <c r="B272" s="27"/>
      <c r="C272" s="27"/>
      <c r="D272" s="27"/>
      <c r="E272" s="27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9"/>
      <c r="AE272" s="29"/>
      <c r="AF272" s="29"/>
      <c r="AG272" s="14"/>
      <c r="AH272" s="14"/>
      <c r="AI272" s="14"/>
      <c r="AJ272" s="14"/>
      <c r="AK272" s="14"/>
      <c r="AL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18"/>
      <c r="AX272" s="118"/>
      <c r="AY272" s="118"/>
      <c r="AZ272" s="14"/>
      <c r="BA272" s="14"/>
      <c r="BB272" s="14"/>
      <c r="BC272" s="14"/>
      <c r="BD272" s="14"/>
      <c r="BE272" s="14"/>
      <c r="BF272" s="14"/>
      <c r="BG272" s="14"/>
    </row>
    <row r="273" spans="2:59" s="15" customFormat="1" ht="14.25" x14ac:dyDescent="0.2">
      <c r="B273" s="27"/>
      <c r="C273" s="27"/>
      <c r="D273" s="27"/>
      <c r="E273" s="27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9"/>
      <c r="AE273" s="29"/>
      <c r="AF273" s="29"/>
      <c r="AG273" s="14"/>
      <c r="AH273" s="14"/>
      <c r="AI273" s="14"/>
      <c r="AJ273" s="14"/>
      <c r="AK273" s="14"/>
      <c r="AL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18"/>
      <c r="AX273" s="118"/>
      <c r="AY273" s="118"/>
      <c r="AZ273" s="14"/>
      <c r="BA273" s="14"/>
      <c r="BB273" s="14"/>
      <c r="BC273" s="14"/>
      <c r="BD273" s="14"/>
      <c r="BE273" s="14"/>
      <c r="BF273" s="14"/>
      <c r="BG273" s="14"/>
    </row>
    <row r="274" spans="2:59" s="15" customFormat="1" ht="14.25" x14ac:dyDescent="0.2">
      <c r="B274" s="27"/>
      <c r="C274" s="27"/>
      <c r="D274" s="27"/>
      <c r="E274" s="27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9"/>
      <c r="AE274" s="29"/>
      <c r="AF274" s="29"/>
      <c r="AG274" s="14"/>
      <c r="AH274" s="14"/>
      <c r="AI274" s="14"/>
      <c r="AJ274" s="14"/>
      <c r="AK274" s="14"/>
      <c r="AL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18"/>
      <c r="AX274" s="118"/>
      <c r="AY274" s="118"/>
      <c r="AZ274" s="14"/>
      <c r="BA274" s="14"/>
      <c r="BB274" s="14"/>
      <c r="BC274" s="14"/>
      <c r="BD274" s="14"/>
      <c r="BE274" s="14"/>
      <c r="BF274" s="14"/>
      <c r="BG274" s="14"/>
    </row>
    <row r="275" spans="2:59" s="15" customFormat="1" ht="14.25" x14ac:dyDescent="0.2">
      <c r="B275" s="27"/>
      <c r="C275" s="27"/>
      <c r="D275" s="27"/>
      <c r="E275" s="27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9"/>
      <c r="AE275" s="29"/>
      <c r="AF275" s="29"/>
      <c r="AG275" s="14"/>
      <c r="AH275" s="14"/>
      <c r="AI275" s="14"/>
      <c r="AJ275" s="14"/>
      <c r="AK275" s="14"/>
      <c r="AL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18"/>
      <c r="AX275" s="118"/>
      <c r="AY275" s="118"/>
      <c r="AZ275" s="14"/>
      <c r="BA275" s="14"/>
      <c r="BB275" s="14"/>
      <c r="BC275" s="14"/>
      <c r="BD275" s="14"/>
      <c r="BE275" s="14"/>
      <c r="BF275" s="14"/>
      <c r="BG275" s="14"/>
    </row>
    <row r="276" spans="2:59" s="15" customFormat="1" ht="14.25" x14ac:dyDescent="0.2">
      <c r="B276" s="27"/>
      <c r="C276" s="27"/>
      <c r="D276" s="27"/>
      <c r="E276" s="27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9"/>
      <c r="AE276" s="29"/>
      <c r="AF276" s="29"/>
      <c r="AG276" s="14"/>
      <c r="AH276" s="14"/>
      <c r="AI276" s="14"/>
      <c r="AJ276" s="14"/>
      <c r="AK276" s="14"/>
      <c r="AL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18"/>
      <c r="AX276" s="118"/>
      <c r="AY276" s="118"/>
      <c r="AZ276" s="14"/>
      <c r="BA276" s="14"/>
      <c r="BB276" s="14"/>
      <c r="BC276" s="14"/>
      <c r="BD276" s="14"/>
      <c r="BE276" s="14"/>
      <c r="BF276" s="14"/>
      <c r="BG276" s="14"/>
    </row>
    <row r="277" spans="2:59" s="15" customFormat="1" ht="14.25" x14ac:dyDescent="0.2">
      <c r="B277" s="27"/>
      <c r="C277" s="27"/>
      <c r="D277" s="27"/>
      <c r="E277" s="27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9"/>
      <c r="AE277" s="29"/>
      <c r="AF277" s="29"/>
      <c r="AG277" s="14"/>
      <c r="AH277" s="14"/>
      <c r="AI277" s="14"/>
      <c r="AJ277" s="14"/>
      <c r="AK277" s="14"/>
      <c r="AL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18"/>
      <c r="AX277" s="118"/>
      <c r="AY277" s="118"/>
      <c r="AZ277" s="14"/>
      <c r="BA277" s="14"/>
      <c r="BB277" s="14"/>
      <c r="BC277" s="14"/>
      <c r="BD277" s="14"/>
      <c r="BE277" s="14"/>
      <c r="BF277" s="14"/>
      <c r="BG277" s="14"/>
    </row>
    <row r="278" spans="2:59" s="15" customFormat="1" ht="14.25" x14ac:dyDescent="0.2">
      <c r="B278" s="27"/>
      <c r="C278" s="27"/>
      <c r="D278" s="27"/>
      <c r="E278" s="27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9"/>
      <c r="AE278" s="29"/>
      <c r="AF278" s="29"/>
      <c r="AG278" s="14"/>
      <c r="AH278" s="14"/>
      <c r="AI278" s="14"/>
      <c r="AJ278" s="14"/>
      <c r="AK278" s="14"/>
      <c r="AL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18"/>
      <c r="AX278" s="118"/>
      <c r="AY278" s="118"/>
      <c r="AZ278" s="14"/>
      <c r="BA278" s="14"/>
      <c r="BB278" s="14"/>
      <c r="BC278" s="14"/>
      <c r="BD278" s="14"/>
      <c r="BE278" s="14"/>
      <c r="BF278" s="14"/>
      <c r="BG278" s="14"/>
    </row>
    <row r="279" spans="2:59" s="15" customFormat="1" ht="14.25" x14ac:dyDescent="0.2">
      <c r="B279" s="27"/>
      <c r="C279" s="27"/>
      <c r="D279" s="27"/>
      <c r="E279" s="27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9"/>
      <c r="AE279" s="29"/>
      <c r="AF279" s="29"/>
      <c r="AG279" s="14"/>
      <c r="AH279" s="14"/>
      <c r="AI279" s="14"/>
      <c r="AJ279" s="14"/>
      <c r="AK279" s="14"/>
      <c r="AL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18"/>
      <c r="AX279" s="118"/>
      <c r="AY279" s="118"/>
      <c r="AZ279" s="14"/>
      <c r="BA279" s="14"/>
      <c r="BB279" s="14"/>
      <c r="BC279" s="14"/>
      <c r="BD279" s="14"/>
      <c r="BE279" s="14"/>
      <c r="BF279" s="14"/>
      <c r="BG279" s="14"/>
    </row>
    <row r="280" spans="2:59" s="15" customFormat="1" ht="14.25" x14ac:dyDescent="0.2">
      <c r="B280" s="27"/>
      <c r="C280" s="27"/>
      <c r="D280" s="27"/>
      <c r="E280" s="27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9"/>
      <c r="AE280" s="29"/>
      <c r="AF280" s="29"/>
      <c r="AG280" s="14"/>
      <c r="AH280" s="14"/>
      <c r="AI280" s="14"/>
      <c r="AJ280" s="14"/>
      <c r="AK280" s="14"/>
      <c r="AL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18"/>
      <c r="AX280" s="118"/>
      <c r="AY280" s="118"/>
      <c r="AZ280" s="14"/>
      <c r="BA280" s="14"/>
      <c r="BB280" s="14"/>
      <c r="BC280" s="14"/>
      <c r="BD280" s="14"/>
      <c r="BE280" s="14"/>
      <c r="BF280" s="14"/>
      <c r="BG280" s="14"/>
    </row>
    <row r="281" spans="2:59" s="15" customFormat="1" ht="14.25" x14ac:dyDescent="0.2">
      <c r="B281" s="27"/>
      <c r="C281" s="27"/>
      <c r="D281" s="27"/>
      <c r="E281" s="27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9"/>
      <c r="AE281" s="29"/>
      <c r="AF281" s="29"/>
      <c r="AG281" s="14"/>
      <c r="AH281" s="14"/>
      <c r="AI281" s="14"/>
      <c r="AJ281" s="14"/>
      <c r="AK281" s="14"/>
      <c r="AL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18"/>
      <c r="AX281" s="118"/>
      <c r="AY281" s="118"/>
      <c r="AZ281" s="14"/>
      <c r="BA281" s="14"/>
      <c r="BB281" s="14"/>
      <c r="BC281" s="14"/>
      <c r="BD281" s="14"/>
      <c r="BE281" s="14"/>
      <c r="BF281" s="14"/>
      <c r="BG281" s="14"/>
    </row>
    <row r="282" spans="2:59" s="15" customFormat="1" ht="14.25" x14ac:dyDescent="0.2">
      <c r="B282" s="27"/>
      <c r="C282" s="27"/>
      <c r="D282" s="27"/>
      <c r="E282" s="27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9"/>
      <c r="AE282" s="29"/>
      <c r="AF282" s="29"/>
      <c r="AG282" s="14"/>
      <c r="AH282" s="14"/>
      <c r="AI282" s="14"/>
      <c r="AJ282" s="14"/>
      <c r="AK282" s="14"/>
      <c r="AL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18"/>
      <c r="AX282" s="118"/>
      <c r="AY282" s="118"/>
      <c r="AZ282" s="14"/>
      <c r="BA282" s="14"/>
      <c r="BB282" s="14"/>
      <c r="BC282" s="14"/>
      <c r="BD282" s="14"/>
      <c r="BE282" s="14"/>
      <c r="BF282" s="14"/>
      <c r="BG282" s="14"/>
    </row>
    <row r="283" spans="2:59" s="15" customFormat="1" ht="14.25" x14ac:dyDescent="0.2">
      <c r="B283" s="27"/>
      <c r="C283" s="27"/>
      <c r="D283" s="27"/>
      <c r="E283" s="27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9"/>
      <c r="AE283" s="29"/>
      <c r="AF283" s="29"/>
      <c r="AG283" s="14"/>
      <c r="AH283" s="14"/>
      <c r="AI283" s="14"/>
      <c r="AJ283" s="14"/>
      <c r="AK283" s="14"/>
      <c r="AL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18"/>
      <c r="AX283" s="118"/>
      <c r="AY283" s="118"/>
      <c r="AZ283" s="14"/>
      <c r="BA283" s="14"/>
      <c r="BB283" s="14"/>
      <c r="BC283" s="14"/>
      <c r="BD283" s="14"/>
      <c r="BE283" s="14"/>
      <c r="BF283" s="14"/>
      <c r="BG283" s="14"/>
    </row>
    <row r="284" spans="2:59" s="15" customFormat="1" ht="14.25" x14ac:dyDescent="0.2">
      <c r="B284" s="27"/>
      <c r="C284" s="27"/>
      <c r="D284" s="27"/>
      <c r="E284" s="27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9"/>
      <c r="AE284" s="29"/>
      <c r="AF284" s="29"/>
      <c r="AG284" s="14"/>
      <c r="AH284" s="14"/>
      <c r="AI284" s="14"/>
      <c r="AJ284" s="14"/>
      <c r="AK284" s="14"/>
      <c r="AL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18"/>
      <c r="AX284" s="118"/>
      <c r="AY284" s="118"/>
      <c r="AZ284" s="14"/>
      <c r="BA284" s="14"/>
      <c r="BB284" s="14"/>
      <c r="BC284" s="14"/>
      <c r="BD284" s="14"/>
      <c r="BE284" s="14"/>
      <c r="BF284" s="14"/>
      <c r="BG284" s="14"/>
    </row>
    <row r="285" spans="2:59" s="15" customFormat="1" ht="14.25" x14ac:dyDescent="0.2">
      <c r="B285" s="27"/>
      <c r="C285" s="27"/>
      <c r="D285" s="27"/>
      <c r="E285" s="27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9"/>
      <c r="AE285" s="29"/>
      <c r="AF285" s="29"/>
      <c r="AG285" s="14"/>
      <c r="AH285" s="14"/>
      <c r="AI285" s="14"/>
      <c r="AJ285" s="14"/>
      <c r="AK285" s="14"/>
      <c r="AL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18"/>
      <c r="AX285" s="118"/>
      <c r="AY285" s="118"/>
      <c r="AZ285" s="14"/>
      <c r="BA285" s="14"/>
      <c r="BB285" s="14"/>
      <c r="BC285" s="14"/>
      <c r="BD285" s="14"/>
      <c r="BE285" s="14"/>
      <c r="BF285" s="14"/>
      <c r="BG285" s="14"/>
    </row>
    <row r="286" spans="2:59" s="15" customFormat="1" ht="14.25" x14ac:dyDescent="0.2">
      <c r="B286" s="27"/>
      <c r="C286" s="27"/>
      <c r="D286" s="27"/>
      <c r="E286" s="27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9"/>
      <c r="AE286" s="29"/>
      <c r="AF286" s="29"/>
      <c r="AG286" s="14"/>
      <c r="AH286" s="14"/>
      <c r="AI286" s="14"/>
      <c r="AJ286" s="14"/>
      <c r="AK286" s="14"/>
      <c r="AL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18"/>
      <c r="AX286" s="118"/>
      <c r="AY286" s="118"/>
      <c r="AZ286" s="14"/>
      <c r="BA286" s="14"/>
      <c r="BB286" s="14"/>
      <c r="BC286" s="14"/>
      <c r="BD286" s="14"/>
      <c r="BE286" s="14"/>
      <c r="BF286" s="14"/>
      <c r="BG286" s="14"/>
    </row>
    <row r="287" spans="2:59" s="15" customFormat="1" ht="14.25" x14ac:dyDescent="0.2">
      <c r="B287" s="27"/>
      <c r="C287" s="27"/>
      <c r="D287" s="27"/>
      <c r="E287" s="27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9"/>
      <c r="AE287" s="29"/>
      <c r="AF287" s="29"/>
      <c r="AG287" s="14"/>
      <c r="AH287" s="14"/>
      <c r="AI287" s="14"/>
      <c r="AJ287" s="14"/>
      <c r="AK287" s="14"/>
      <c r="AL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18"/>
      <c r="AX287" s="118"/>
      <c r="AY287" s="118"/>
      <c r="AZ287" s="14"/>
      <c r="BA287" s="14"/>
      <c r="BB287" s="14"/>
      <c r="BC287" s="14"/>
      <c r="BD287" s="14"/>
      <c r="BE287" s="14"/>
      <c r="BF287" s="14"/>
      <c r="BG287" s="14"/>
    </row>
    <row r="288" spans="2:59" s="15" customFormat="1" ht="14.25" x14ac:dyDescent="0.2">
      <c r="B288" s="27"/>
      <c r="C288" s="27"/>
      <c r="D288" s="27"/>
      <c r="E288" s="27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9"/>
      <c r="AE288" s="29"/>
      <c r="AF288" s="29"/>
      <c r="AG288" s="14"/>
      <c r="AH288" s="14"/>
      <c r="AI288" s="14"/>
      <c r="AJ288" s="14"/>
      <c r="AK288" s="14"/>
      <c r="AL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18"/>
      <c r="AX288" s="118"/>
      <c r="AY288" s="118"/>
      <c r="AZ288" s="14"/>
      <c r="BA288" s="14"/>
      <c r="BB288" s="14"/>
      <c r="BC288" s="14"/>
      <c r="BD288" s="14"/>
      <c r="BE288" s="14"/>
      <c r="BF288" s="14"/>
      <c r="BG288" s="14"/>
    </row>
    <row r="289" spans="2:59" s="15" customFormat="1" ht="14.25" x14ac:dyDescent="0.2">
      <c r="B289" s="27"/>
      <c r="C289" s="27"/>
      <c r="D289" s="27"/>
      <c r="E289" s="27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9"/>
      <c r="AE289" s="29"/>
      <c r="AF289" s="29"/>
      <c r="AG289" s="14"/>
      <c r="AH289" s="14"/>
      <c r="AI289" s="14"/>
      <c r="AJ289" s="14"/>
      <c r="AK289" s="14"/>
      <c r="AL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18"/>
      <c r="AX289" s="118"/>
      <c r="AY289" s="118"/>
      <c r="AZ289" s="14"/>
      <c r="BA289" s="14"/>
      <c r="BB289" s="14"/>
      <c r="BC289" s="14"/>
      <c r="BD289" s="14"/>
      <c r="BE289" s="14"/>
      <c r="BF289" s="14"/>
      <c r="BG289" s="14"/>
    </row>
    <row r="290" spans="2:59" s="15" customFormat="1" ht="14.25" x14ac:dyDescent="0.2">
      <c r="B290" s="27"/>
      <c r="C290" s="27"/>
      <c r="D290" s="27"/>
      <c r="E290" s="27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9"/>
      <c r="AE290" s="29"/>
      <c r="AF290" s="29"/>
      <c r="AG290" s="14"/>
      <c r="AH290" s="14"/>
      <c r="AI290" s="14"/>
      <c r="AJ290" s="14"/>
      <c r="AK290" s="14"/>
      <c r="AL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18"/>
      <c r="AX290" s="118"/>
      <c r="AY290" s="118"/>
      <c r="AZ290" s="14"/>
      <c r="BA290" s="14"/>
      <c r="BB290" s="14"/>
      <c r="BC290" s="14"/>
      <c r="BD290" s="14"/>
      <c r="BE290" s="14"/>
      <c r="BF290" s="14"/>
      <c r="BG290" s="14"/>
    </row>
    <row r="291" spans="2:59" s="15" customFormat="1" ht="14.25" x14ac:dyDescent="0.2">
      <c r="B291" s="27"/>
      <c r="C291" s="27"/>
      <c r="D291" s="27"/>
      <c r="E291" s="27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9"/>
      <c r="AE291" s="29"/>
      <c r="AF291" s="29"/>
      <c r="AG291" s="14"/>
      <c r="AH291" s="14"/>
      <c r="AI291" s="14"/>
      <c r="AJ291" s="14"/>
      <c r="AK291" s="14"/>
      <c r="AL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18"/>
      <c r="AX291" s="118"/>
      <c r="AY291" s="118"/>
      <c r="AZ291" s="14"/>
      <c r="BA291" s="14"/>
      <c r="BB291" s="14"/>
      <c r="BC291" s="14"/>
      <c r="BD291" s="14"/>
      <c r="BE291" s="14"/>
      <c r="BF291" s="14"/>
      <c r="BG291" s="14"/>
    </row>
    <row r="292" spans="2:59" s="15" customFormat="1" ht="14.25" x14ac:dyDescent="0.2">
      <c r="B292" s="27"/>
      <c r="C292" s="27"/>
      <c r="D292" s="27"/>
      <c r="E292" s="27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9"/>
      <c r="AE292" s="29"/>
      <c r="AF292" s="29"/>
      <c r="AG292" s="14"/>
      <c r="AH292" s="14"/>
      <c r="AI292" s="14"/>
      <c r="AJ292" s="14"/>
      <c r="AK292" s="14"/>
      <c r="AL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18"/>
      <c r="AX292" s="118"/>
      <c r="AY292" s="118"/>
      <c r="AZ292" s="14"/>
      <c r="BA292" s="14"/>
      <c r="BB292" s="14"/>
      <c r="BC292" s="14"/>
      <c r="BD292" s="14"/>
      <c r="BE292" s="14"/>
      <c r="BF292" s="14"/>
      <c r="BG292" s="14"/>
    </row>
    <row r="293" spans="2:59" s="15" customFormat="1" ht="14.25" x14ac:dyDescent="0.2">
      <c r="B293" s="27"/>
      <c r="C293" s="27"/>
      <c r="D293" s="27"/>
      <c r="E293" s="27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9"/>
      <c r="AE293" s="29"/>
      <c r="AF293" s="29"/>
      <c r="AG293" s="14"/>
      <c r="AH293" s="14"/>
      <c r="AI293" s="14"/>
      <c r="AJ293" s="14"/>
      <c r="AK293" s="14"/>
      <c r="AL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18"/>
      <c r="AX293" s="118"/>
      <c r="AY293" s="118"/>
      <c r="AZ293" s="14"/>
      <c r="BA293" s="14"/>
      <c r="BB293" s="14"/>
      <c r="BC293" s="14"/>
      <c r="BD293" s="14"/>
      <c r="BE293" s="14"/>
      <c r="BF293" s="14"/>
      <c r="BG293" s="14"/>
    </row>
    <row r="294" spans="2:59" s="15" customFormat="1" ht="14.25" x14ac:dyDescent="0.2">
      <c r="B294" s="27"/>
      <c r="C294" s="27"/>
      <c r="D294" s="27"/>
      <c r="E294" s="27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9"/>
      <c r="AE294" s="29"/>
      <c r="AF294" s="29"/>
      <c r="AG294" s="14"/>
      <c r="AH294" s="14"/>
      <c r="AI294" s="14"/>
      <c r="AJ294" s="14"/>
      <c r="AK294" s="14"/>
      <c r="AL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18"/>
      <c r="AX294" s="118"/>
      <c r="AY294" s="118"/>
      <c r="AZ294" s="14"/>
      <c r="BA294" s="14"/>
      <c r="BB294" s="14"/>
      <c r="BC294" s="14"/>
      <c r="BD294" s="14"/>
      <c r="BE294" s="14"/>
      <c r="BF294" s="14"/>
      <c r="BG294" s="14"/>
    </row>
    <row r="295" spans="2:59" s="15" customFormat="1" ht="14.25" x14ac:dyDescent="0.2">
      <c r="B295" s="27"/>
      <c r="C295" s="27"/>
      <c r="D295" s="27"/>
      <c r="E295" s="27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9"/>
      <c r="AE295" s="29"/>
      <c r="AF295" s="29"/>
      <c r="AG295" s="14"/>
      <c r="AH295" s="14"/>
      <c r="AI295" s="14"/>
      <c r="AJ295" s="14"/>
      <c r="AK295" s="14"/>
      <c r="AL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18"/>
      <c r="AX295" s="118"/>
      <c r="AY295" s="118"/>
      <c r="AZ295" s="14"/>
      <c r="BA295" s="14"/>
      <c r="BB295" s="14"/>
      <c r="BC295" s="14"/>
      <c r="BD295" s="14"/>
      <c r="BE295" s="14"/>
      <c r="BF295" s="14"/>
      <c r="BG295" s="14"/>
    </row>
    <row r="296" spans="2:59" s="15" customFormat="1" ht="14.25" x14ac:dyDescent="0.2">
      <c r="B296" s="27"/>
      <c r="C296" s="27"/>
      <c r="D296" s="27"/>
      <c r="E296" s="27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9"/>
      <c r="AE296" s="29"/>
      <c r="AF296" s="29"/>
      <c r="AG296" s="14"/>
      <c r="AH296" s="14"/>
      <c r="AI296" s="14"/>
      <c r="AJ296" s="14"/>
      <c r="AK296" s="14"/>
      <c r="AL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18"/>
      <c r="AX296" s="118"/>
      <c r="AY296" s="118"/>
      <c r="AZ296" s="14"/>
      <c r="BA296" s="14"/>
      <c r="BB296" s="14"/>
      <c r="BC296" s="14"/>
      <c r="BD296" s="14"/>
      <c r="BE296" s="14"/>
      <c r="BF296" s="14"/>
      <c r="BG296" s="14"/>
    </row>
    <row r="297" spans="2:59" s="15" customFormat="1" ht="14.25" x14ac:dyDescent="0.2">
      <c r="B297" s="27"/>
      <c r="C297" s="27"/>
      <c r="D297" s="27"/>
      <c r="E297" s="27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9"/>
      <c r="AE297" s="29"/>
      <c r="AF297" s="29"/>
      <c r="AG297" s="14"/>
      <c r="AH297" s="14"/>
      <c r="AI297" s="14"/>
      <c r="AJ297" s="14"/>
      <c r="AK297" s="14"/>
      <c r="AL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18"/>
      <c r="AX297" s="118"/>
      <c r="AY297" s="118"/>
      <c r="AZ297" s="14"/>
      <c r="BA297" s="14"/>
      <c r="BB297" s="14"/>
      <c r="BC297" s="14"/>
      <c r="BD297" s="14"/>
      <c r="BE297" s="14"/>
      <c r="BF297" s="14"/>
      <c r="BG297" s="14"/>
    </row>
    <row r="298" spans="2:59" s="15" customFormat="1" ht="14.25" x14ac:dyDescent="0.2">
      <c r="B298" s="27"/>
      <c r="C298" s="27"/>
      <c r="D298" s="27"/>
      <c r="E298" s="27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9"/>
      <c r="AE298" s="29"/>
      <c r="AF298" s="29"/>
      <c r="AG298" s="14"/>
      <c r="AH298" s="14"/>
      <c r="AI298" s="14"/>
      <c r="AJ298" s="14"/>
      <c r="AK298" s="14"/>
      <c r="AL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18"/>
      <c r="AX298" s="118"/>
      <c r="AY298" s="118"/>
      <c r="AZ298" s="14"/>
      <c r="BA298" s="14"/>
      <c r="BB298" s="14"/>
      <c r="BC298" s="14"/>
      <c r="BD298" s="14"/>
      <c r="BE298" s="14"/>
      <c r="BF298" s="14"/>
      <c r="BG298" s="14"/>
    </row>
    <row r="299" spans="2:59" s="15" customFormat="1" ht="14.25" x14ac:dyDescent="0.2">
      <c r="B299" s="27"/>
      <c r="C299" s="27"/>
      <c r="D299" s="27"/>
      <c r="E299" s="27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9"/>
      <c r="AE299" s="29"/>
      <c r="AF299" s="29"/>
      <c r="AG299" s="14"/>
      <c r="AH299" s="14"/>
      <c r="AI299" s="14"/>
      <c r="AJ299" s="14"/>
      <c r="AK299" s="14"/>
      <c r="AL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18"/>
      <c r="AX299" s="118"/>
      <c r="AY299" s="118"/>
      <c r="AZ299" s="14"/>
      <c r="BA299" s="14"/>
      <c r="BB299" s="14"/>
      <c r="BC299" s="14"/>
      <c r="BD299" s="14"/>
      <c r="BE299" s="14"/>
      <c r="BF299" s="14"/>
      <c r="BG299" s="14"/>
    </row>
    <row r="300" spans="2:59" s="15" customFormat="1" ht="14.25" x14ac:dyDescent="0.2">
      <c r="B300" s="27"/>
      <c r="C300" s="27"/>
      <c r="D300" s="27"/>
      <c r="E300" s="27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9"/>
      <c r="AE300" s="29"/>
      <c r="AF300" s="29"/>
      <c r="AG300" s="14"/>
      <c r="AH300" s="14"/>
      <c r="AI300" s="14"/>
      <c r="AJ300" s="14"/>
      <c r="AK300" s="14"/>
      <c r="AL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18"/>
      <c r="AX300" s="118"/>
      <c r="AY300" s="118"/>
      <c r="AZ300" s="14"/>
      <c r="BA300" s="14"/>
      <c r="BB300" s="14"/>
      <c r="BC300" s="14"/>
      <c r="BD300" s="14"/>
      <c r="BE300" s="14"/>
      <c r="BF300" s="14"/>
      <c r="BG300" s="14"/>
    </row>
    <row r="301" spans="2:59" s="15" customFormat="1" ht="14.25" x14ac:dyDescent="0.2">
      <c r="B301" s="27"/>
      <c r="C301" s="27"/>
      <c r="D301" s="27"/>
      <c r="E301" s="27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9"/>
      <c r="AE301" s="29"/>
      <c r="AF301" s="29"/>
      <c r="AG301" s="14"/>
      <c r="AH301" s="14"/>
      <c r="AI301" s="14"/>
      <c r="AJ301" s="14"/>
      <c r="AK301" s="14"/>
      <c r="AL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18"/>
      <c r="AX301" s="118"/>
      <c r="AY301" s="118"/>
      <c r="AZ301" s="14"/>
      <c r="BA301" s="14"/>
      <c r="BB301" s="14"/>
      <c r="BC301" s="14"/>
      <c r="BD301" s="14"/>
      <c r="BE301" s="14"/>
      <c r="BF301" s="14"/>
      <c r="BG301" s="14"/>
    </row>
    <row r="302" spans="2:59" s="15" customFormat="1" ht="14.25" x14ac:dyDescent="0.2">
      <c r="B302" s="27"/>
      <c r="C302" s="27"/>
      <c r="D302" s="27"/>
      <c r="E302" s="27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9"/>
      <c r="AE302" s="29"/>
      <c r="AF302" s="29"/>
      <c r="AG302" s="14"/>
      <c r="AH302" s="14"/>
      <c r="AI302" s="14"/>
      <c r="AJ302" s="14"/>
      <c r="AK302" s="14"/>
      <c r="AL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18"/>
      <c r="AX302" s="118"/>
      <c r="AY302" s="118"/>
      <c r="AZ302" s="14"/>
      <c r="BA302" s="14"/>
      <c r="BB302" s="14"/>
      <c r="BC302" s="14"/>
      <c r="BD302" s="14"/>
      <c r="BE302" s="14"/>
      <c r="BF302" s="14"/>
      <c r="BG302" s="14"/>
    </row>
    <row r="303" spans="2:59" s="15" customFormat="1" ht="14.25" x14ac:dyDescent="0.2">
      <c r="B303" s="27"/>
      <c r="C303" s="27"/>
      <c r="D303" s="27"/>
      <c r="E303" s="27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9"/>
      <c r="AE303" s="29"/>
      <c r="AF303" s="29"/>
      <c r="AG303" s="14"/>
      <c r="AH303" s="14"/>
      <c r="AI303" s="14"/>
      <c r="AJ303" s="14"/>
      <c r="AK303" s="14"/>
      <c r="AL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18"/>
      <c r="AX303" s="118"/>
      <c r="AY303" s="118"/>
      <c r="AZ303" s="14"/>
      <c r="BA303" s="14"/>
      <c r="BB303" s="14"/>
      <c r="BC303" s="14"/>
      <c r="BD303" s="14"/>
      <c r="BE303" s="14"/>
      <c r="BF303" s="14"/>
      <c r="BG303" s="14"/>
    </row>
    <row r="304" spans="2:59" s="15" customFormat="1" ht="14.25" x14ac:dyDescent="0.2">
      <c r="B304" s="27"/>
      <c r="C304" s="27"/>
      <c r="D304" s="27"/>
      <c r="E304" s="27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9"/>
      <c r="AE304" s="29"/>
      <c r="AF304" s="29"/>
      <c r="AG304" s="14"/>
      <c r="AH304" s="14"/>
      <c r="AI304" s="14"/>
      <c r="AJ304" s="14"/>
      <c r="AK304" s="14"/>
      <c r="AL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18"/>
      <c r="AX304" s="118"/>
      <c r="AY304" s="118"/>
      <c r="AZ304" s="14"/>
      <c r="BA304" s="14"/>
      <c r="BB304" s="14"/>
      <c r="BC304" s="14"/>
      <c r="BD304" s="14"/>
      <c r="BE304" s="14"/>
      <c r="BF304" s="14"/>
      <c r="BG304" s="14"/>
    </row>
    <row r="305" spans="2:59" s="15" customFormat="1" ht="14.25" x14ac:dyDescent="0.2">
      <c r="B305" s="27"/>
      <c r="C305" s="27"/>
      <c r="D305" s="27"/>
      <c r="E305" s="27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9"/>
      <c r="AE305" s="29"/>
      <c r="AF305" s="29"/>
      <c r="AG305" s="14"/>
      <c r="AH305" s="14"/>
      <c r="AI305" s="14"/>
      <c r="AJ305" s="14"/>
      <c r="AK305" s="14"/>
      <c r="AL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18"/>
      <c r="AX305" s="118"/>
      <c r="AY305" s="118"/>
      <c r="AZ305" s="14"/>
      <c r="BA305" s="14"/>
      <c r="BB305" s="14"/>
      <c r="BC305" s="14"/>
      <c r="BD305" s="14"/>
      <c r="BE305" s="14"/>
      <c r="BF305" s="14"/>
      <c r="BG305" s="14"/>
    </row>
    <row r="306" spans="2:59" s="15" customFormat="1" ht="14.25" x14ac:dyDescent="0.2">
      <c r="B306" s="27"/>
      <c r="C306" s="27"/>
      <c r="D306" s="27"/>
      <c r="E306" s="27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9"/>
      <c r="AE306" s="29"/>
      <c r="AF306" s="29"/>
      <c r="AG306" s="14"/>
      <c r="AH306" s="14"/>
      <c r="AI306" s="14"/>
      <c r="AJ306" s="14"/>
      <c r="AK306" s="14"/>
      <c r="AL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18"/>
      <c r="AX306" s="118"/>
      <c r="AY306" s="118"/>
      <c r="AZ306" s="14"/>
      <c r="BA306" s="14"/>
      <c r="BB306" s="14"/>
      <c r="BC306" s="14"/>
      <c r="BD306" s="14"/>
      <c r="BE306" s="14"/>
      <c r="BF306" s="14"/>
      <c r="BG306" s="14"/>
    </row>
    <row r="307" spans="2:59" s="15" customFormat="1" ht="14.25" x14ac:dyDescent="0.2">
      <c r="B307" s="27"/>
      <c r="C307" s="27"/>
      <c r="D307" s="27"/>
      <c r="E307" s="27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9"/>
      <c r="AE307" s="29"/>
      <c r="AF307" s="29"/>
      <c r="AG307" s="14"/>
      <c r="AH307" s="14"/>
      <c r="AI307" s="14"/>
      <c r="AJ307" s="14"/>
      <c r="AK307" s="14"/>
      <c r="AL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18"/>
      <c r="AX307" s="118"/>
      <c r="AY307" s="118"/>
      <c r="AZ307" s="14"/>
      <c r="BA307" s="14"/>
      <c r="BB307" s="14"/>
      <c r="BC307" s="14"/>
      <c r="BD307" s="14"/>
      <c r="BE307" s="14"/>
      <c r="BF307" s="14"/>
      <c r="BG307" s="14"/>
    </row>
    <row r="308" spans="2:59" s="15" customFormat="1" ht="14.25" x14ac:dyDescent="0.2">
      <c r="B308" s="27"/>
      <c r="C308" s="27"/>
      <c r="D308" s="27"/>
      <c r="E308" s="27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9"/>
      <c r="AE308" s="29"/>
      <c r="AF308" s="29"/>
      <c r="AG308" s="14"/>
      <c r="AH308" s="14"/>
      <c r="AI308" s="14"/>
      <c r="AJ308" s="14"/>
      <c r="AK308" s="14"/>
      <c r="AL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18"/>
      <c r="AX308" s="118"/>
      <c r="AY308" s="118"/>
      <c r="AZ308" s="14"/>
      <c r="BA308" s="14"/>
      <c r="BB308" s="14"/>
      <c r="BC308" s="14"/>
      <c r="BD308" s="14"/>
      <c r="BE308" s="14"/>
      <c r="BF308" s="14"/>
      <c r="BG308" s="14"/>
    </row>
    <row r="309" spans="2:59" s="15" customFormat="1" ht="14.25" x14ac:dyDescent="0.2">
      <c r="B309" s="27"/>
      <c r="C309" s="27"/>
      <c r="D309" s="27"/>
      <c r="E309" s="27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9"/>
      <c r="AE309" s="29"/>
      <c r="AF309" s="29"/>
      <c r="AG309" s="14"/>
      <c r="AH309" s="14"/>
      <c r="AI309" s="14"/>
      <c r="AJ309" s="14"/>
      <c r="AK309" s="14"/>
      <c r="AL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18"/>
      <c r="AX309" s="118"/>
      <c r="AY309" s="118"/>
      <c r="AZ309" s="14"/>
      <c r="BA309" s="14"/>
      <c r="BB309" s="14"/>
      <c r="BC309" s="14"/>
      <c r="BD309" s="14"/>
      <c r="BE309" s="14"/>
      <c r="BF309" s="14"/>
      <c r="BG309" s="14"/>
    </row>
    <row r="310" spans="2:59" s="15" customFormat="1" ht="14.25" x14ac:dyDescent="0.2">
      <c r="B310" s="27"/>
      <c r="C310" s="27"/>
      <c r="D310" s="27"/>
      <c r="E310" s="27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9"/>
      <c r="AE310" s="29"/>
      <c r="AF310" s="29"/>
      <c r="AG310" s="14"/>
      <c r="AH310" s="14"/>
      <c r="AI310" s="14"/>
      <c r="AJ310" s="14"/>
      <c r="AK310" s="14"/>
      <c r="AL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18"/>
      <c r="AX310" s="118"/>
      <c r="AY310" s="118"/>
      <c r="AZ310" s="14"/>
      <c r="BA310" s="14"/>
      <c r="BB310" s="14"/>
      <c r="BC310" s="14"/>
      <c r="BD310" s="14"/>
      <c r="BE310" s="14"/>
      <c r="BF310" s="14"/>
      <c r="BG310" s="14"/>
    </row>
    <row r="311" spans="2:59" s="15" customFormat="1" ht="14.25" x14ac:dyDescent="0.2">
      <c r="B311" s="27"/>
      <c r="C311" s="27"/>
      <c r="D311" s="27"/>
      <c r="E311" s="27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9"/>
      <c r="AE311" s="29"/>
      <c r="AF311" s="29"/>
      <c r="AG311" s="14"/>
      <c r="AH311" s="14"/>
      <c r="AI311" s="14"/>
      <c r="AJ311" s="14"/>
      <c r="AK311" s="14"/>
      <c r="AL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18"/>
      <c r="AX311" s="118"/>
      <c r="AY311" s="118"/>
      <c r="AZ311" s="14"/>
      <c r="BA311" s="14"/>
      <c r="BB311" s="14"/>
      <c r="BC311" s="14"/>
      <c r="BD311" s="14"/>
      <c r="BE311" s="14"/>
      <c r="BF311" s="14"/>
      <c r="BG311" s="14"/>
    </row>
    <row r="312" spans="2:59" s="15" customFormat="1" ht="14.25" x14ac:dyDescent="0.2">
      <c r="B312" s="27"/>
      <c r="C312" s="27"/>
      <c r="D312" s="27"/>
      <c r="E312" s="27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9"/>
      <c r="AE312" s="29"/>
      <c r="AF312" s="29"/>
      <c r="AG312" s="14"/>
      <c r="AH312" s="14"/>
      <c r="AI312" s="14"/>
      <c r="AJ312" s="14"/>
      <c r="AK312" s="14"/>
      <c r="AL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18"/>
      <c r="AX312" s="118"/>
      <c r="AY312" s="118"/>
      <c r="AZ312" s="14"/>
      <c r="BA312" s="14"/>
      <c r="BB312" s="14"/>
      <c r="BC312" s="14"/>
      <c r="BD312" s="14"/>
      <c r="BE312" s="14"/>
      <c r="BF312" s="14"/>
      <c r="BG312" s="14"/>
    </row>
    <row r="313" spans="2:59" s="15" customFormat="1" ht="14.25" x14ac:dyDescent="0.2">
      <c r="B313" s="27"/>
      <c r="C313" s="27"/>
      <c r="D313" s="27"/>
      <c r="E313" s="27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9"/>
      <c r="AE313" s="29"/>
      <c r="AF313" s="29"/>
      <c r="AG313" s="14"/>
      <c r="AH313" s="14"/>
      <c r="AI313" s="14"/>
      <c r="AJ313" s="14"/>
      <c r="AK313" s="14"/>
      <c r="AL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18"/>
      <c r="AX313" s="118"/>
      <c r="AY313" s="118"/>
      <c r="AZ313" s="14"/>
      <c r="BA313" s="14"/>
      <c r="BB313" s="14"/>
      <c r="BC313" s="14"/>
      <c r="BD313" s="14"/>
      <c r="BE313" s="14"/>
      <c r="BF313" s="14"/>
      <c r="BG313" s="14"/>
    </row>
    <row r="314" spans="2:59" s="15" customFormat="1" ht="14.25" x14ac:dyDescent="0.2">
      <c r="B314" s="27"/>
      <c r="C314" s="27"/>
      <c r="D314" s="27"/>
      <c r="E314" s="27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9"/>
      <c r="AE314" s="29"/>
      <c r="AF314" s="29"/>
      <c r="AG314" s="14"/>
      <c r="AH314" s="14"/>
      <c r="AI314" s="14"/>
      <c r="AJ314" s="14"/>
      <c r="AK314" s="14"/>
      <c r="AL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18"/>
      <c r="AX314" s="118"/>
      <c r="AY314" s="118"/>
      <c r="AZ314" s="14"/>
      <c r="BA314" s="14"/>
      <c r="BB314" s="14"/>
      <c r="BC314" s="14"/>
      <c r="BD314" s="14"/>
      <c r="BE314" s="14"/>
      <c r="BF314" s="14"/>
      <c r="BG314" s="14"/>
    </row>
    <row r="315" spans="2:59" s="15" customFormat="1" ht="14.25" x14ac:dyDescent="0.2">
      <c r="B315" s="27"/>
      <c r="C315" s="27"/>
      <c r="D315" s="27"/>
      <c r="E315" s="27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9"/>
      <c r="AE315" s="29"/>
      <c r="AF315" s="29"/>
      <c r="AG315" s="14"/>
      <c r="AH315" s="14"/>
      <c r="AI315" s="14"/>
      <c r="AJ315" s="14"/>
      <c r="AK315" s="14"/>
      <c r="AL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18"/>
      <c r="AX315" s="118"/>
      <c r="AY315" s="118"/>
      <c r="AZ315" s="14"/>
      <c r="BA315" s="14"/>
      <c r="BB315" s="14"/>
      <c r="BC315" s="14"/>
      <c r="BD315" s="14"/>
      <c r="BE315" s="14"/>
      <c r="BF315" s="14"/>
      <c r="BG315" s="14"/>
    </row>
    <row r="316" spans="2:59" s="15" customFormat="1" ht="14.25" x14ac:dyDescent="0.2">
      <c r="B316" s="27"/>
      <c r="C316" s="27"/>
      <c r="D316" s="27"/>
      <c r="E316" s="27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9"/>
      <c r="AE316" s="29"/>
      <c r="AF316" s="29"/>
      <c r="AG316" s="14"/>
      <c r="AH316" s="14"/>
      <c r="AI316" s="14"/>
      <c r="AJ316" s="14"/>
      <c r="AK316" s="14"/>
      <c r="AL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18"/>
      <c r="AX316" s="118"/>
      <c r="AY316" s="118"/>
      <c r="AZ316" s="14"/>
      <c r="BA316" s="14"/>
      <c r="BB316" s="14"/>
      <c r="BC316" s="14"/>
      <c r="BD316" s="14"/>
      <c r="BE316" s="14"/>
      <c r="BF316" s="14"/>
      <c r="BG316" s="14"/>
    </row>
    <row r="317" spans="2:59" s="15" customFormat="1" ht="14.25" x14ac:dyDescent="0.2">
      <c r="B317" s="27"/>
      <c r="C317" s="27"/>
      <c r="D317" s="27"/>
      <c r="E317" s="27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9"/>
      <c r="AE317" s="29"/>
      <c r="AF317" s="29"/>
      <c r="AG317" s="14"/>
      <c r="AH317" s="14"/>
      <c r="AI317" s="14"/>
      <c r="AJ317" s="14"/>
      <c r="AK317" s="14"/>
      <c r="AL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18"/>
      <c r="AX317" s="118"/>
      <c r="AY317" s="118"/>
      <c r="AZ317" s="14"/>
      <c r="BA317" s="14"/>
      <c r="BB317" s="14"/>
      <c r="BC317" s="14"/>
      <c r="BD317" s="14"/>
      <c r="BE317" s="14"/>
      <c r="BF317" s="14"/>
      <c r="BG317" s="14"/>
    </row>
    <row r="318" spans="2:59" s="15" customFormat="1" ht="14.25" x14ac:dyDescent="0.2">
      <c r="B318" s="27"/>
      <c r="C318" s="27"/>
      <c r="D318" s="27"/>
      <c r="E318" s="27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9"/>
      <c r="AE318" s="29"/>
      <c r="AF318" s="29"/>
      <c r="AG318" s="14"/>
      <c r="AH318" s="14"/>
      <c r="AI318" s="14"/>
      <c r="AJ318" s="14"/>
      <c r="AK318" s="14"/>
      <c r="AL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18"/>
      <c r="AX318" s="118"/>
      <c r="AY318" s="118"/>
      <c r="AZ318" s="14"/>
      <c r="BA318" s="14"/>
      <c r="BB318" s="14"/>
      <c r="BC318" s="14"/>
      <c r="BD318" s="14"/>
      <c r="BE318" s="14"/>
      <c r="BF318" s="14"/>
      <c r="BG318" s="14"/>
    </row>
    <row r="319" spans="2:59" s="15" customFormat="1" ht="14.25" x14ac:dyDescent="0.2">
      <c r="B319" s="27"/>
      <c r="C319" s="27"/>
      <c r="D319" s="27"/>
      <c r="E319" s="27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9"/>
      <c r="AE319" s="29"/>
      <c r="AF319" s="29"/>
      <c r="AG319" s="14"/>
      <c r="AH319" s="14"/>
      <c r="AI319" s="14"/>
      <c r="AJ319" s="14"/>
      <c r="AK319" s="14"/>
      <c r="AL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18"/>
      <c r="AX319" s="118"/>
      <c r="AY319" s="118"/>
      <c r="AZ319" s="14"/>
      <c r="BA319" s="14"/>
      <c r="BB319" s="14"/>
      <c r="BC319" s="14"/>
      <c r="BD319" s="14"/>
      <c r="BE319" s="14"/>
      <c r="BF319" s="14"/>
      <c r="BG319" s="14"/>
    </row>
    <row r="320" spans="2:59" s="15" customFormat="1" ht="14.25" x14ac:dyDescent="0.2">
      <c r="B320" s="27"/>
      <c r="C320" s="27"/>
      <c r="D320" s="27"/>
      <c r="E320" s="27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9"/>
      <c r="AE320" s="29"/>
      <c r="AF320" s="29"/>
      <c r="AG320" s="14"/>
      <c r="AH320" s="14"/>
      <c r="AI320" s="14"/>
      <c r="AJ320" s="14"/>
      <c r="AK320" s="14"/>
      <c r="AL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18"/>
      <c r="AX320" s="118"/>
      <c r="AY320" s="118"/>
      <c r="AZ320" s="14"/>
      <c r="BA320" s="14"/>
      <c r="BB320" s="14"/>
      <c r="BC320" s="14"/>
      <c r="BD320" s="14"/>
      <c r="BE320" s="14"/>
      <c r="BF320" s="14"/>
      <c r="BG320" s="14"/>
    </row>
    <row r="321" spans="2:59" s="15" customFormat="1" ht="14.25" x14ac:dyDescent="0.2">
      <c r="B321" s="27"/>
      <c r="C321" s="27"/>
      <c r="D321" s="27"/>
      <c r="E321" s="27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9"/>
      <c r="AE321" s="29"/>
      <c r="AF321" s="29"/>
      <c r="AG321" s="14"/>
      <c r="AH321" s="14"/>
      <c r="AI321" s="14"/>
      <c r="AJ321" s="14"/>
      <c r="AK321" s="14"/>
      <c r="AL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18"/>
      <c r="AX321" s="118"/>
      <c r="AY321" s="118"/>
      <c r="AZ321" s="14"/>
      <c r="BA321" s="14"/>
      <c r="BB321" s="14"/>
      <c r="BC321" s="14"/>
      <c r="BD321" s="14"/>
      <c r="BE321" s="14"/>
      <c r="BF321" s="14"/>
      <c r="BG321" s="14"/>
    </row>
    <row r="322" spans="2:59" s="15" customFormat="1" ht="14.25" x14ac:dyDescent="0.2">
      <c r="B322" s="27"/>
      <c r="C322" s="27"/>
      <c r="D322" s="27"/>
      <c r="E322" s="27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9"/>
      <c r="AE322" s="29"/>
      <c r="AF322" s="29"/>
      <c r="AG322" s="14"/>
      <c r="AH322" s="14"/>
      <c r="AI322" s="14"/>
      <c r="AJ322" s="14"/>
      <c r="AK322" s="14"/>
      <c r="AL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18"/>
      <c r="AX322" s="118"/>
      <c r="AY322" s="118"/>
      <c r="AZ322" s="14"/>
      <c r="BA322" s="14"/>
      <c r="BB322" s="14"/>
      <c r="BC322" s="14"/>
      <c r="BD322" s="14"/>
      <c r="BE322" s="14"/>
      <c r="BF322" s="14"/>
      <c r="BG322" s="14"/>
    </row>
    <row r="323" spans="2:59" s="15" customFormat="1" ht="14.25" x14ac:dyDescent="0.2">
      <c r="B323" s="27"/>
      <c r="C323" s="27"/>
      <c r="D323" s="27"/>
      <c r="E323" s="27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9"/>
      <c r="AE323" s="29"/>
      <c r="AF323" s="29"/>
      <c r="AG323" s="14"/>
      <c r="AH323" s="14"/>
      <c r="AI323" s="14"/>
      <c r="AJ323" s="14"/>
      <c r="AK323" s="14"/>
      <c r="AL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18"/>
      <c r="AX323" s="118"/>
      <c r="AY323" s="118"/>
      <c r="AZ323" s="14"/>
      <c r="BA323" s="14"/>
      <c r="BB323" s="14"/>
      <c r="BC323" s="14"/>
      <c r="BD323" s="14"/>
      <c r="BE323" s="14"/>
      <c r="BF323" s="14"/>
      <c r="BG323" s="14"/>
    </row>
    <row r="324" spans="2:59" s="15" customFormat="1" ht="14.25" x14ac:dyDescent="0.2">
      <c r="B324" s="27"/>
      <c r="C324" s="27"/>
      <c r="D324" s="27"/>
      <c r="E324" s="27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9"/>
      <c r="AE324" s="29"/>
      <c r="AF324" s="29"/>
      <c r="AG324" s="14"/>
      <c r="AH324" s="14"/>
      <c r="AI324" s="14"/>
      <c r="AJ324" s="14"/>
      <c r="AK324" s="14"/>
      <c r="AL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18"/>
      <c r="AX324" s="118"/>
      <c r="AY324" s="118"/>
      <c r="AZ324" s="14"/>
      <c r="BA324" s="14"/>
      <c r="BB324" s="14"/>
      <c r="BC324" s="14"/>
      <c r="BD324" s="14"/>
      <c r="BE324" s="14"/>
      <c r="BF324" s="14"/>
      <c r="BG324" s="14"/>
    </row>
    <row r="325" spans="2:59" s="15" customFormat="1" ht="14.25" x14ac:dyDescent="0.2">
      <c r="B325" s="27"/>
      <c r="C325" s="27"/>
      <c r="D325" s="27"/>
      <c r="E325" s="27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9"/>
      <c r="AE325" s="29"/>
      <c r="AF325" s="29"/>
      <c r="AG325" s="14"/>
      <c r="AH325" s="14"/>
      <c r="AI325" s="14"/>
      <c r="AJ325" s="14"/>
      <c r="AK325" s="14"/>
      <c r="AL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18"/>
      <c r="AX325" s="118"/>
      <c r="AY325" s="118"/>
      <c r="AZ325" s="14"/>
      <c r="BA325" s="14"/>
      <c r="BB325" s="14"/>
      <c r="BC325" s="14"/>
      <c r="BD325" s="14"/>
      <c r="BE325" s="14"/>
      <c r="BF325" s="14"/>
      <c r="BG325" s="14"/>
    </row>
    <row r="326" spans="2:59" s="15" customFormat="1" ht="14.25" x14ac:dyDescent="0.2">
      <c r="B326" s="27"/>
      <c r="C326" s="27"/>
      <c r="D326" s="27"/>
      <c r="E326" s="27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9"/>
      <c r="AE326" s="29"/>
      <c r="AF326" s="29"/>
      <c r="AG326" s="14"/>
      <c r="AH326" s="14"/>
      <c r="AI326" s="14"/>
      <c r="AJ326" s="14"/>
      <c r="AK326" s="14"/>
      <c r="AL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18"/>
      <c r="AX326" s="118"/>
      <c r="AY326" s="118"/>
      <c r="AZ326" s="14"/>
      <c r="BA326" s="14"/>
      <c r="BB326" s="14"/>
      <c r="BC326" s="14"/>
      <c r="BD326" s="14"/>
      <c r="BE326" s="14"/>
      <c r="BF326" s="14"/>
      <c r="BG326" s="14"/>
    </row>
    <row r="327" spans="2:59" s="15" customFormat="1" ht="14.25" x14ac:dyDescent="0.2">
      <c r="B327" s="27"/>
      <c r="C327" s="27"/>
      <c r="D327" s="27"/>
      <c r="E327" s="27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9"/>
      <c r="AE327" s="29"/>
      <c r="AF327" s="29"/>
      <c r="AG327" s="14"/>
      <c r="AH327" s="14"/>
      <c r="AI327" s="14"/>
      <c r="AJ327" s="14"/>
      <c r="AK327" s="14"/>
      <c r="AL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18"/>
      <c r="AX327" s="118"/>
      <c r="AY327" s="118"/>
      <c r="AZ327" s="14"/>
      <c r="BA327" s="14"/>
      <c r="BB327" s="14"/>
      <c r="BC327" s="14"/>
      <c r="BD327" s="14"/>
      <c r="BE327" s="14"/>
      <c r="BF327" s="14"/>
      <c r="BG327" s="14"/>
    </row>
    <row r="328" spans="2:59" s="15" customFormat="1" ht="14.25" x14ac:dyDescent="0.2">
      <c r="B328" s="27"/>
      <c r="C328" s="27"/>
      <c r="D328" s="27"/>
      <c r="E328" s="27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9"/>
      <c r="AE328" s="29"/>
      <c r="AF328" s="29"/>
      <c r="AG328" s="14"/>
      <c r="AH328" s="14"/>
      <c r="AI328" s="14"/>
      <c r="AJ328" s="14"/>
      <c r="AK328" s="14"/>
      <c r="AL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18"/>
      <c r="AX328" s="118"/>
      <c r="AY328" s="118"/>
      <c r="AZ328" s="14"/>
      <c r="BA328" s="14"/>
      <c r="BB328" s="14"/>
      <c r="BC328" s="14"/>
      <c r="BD328" s="14"/>
      <c r="BE328" s="14"/>
      <c r="BF328" s="14"/>
      <c r="BG328" s="14"/>
    </row>
    <row r="329" spans="2:59" s="15" customFormat="1" ht="14.25" x14ac:dyDescent="0.2">
      <c r="B329" s="27"/>
      <c r="C329" s="27"/>
      <c r="D329" s="27"/>
      <c r="E329" s="27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9"/>
      <c r="AE329" s="29"/>
      <c r="AF329" s="29"/>
      <c r="AG329" s="14"/>
      <c r="AH329" s="14"/>
      <c r="AI329" s="14"/>
      <c r="AJ329" s="14"/>
      <c r="AK329" s="14"/>
      <c r="AL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18"/>
      <c r="AX329" s="118"/>
      <c r="AY329" s="118"/>
      <c r="AZ329" s="14"/>
      <c r="BA329" s="14"/>
      <c r="BB329" s="14"/>
      <c r="BC329" s="14"/>
      <c r="BD329" s="14"/>
      <c r="BE329" s="14"/>
      <c r="BF329" s="14"/>
      <c r="BG329" s="14"/>
    </row>
    <row r="330" spans="2:59" s="15" customFormat="1" ht="14.25" x14ac:dyDescent="0.2">
      <c r="B330" s="27"/>
      <c r="C330" s="27"/>
      <c r="D330" s="27"/>
      <c r="E330" s="27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9"/>
      <c r="AE330" s="29"/>
      <c r="AF330" s="29"/>
      <c r="AG330" s="14"/>
      <c r="AH330" s="14"/>
      <c r="AI330" s="14"/>
      <c r="AJ330" s="14"/>
      <c r="AK330" s="14"/>
      <c r="AL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18"/>
      <c r="AX330" s="118"/>
      <c r="AY330" s="118"/>
      <c r="AZ330" s="14"/>
      <c r="BA330" s="14"/>
      <c r="BB330" s="14"/>
      <c r="BC330" s="14"/>
      <c r="BD330" s="14"/>
      <c r="BE330" s="14"/>
      <c r="BF330" s="14"/>
      <c r="BG330" s="14"/>
    </row>
    <row r="331" spans="2:59" s="15" customFormat="1" ht="14.25" x14ac:dyDescent="0.2">
      <c r="B331" s="27"/>
      <c r="C331" s="27"/>
      <c r="D331" s="27"/>
      <c r="E331" s="27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9"/>
      <c r="AE331" s="29"/>
      <c r="AF331" s="29"/>
      <c r="AG331" s="14"/>
      <c r="AH331" s="14"/>
      <c r="AI331" s="14"/>
      <c r="AJ331" s="14"/>
      <c r="AK331" s="14"/>
      <c r="AL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18"/>
      <c r="AX331" s="118"/>
      <c r="AY331" s="118"/>
      <c r="AZ331" s="14"/>
      <c r="BA331" s="14"/>
      <c r="BB331" s="14"/>
      <c r="BC331" s="14"/>
      <c r="BD331" s="14"/>
      <c r="BE331" s="14"/>
      <c r="BF331" s="14"/>
      <c r="BG331" s="14"/>
    </row>
    <row r="332" spans="2:59" s="15" customFormat="1" ht="14.25" x14ac:dyDescent="0.2">
      <c r="B332" s="27"/>
      <c r="C332" s="27"/>
      <c r="D332" s="27"/>
      <c r="E332" s="27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9"/>
      <c r="AE332" s="29"/>
      <c r="AF332" s="29"/>
      <c r="AG332" s="14"/>
      <c r="AH332" s="14"/>
      <c r="AI332" s="14"/>
      <c r="AJ332" s="14"/>
      <c r="AK332" s="14"/>
      <c r="AL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18"/>
      <c r="AX332" s="118"/>
      <c r="AY332" s="118"/>
      <c r="AZ332" s="14"/>
      <c r="BA332" s="14"/>
      <c r="BB332" s="14"/>
      <c r="BC332" s="14"/>
      <c r="BD332" s="14"/>
      <c r="BE332" s="14"/>
      <c r="BF332" s="14"/>
      <c r="BG332" s="14"/>
    </row>
    <row r="333" spans="2:59" s="15" customFormat="1" ht="14.25" x14ac:dyDescent="0.2">
      <c r="B333" s="27"/>
      <c r="C333" s="27"/>
      <c r="D333" s="27"/>
      <c r="E333" s="27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9"/>
      <c r="AE333" s="29"/>
      <c r="AF333" s="29"/>
      <c r="AG333" s="14"/>
      <c r="AH333" s="14"/>
      <c r="AI333" s="14"/>
      <c r="AJ333" s="14"/>
      <c r="AK333" s="14"/>
      <c r="AL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18"/>
      <c r="AX333" s="118"/>
      <c r="AY333" s="118"/>
      <c r="AZ333" s="14"/>
      <c r="BA333" s="14"/>
      <c r="BB333" s="14"/>
      <c r="BC333" s="14"/>
      <c r="BD333" s="14"/>
      <c r="BE333" s="14"/>
      <c r="BF333" s="14"/>
      <c r="BG333" s="14"/>
    </row>
    <row r="334" spans="2:59" s="15" customFormat="1" ht="14.25" x14ac:dyDescent="0.2">
      <c r="B334" s="27"/>
      <c r="C334" s="27"/>
      <c r="D334" s="27"/>
      <c r="E334" s="27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9"/>
      <c r="AE334" s="29"/>
      <c r="AF334" s="29"/>
      <c r="AG334" s="14"/>
      <c r="AH334" s="14"/>
      <c r="AI334" s="14"/>
      <c r="AJ334" s="14"/>
      <c r="AK334" s="14"/>
      <c r="AL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18"/>
      <c r="AX334" s="118"/>
      <c r="AY334" s="118"/>
      <c r="AZ334" s="14"/>
      <c r="BA334" s="14"/>
      <c r="BB334" s="14"/>
      <c r="BC334" s="14"/>
      <c r="BD334" s="14"/>
      <c r="BE334" s="14"/>
      <c r="BF334" s="14"/>
      <c r="BG334" s="14"/>
    </row>
    <row r="335" spans="2:59" s="15" customFormat="1" ht="14.25" x14ac:dyDescent="0.2">
      <c r="B335" s="27"/>
      <c r="C335" s="27"/>
      <c r="D335" s="27"/>
      <c r="E335" s="27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9"/>
      <c r="AE335" s="29"/>
      <c r="AF335" s="29"/>
      <c r="AG335" s="14"/>
      <c r="AH335" s="14"/>
      <c r="AI335" s="14"/>
      <c r="AJ335" s="14"/>
      <c r="AK335" s="14"/>
      <c r="AL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18"/>
      <c r="AX335" s="118"/>
      <c r="AY335" s="118"/>
      <c r="AZ335" s="14"/>
      <c r="BA335" s="14"/>
      <c r="BB335" s="14"/>
      <c r="BC335" s="14"/>
      <c r="BD335" s="14"/>
      <c r="BE335" s="14"/>
      <c r="BF335" s="14"/>
      <c r="BG335" s="14"/>
    </row>
    <row r="336" spans="2:59" s="15" customFormat="1" ht="14.25" x14ac:dyDescent="0.2">
      <c r="B336" s="27"/>
      <c r="C336" s="27"/>
      <c r="D336" s="27"/>
      <c r="E336" s="27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9"/>
      <c r="AE336" s="29"/>
      <c r="AF336" s="29"/>
      <c r="AG336" s="14"/>
      <c r="AH336" s="14"/>
      <c r="AI336" s="14"/>
      <c r="AJ336" s="14"/>
      <c r="AK336" s="14"/>
      <c r="AL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18"/>
      <c r="AX336" s="118"/>
      <c r="AY336" s="118"/>
      <c r="AZ336" s="14"/>
      <c r="BA336" s="14"/>
      <c r="BB336" s="14"/>
      <c r="BC336" s="14"/>
      <c r="BD336" s="14"/>
      <c r="BE336" s="14"/>
      <c r="BF336" s="14"/>
      <c r="BG336" s="14"/>
    </row>
    <row r="337" spans="2:59" s="15" customFormat="1" ht="14.25" x14ac:dyDescent="0.2">
      <c r="B337" s="27"/>
      <c r="C337" s="27"/>
      <c r="D337" s="27"/>
      <c r="E337" s="27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9"/>
      <c r="AE337" s="29"/>
      <c r="AF337" s="29"/>
      <c r="AG337" s="14"/>
      <c r="AH337" s="14"/>
      <c r="AI337" s="14"/>
      <c r="AJ337" s="14"/>
      <c r="AK337" s="14"/>
      <c r="AL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18"/>
      <c r="AX337" s="118"/>
      <c r="AY337" s="118"/>
      <c r="AZ337" s="14"/>
      <c r="BA337" s="14"/>
      <c r="BB337" s="14"/>
      <c r="BC337" s="14"/>
      <c r="BD337" s="14"/>
      <c r="BE337" s="14"/>
      <c r="BF337" s="14"/>
      <c r="BG337" s="14"/>
    </row>
    <row r="338" spans="2:59" s="15" customFormat="1" ht="14.25" x14ac:dyDescent="0.2">
      <c r="B338" s="27"/>
      <c r="C338" s="27"/>
      <c r="D338" s="27"/>
      <c r="E338" s="27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9"/>
      <c r="AE338" s="29"/>
      <c r="AF338" s="29"/>
      <c r="AG338" s="14"/>
      <c r="AH338" s="14"/>
      <c r="AI338" s="14"/>
      <c r="AJ338" s="14"/>
      <c r="AK338" s="14"/>
      <c r="AL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18"/>
      <c r="AX338" s="118"/>
      <c r="AY338" s="118"/>
      <c r="AZ338" s="14"/>
      <c r="BA338" s="14"/>
      <c r="BB338" s="14"/>
      <c r="BC338" s="14"/>
      <c r="BD338" s="14"/>
      <c r="BE338" s="14"/>
      <c r="BF338" s="14"/>
      <c r="BG338" s="14"/>
    </row>
    <row r="339" spans="2:59" s="15" customFormat="1" ht="14.25" x14ac:dyDescent="0.2">
      <c r="B339" s="27"/>
      <c r="C339" s="27"/>
      <c r="D339" s="27"/>
      <c r="E339" s="27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9"/>
      <c r="AE339" s="29"/>
      <c r="AF339" s="29"/>
      <c r="AG339" s="14"/>
      <c r="AH339" s="14"/>
      <c r="AI339" s="14"/>
      <c r="AJ339" s="14"/>
      <c r="AK339" s="14"/>
      <c r="AL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18"/>
      <c r="AX339" s="118"/>
      <c r="AY339" s="118"/>
      <c r="AZ339" s="14"/>
      <c r="BA339" s="14"/>
      <c r="BB339" s="14"/>
      <c r="BC339" s="14"/>
      <c r="BD339" s="14"/>
      <c r="BE339" s="14"/>
      <c r="BF339" s="14"/>
      <c r="BG339" s="14"/>
    </row>
    <row r="340" spans="2:59" s="15" customFormat="1" ht="14.25" x14ac:dyDescent="0.2">
      <c r="B340" s="27"/>
      <c r="C340" s="27"/>
      <c r="D340" s="27"/>
      <c r="E340" s="27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9"/>
      <c r="AE340" s="29"/>
      <c r="AF340" s="29"/>
      <c r="AG340" s="14"/>
      <c r="AH340" s="14"/>
      <c r="AI340" s="14"/>
      <c r="AJ340" s="14"/>
      <c r="AK340" s="14"/>
      <c r="AL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18"/>
      <c r="AX340" s="118"/>
      <c r="AY340" s="118"/>
      <c r="AZ340" s="14"/>
      <c r="BA340" s="14"/>
      <c r="BB340" s="14"/>
      <c r="BC340" s="14"/>
      <c r="BD340" s="14"/>
      <c r="BE340" s="14"/>
      <c r="BF340" s="14"/>
      <c r="BG340" s="14"/>
    </row>
    <row r="341" spans="2:59" s="15" customFormat="1" ht="14.25" x14ac:dyDescent="0.2">
      <c r="B341" s="27"/>
      <c r="C341" s="27"/>
      <c r="D341" s="27"/>
      <c r="E341" s="27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9"/>
      <c r="AE341" s="29"/>
      <c r="AF341" s="29"/>
      <c r="AG341" s="14"/>
      <c r="AH341" s="14"/>
      <c r="AI341" s="14"/>
      <c r="AJ341" s="14"/>
      <c r="AK341" s="14"/>
      <c r="AL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18"/>
      <c r="AX341" s="118"/>
      <c r="AY341" s="118"/>
      <c r="AZ341" s="14"/>
      <c r="BA341" s="14"/>
      <c r="BB341" s="14"/>
      <c r="BC341" s="14"/>
      <c r="BD341" s="14"/>
      <c r="BE341" s="14"/>
      <c r="BF341" s="14"/>
      <c r="BG341" s="14"/>
    </row>
    <row r="342" spans="2:59" s="15" customFormat="1" ht="14.25" x14ac:dyDescent="0.2">
      <c r="B342" s="27"/>
      <c r="C342" s="27"/>
      <c r="D342" s="27"/>
      <c r="E342" s="27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9"/>
      <c r="AE342" s="29"/>
      <c r="AF342" s="29"/>
      <c r="AG342" s="14"/>
      <c r="AH342" s="14"/>
      <c r="AI342" s="14"/>
      <c r="AJ342" s="14"/>
      <c r="AK342" s="14"/>
      <c r="AL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18"/>
      <c r="AX342" s="118"/>
      <c r="AY342" s="118"/>
      <c r="AZ342" s="14"/>
      <c r="BA342" s="14"/>
      <c r="BB342" s="14"/>
      <c r="BC342" s="14"/>
      <c r="BD342" s="14"/>
      <c r="BE342" s="14"/>
      <c r="BF342" s="14"/>
      <c r="BG342" s="14"/>
    </row>
    <row r="343" spans="2:59" s="15" customFormat="1" ht="14.25" x14ac:dyDescent="0.2">
      <c r="B343" s="27"/>
      <c r="C343" s="27"/>
      <c r="D343" s="27"/>
      <c r="E343" s="27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9"/>
      <c r="AE343" s="29"/>
      <c r="AF343" s="29"/>
      <c r="AG343" s="14"/>
      <c r="AH343" s="14"/>
      <c r="AI343" s="14"/>
      <c r="AJ343" s="14"/>
      <c r="AK343" s="14"/>
      <c r="AL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18"/>
      <c r="AX343" s="118"/>
      <c r="AY343" s="118"/>
      <c r="AZ343" s="14"/>
      <c r="BA343" s="14"/>
      <c r="BB343" s="14"/>
      <c r="BC343" s="14"/>
      <c r="BD343" s="14"/>
      <c r="BE343" s="14"/>
      <c r="BF343" s="14"/>
      <c r="BG343" s="14"/>
    </row>
    <row r="344" spans="2:59" s="15" customFormat="1" ht="14.25" x14ac:dyDescent="0.2">
      <c r="B344" s="27"/>
      <c r="C344" s="27"/>
      <c r="D344" s="27"/>
      <c r="E344" s="27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9"/>
      <c r="AE344" s="29"/>
      <c r="AF344" s="29"/>
      <c r="AG344" s="14"/>
      <c r="AH344" s="14"/>
      <c r="AI344" s="14"/>
      <c r="AJ344" s="14"/>
      <c r="AK344" s="14"/>
      <c r="AL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18"/>
      <c r="AX344" s="118"/>
      <c r="AY344" s="118"/>
      <c r="AZ344" s="14"/>
      <c r="BA344" s="14"/>
      <c r="BB344" s="14"/>
      <c r="BC344" s="14"/>
      <c r="BD344" s="14"/>
      <c r="BE344" s="14"/>
      <c r="BF344" s="14"/>
      <c r="BG344" s="14"/>
    </row>
    <row r="345" spans="2:59" s="15" customFormat="1" ht="14.25" x14ac:dyDescent="0.2">
      <c r="B345" s="27"/>
      <c r="C345" s="27"/>
      <c r="D345" s="27"/>
      <c r="E345" s="27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9"/>
      <c r="AE345" s="29"/>
      <c r="AF345" s="29"/>
      <c r="AG345" s="14"/>
      <c r="AH345" s="14"/>
      <c r="AI345" s="14"/>
      <c r="AJ345" s="14"/>
      <c r="AK345" s="14"/>
      <c r="AL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18"/>
      <c r="AX345" s="118"/>
      <c r="AY345" s="118"/>
      <c r="AZ345" s="14"/>
      <c r="BA345" s="14"/>
      <c r="BB345" s="14"/>
      <c r="BC345" s="14"/>
      <c r="BD345" s="14"/>
      <c r="BE345" s="14"/>
      <c r="BF345" s="14"/>
      <c r="BG345" s="14"/>
    </row>
    <row r="346" spans="2:59" s="15" customFormat="1" ht="14.25" x14ac:dyDescent="0.2">
      <c r="B346" s="27"/>
      <c r="C346" s="27"/>
      <c r="D346" s="27"/>
      <c r="E346" s="27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9"/>
      <c r="AE346" s="29"/>
      <c r="AF346" s="29"/>
      <c r="AG346" s="14"/>
      <c r="AH346" s="14"/>
      <c r="AI346" s="14"/>
      <c r="AJ346" s="14"/>
      <c r="AK346" s="14"/>
      <c r="AL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18"/>
      <c r="AX346" s="118"/>
      <c r="AY346" s="118"/>
      <c r="AZ346" s="14"/>
      <c r="BA346" s="14"/>
      <c r="BB346" s="14"/>
      <c r="BC346" s="14"/>
      <c r="BD346" s="14"/>
      <c r="BE346" s="14"/>
      <c r="BF346" s="14"/>
      <c r="BG346" s="14"/>
    </row>
    <row r="347" spans="2:59" s="15" customFormat="1" ht="14.25" x14ac:dyDescent="0.2">
      <c r="B347" s="27"/>
      <c r="C347" s="27"/>
      <c r="D347" s="27"/>
      <c r="E347" s="27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9"/>
      <c r="AE347" s="29"/>
      <c r="AF347" s="29"/>
      <c r="AG347" s="14"/>
      <c r="AH347" s="14"/>
      <c r="AI347" s="14"/>
      <c r="AJ347" s="14"/>
      <c r="AK347" s="14"/>
      <c r="AL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18"/>
      <c r="AX347" s="118"/>
      <c r="AY347" s="118"/>
      <c r="AZ347" s="14"/>
      <c r="BA347" s="14"/>
      <c r="BB347" s="14"/>
      <c r="BC347" s="14"/>
      <c r="BD347" s="14"/>
      <c r="BE347" s="14"/>
      <c r="BF347" s="14"/>
      <c r="BG347" s="14"/>
    </row>
    <row r="348" spans="2:59" s="15" customFormat="1" ht="14.25" x14ac:dyDescent="0.2">
      <c r="B348" s="27"/>
      <c r="C348" s="27"/>
      <c r="D348" s="27"/>
      <c r="E348" s="27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9"/>
      <c r="AE348" s="29"/>
      <c r="AF348" s="29"/>
      <c r="AG348" s="14"/>
      <c r="AH348" s="14"/>
      <c r="AI348" s="14"/>
      <c r="AJ348" s="14"/>
      <c r="AK348" s="14"/>
      <c r="AL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18"/>
      <c r="AX348" s="118"/>
      <c r="AY348" s="118"/>
      <c r="AZ348" s="14"/>
      <c r="BA348" s="14"/>
      <c r="BB348" s="14"/>
      <c r="BC348" s="14"/>
      <c r="BD348" s="14"/>
      <c r="BE348" s="14"/>
      <c r="BF348" s="14"/>
      <c r="BG348" s="14"/>
    </row>
    <row r="349" spans="2:59" s="15" customFormat="1" ht="14.25" x14ac:dyDescent="0.2">
      <c r="B349" s="27"/>
      <c r="C349" s="27"/>
      <c r="D349" s="27"/>
      <c r="E349" s="27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9"/>
      <c r="AE349" s="29"/>
      <c r="AF349" s="29"/>
      <c r="AG349" s="14"/>
      <c r="AH349" s="14"/>
      <c r="AI349" s="14"/>
      <c r="AJ349" s="14"/>
      <c r="AK349" s="14"/>
      <c r="AL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18"/>
      <c r="AX349" s="118"/>
      <c r="AY349" s="118"/>
      <c r="AZ349" s="14"/>
      <c r="BA349" s="14"/>
      <c r="BB349" s="14"/>
      <c r="BC349" s="14"/>
      <c r="BD349" s="14"/>
      <c r="BE349" s="14"/>
      <c r="BF349" s="14"/>
      <c r="BG349" s="14"/>
    </row>
    <row r="350" spans="2:59" s="15" customFormat="1" ht="14.25" x14ac:dyDescent="0.2">
      <c r="B350" s="27"/>
      <c r="C350" s="27"/>
      <c r="D350" s="27"/>
      <c r="E350" s="27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9"/>
      <c r="AE350" s="29"/>
      <c r="AF350" s="29"/>
      <c r="AG350" s="14"/>
      <c r="AH350" s="14"/>
      <c r="AI350" s="14"/>
      <c r="AJ350" s="14"/>
      <c r="AK350" s="14"/>
      <c r="AL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18"/>
      <c r="AX350" s="118"/>
      <c r="AY350" s="118"/>
      <c r="AZ350" s="14"/>
      <c r="BA350" s="14"/>
      <c r="BB350" s="14"/>
      <c r="BC350" s="14"/>
      <c r="BD350" s="14"/>
      <c r="BE350" s="14"/>
      <c r="BF350" s="14"/>
      <c r="BG350" s="14"/>
    </row>
    <row r="351" spans="2:59" s="15" customFormat="1" ht="14.25" x14ac:dyDescent="0.2">
      <c r="B351" s="27"/>
      <c r="C351" s="27"/>
      <c r="D351" s="27"/>
      <c r="E351" s="27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9"/>
      <c r="AE351" s="29"/>
      <c r="AF351" s="29"/>
      <c r="AG351" s="14"/>
      <c r="AH351" s="14"/>
      <c r="AI351" s="14"/>
      <c r="AJ351" s="14"/>
      <c r="AK351" s="14"/>
      <c r="AL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18"/>
      <c r="AX351" s="118"/>
      <c r="AY351" s="118"/>
      <c r="AZ351" s="14"/>
      <c r="BA351" s="14"/>
      <c r="BB351" s="14"/>
      <c r="BC351" s="14"/>
      <c r="BD351" s="14"/>
      <c r="BE351" s="14"/>
      <c r="BF351" s="14"/>
      <c r="BG351" s="14"/>
    </row>
    <row r="352" spans="2:59" s="15" customFormat="1" ht="14.25" x14ac:dyDescent="0.2">
      <c r="B352" s="27"/>
      <c r="C352" s="27"/>
      <c r="D352" s="27"/>
      <c r="E352" s="27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9"/>
      <c r="AE352" s="29"/>
      <c r="AF352" s="29"/>
      <c r="AG352" s="14"/>
      <c r="AH352" s="14"/>
      <c r="AI352" s="14"/>
      <c r="AJ352" s="14"/>
      <c r="AK352" s="14"/>
      <c r="AL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18"/>
      <c r="AX352" s="118"/>
      <c r="AY352" s="118"/>
      <c r="AZ352" s="14"/>
      <c r="BA352" s="14"/>
      <c r="BB352" s="14"/>
      <c r="BC352" s="14"/>
      <c r="BD352" s="14"/>
      <c r="BE352" s="14"/>
      <c r="BF352" s="14"/>
      <c r="BG352" s="14"/>
    </row>
    <row r="353" spans="2:59" s="15" customFormat="1" ht="14.25" x14ac:dyDescent="0.2">
      <c r="B353" s="27"/>
      <c r="C353" s="27"/>
      <c r="D353" s="27"/>
      <c r="E353" s="27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9"/>
      <c r="AE353" s="29"/>
      <c r="AF353" s="29"/>
      <c r="AG353" s="14"/>
      <c r="AH353" s="14"/>
      <c r="AI353" s="14"/>
      <c r="AJ353" s="14"/>
      <c r="AK353" s="14"/>
      <c r="AL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18"/>
      <c r="AX353" s="118"/>
      <c r="AY353" s="118"/>
      <c r="AZ353" s="14"/>
      <c r="BA353" s="14"/>
      <c r="BB353" s="14"/>
      <c r="BC353" s="14"/>
      <c r="BD353" s="14"/>
      <c r="BE353" s="14"/>
      <c r="BF353" s="14"/>
      <c r="BG353" s="14"/>
    </row>
    <row r="354" spans="2:59" s="15" customFormat="1" ht="14.25" x14ac:dyDescent="0.2">
      <c r="B354" s="27"/>
      <c r="C354" s="27"/>
      <c r="D354" s="27"/>
      <c r="E354" s="27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9"/>
      <c r="AE354" s="29"/>
      <c r="AF354" s="29"/>
      <c r="AG354" s="14"/>
      <c r="AH354" s="14"/>
      <c r="AI354" s="14"/>
      <c r="AJ354" s="14"/>
      <c r="AK354" s="14"/>
      <c r="AL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18"/>
      <c r="AX354" s="118"/>
      <c r="AY354" s="118"/>
      <c r="AZ354" s="14"/>
      <c r="BA354" s="14"/>
      <c r="BB354" s="14"/>
      <c r="BC354" s="14"/>
      <c r="BD354" s="14"/>
      <c r="BE354" s="14"/>
      <c r="BF354" s="14"/>
      <c r="BG354" s="14"/>
    </row>
    <row r="355" spans="2:59" s="15" customFormat="1" ht="14.25" x14ac:dyDescent="0.2">
      <c r="B355" s="27"/>
      <c r="C355" s="27"/>
      <c r="D355" s="27"/>
      <c r="E355" s="27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9"/>
      <c r="AE355" s="29"/>
      <c r="AF355" s="29"/>
      <c r="AG355" s="14"/>
      <c r="AH355" s="14"/>
      <c r="AI355" s="14"/>
      <c r="AJ355" s="14"/>
      <c r="AK355" s="14"/>
      <c r="AL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18"/>
      <c r="AX355" s="118"/>
      <c r="AY355" s="118"/>
      <c r="AZ355" s="14"/>
      <c r="BA355" s="14"/>
      <c r="BB355" s="14"/>
      <c r="BC355" s="14"/>
      <c r="BD355" s="14"/>
      <c r="BE355" s="14"/>
      <c r="BF355" s="14"/>
      <c r="BG355" s="14"/>
    </row>
    <row r="356" spans="2:59" s="15" customFormat="1" ht="14.25" x14ac:dyDescent="0.2">
      <c r="B356" s="27"/>
      <c r="C356" s="27"/>
      <c r="D356" s="27"/>
      <c r="E356" s="27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9"/>
      <c r="AE356" s="29"/>
      <c r="AF356" s="29"/>
      <c r="AG356" s="14"/>
      <c r="AH356" s="14"/>
      <c r="AI356" s="14"/>
      <c r="AJ356" s="14"/>
      <c r="AK356" s="14"/>
      <c r="AL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18"/>
      <c r="AX356" s="118"/>
      <c r="AY356" s="118"/>
      <c r="AZ356" s="14"/>
      <c r="BA356" s="14"/>
      <c r="BB356" s="14"/>
      <c r="BC356" s="14"/>
      <c r="BD356" s="14"/>
      <c r="BE356" s="14"/>
      <c r="BF356" s="14"/>
      <c r="BG356" s="14"/>
    </row>
    <row r="357" spans="2:59" s="15" customFormat="1" ht="14.25" x14ac:dyDescent="0.2">
      <c r="B357" s="27"/>
      <c r="C357" s="27"/>
      <c r="D357" s="27"/>
      <c r="E357" s="27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9"/>
      <c r="AE357" s="29"/>
      <c r="AF357" s="29"/>
      <c r="AG357" s="14"/>
      <c r="AH357" s="14"/>
      <c r="AI357" s="14"/>
      <c r="AJ357" s="14"/>
      <c r="AK357" s="14"/>
      <c r="AL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18"/>
      <c r="AX357" s="118"/>
      <c r="AY357" s="118"/>
      <c r="AZ357" s="14"/>
      <c r="BA357" s="14"/>
      <c r="BB357" s="14"/>
      <c r="BC357" s="14"/>
      <c r="BD357" s="14"/>
      <c r="BE357" s="14"/>
      <c r="BF357" s="14"/>
      <c r="BG357" s="14"/>
    </row>
    <row r="358" spans="2:59" s="15" customFormat="1" ht="14.25" x14ac:dyDescent="0.2">
      <c r="B358" s="27"/>
      <c r="C358" s="27"/>
      <c r="D358" s="27"/>
      <c r="E358" s="27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9"/>
      <c r="AE358" s="29"/>
      <c r="AF358" s="29"/>
      <c r="AG358" s="14"/>
      <c r="AH358" s="14"/>
      <c r="AI358" s="14"/>
      <c r="AJ358" s="14"/>
      <c r="AK358" s="14"/>
      <c r="AL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18"/>
      <c r="AX358" s="118"/>
      <c r="AY358" s="118"/>
      <c r="AZ358" s="14"/>
      <c r="BA358" s="14"/>
      <c r="BB358" s="14"/>
      <c r="BC358" s="14"/>
      <c r="BD358" s="14"/>
      <c r="BE358" s="14"/>
      <c r="BF358" s="14"/>
      <c r="BG358" s="14"/>
    </row>
    <row r="359" spans="2:59" s="15" customFormat="1" ht="14.25" x14ac:dyDescent="0.2">
      <c r="B359" s="27"/>
      <c r="C359" s="27"/>
      <c r="D359" s="27"/>
      <c r="E359" s="27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9"/>
      <c r="AE359" s="29"/>
      <c r="AF359" s="29"/>
      <c r="AG359" s="14"/>
      <c r="AH359" s="14"/>
      <c r="AI359" s="14"/>
      <c r="AJ359" s="14"/>
      <c r="AK359" s="14"/>
      <c r="AL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18"/>
      <c r="AX359" s="118"/>
      <c r="AY359" s="118"/>
      <c r="AZ359" s="14"/>
      <c r="BA359" s="14"/>
      <c r="BB359" s="14"/>
      <c r="BC359" s="14"/>
      <c r="BD359" s="14"/>
      <c r="BE359" s="14"/>
      <c r="BF359" s="14"/>
      <c r="BG359" s="14"/>
    </row>
    <row r="360" spans="2:59" s="15" customFormat="1" ht="14.25" x14ac:dyDescent="0.2">
      <c r="B360" s="27"/>
      <c r="C360" s="27"/>
      <c r="D360" s="27"/>
      <c r="E360" s="27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9"/>
      <c r="AE360" s="29"/>
      <c r="AF360" s="29"/>
      <c r="AG360" s="14"/>
      <c r="AH360" s="14"/>
      <c r="AI360" s="14"/>
      <c r="AJ360" s="14"/>
      <c r="AK360" s="14"/>
      <c r="AL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18"/>
      <c r="AX360" s="118"/>
      <c r="AY360" s="118"/>
      <c r="AZ360" s="14"/>
      <c r="BA360" s="14"/>
      <c r="BB360" s="14"/>
      <c r="BC360" s="14"/>
      <c r="BD360" s="14"/>
      <c r="BE360" s="14"/>
      <c r="BF360" s="14"/>
      <c r="BG360" s="14"/>
    </row>
    <row r="361" spans="2:59" s="15" customFormat="1" ht="14.25" x14ac:dyDescent="0.2">
      <c r="B361" s="27"/>
      <c r="C361" s="27"/>
      <c r="D361" s="27"/>
      <c r="E361" s="27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9"/>
      <c r="AE361" s="29"/>
      <c r="AF361" s="29"/>
      <c r="AG361" s="14"/>
      <c r="AH361" s="14"/>
      <c r="AI361" s="14"/>
      <c r="AJ361" s="14"/>
      <c r="AK361" s="14"/>
      <c r="AL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18"/>
      <c r="AX361" s="118"/>
      <c r="AY361" s="118"/>
      <c r="AZ361" s="14"/>
      <c r="BA361" s="14"/>
      <c r="BB361" s="14"/>
      <c r="BC361" s="14"/>
      <c r="BD361" s="14"/>
      <c r="BE361" s="14"/>
      <c r="BF361" s="14"/>
      <c r="BG361" s="14"/>
    </row>
    <row r="362" spans="2:59" s="15" customFormat="1" ht="14.25" x14ac:dyDescent="0.2">
      <c r="B362" s="27"/>
      <c r="C362" s="27"/>
      <c r="D362" s="27"/>
      <c r="E362" s="27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9"/>
      <c r="AE362" s="29"/>
      <c r="AF362" s="29"/>
      <c r="AG362" s="14"/>
      <c r="AH362" s="14"/>
      <c r="AI362" s="14"/>
      <c r="AJ362" s="14"/>
      <c r="AK362" s="14"/>
      <c r="AL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18"/>
      <c r="AX362" s="118"/>
      <c r="AY362" s="118"/>
      <c r="AZ362" s="14"/>
      <c r="BA362" s="14"/>
      <c r="BB362" s="14"/>
      <c r="BC362" s="14"/>
      <c r="BD362" s="14"/>
      <c r="BE362" s="14"/>
      <c r="BF362" s="14"/>
      <c r="BG362" s="14"/>
    </row>
    <row r="363" spans="2:59" s="15" customFormat="1" ht="14.25" x14ac:dyDescent="0.2">
      <c r="B363" s="27"/>
      <c r="C363" s="27"/>
      <c r="D363" s="27"/>
      <c r="E363" s="27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9"/>
      <c r="AE363" s="29"/>
      <c r="AF363" s="29"/>
      <c r="AG363" s="14"/>
      <c r="AH363" s="14"/>
      <c r="AI363" s="14"/>
      <c r="AJ363" s="14"/>
      <c r="AK363" s="14"/>
      <c r="AL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18"/>
      <c r="AX363" s="118"/>
      <c r="AY363" s="118"/>
      <c r="AZ363" s="14"/>
      <c r="BA363" s="14"/>
      <c r="BB363" s="14"/>
      <c r="BC363" s="14"/>
      <c r="BD363" s="14"/>
      <c r="BE363" s="14"/>
      <c r="BF363" s="14"/>
      <c r="BG363" s="14"/>
    </row>
    <row r="364" spans="2:59" s="15" customFormat="1" ht="14.25" x14ac:dyDescent="0.2">
      <c r="B364" s="27"/>
      <c r="C364" s="27"/>
      <c r="D364" s="27"/>
      <c r="E364" s="27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9"/>
      <c r="AE364" s="29"/>
      <c r="AF364" s="29"/>
      <c r="AG364" s="14"/>
      <c r="AH364" s="14"/>
      <c r="AI364" s="14"/>
      <c r="AJ364" s="14"/>
      <c r="AK364" s="14"/>
      <c r="AL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18"/>
      <c r="AX364" s="118"/>
      <c r="AY364" s="118"/>
      <c r="AZ364" s="14"/>
      <c r="BA364" s="14"/>
      <c r="BB364" s="14"/>
      <c r="BC364" s="14"/>
      <c r="BD364" s="14"/>
      <c r="BE364" s="14"/>
      <c r="BF364" s="14"/>
      <c r="BG364" s="14"/>
    </row>
    <row r="365" spans="2:59" s="15" customFormat="1" ht="14.25" x14ac:dyDescent="0.2">
      <c r="B365" s="27"/>
      <c r="C365" s="27"/>
      <c r="D365" s="27"/>
      <c r="E365" s="27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9"/>
      <c r="AE365" s="29"/>
      <c r="AF365" s="29"/>
      <c r="AG365" s="14"/>
      <c r="AH365" s="14"/>
      <c r="AI365" s="14"/>
      <c r="AJ365" s="14"/>
      <c r="AK365" s="14"/>
      <c r="AL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18"/>
      <c r="AX365" s="118"/>
      <c r="AY365" s="118"/>
      <c r="AZ365" s="14"/>
      <c r="BA365" s="14"/>
      <c r="BB365" s="14"/>
      <c r="BC365" s="14"/>
      <c r="BD365" s="14"/>
      <c r="BE365" s="14"/>
      <c r="BF365" s="14"/>
      <c r="BG365" s="14"/>
    </row>
    <row r="366" spans="2:59" s="15" customFormat="1" ht="14.25" x14ac:dyDescent="0.2">
      <c r="B366" s="27"/>
      <c r="C366" s="27"/>
      <c r="D366" s="27"/>
      <c r="E366" s="27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9"/>
      <c r="AE366" s="29"/>
      <c r="AF366" s="29"/>
      <c r="AG366" s="14"/>
      <c r="AH366" s="14"/>
      <c r="AI366" s="14"/>
      <c r="AJ366" s="14"/>
      <c r="AK366" s="14"/>
      <c r="AL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18"/>
      <c r="AX366" s="118"/>
      <c r="AY366" s="118"/>
      <c r="AZ366" s="14"/>
      <c r="BA366" s="14"/>
      <c r="BB366" s="14"/>
      <c r="BC366" s="14"/>
      <c r="BD366" s="14"/>
      <c r="BE366" s="14"/>
      <c r="BF366" s="14"/>
      <c r="BG366" s="14"/>
    </row>
    <row r="367" spans="2:59" s="15" customFormat="1" ht="14.25" x14ac:dyDescent="0.2">
      <c r="B367" s="27"/>
      <c r="C367" s="27"/>
      <c r="D367" s="27"/>
      <c r="E367" s="27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9"/>
      <c r="AE367" s="29"/>
      <c r="AF367" s="29"/>
      <c r="AG367" s="14"/>
      <c r="AH367" s="14"/>
      <c r="AI367" s="14"/>
      <c r="AJ367" s="14"/>
      <c r="AK367" s="14"/>
      <c r="AL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18"/>
      <c r="AX367" s="118"/>
      <c r="AY367" s="118"/>
      <c r="AZ367" s="14"/>
      <c r="BA367" s="14"/>
      <c r="BB367" s="14"/>
      <c r="BC367" s="14"/>
      <c r="BD367" s="14"/>
      <c r="BE367" s="14"/>
      <c r="BF367" s="14"/>
      <c r="BG367" s="14"/>
    </row>
    <row r="368" spans="2:59" s="15" customFormat="1" ht="14.25" x14ac:dyDescent="0.2">
      <c r="B368" s="27"/>
      <c r="C368" s="27"/>
      <c r="D368" s="27"/>
      <c r="E368" s="27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9"/>
      <c r="AE368" s="29"/>
      <c r="AF368" s="29"/>
      <c r="AG368" s="14"/>
      <c r="AH368" s="14"/>
      <c r="AI368" s="14"/>
      <c r="AJ368" s="14"/>
      <c r="AK368" s="14"/>
      <c r="AL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18"/>
      <c r="AX368" s="118"/>
      <c r="AY368" s="118"/>
      <c r="AZ368" s="14"/>
      <c r="BA368" s="14"/>
      <c r="BB368" s="14"/>
      <c r="BC368" s="14"/>
      <c r="BD368" s="14"/>
      <c r="BE368" s="14"/>
      <c r="BF368" s="14"/>
      <c r="BG368" s="14"/>
    </row>
    <row r="369" spans="2:59" s="15" customFormat="1" ht="14.25" x14ac:dyDescent="0.2">
      <c r="B369" s="27"/>
      <c r="C369" s="27"/>
      <c r="D369" s="27"/>
      <c r="E369" s="27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9"/>
      <c r="AE369" s="29"/>
      <c r="AF369" s="29"/>
      <c r="AG369" s="14"/>
      <c r="AH369" s="14"/>
      <c r="AI369" s="14"/>
      <c r="AJ369" s="14"/>
      <c r="AK369" s="14"/>
      <c r="AL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18"/>
      <c r="AX369" s="118"/>
      <c r="AY369" s="118"/>
      <c r="AZ369" s="14"/>
      <c r="BA369" s="14"/>
      <c r="BB369" s="14"/>
      <c r="BC369" s="14"/>
      <c r="BD369" s="14"/>
      <c r="BE369" s="14"/>
      <c r="BF369" s="14"/>
      <c r="BG369" s="14"/>
    </row>
    <row r="370" spans="2:59" s="15" customFormat="1" ht="14.25" x14ac:dyDescent="0.2">
      <c r="B370" s="27"/>
      <c r="C370" s="27"/>
      <c r="D370" s="27"/>
      <c r="E370" s="27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9"/>
      <c r="AE370" s="29"/>
      <c r="AF370" s="29"/>
      <c r="AG370" s="14"/>
      <c r="AH370" s="14"/>
      <c r="AI370" s="14"/>
      <c r="AJ370" s="14"/>
      <c r="AK370" s="14"/>
      <c r="AL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18"/>
      <c r="AX370" s="118"/>
      <c r="AY370" s="118"/>
      <c r="AZ370" s="14"/>
      <c r="BA370" s="14"/>
      <c r="BB370" s="14"/>
      <c r="BC370" s="14"/>
      <c r="BD370" s="14"/>
      <c r="BE370" s="14"/>
      <c r="BF370" s="14"/>
      <c r="BG370" s="14"/>
    </row>
    <row r="371" spans="2:59" s="15" customFormat="1" ht="14.25" x14ac:dyDescent="0.2">
      <c r="B371" s="27"/>
      <c r="C371" s="27"/>
      <c r="D371" s="27"/>
      <c r="E371" s="27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9"/>
      <c r="AE371" s="29"/>
      <c r="AF371" s="29"/>
      <c r="AG371" s="14"/>
      <c r="AH371" s="14"/>
      <c r="AI371" s="14"/>
      <c r="AJ371" s="14"/>
      <c r="AK371" s="14"/>
      <c r="AL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18"/>
      <c r="AX371" s="118"/>
      <c r="AY371" s="118"/>
      <c r="AZ371" s="14"/>
      <c r="BA371" s="14"/>
      <c r="BB371" s="14"/>
      <c r="BC371" s="14"/>
      <c r="BD371" s="14"/>
      <c r="BE371" s="14"/>
      <c r="BF371" s="14"/>
      <c r="BG371" s="14"/>
    </row>
    <row r="372" spans="2:59" s="15" customFormat="1" ht="14.25" x14ac:dyDescent="0.2">
      <c r="B372" s="27"/>
      <c r="C372" s="27"/>
      <c r="D372" s="27"/>
      <c r="E372" s="27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9"/>
      <c r="AE372" s="29"/>
      <c r="AF372" s="29"/>
      <c r="AG372" s="14"/>
      <c r="AH372" s="14"/>
      <c r="AI372" s="14"/>
      <c r="AJ372" s="14"/>
      <c r="AK372" s="14"/>
      <c r="AL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18"/>
      <c r="AX372" s="118"/>
      <c r="AY372" s="118"/>
      <c r="AZ372" s="14"/>
      <c r="BA372" s="14"/>
      <c r="BB372" s="14"/>
      <c r="BC372" s="14"/>
      <c r="BD372" s="14"/>
      <c r="BE372" s="14"/>
      <c r="BF372" s="14"/>
      <c r="BG372" s="14"/>
    </row>
    <row r="373" spans="2:59" s="15" customFormat="1" ht="14.25" x14ac:dyDescent="0.2">
      <c r="B373" s="27"/>
      <c r="C373" s="27"/>
      <c r="D373" s="27"/>
      <c r="E373" s="27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9"/>
      <c r="AE373" s="29"/>
      <c r="AF373" s="29"/>
      <c r="AG373" s="14"/>
      <c r="AH373" s="14"/>
      <c r="AI373" s="14"/>
      <c r="AJ373" s="14"/>
      <c r="AK373" s="14"/>
      <c r="AL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18"/>
      <c r="AX373" s="118"/>
      <c r="AY373" s="118"/>
      <c r="AZ373" s="14"/>
      <c r="BA373" s="14"/>
      <c r="BB373" s="14"/>
      <c r="BC373" s="14"/>
      <c r="BD373" s="14"/>
      <c r="BE373" s="14"/>
      <c r="BF373" s="14"/>
      <c r="BG373" s="14"/>
    </row>
    <row r="374" spans="2:59" s="15" customFormat="1" ht="14.25" x14ac:dyDescent="0.2">
      <c r="B374" s="27"/>
      <c r="C374" s="27"/>
      <c r="D374" s="27"/>
      <c r="E374" s="27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9"/>
      <c r="AE374" s="29"/>
      <c r="AF374" s="29"/>
      <c r="AG374" s="14"/>
      <c r="AH374" s="14"/>
      <c r="AI374" s="14"/>
      <c r="AJ374" s="14"/>
      <c r="AK374" s="14"/>
      <c r="AL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18"/>
      <c r="AX374" s="118"/>
      <c r="AY374" s="118"/>
      <c r="AZ374" s="14"/>
      <c r="BA374" s="14"/>
      <c r="BB374" s="14"/>
      <c r="BC374" s="14"/>
      <c r="BD374" s="14"/>
      <c r="BE374" s="14"/>
      <c r="BF374" s="14"/>
      <c r="BG374" s="14"/>
    </row>
    <row r="375" spans="2:59" s="15" customFormat="1" ht="14.25" x14ac:dyDescent="0.2">
      <c r="B375" s="27"/>
      <c r="C375" s="27"/>
      <c r="D375" s="27"/>
      <c r="E375" s="27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9"/>
      <c r="AE375" s="29"/>
      <c r="AF375" s="29"/>
      <c r="AG375" s="14"/>
      <c r="AH375" s="14"/>
      <c r="AI375" s="14"/>
      <c r="AJ375" s="14"/>
      <c r="AK375" s="14"/>
      <c r="AL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18"/>
      <c r="AX375" s="118"/>
      <c r="AY375" s="118"/>
      <c r="AZ375" s="14"/>
      <c r="BA375" s="14"/>
      <c r="BB375" s="14"/>
      <c r="BC375" s="14"/>
      <c r="BD375" s="14"/>
      <c r="BE375" s="14"/>
      <c r="BF375" s="14"/>
      <c r="BG375" s="14"/>
    </row>
    <row r="376" spans="2:59" s="15" customFormat="1" ht="14.25" x14ac:dyDescent="0.2">
      <c r="B376" s="27"/>
      <c r="C376" s="27"/>
      <c r="D376" s="27"/>
      <c r="E376" s="27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9"/>
      <c r="AE376" s="29"/>
      <c r="AF376" s="29"/>
      <c r="AG376" s="14"/>
      <c r="AH376" s="14"/>
      <c r="AI376" s="14"/>
      <c r="AJ376" s="14"/>
      <c r="AK376" s="14"/>
      <c r="AL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18"/>
      <c r="AX376" s="118"/>
      <c r="AY376" s="118"/>
      <c r="AZ376" s="14"/>
      <c r="BA376" s="14"/>
      <c r="BB376" s="14"/>
      <c r="BC376" s="14"/>
      <c r="BD376" s="14"/>
      <c r="BE376" s="14"/>
      <c r="BF376" s="14"/>
      <c r="BG376" s="14"/>
    </row>
    <row r="377" spans="2:59" s="15" customFormat="1" ht="14.25" x14ac:dyDescent="0.2">
      <c r="B377" s="27"/>
      <c r="C377" s="27"/>
      <c r="D377" s="27"/>
      <c r="E377" s="27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9"/>
      <c r="AE377" s="29"/>
      <c r="AF377" s="29"/>
      <c r="AG377" s="14"/>
      <c r="AH377" s="14"/>
      <c r="AI377" s="14"/>
      <c r="AJ377" s="14"/>
      <c r="AK377" s="14"/>
      <c r="AL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18"/>
      <c r="AX377" s="118"/>
      <c r="AY377" s="118"/>
      <c r="AZ377" s="14"/>
      <c r="BA377" s="14"/>
      <c r="BB377" s="14"/>
      <c r="BC377" s="14"/>
      <c r="BD377" s="14"/>
      <c r="BE377" s="14"/>
      <c r="BF377" s="14"/>
      <c r="BG377" s="14"/>
    </row>
    <row r="378" spans="2:59" s="15" customFormat="1" ht="14.25" x14ac:dyDescent="0.2">
      <c r="B378" s="27"/>
      <c r="C378" s="27"/>
      <c r="D378" s="27"/>
      <c r="E378" s="27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9"/>
      <c r="AE378" s="29"/>
      <c r="AF378" s="29"/>
      <c r="AG378" s="14"/>
      <c r="AH378" s="14"/>
      <c r="AI378" s="14"/>
      <c r="AJ378" s="14"/>
      <c r="AK378" s="14"/>
      <c r="AL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18"/>
      <c r="AX378" s="118"/>
      <c r="AY378" s="118"/>
      <c r="AZ378" s="14"/>
      <c r="BA378" s="14"/>
      <c r="BB378" s="14"/>
      <c r="BC378" s="14"/>
      <c r="BD378" s="14"/>
      <c r="BE378" s="14"/>
      <c r="BF378" s="14"/>
      <c r="BG378" s="14"/>
    </row>
    <row r="379" spans="2:59" s="15" customFormat="1" ht="14.25" x14ac:dyDescent="0.2">
      <c r="B379" s="27"/>
      <c r="C379" s="27"/>
      <c r="D379" s="27"/>
      <c r="E379" s="27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9"/>
      <c r="AE379" s="29"/>
      <c r="AF379" s="29"/>
      <c r="AG379" s="14"/>
      <c r="AH379" s="14"/>
      <c r="AI379" s="14"/>
      <c r="AJ379" s="14"/>
      <c r="AK379" s="14"/>
      <c r="AL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18"/>
      <c r="AX379" s="118"/>
      <c r="AY379" s="118"/>
      <c r="AZ379" s="14"/>
      <c r="BA379" s="14"/>
      <c r="BB379" s="14"/>
      <c r="BC379" s="14"/>
      <c r="BD379" s="14"/>
      <c r="BE379" s="14"/>
      <c r="BF379" s="14"/>
      <c r="BG379" s="14"/>
    </row>
    <row r="380" spans="2:59" s="15" customFormat="1" ht="14.25" x14ac:dyDescent="0.2">
      <c r="B380" s="27"/>
      <c r="C380" s="27"/>
      <c r="D380" s="27"/>
      <c r="E380" s="27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9"/>
      <c r="AE380" s="29"/>
      <c r="AF380" s="29"/>
      <c r="AG380" s="14"/>
      <c r="AH380" s="14"/>
      <c r="AI380" s="14"/>
      <c r="AJ380" s="14"/>
      <c r="AK380" s="14"/>
      <c r="AL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18"/>
      <c r="AX380" s="118"/>
      <c r="AY380" s="118"/>
      <c r="AZ380" s="14"/>
      <c r="BA380" s="14"/>
      <c r="BB380" s="14"/>
      <c r="BC380" s="14"/>
      <c r="BD380" s="14"/>
      <c r="BE380" s="14"/>
      <c r="BF380" s="14"/>
      <c r="BG380" s="14"/>
    </row>
    <row r="381" spans="2:59" s="15" customFormat="1" ht="14.25" x14ac:dyDescent="0.2">
      <c r="B381" s="27"/>
      <c r="C381" s="27"/>
      <c r="D381" s="27"/>
      <c r="E381" s="27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9"/>
      <c r="AE381" s="29"/>
      <c r="AF381" s="29"/>
      <c r="AG381" s="14"/>
      <c r="AH381" s="14"/>
      <c r="AI381" s="14"/>
      <c r="AJ381" s="14"/>
      <c r="AK381" s="14"/>
      <c r="AL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18"/>
      <c r="AX381" s="118"/>
      <c r="AY381" s="118"/>
      <c r="AZ381" s="14"/>
      <c r="BA381" s="14"/>
      <c r="BB381" s="14"/>
      <c r="BC381" s="14"/>
      <c r="BD381" s="14"/>
      <c r="BE381" s="14"/>
      <c r="BF381" s="14"/>
      <c r="BG381" s="14"/>
    </row>
    <row r="382" spans="2:59" s="15" customFormat="1" ht="14.25" x14ac:dyDescent="0.2">
      <c r="B382" s="27"/>
      <c r="C382" s="27"/>
      <c r="D382" s="27"/>
      <c r="E382" s="27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9"/>
      <c r="AE382" s="29"/>
      <c r="AF382" s="29"/>
      <c r="AG382" s="14"/>
      <c r="AH382" s="14"/>
      <c r="AI382" s="14"/>
      <c r="AJ382" s="14"/>
      <c r="AK382" s="14"/>
      <c r="AL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18"/>
      <c r="AX382" s="118"/>
      <c r="AY382" s="118"/>
      <c r="AZ382" s="14"/>
      <c r="BA382" s="14"/>
      <c r="BB382" s="14"/>
      <c r="BC382" s="14"/>
      <c r="BD382" s="14"/>
      <c r="BE382" s="14"/>
      <c r="BF382" s="14"/>
      <c r="BG382" s="14"/>
    </row>
    <row r="383" spans="2:59" s="15" customFormat="1" ht="14.25" x14ac:dyDescent="0.2">
      <c r="B383" s="27"/>
      <c r="C383" s="27"/>
      <c r="D383" s="27"/>
      <c r="E383" s="27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9"/>
      <c r="AE383" s="29"/>
      <c r="AF383" s="29"/>
      <c r="AG383" s="14"/>
      <c r="AH383" s="14"/>
      <c r="AI383" s="14"/>
      <c r="AJ383" s="14"/>
      <c r="AK383" s="14"/>
      <c r="AL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18"/>
      <c r="AX383" s="118"/>
      <c r="AY383" s="118"/>
      <c r="AZ383" s="14"/>
      <c r="BA383" s="14"/>
      <c r="BB383" s="14"/>
      <c r="BC383" s="14"/>
      <c r="BD383" s="14"/>
      <c r="BE383" s="14"/>
      <c r="BF383" s="14"/>
      <c r="BG383" s="14"/>
    </row>
    <row r="384" spans="2:59" s="15" customFormat="1" ht="14.25" x14ac:dyDescent="0.2">
      <c r="B384" s="27"/>
      <c r="C384" s="27"/>
      <c r="D384" s="27"/>
      <c r="E384" s="27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9"/>
      <c r="AE384" s="29"/>
      <c r="AF384" s="29"/>
      <c r="AG384" s="14"/>
      <c r="AH384" s="14"/>
      <c r="AI384" s="14"/>
      <c r="AJ384" s="14"/>
      <c r="AK384" s="14"/>
      <c r="AL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18"/>
      <c r="AX384" s="118"/>
      <c r="AY384" s="118"/>
      <c r="AZ384" s="14"/>
      <c r="BA384" s="14"/>
      <c r="BB384" s="14"/>
      <c r="BC384" s="14"/>
      <c r="BD384" s="14"/>
      <c r="BE384" s="14"/>
      <c r="BF384" s="14"/>
      <c r="BG384" s="14"/>
    </row>
    <row r="385" spans="2:59" s="15" customFormat="1" ht="14.25" x14ac:dyDescent="0.2">
      <c r="B385" s="27"/>
      <c r="C385" s="27"/>
      <c r="D385" s="27"/>
      <c r="E385" s="27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9"/>
      <c r="AE385" s="29"/>
      <c r="AF385" s="29"/>
      <c r="AG385" s="14"/>
      <c r="AH385" s="14"/>
      <c r="AI385" s="14"/>
      <c r="AJ385" s="14"/>
      <c r="AK385" s="14"/>
      <c r="AL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18"/>
      <c r="AX385" s="118"/>
      <c r="AY385" s="118"/>
      <c r="AZ385" s="14"/>
      <c r="BA385" s="14"/>
      <c r="BB385" s="14"/>
      <c r="BC385" s="14"/>
      <c r="BD385" s="14"/>
      <c r="BE385" s="14"/>
      <c r="BF385" s="14"/>
      <c r="BG385" s="14"/>
    </row>
    <row r="386" spans="2:59" s="15" customFormat="1" ht="14.25" x14ac:dyDescent="0.2">
      <c r="B386" s="27"/>
      <c r="C386" s="27"/>
      <c r="D386" s="27"/>
      <c r="E386" s="27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9"/>
      <c r="AE386" s="29"/>
      <c r="AF386" s="29"/>
      <c r="AG386" s="14"/>
      <c r="AH386" s="14"/>
      <c r="AI386" s="14"/>
      <c r="AJ386" s="14"/>
      <c r="AK386" s="14"/>
      <c r="AL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18"/>
      <c r="AX386" s="118"/>
      <c r="AY386" s="118"/>
      <c r="AZ386" s="14"/>
      <c r="BA386" s="14"/>
      <c r="BB386" s="14"/>
      <c r="BC386" s="14"/>
      <c r="BD386" s="14"/>
      <c r="BE386" s="14"/>
      <c r="BF386" s="14"/>
      <c r="BG386" s="14"/>
    </row>
    <row r="387" spans="2:59" s="15" customFormat="1" ht="14.25" x14ac:dyDescent="0.2">
      <c r="B387" s="27"/>
      <c r="C387" s="27"/>
      <c r="D387" s="27"/>
      <c r="E387" s="27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9"/>
      <c r="AE387" s="29"/>
      <c r="AF387" s="29"/>
      <c r="AG387" s="14"/>
      <c r="AH387" s="14"/>
      <c r="AI387" s="14"/>
      <c r="AJ387" s="14"/>
      <c r="AK387" s="14"/>
      <c r="AL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18"/>
      <c r="AX387" s="118"/>
      <c r="AY387" s="118"/>
      <c r="AZ387" s="14"/>
      <c r="BA387" s="14"/>
      <c r="BB387" s="14"/>
      <c r="BC387" s="14"/>
      <c r="BD387" s="14"/>
      <c r="BE387" s="14"/>
      <c r="BF387" s="14"/>
      <c r="BG387" s="14"/>
    </row>
    <row r="388" spans="2:59" s="15" customFormat="1" ht="14.25" x14ac:dyDescent="0.2">
      <c r="B388" s="27"/>
      <c r="C388" s="27"/>
      <c r="D388" s="27"/>
      <c r="E388" s="27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9"/>
      <c r="AE388" s="29"/>
      <c r="AF388" s="29"/>
      <c r="AG388" s="14"/>
      <c r="AH388" s="14"/>
      <c r="AI388" s="14"/>
      <c r="AJ388" s="14"/>
      <c r="AK388" s="14"/>
      <c r="AL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18"/>
      <c r="AX388" s="118"/>
      <c r="AY388" s="118"/>
      <c r="AZ388" s="14"/>
      <c r="BA388" s="14"/>
      <c r="BB388" s="14"/>
      <c r="BC388" s="14"/>
      <c r="BD388" s="14"/>
      <c r="BE388" s="14"/>
      <c r="BF388" s="14"/>
      <c r="BG388" s="14"/>
    </row>
    <row r="389" spans="2:59" s="15" customFormat="1" ht="14.25" x14ac:dyDescent="0.2">
      <c r="B389" s="27"/>
      <c r="C389" s="27"/>
      <c r="D389" s="27"/>
      <c r="E389" s="27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9"/>
      <c r="AE389" s="29"/>
      <c r="AF389" s="29"/>
      <c r="AG389" s="14"/>
      <c r="AH389" s="14"/>
      <c r="AI389" s="14"/>
      <c r="AJ389" s="14"/>
      <c r="AK389" s="14"/>
      <c r="AL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18"/>
      <c r="AX389" s="118"/>
      <c r="AY389" s="118"/>
      <c r="AZ389" s="14"/>
      <c r="BA389" s="14"/>
      <c r="BB389" s="14"/>
      <c r="BC389" s="14"/>
      <c r="BD389" s="14"/>
      <c r="BE389" s="14"/>
      <c r="BF389" s="14"/>
      <c r="BG389" s="14"/>
    </row>
    <row r="390" spans="2:59" s="15" customFormat="1" ht="14.25" x14ac:dyDescent="0.2">
      <c r="B390" s="27"/>
      <c r="C390" s="27"/>
      <c r="D390" s="27"/>
      <c r="E390" s="27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9"/>
      <c r="AE390" s="29"/>
      <c r="AF390" s="29"/>
      <c r="AG390" s="14"/>
      <c r="AH390" s="14"/>
      <c r="AI390" s="14"/>
      <c r="AJ390" s="14"/>
      <c r="AK390" s="14"/>
      <c r="AL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18"/>
      <c r="AX390" s="118"/>
      <c r="AY390" s="118"/>
      <c r="AZ390" s="14"/>
      <c r="BA390" s="14"/>
      <c r="BB390" s="14"/>
      <c r="BC390" s="14"/>
      <c r="BD390" s="14"/>
      <c r="BE390" s="14"/>
      <c r="BF390" s="14"/>
      <c r="BG390" s="14"/>
    </row>
    <row r="391" spans="2:59" s="15" customFormat="1" ht="14.25" x14ac:dyDescent="0.2">
      <c r="B391" s="27"/>
      <c r="C391" s="27"/>
      <c r="D391" s="27"/>
      <c r="E391" s="27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9"/>
      <c r="AE391" s="29"/>
      <c r="AF391" s="29"/>
      <c r="AG391" s="14"/>
      <c r="AH391" s="14"/>
      <c r="AI391" s="14"/>
      <c r="AJ391" s="14"/>
      <c r="AK391" s="14"/>
      <c r="AL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18"/>
      <c r="AX391" s="118"/>
      <c r="AY391" s="118"/>
      <c r="AZ391" s="14"/>
      <c r="BA391" s="14"/>
      <c r="BB391" s="14"/>
      <c r="BC391" s="14"/>
      <c r="BD391" s="14"/>
      <c r="BE391" s="14"/>
      <c r="BF391" s="14"/>
      <c r="BG391" s="14"/>
    </row>
    <row r="392" spans="2:59" s="15" customFormat="1" ht="14.25" x14ac:dyDescent="0.2">
      <c r="B392" s="27"/>
      <c r="C392" s="27"/>
      <c r="D392" s="27"/>
      <c r="E392" s="27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9"/>
      <c r="AE392" s="29"/>
      <c r="AF392" s="29"/>
      <c r="AG392" s="14"/>
      <c r="AH392" s="14"/>
      <c r="AI392" s="14"/>
      <c r="AJ392" s="14"/>
      <c r="AK392" s="14"/>
      <c r="AL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18"/>
      <c r="AX392" s="118"/>
      <c r="AY392" s="118"/>
      <c r="AZ392" s="14"/>
      <c r="BA392" s="14"/>
      <c r="BB392" s="14"/>
      <c r="BC392" s="14"/>
      <c r="BD392" s="14"/>
      <c r="BE392" s="14"/>
      <c r="BF392" s="14"/>
      <c r="BG392" s="14"/>
    </row>
    <row r="393" spans="2:59" s="15" customFormat="1" ht="14.25" x14ac:dyDescent="0.2">
      <c r="B393" s="27"/>
      <c r="C393" s="27"/>
      <c r="D393" s="27"/>
      <c r="E393" s="27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9"/>
      <c r="AE393" s="29"/>
      <c r="AF393" s="29"/>
      <c r="AG393" s="14"/>
      <c r="AH393" s="14"/>
      <c r="AI393" s="14"/>
      <c r="AJ393" s="14"/>
      <c r="AK393" s="14"/>
      <c r="AL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18"/>
      <c r="AX393" s="118"/>
      <c r="AY393" s="118"/>
      <c r="AZ393" s="14"/>
      <c r="BA393" s="14"/>
      <c r="BB393" s="14"/>
      <c r="BC393" s="14"/>
      <c r="BD393" s="14"/>
      <c r="BE393" s="14"/>
      <c r="BF393" s="14"/>
      <c r="BG393" s="14"/>
    </row>
    <row r="394" spans="2:59" s="15" customFormat="1" ht="14.25" x14ac:dyDescent="0.2">
      <c r="B394" s="27"/>
      <c r="C394" s="27"/>
      <c r="D394" s="27"/>
      <c r="E394" s="27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9"/>
      <c r="AE394" s="29"/>
      <c r="AF394" s="29"/>
      <c r="AG394" s="14"/>
      <c r="AH394" s="14"/>
      <c r="AI394" s="14"/>
      <c r="AJ394" s="14"/>
      <c r="AK394" s="14"/>
      <c r="AL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18"/>
      <c r="AX394" s="118"/>
      <c r="AY394" s="118"/>
      <c r="AZ394" s="14"/>
      <c r="BA394" s="14"/>
      <c r="BB394" s="14"/>
      <c r="BC394" s="14"/>
      <c r="BD394" s="14"/>
      <c r="BE394" s="14"/>
      <c r="BF394" s="14"/>
      <c r="BG394" s="14"/>
    </row>
    <row r="395" spans="2:59" s="15" customFormat="1" ht="14.25" x14ac:dyDescent="0.2">
      <c r="B395" s="27"/>
      <c r="C395" s="27"/>
      <c r="D395" s="27"/>
      <c r="E395" s="27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9"/>
      <c r="AE395" s="29"/>
      <c r="AF395" s="29"/>
      <c r="AG395" s="14"/>
      <c r="AH395" s="14"/>
      <c r="AI395" s="14"/>
      <c r="AJ395" s="14"/>
      <c r="AK395" s="14"/>
      <c r="AL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18"/>
      <c r="AX395" s="118"/>
      <c r="AY395" s="118"/>
      <c r="AZ395" s="14"/>
      <c r="BA395" s="14"/>
      <c r="BB395" s="14"/>
      <c r="BC395" s="14"/>
      <c r="BD395" s="14"/>
      <c r="BE395" s="14"/>
      <c r="BF395" s="14"/>
      <c r="BG395" s="14"/>
    </row>
    <row r="396" spans="2:59" s="15" customFormat="1" ht="14.25" x14ac:dyDescent="0.2">
      <c r="B396" s="27"/>
      <c r="C396" s="27"/>
      <c r="D396" s="27"/>
      <c r="E396" s="27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9"/>
      <c r="AE396" s="29"/>
      <c r="AF396" s="29"/>
      <c r="AG396" s="14"/>
      <c r="AH396" s="14"/>
      <c r="AI396" s="14"/>
      <c r="AJ396" s="14"/>
      <c r="AK396" s="14"/>
      <c r="AL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18"/>
      <c r="AX396" s="118"/>
      <c r="AY396" s="118"/>
      <c r="AZ396" s="14"/>
      <c r="BA396" s="14"/>
      <c r="BB396" s="14"/>
      <c r="BC396" s="14"/>
      <c r="BD396" s="14"/>
      <c r="BE396" s="14"/>
      <c r="BF396" s="14"/>
      <c r="BG396" s="14"/>
    </row>
    <row r="397" spans="2:59" s="15" customFormat="1" ht="14.25" x14ac:dyDescent="0.2">
      <c r="B397" s="27"/>
      <c r="C397" s="27"/>
      <c r="D397" s="27"/>
      <c r="E397" s="27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9"/>
      <c r="AE397" s="29"/>
      <c r="AF397" s="29"/>
      <c r="AG397" s="14"/>
      <c r="AH397" s="14"/>
      <c r="AI397" s="14"/>
      <c r="AJ397" s="14"/>
      <c r="AK397" s="14"/>
      <c r="AL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18"/>
      <c r="AX397" s="118"/>
      <c r="AY397" s="118"/>
      <c r="AZ397" s="14"/>
      <c r="BA397" s="14"/>
      <c r="BB397" s="14"/>
      <c r="BC397" s="14"/>
      <c r="BD397" s="14"/>
      <c r="BE397" s="14"/>
      <c r="BF397" s="14"/>
      <c r="BG397" s="14"/>
    </row>
    <row r="398" spans="2:59" s="15" customFormat="1" ht="14.25" x14ac:dyDescent="0.2">
      <c r="B398" s="27"/>
      <c r="C398" s="27"/>
      <c r="D398" s="27"/>
      <c r="E398" s="27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9"/>
      <c r="AE398" s="29"/>
      <c r="AF398" s="29"/>
      <c r="AG398" s="14"/>
      <c r="AH398" s="14"/>
      <c r="AI398" s="14"/>
      <c r="AJ398" s="14"/>
      <c r="AK398" s="14"/>
      <c r="AL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18"/>
      <c r="AX398" s="118"/>
      <c r="AY398" s="118"/>
      <c r="AZ398" s="14"/>
      <c r="BA398" s="14"/>
      <c r="BB398" s="14"/>
      <c r="BC398" s="14"/>
      <c r="BD398" s="14"/>
      <c r="BE398" s="14"/>
      <c r="BF398" s="14"/>
      <c r="BG398" s="14"/>
    </row>
    <row r="399" spans="2:59" s="15" customFormat="1" ht="14.25" x14ac:dyDescent="0.2">
      <c r="B399" s="27"/>
      <c r="C399" s="27"/>
      <c r="D399" s="27"/>
      <c r="E399" s="27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9"/>
      <c r="AE399" s="29"/>
      <c r="AF399" s="29"/>
      <c r="AG399" s="14"/>
      <c r="AH399" s="14"/>
      <c r="AI399" s="14"/>
      <c r="AJ399" s="14"/>
      <c r="AK399" s="14"/>
      <c r="AL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18"/>
      <c r="AX399" s="118"/>
      <c r="AY399" s="118"/>
      <c r="AZ399" s="14"/>
      <c r="BA399" s="14"/>
      <c r="BB399" s="14"/>
      <c r="BC399" s="14"/>
      <c r="BD399" s="14"/>
      <c r="BE399" s="14"/>
      <c r="BF399" s="14"/>
      <c r="BG399" s="14"/>
    </row>
    <row r="400" spans="2:59" s="15" customFormat="1" ht="14.25" x14ac:dyDescent="0.2">
      <c r="B400" s="27"/>
      <c r="C400" s="27"/>
      <c r="D400" s="27"/>
      <c r="E400" s="27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9"/>
      <c r="AE400" s="29"/>
      <c r="AF400" s="29"/>
      <c r="AG400" s="14"/>
      <c r="AH400" s="14"/>
      <c r="AI400" s="14"/>
      <c r="AJ400" s="14"/>
      <c r="AK400" s="14"/>
      <c r="AL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18"/>
      <c r="AX400" s="118"/>
      <c r="AY400" s="118"/>
      <c r="AZ400" s="14"/>
      <c r="BA400" s="14"/>
      <c r="BB400" s="14"/>
      <c r="BC400" s="14"/>
      <c r="BD400" s="14"/>
      <c r="BE400" s="14"/>
      <c r="BF400" s="14"/>
      <c r="BG400" s="14"/>
    </row>
    <row r="401" spans="2:59" s="15" customFormat="1" ht="14.25" x14ac:dyDescent="0.2">
      <c r="B401" s="27"/>
      <c r="C401" s="27"/>
      <c r="D401" s="27"/>
      <c r="E401" s="27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9"/>
      <c r="AE401" s="29"/>
      <c r="AF401" s="29"/>
      <c r="AG401" s="14"/>
      <c r="AH401" s="14"/>
      <c r="AI401" s="14"/>
      <c r="AJ401" s="14"/>
      <c r="AK401" s="14"/>
      <c r="AL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18"/>
      <c r="AX401" s="118"/>
      <c r="AY401" s="118"/>
      <c r="AZ401" s="14"/>
      <c r="BA401" s="14"/>
      <c r="BB401" s="14"/>
      <c r="BC401" s="14"/>
      <c r="BD401" s="14"/>
      <c r="BE401" s="14"/>
      <c r="BF401" s="14"/>
      <c r="BG401" s="14"/>
    </row>
    <row r="402" spans="2:59" s="15" customFormat="1" ht="14.25" x14ac:dyDescent="0.2">
      <c r="B402" s="27"/>
      <c r="C402" s="27"/>
      <c r="D402" s="27"/>
      <c r="E402" s="27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9"/>
      <c r="AE402" s="29"/>
      <c r="AF402" s="29"/>
      <c r="AG402" s="14"/>
      <c r="AH402" s="14"/>
      <c r="AI402" s="14"/>
      <c r="AJ402" s="14"/>
      <c r="AK402" s="14"/>
      <c r="AL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18"/>
      <c r="AX402" s="118"/>
      <c r="AY402" s="118"/>
      <c r="AZ402" s="14"/>
      <c r="BA402" s="14"/>
      <c r="BB402" s="14"/>
      <c r="BC402" s="14"/>
      <c r="BD402" s="14"/>
      <c r="BE402" s="14"/>
      <c r="BF402" s="14"/>
      <c r="BG402" s="14"/>
    </row>
    <row r="403" spans="2:59" s="15" customFormat="1" ht="14.25" x14ac:dyDescent="0.2">
      <c r="B403" s="27"/>
      <c r="C403" s="27"/>
      <c r="D403" s="27"/>
      <c r="E403" s="27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9"/>
      <c r="AE403" s="29"/>
      <c r="AF403" s="29"/>
      <c r="AG403" s="14"/>
      <c r="AH403" s="14"/>
      <c r="AI403" s="14"/>
      <c r="AJ403" s="14"/>
      <c r="AK403" s="14"/>
      <c r="AL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18"/>
      <c r="AX403" s="118"/>
      <c r="AY403" s="118"/>
      <c r="AZ403" s="14"/>
      <c r="BA403" s="14"/>
      <c r="BB403" s="14"/>
      <c r="BC403" s="14"/>
      <c r="BD403" s="14"/>
      <c r="BE403" s="14"/>
      <c r="BF403" s="14"/>
      <c r="BG403" s="14"/>
    </row>
    <row r="404" spans="2:59" s="15" customFormat="1" ht="14.25" x14ac:dyDescent="0.2">
      <c r="B404" s="27"/>
      <c r="C404" s="27"/>
      <c r="D404" s="27"/>
      <c r="E404" s="27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9"/>
      <c r="AE404" s="29"/>
      <c r="AF404" s="29"/>
      <c r="AG404" s="14"/>
      <c r="AH404" s="14"/>
      <c r="AI404" s="14"/>
      <c r="AJ404" s="14"/>
      <c r="AK404" s="14"/>
      <c r="AL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18"/>
      <c r="AX404" s="118"/>
      <c r="AY404" s="118"/>
      <c r="AZ404" s="14"/>
      <c r="BA404" s="14"/>
      <c r="BB404" s="14"/>
      <c r="BC404" s="14"/>
      <c r="BD404" s="14"/>
      <c r="BE404" s="14"/>
      <c r="BF404" s="14"/>
      <c r="BG404" s="14"/>
    </row>
    <row r="405" spans="2:59" s="15" customFormat="1" ht="14.25" x14ac:dyDescent="0.2">
      <c r="B405" s="27"/>
      <c r="C405" s="27"/>
      <c r="D405" s="27"/>
      <c r="E405" s="27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9"/>
      <c r="AE405" s="29"/>
      <c r="AF405" s="29"/>
      <c r="AG405" s="14"/>
      <c r="AH405" s="14"/>
      <c r="AI405" s="14"/>
      <c r="AJ405" s="14"/>
      <c r="AK405" s="14"/>
      <c r="AL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18"/>
      <c r="AX405" s="118"/>
      <c r="AY405" s="118"/>
      <c r="AZ405" s="14"/>
      <c r="BA405" s="14"/>
      <c r="BB405" s="14"/>
      <c r="BC405" s="14"/>
      <c r="BD405" s="14"/>
      <c r="BE405" s="14"/>
      <c r="BF405" s="14"/>
      <c r="BG405" s="14"/>
    </row>
    <row r="406" spans="2:59" s="15" customFormat="1" ht="14.25" x14ac:dyDescent="0.2">
      <c r="B406" s="27"/>
      <c r="C406" s="27"/>
      <c r="D406" s="27"/>
      <c r="E406" s="27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9"/>
      <c r="AE406" s="29"/>
      <c r="AF406" s="29"/>
      <c r="AG406" s="14"/>
      <c r="AH406" s="14"/>
      <c r="AI406" s="14"/>
      <c r="AJ406" s="14"/>
      <c r="AK406" s="14"/>
      <c r="AL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18"/>
      <c r="AX406" s="118"/>
      <c r="AY406" s="118"/>
      <c r="AZ406" s="14"/>
      <c r="BA406" s="14"/>
      <c r="BB406" s="14"/>
      <c r="BC406" s="14"/>
      <c r="BD406" s="14"/>
      <c r="BE406" s="14"/>
      <c r="BF406" s="14"/>
      <c r="BG406" s="14"/>
    </row>
    <row r="407" spans="2:59" s="15" customFormat="1" ht="14.25" x14ac:dyDescent="0.2">
      <c r="B407" s="27"/>
      <c r="C407" s="27"/>
      <c r="D407" s="27"/>
      <c r="E407" s="27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9"/>
      <c r="AE407" s="29"/>
      <c r="AF407" s="29"/>
      <c r="AG407" s="14"/>
      <c r="AH407" s="14"/>
      <c r="AI407" s="14"/>
      <c r="AJ407" s="14"/>
      <c r="AK407" s="14"/>
      <c r="AL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18"/>
      <c r="AX407" s="118"/>
      <c r="AY407" s="118"/>
      <c r="AZ407" s="14"/>
      <c r="BA407" s="14"/>
      <c r="BB407" s="14"/>
      <c r="BC407" s="14"/>
      <c r="BD407" s="14"/>
      <c r="BE407" s="14"/>
      <c r="BF407" s="14"/>
      <c r="BG407" s="14"/>
    </row>
    <row r="408" spans="2:59" s="15" customFormat="1" ht="14.25" x14ac:dyDescent="0.2">
      <c r="B408" s="27"/>
      <c r="C408" s="27"/>
      <c r="D408" s="27"/>
      <c r="E408" s="27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9"/>
      <c r="AE408" s="29"/>
      <c r="AF408" s="29"/>
      <c r="AG408" s="14"/>
      <c r="AH408" s="14"/>
      <c r="AI408" s="14"/>
      <c r="AJ408" s="14"/>
      <c r="AK408" s="14"/>
      <c r="AL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18"/>
      <c r="AX408" s="118"/>
      <c r="AY408" s="118"/>
      <c r="AZ408" s="14"/>
      <c r="BA408" s="14"/>
      <c r="BB408" s="14"/>
      <c r="BC408" s="14"/>
      <c r="BD408" s="14"/>
      <c r="BE408" s="14"/>
      <c r="BF408" s="14"/>
      <c r="BG408" s="14"/>
    </row>
    <row r="409" spans="2:59" s="15" customFormat="1" ht="14.25" x14ac:dyDescent="0.2">
      <c r="B409" s="27"/>
      <c r="C409" s="27"/>
      <c r="D409" s="27"/>
      <c r="E409" s="27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9"/>
      <c r="AE409" s="29"/>
      <c r="AF409" s="29"/>
      <c r="AG409" s="14"/>
      <c r="AH409" s="14"/>
      <c r="AI409" s="14"/>
      <c r="AJ409" s="14"/>
      <c r="AK409" s="14"/>
      <c r="AL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18"/>
      <c r="AX409" s="118"/>
      <c r="AY409" s="118"/>
      <c r="AZ409" s="14"/>
      <c r="BA409" s="14"/>
      <c r="BB409" s="14"/>
      <c r="BC409" s="14"/>
      <c r="BD409" s="14"/>
      <c r="BE409" s="14"/>
      <c r="BF409" s="14"/>
      <c r="BG409" s="14"/>
    </row>
    <row r="410" spans="2:59" s="15" customFormat="1" ht="14.25" x14ac:dyDescent="0.2">
      <c r="B410" s="27"/>
      <c r="C410" s="27"/>
      <c r="D410" s="27"/>
      <c r="E410" s="27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9"/>
      <c r="AE410" s="29"/>
      <c r="AF410" s="29"/>
      <c r="AG410" s="14"/>
      <c r="AH410" s="14"/>
      <c r="AI410" s="14"/>
      <c r="AJ410" s="14"/>
      <c r="AK410" s="14"/>
      <c r="AL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18"/>
      <c r="AX410" s="118"/>
      <c r="AY410" s="118"/>
      <c r="AZ410" s="14"/>
      <c r="BA410" s="14"/>
      <c r="BB410" s="14"/>
      <c r="BC410" s="14"/>
      <c r="BD410" s="14"/>
      <c r="BE410" s="14"/>
      <c r="BF410" s="14"/>
      <c r="BG410" s="14"/>
    </row>
    <row r="411" spans="2:59" s="15" customFormat="1" ht="14.25" x14ac:dyDescent="0.2">
      <c r="B411" s="27"/>
      <c r="C411" s="27"/>
      <c r="D411" s="27"/>
      <c r="E411" s="27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9"/>
      <c r="AE411" s="29"/>
      <c r="AF411" s="29"/>
      <c r="AG411" s="14"/>
      <c r="AH411" s="14"/>
      <c r="AI411" s="14"/>
      <c r="AJ411" s="14"/>
      <c r="AK411" s="14"/>
      <c r="AL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18"/>
      <c r="AX411" s="118"/>
      <c r="AY411" s="118"/>
      <c r="AZ411" s="14"/>
      <c r="BA411" s="14"/>
      <c r="BB411" s="14"/>
      <c r="BC411" s="14"/>
      <c r="BD411" s="14"/>
      <c r="BE411" s="14"/>
      <c r="BF411" s="14"/>
      <c r="BG411" s="14"/>
    </row>
    <row r="412" spans="2:59" s="15" customFormat="1" ht="14.25" x14ac:dyDescent="0.2">
      <c r="B412" s="27"/>
      <c r="C412" s="27"/>
      <c r="D412" s="27"/>
      <c r="E412" s="27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9"/>
      <c r="AE412" s="29"/>
      <c r="AF412" s="29"/>
      <c r="AG412" s="14"/>
      <c r="AH412" s="14"/>
      <c r="AI412" s="14"/>
      <c r="AJ412" s="14"/>
      <c r="AK412" s="14"/>
      <c r="AL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18"/>
      <c r="AX412" s="118"/>
      <c r="AY412" s="118"/>
      <c r="AZ412" s="14"/>
      <c r="BA412" s="14"/>
      <c r="BB412" s="14"/>
      <c r="BC412" s="14"/>
      <c r="BD412" s="14"/>
      <c r="BE412" s="14"/>
      <c r="BF412" s="14"/>
      <c r="BG412" s="14"/>
    </row>
    <row r="413" spans="2:59" s="15" customFormat="1" ht="14.25" x14ac:dyDescent="0.2">
      <c r="B413" s="27"/>
      <c r="C413" s="27"/>
      <c r="D413" s="27"/>
      <c r="E413" s="27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9"/>
      <c r="AE413" s="29"/>
      <c r="AF413" s="29"/>
      <c r="AG413" s="14"/>
      <c r="AH413" s="14"/>
      <c r="AI413" s="14"/>
      <c r="AJ413" s="14"/>
      <c r="AK413" s="14"/>
      <c r="AL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18"/>
      <c r="AX413" s="118"/>
      <c r="AY413" s="118"/>
      <c r="AZ413" s="14"/>
      <c r="BA413" s="14"/>
      <c r="BB413" s="14"/>
      <c r="BC413" s="14"/>
      <c r="BD413" s="14"/>
      <c r="BE413" s="14"/>
      <c r="BF413" s="14"/>
      <c r="BG413" s="14"/>
    </row>
    <row r="414" spans="2:59" s="15" customFormat="1" ht="14.25" x14ac:dyDescent="0.2">
      <c r="B414" s="27"/>
      <c r="C414" s="27"/>
      <c r="D414" s="27"/>
      <c r="E414" s="27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9"/>
      <c r="AE414" s="29"/>
      <c r="AF414" s="29"/>
      <c r="AG414" s="14"/>
      <c r="AH414" s="14"/>
      <c r="AI414" s="14"/>
      <c r="AJ414" s="14"/>
      <c r="AK414" s="14"/>
      <c r="AL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18"/>
      <c r="AX414" s="118"/>
      <c r="AY414" s="118"/>
      <c r="AZ414" s="14"/>
      <c r="BA414" s="14"/>
      <c r="BB414" s="14"/>
      <c r="BC414" s="14"/>
      <c r="BD414" s="14"/>
      <c r="BE414" s="14"/>
      <c r="BF414" s="14"/>
      <c r="BG414" s="14"/>
    </row>
    <row r="415" spans="2:59" s="15" customFormat="1" ht="14.25" x14ac:dyDescent="0.2">
      <c r="B415" s="27"/>
      <c r="C415" s="27"/>
      <c r="D415" s="27"/>
      <c r="E415" s="27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9"/>
      <c r="AE415" s="29"/>
      <c r="AF415" s="29"/>
      <c r="AG415" s="14"/>
      <c r="AH415" s="14"/>
      <c r="AI415" s="14"/>
      <c r="AJ415" s="14"/>
      <c r="AK415" s="14"/>
      <c r="AL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18"/>
      <c r="AX415" s="118"/>
      <c r="AY415" s="118"/>
      <c r="AZ415" s="14"/>
      <c r="BA415" s="14"/>
      <c r="BB415" s="14"/>
      <c r="BC415" s="14"/>
      <c r="BD415" s="14"/>
      <c r="BE415" s="14"/>
      <c r="BF415" s="14"/>
      <c r="BG415" s="14"/>
    </row>
    <row r="416" spans="2:59" s="15" customFormat="1" ht="14.25" x14ac:dyDescent="0.2">
      <c r="B416" s="27"/>
      <c r="C416" s="27"/>
      <c r="D416" s="27"/>
      <c r="E416" s="27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9"/>
      <c r="AE416" s="29"/>
      <c r="AF416" s="29"/>
      <c r="AG416" s="14"/>
      <c r="AH416" s="14"/>
      <c r="AI416" s="14"/>
      <c r="AJ416" s="14"/>
      <c r="AK416" s="14"/>
      <c r="AL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18"/>
      <c r="AX416" s="118"/>
      <c r="AY416" s="118"/>
      <c r="AZ416" s="14"/>
      <c r="BA416" s="14"/>
      <c r="BB416" s="14"/>
      <c r="BC416" s="14"/>
      <c r="BD416" s="14"/>
      <c r="BE416" s="14"/>
      <c r="BF416" s="14"/>
      <c r="BG416" s="14"/>
    </row>
    <row r="417" spans="2:59" s="15" customFormat="1" ht="14.25" x14ac:dyDescent="0.2">
      <c r="B417" s="27"/>
      <c r="C417" s="27"/>
      <c r="D417" s="27"/>
      <c r="E417" s="27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9"/>
      <c r="AE417" s="29"/>
      <c r="AF417" s="29"/>
      <c r="AG417" s="14"/>
      <c r="AH417" s="14"/>
      <c r="AI417" s="14"/>
      <c r="AJ417" s="14"/>
      <c r="AK417" s="14"/>
      <c r="AL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18"/>
      <c r="AX417" s="118"/>
      <c r="AY417" s="118"/>
      <c r="AZ417" s="14"/>
      <c r="BA417" s="14"/>
      <c r="BB417" s="14"/>
      <c r="BC417" s="14"/>
      <c r="BD417" s="14"/>
      <c r="BE417" s="14"/>
      <c r="BF417" s="14"/>
      <c r="BG417" s="14"/>
    </row>
    <row r="418" spans="2:59" s="15" customFormat="1" ht="14.25" x14ac:dyDescent="0.2">
      <c r="B418" s="27"/>
      <c r="C418" s="27"/>
      <c r="D418" s="27"/>
      <c r="E418" s="27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9"/>
      <c r="AE418" s="29"/>
      <c r="AF418" s="29"/>
      <c r="AG418" s="14"/>
      <c r="AH418" s="14"/>
      <c r="AI418" s="14"/>
      <c r="AJ418" s="14"/>
      <c r="AK418" s="14"/>
      <c r="AL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18"/>
      <c r="AX418" s="118"/>
      <c r="AY418" s="118"/>
      <c r="AZ418" s="14"/>
      <c r="BA418" s="14"/>
      <c r="BB418" s="14"/>
      <c r="BC418" s="14"/>
      <c r="BD418" s="14"/>
      <c r="BE418" s="14"/>
      <c r="BF418" s="14"/>
      <c r="BG418" s="14"/>
    </row>
    <row r="419" spans="2:59" s="15" customFormat="1" ht="14.25" x14ac:dyDescent="0.2">
      <c r="B419" s="27"/>
      <c r="C419" s="27"/>
      <c r="D419" s="27"/>
      <c r="E419" s="27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9"/>
      <c r="AE419" s="29"/>
      <c r="AF419" s="29"/>
      <c r="AG419" s="14"/>
      <c r="AH419" s="14"/>
      <c r="AI419" s="14"/>
      <c r="AJ419" s="14"/>
      <c r="AK419" s="14"/>
      <c r="AL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18"/>
      <c r="AX419" s="118"/>
      <c r="AY419" s="118"/>
      <c r="AZ419" s="14"/>
      <c r="BA419" s="14"/>
      <c r="BB419" s="14"/>
      <c r="BC419" s="14"/>
      <c r="BD419" s="14"/>
      <c r="BE419" s="14"/>
      <c r="BF419" s="14"/>
      <c r="BG419" s="14"/>
    </row>
    <row r="420" spans="2:59" s="15" customFormat="1" ht="14.25" x14ac:dyDescent="0.2">
      <c r="B420" s="27"/>
      <c r="C420" s="27"/>
      <c r="D420" s="27"/>
      <c r="E420" s="27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9"/>
      <c r="AE420" s="29"/>
      <c r="AF420" s="29"/>
      <c r="AG420" s="14"/>
      <c r="AH420" s="14"/>
      <c r="AI420" s="14"/>
      <c r="AJ420" s="14"/>
      <c r="AK420" s="14"/>
      <c r="AL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18"/>
      <c r="AX420" s="118"/>
      <c r="AY420" s="118"/>
      <c r="AZ420" s="14"/>
      <c r="BA420" s="14"/>
      <c r="BB420" s="14"/>
      <c r="BC420" s="14"/>
      <c r="BD420" s="14"/>
      <c r="BE420" s="14"/>
      <c r="BF420" s="14"/>
      <c r="BG420" s="14"/>
    </row>
    <row r="421" spans="2:59" s="15" customFormat="1" ht="14.25" x14ac:dyDescent="0.2">
      <c r="B421" s="27"/>
      <c r="C421" s="27"/>
      <c r="D421" s="27"/>
      <c r="E421" s="27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9"/>
      <c r="AE421" s="29"/>
      <c r="AF421" s="29"/>
      <c r="AG421" s="14"/>
      <c r="AH421" s="14"/>
      <c r="AI421" s="14"/>
      <c r="AJ421" s="14"/>
      <c r="AK421" s="14"/>
      <c r="AL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18"/>
      <c r="AX421" s="118"/>
      <c r="AY421" s="118"/>
      <c r="AZ421" s="14"/>
      <c r="BA421" s="14"/>
      <c r="BB421" s="14"/>
      <c r="BC421" s="14"/>
      <c r="BD421" s="14"/>
      <c r="BE421" s="14"/>
      <c r="BF421" s="14"/>
      <c r="BG421" s="14"/>
    </row>
    <row r="422" spans="2:59" s="15" customFormat="1" ht="14.25" x14ac:dyDescent="0.2">
      <c r="B422" s="27"/>
      <c r="C422" s="27"/>
      <c r="D422" s="27"/>
      <c r="E422" s="27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9"/>
      <c r="AE422" s="29"/>
      <c r="AF422" s="29"/>
      <c r="AG422" s="14"/>
      <c r="AH422" s="14"/>
      <c r="AI422" s="14"/>
      <c r="AJ422" s="14"/>
      <c r="AK422" s="14"/>
      <c r="AL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18"/>
      <c r="AX422" s="118"/>
      <c r="AY422" s="118"/>
      <c r="AZ422" s="14"/>
      <c r="BA422" s="14"/>
      <c r="BB422" s="14"/>
      <c r="BC422" s="14"/>
      <c r="BD422" s="14"/>
      <c r="BE422" s="14"/>
      <c r="BF422" s="14"/>
      <c r="BG422" s="14"/>
    </row>
    <row r="423" spans="2:59" s="15" customFormat="1" ht="14.25" x14ac:dyDescent="0.2">
      <c r="B423" s="27"/>
      <c r="C423" s="27"/>
      <c r="D423" s="27"/>
      <c r="E423" s="27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9"/>
      <c r="AE423" s="29"/>
      <c r="AF423" s="29"/>
      <c r="AG423" s="14"/>
      <c r="AH423" s="14"/>
      <c r="AI423" s="14"/>
      <c r="AJ423" s="14"/>
      <c r="AK423" s="14"/>
      <c r="AL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18"/>
      <c r="AX423" s="118"/>
      <c r="AY423" s="118"/>
      <c r="AZ423" s="14"/>
      <c r="BA423" s="14"/>
      <c r="BB423" s="14"/>
      <c r="BC423" s="14"/>
      <c r="BD423" s="14"/>
      <c r="BE423" s="14"/>
      <c r="BF423" s="14"/>
      <c r="BG423" s="14"/>
    </row>
    <row r="424" spans="2:59" s="15" customFormat="1" ht="14.25" x14ac:dyDescent="0.2">
      <c r="B424" s="27"/>
      <c r="C424" s="27"/>
      <c r="D424" s="27"/>
      <c r="E424" s="27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9"/>
      <c r="AE424" s="29"/>
      <c r="AF424" s="29"/>
      <c r="AG424" s="14"/>
      <c r="AH424" s="14"/>
      <c r="AI424" s="14"/>
      <c r="AJ424" s="14"/>
      <c r="AK424" s="14"/>
      <c r="AL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18"/>
      <c r="AX424" s="118"/>
      <c r="AY424" s="118"/>
      <c r="AZ424" s="14"/>
      <c r="BA424" s="14"/>
      <c r="BB424" s="14"/>
      <c r="BC424" s="14"/>
      <c r="BD424" s="14"/>
      <c r="BE424" s="14"/>
      <c r="BF424" s="14"/>
      <c r="BG424" s="14"/>
    </row>
    <row r="425" spans="2:59" s="15" customFormat="1" ht="14.25" x14ac:dyDescent="0.2">
      <c r="B425" s="27"/>
      <c r="C425" s="27"/>
      <c r="D425" s="27"/>
      <c r="E425" s="27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9"/>
      <c r="AE425" s="29"/>
      <c r="AF425" s="29"/>
      <c r="AG425" s="14"/>
      <c r="AH425" s="14"/>
      <c r="AI425" s="14"/>
      <c r="AJ425" s="14"/>
      <c r="AK425" s="14"/>
      <c r="AL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18"/>
      <c r="AX425" s="118"/>
      <c r="AY425" s="118"/>
      <c r="AZ425" s="14"/>
      <c r="BA425" s="14"/>
      <c r="BB425" s="14"/>
      <c r="BC425" s="14"/>
      <c r="BD425" s="14"/>
      <c r="BE425" s="14"/>
      <c r="BF425" s="14"/>
      <c r="BG425" s="14"/>
    </row>
    <row r="426" spans="2:59" s="15" customFormat="1" ht="14.25" x14ac:dyDescent="0.2">
      <c r="B426" s="27"/>
      <c r="C426" s="27"/>
      <c r="D426" s="27"/>
      <c r="E426" s="27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9"/>
      <c r="AE426" s="29"/>
      <c r="AF426" s="29"/>
      <c r="AG426" s="14"/>
      <c r="AH426" s="14"/>
      <c r="AI426" s="14"/>
      <c r="AJ426" s="14"/>
      <c r="AK426" s="14"/>
      <c r="AL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18"/>
      <c r="AX426" s="118"/>
      <c r="AY426" s="118"/>
      <c r="AZ426" s="14"/>
      <c r="BA426" s="14"/>
      <c r="BB426" s="14"/>
      <c r="BC426" s="14"/>
      <c r="BD426" s="14"/>
      <c r="BE426" s="14"/>
      <c r="BF426" s="14"/>
      <c r="BG426" s="14"/>
    </row>
    <row r="427" spans="2:59" s="15" customFormat="1" ht="14.25" x14ac:dyDescent="0.2">
      <c r="B427" s="27"/>
      <c r="C427" s="27"/>
      <c r="D427" s="27"/>
      <c r="E427" s="27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9"/>
      <c r="AE427" s="29"/>
      <c r="AF427" s="29"/>
      <c r="AG427" s="14"/>
      <c r="AH427" s="14"/>
      <c r="AI427" s="14"/>
      <c r="AJ427" s="14"/>
      <c r="AK427" s="14"/>
      <c r="AL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18"/>
      <c r="AX427" s="118"/>
      <c r="AY427" s="118"/>
      <c r="AZ427" s="14"/>
      <c r="BA427" s="14"/>
      <c r="BB427" s="14"/>
      <c r="BC427" s="14"/>
      <c r="BD427" s="14"/>
      <c r="BE427" s="14"/>
      <c r="BF427" s="14"/>
      <c r="BG427" s="14"/>
    </row>
    <row r="428" spans="2:59" s="15" customFormat="1" ht="14.25" x14ac:dyDescent="0.2">
      <c r="B428" s="27"/>
      <c r="C428" s="27"/>
      <c r="D428" s="27"/>
      <c r="E428" s="27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9"/>
      <c r="AE428" s="29"/>
      <c r="AF428" s="29"/>
      <c r="AG428" s="14"/>
      <c r="AH428" s="14"/>
      <c r="AI428" s="14"/>
      <c r="AJ428" s="14"/>
      <c r="AK428" s="14"/>
      <c r="AL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18"/>
      <c r="AX428" s="118"/>
      <c r="AY428" s="118"/>
      <c r="AZ428" s="14"/>
      <c r="BA428" s="14"/>
      <c r="BB428" s="14"/>
      <c r="BC428" s="14"/>
      <c r="BD428" s="14"/>
      <c r="BE428" s="14"/>
      <c r="BF428" s="14"/>
      <c r="BG428" s="14"/>
    </row>
    <row r="429" spans="2:59" s="15" customFormat="1" ht="14.25" x14ac:dyDescent="0.2">
      <c r="B429" s="27"/>
      <c r="C429" s="27"/>
      <c r="D429" s="27"/>
      <c r="E429" s="27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9"/>
      <c r="AE429" s="29"/>
      <c r="AF429" s="29"/>
      <c r="AG429" s="14"/>
      <c r="AH429" s="14"/>
      <c r="AI429" s="14"/>
      <c r="AJ429" s="14"/>
      <c r="AK429" s="14"/>
      <c r="AL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18"/>
      <c r="AX429" s="118"/>
      <c r="AY429" s="118"/>
      <c r="AZ429" s="14"/>
      <c r="BA429" s="14"/>
      <c r="BB429" s="14"/>
      <c r="BC429" s="14"/>
      <c r="BD429" s="14"/>
      <c r="BE429" s="14"/>
      <c r="BF429" s="14"/>
      <c r="BG429" s="14"/>
    </row>
    <row r="430" spans="2:59" s="15" customFormat="1" ht="14.25" x14ac:dyDescent="0.2">
      <c r="B430" s="27"/>
      <c r="C430" s="27"/>
      <c r="D430" s="27"/>
      <c r="E430" s="27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9"/>
      <c r="AE430" s="29"/>
      <c r="AF430" s="29"/>
      <c r="AG430" s="14"/>
      <c r="AH430" s="14"/>
      <c r="AI430" s="14"/>
      <c r="AJ430" s="14"/>
      <c r="AK430" s="14"/>
      <c r="AL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18"/>
      <c r="AX430" s="118"/>
      <c r="AY430" s="118"/>
      <c r="AZ430" s="14"/>
      <c r="BA430" s="14"/>
      <c r="BB430" s="14"/>
      <c r="BC430" s="14"/>
      <c r="BD430" s="14"/>
      <c r="BE430" s="14"/>
      <c r="BF430" s="14"/>
      <c r="BG430" s="14"/>
    </row>
    <row r="431" spans="2:59" s="15" customFormat="1" ht="14.25" x14ac:dyDescent="0.2">
      <c r="B431" s="27"/>
      <c r="C431" s="27"/>
      <c r="D431" s="27"/>
      <c r="E431" s="27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9"/>
      <c r="AE431" s="29"/>
      <c r="AF431" s="29"/>
      <c r="AG431" s="14"/>
      <c r="AH431" s="14"/>
      <c r="AI431" s="14"/>
      <c r="AJ431" s="14"/>
      <c r="AK431" s="14"/>
      <c r="AL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18"/>
      <c r="AX431" s="118"/>
      <c r="AY431" s="118"/>
      <c r="AZ431" s="14"/>
      <c r="BA431" s="14"/>
      <c r="BB431" s="14"/>
      <c r="BC431" s="14"/>
      <c r="BD431" s="14"/>
      <c r="BE431" s="14"/>
      <c r="BF431" s="14"/>
      <c r="BG431" s="14"/>
    </row>
    <row r="432" spans="2:59" s="15" customFormat="1" ht="14.25" x14ac:dyDescent="0.2">
      <c r="B432" s="27"/>
      <c r="C432" s="27"/>
      <c r="D432" s="27"/>
      <c r="E432" s="27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9"/>
      <c r="AE432" s="29"/>
      <c r="AF432" s="29"/>
      <c r="AG432" s="14"/>
      <c r="AH432" s="14"/>
      <c r="AI432" s="14"/>
      <c r="AJ432" s="14"/>
      <c r="AK432" s="14"/>
      <c r="AL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18"/>
      <c r="AX432" s="118"/>
      <c r="AY432" s="118"/>
      <c r="AZ432" s="14"/>
      <c r="BA432" s="14"/>
      <c r="BB432" s="14"/>
      <c r="BC432" s="14"/>
      <c r="BD432" s="14"/>
      <c r="BE432" s="14"/>
      <c r="BF432" s="14"/>
      <c r="BG432" s="14"/>
    </row>
    <row r="433" spans="2:59" s="15" customFormat="1" ht="14.25" x14ac:dyDescent="0.2">
      <c r="B433" s="27"/>
      <c r="C433" s="27"/>
      <c r="D433" s="27"/>
      <c r="E433" s="27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9"/>
      <c r="AE433" s="29"/>
      <c r="AF433" s="29"/>
      <c r="AG433" s="14"/>
      <c r="AH433" s="14"/>
      <c r="AI433" s="14"/>
      <c r="AJ433" s="14"/>
      <c r="AK433" s="14"/>
      <c r="AL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18"/>
      <c r="AX433" s="118"/>
      <c r="AY433" s="118"/>
      <c r="AZ433" s="14"/>
      <c r="BA433" s="14"/>
      <c r="BB433" s="14"/>
      <c r="BC433" s="14"/>
      <c r="BD433" s="14"/>
      <c r="BE433" s="14"/>
      <c r="BF433" s="14"/>
      <c r="BG433" s="14"/>
    </row>
    <row r="434" spans="2:59" s="15" customFormat="1" ht="14.25" x14ac:dyDescent="0.2">
      <c r="B434" s="27"/>
      <c r="C434" s="27"/>
      <c r="D434" s="27"/>
      <c r="E434" s="27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9"/>
      <c r="AE434" s="29"/>
      <c r="AF434" s="29"/>
      <c r="AG434" s="14"/>
      <c r="AH434" s="14"/>
      <c r="AI434" s="14"/>
      <c r="AJ434" s="14"/>
      <c r="AK434" s="14"/>
      <c r="AL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18"/>
      <c r="AX434" s="118"/>
      <c r="AY434" s="118"/>
      <c r="AZ434" s="14"/>
      <c r="BA434" s="14"/>
      <c r="BB434" s="14"/>
      <c r="BC434" s="14"/>
      <c r="BD434" s="14"/>
      <c r="BE434" s="14"/>
      <c r="BF434" s="14"/>
      <c r="BG434" s="14"/>
    </row>
    <row r="435" spans="2:59" s="15" customFormat="1" ht="14.25" x14ac:dyDescent="0.2">
      <c r="B435" s="27"/>
      <c r="C435" s="27"/>
      <c r="D435" s="27"/>
      <c r="E435" s="27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9"/>
      <c r="AE435" s="29"/>
      <c r="AF435" s="29"/>
      <c r="AG435" s="14"/>
      <c r="AH435" s="14"/>
      <c r="AI435" s="14"/>
      <c r="AJ435" s="14"/>
      <c r="AK435" s="14"/>
      <c r="AL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18"/>
      <c r="AX435" s="118"/>
      <c r="AY435" s="118"/>
      <c r="AZ435" s="14"/>
      <c r="BA435" s="14"/>
      <c r="BB435" s="14"/>
      <c r="BC435" s="14"/>
      <c r="BD435" s="14"/>
      <c r="BE435" s="14"/>
      <c r="BF435" s="14"/>
      <c r="BG435" s="14"/>
    </row>
    <row r="436" spans="2:59" s="15" customFormat="1" ht="14.25" x14ac:dyDescent="0.2">
      <c r="B436" s="27"/>
      <c r="C436" s="27"/>
      <c r="D436" s="27"/>
      <c r="E436" s="27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9"/>
      <c r="AE436" s="29"/>
      <c r="AF436" s="29"/>
      <c r="AG436" s="14"/>
      <c r="AH436" s="14"/>
      <c r="AI436" s="14"/>
      <c r="AJ436" s="14"/>
      <c r="AK436" s="14"/>
      <c r="AL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18"/>
      <c r="AX436" s="118"/>
      <c r="AY436" s="118"/>
      <c r="AZ436" s="14"/>
      <c r="BA436" s="14"/>
      <c r="BB436" s="14"/>
      <c r="BC436" s="14"/>
      <c r="BD436" s="14"/>
      <c r="BE436" s="14"/>
      <c r="BF436" s="14"/>
      <c r="BG436" s="14"/>
    </row>
    <row r="437" spans="2:59" s="15" customFormat="1" ht="14.25" x14ac:dyDescent="0.2">
      <c r="B437" s="27"/>
      <c r="C437" s="27"/>
      <c r="D437" s="27"/>
      <c r="E437" s="27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9"/>
      <c r="AE437" s="29"/>
      <c r="AF437" s="29"/>
      <c r="AG437" s="14"/>
      <c r="AH437" s="14"/>
      <c r="AI437" s="14"/>
      <c r="AJ437" s="14"/>
      <c r="AK437" s="14"/>
      <c r="AL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18"/>
      <c r="AX437" s="118"/>
      <c r="AY437" s="118"/>
      <c r="AZ437" s="14"/>
      <c r="BA437" s="14"/>
      <c r="BB437" s="14"/>
      <c r="BC437" s="14"/>
      <c r="BD437" s="14"/>
      <c r="BE437" s="14"/>
      <c r="BF437" s="14"/>
      <c r="BG437" s="14"/>
    </row>
    <row r="438" spans="2:59" s="15" customFormat="1" ht="14.25" x14ac:dyDescent="0.2">
      <c r="B438" s="27"/>
      <c r="C438" s="27"/>
      <c r="D438" s="27"/>
      <c r="E438" s="27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9"/>
      <c r="AE438" s="29"/>
      <c r="AF438" s="29"/>
      <c r="AG438" s="14"/>
      <c r="AH438" s="14"/>
      <c r="AI438" s="14"/>
      <c r="AJ438" s="14"/>
      <c r="AK438" s="14"/>
      <c r="AL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18"/>
      <c r="AX438" s="118"/>
      <c r="AY438" s="118"/>
      <c r="AZ438" s="14"/>
      <c r="BA438" s="14"/>
      <c r="BB438" s="14"/>
      <c r="BC438" s="14"/>
      <c r="BD438" s="14"/>
      <c r="BE438" s="14"/>
      <c r="BF438" s="14"/>
      <c r="BG438" s="14"/>
    </row>
    <row r="439" spans="2:59" s="15" customFormat="1" ht="14.25" x14ac:dyDescent="0.2">
      <c r="B439" s="27"/>
      <c r="C439" s="27"/>
      <c r="D439" s="27"/>
      <c r="E439" s="27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9"/>
      <c r="AE439" s="29"/>
      <c r="AF439" s="29"/>
      <c r="AG439" s="14"/>
      <c r="AH439" s="14"/>
      <c r="AI439" s="14"/>
      <c r="AJ439" s="14"/>
      <c r="AK439" s="14"/>
      <c r="AL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18"/>
      <c r="AX439" s="118"/>
      <c r="AY439" s="118"/>
      <c r="AZ439" s="14"/>
      <c r="BA439" s="14"/>
      <c r="BB439" s="14"/>
      <c r="BC439" s="14"/>
      <c r="BD439" s="14"/>
      <c r="BE439" s="14"/>
      <c r="BF439" s="14"/>
      <c r="BG439" s="14"/>
    </row>
    <row r="440" spans="2:59" s="15" customFormat="1" ht="14.25" x14ac:dyDescent="0.2">
      <c r="B440" s="27"/>
      <c r="C440" s="27"/>
      <c r="D440" s="27"/>
      <c r="E440" s="27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9"/>
      <c r="AE440" s="29"/>
      <c r="AF440" s="29"/>
      <c r="AG440" s="14"/>
      <c r="AH440" s="14"/>
      <c r="AI440" s="14"/>
      <c r="AJ440" s="14"/>
      <c r="AK440" s="14"/>
      <c r="AL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18"/>
      <c r="AX440" s="118"/>
      <c r="AY440" s="118"/>
      <c r="AZ440" s="14"/>
      <c r="BA440" s="14"/>
      <c r="BB440" s="14"/>
      <c r="BC440" s="14"/>
      <c r="BD440" s="14"/>
      <c r="BE440" s="14"/>
      <c r="BF440" s="14"/>
      <c r="BG440" s="14"/>
    </row>
    <row r="441" spans="2:59" s="15" customFormat="1" ht="14.25" x14ac:dyDescent="0.2">
      <c r="B441" s="27"/>
      <c r="C441" s="27"/>
      <c r="D441" s="27"/>
      <c r="E441" s="27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9"/>
      <c r="AE441" s="29"/>
      <c r="AF441" s="29"/>
      <c r="AG441" s="14"/>
      <c r="AH441" s="14"/>
      <c r="AI441" s="14"/>
      <c r="AJ441" s="14"/>
      <c r="AK441" s="14"/>
      <c r="AL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18"/>
      <c r="AX441" s="118"/>
      <c r="AY441" s="118"/>
      <c r="AZ441" s="14"/>
      <c r="BA441" s="14"/>
      <c r="BB441" s="14"/>
      <c r="BC441" s="14"/>
      <c r="BD441" s="14"/>
      <c r="BE441" s="14"/>
      <c r="BF441" s="14"/>
      <c r="BG441" s="14"/>
    </row>
    <row r="442" spans="2:59" s="15" customFormat="1" ht="14.25" x14ac:dyDescent="0.2">
      <c r="B442" s="27"/>
      <c r="C442" s="27"/>
      <c r="D442" s="27"/>
      <c r="E442" s="27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9"/>
      <c r="AE442" s="29"/>
      <c r="AF442" s="29"/>
      <c r="AG442" s="14"/>
      <c r="AH442" s="14"/>
      <c r="AI442" s="14"/>
      <c r="AJ442" s="14"/>
      <c r="AK442" s="14"/>
      <c r="AL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18"/>
      <c r="AX442" s="118"/>
      <c r="AY442" s="118"/>
      <c r="AZ442" s="14"/>
      <c r="BA442" s="14"/>
      <c r="BB442" s="14"/>
      <c r="BC442" s="14"/>
      <c r="BD442" s="14"/>
      <c r="BE442" s="14"/>
      <c r="BF442" s="14"/>
      <c r="BG442" s="14"/>
    </row>
    <row r="443" spans="2:59" s="15" customFormat="1" ht="14.25" x14ac:dyDescent="0.2">
      <c r="B443" s="27"/>
      <c r="C443" s="27"/>
      <c r="D443" s="27"/>
      <c r="E443" s="27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9"/>
      <c r="AE443" s="29"/>
      <c r="AF443" s="29"/>
      <c r="AG443" s="14"/>
      <c r="AH443" s="14"/>
      <c r="AI443" s="14"/>
      <c r="AJ443" s="14"/>
      <c r="AK443" s="14"/>
      <c r="AL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18"/>
      <c r="AX443" s="118"/>
      <c r="AY443" s="118"/>
      <c r="AZ443" s="14"/>
      <c r="BA443" s="14"/>
      <c r="BB443" s="14"/>
      <c r="BC443" s="14"/>
      <c r="BD443" s="14"/>
      <c r="BE443" s="14"/>
      <c r="BF443" s="14"/>
      <c r="BG443" s="14"/>
    </row>
    <row r="444" spans="2:59" s="15" customFormat="1" ht="14.25" x14ac:dyDescent="0.2">
      <c r="B444" s="27"/>
      <c r="C444" s="27"/>
      <c r="D444" s="27"/>
      <c r="E444" s="27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9"/>
      <c r="AE444" s="29"/>
      <c r="AF444" s="29"/>
      <c r="AG444" s="14"/>
      <c r="AH444" s="14"/>
      <c r="AI444" s="14"/>
      <c r="AJ444" s="14"/>
      <c r="AK444" s="14"/>
      <c r="AL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18"/>
      <c r="AX444" s="118"/>
      <c r="AY444" s="118"/>
      <c r="AZ444" s="14"/>
      <c r="BA444" s="14"/>
      <c r="BB444" s="14"/>
      <c r="BC444" s="14"/>
      <c r="BD444" s="14"/>
      <c r="BE444" s="14"/>
      <c r="BF444" s="14"/>
      <c r="BG444" s="14"/>
    </row>
    <row r="445" spans="2:59" s="15" customFormat="1" ht="14.25" x14ac:dyDescent="0.2">
      <c r="B445" s="27"/>
      <c r="C445" s="27"/>
      <c r="D445" s="27"/>
      <c r="E445" s="27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9"/>
      <c r="AE445" s="29"/>
      <c r="AF445" s="29"/>
      <c r="AG445" s="14"/>
      <c r="AH445" s="14"/>
      <c r="AI445" s="14"/>
      <c r="AJ445" s="14"/>
      <c r="AK445" s="14"/>
      <c r="AL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18"/>
      <c r="AX445" s="118"/>
      <c r="AY445" s="118"/>
      <c r="AZ445" s="14"/>
      <c r="BA445" s="14"/>
      <c r="BB445" s="14"/>
      <c r="BC445" s="14"/>
      <c r="BD445" s="14"/>
      <c r="BE445" s="14"/>
      <c r="BF445" s="14"/>
      <c r="BG445" s="14"/>
    </row>
    <row r="446" spans="2:59" s="15" customFormat="1" ht="14.25" x14ac:dyDescent="0.2">
      <c r="B446" s="27"/>
      <c r="C446" s="27"/>
      <c r="D446" s="27"/>
      <c r="E446" s="27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9"/>
      <c r="AE446" s="29"/>
      <c r="AF446" s="29"/>
      <c r="AG446" s="14"/>
      <c r="AH446" s="14"/>
      <c r="AI446" s="14"/>
      <c r="AJ446" s="14"/>
      <c r="AK446" s="14"/>
      <c r="AL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18"/>
      <c r="AX446" s="118"/>
      <c r="AY446" s="118"/>
      <c r="AZ446" s="14"/>
      <c r="BA446" s="14"/>
      <c r="BB446" s="14"/>
      <c r="BC446" s="14"/>
      <c r="BD446" s="14"/>
      <c r="BE446" s="14"/>
      <c r="BF446" s="14"/>
      <c r="BG446" s="14"/>
    </row>
    <row r="447" spans="2:59" s="15" customFormat="1" ht="14.25" x14ac:dyDescent="0.2">
      <c r="B447" s="27"/>
      <c r="C447" s="27"/>
      <c r="D447" s="27"/>
      <c r="E447" s="27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9"/>
      <c r="AE447" s="29"/>
      <c r="AF447" s="29"/>
      <c r="AG447" s="14"/>
      <c r="AH447" s="14"/>
      <c r="AI447" s="14"/>
      <c r="AJ447" s="14"/>
      <c r="AK447" s="14"/>
      <c r="AL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18"/>
      <c r="AX447" s="118"/>
      <c r="AY447" s="118"/>
      <c r="AZ447" s="14"/>
      <c r="BA447" s="14"/>
      <c r="BB447" s="14"/>
      <c r="BC447" s="14"/>
      <c r="BD447" s="14"/>
      <c r="BE447" s="14"/>
      <c r="BF447" s="14"/>
      <c r="BG447" s="14"/>
    </row>
    <row r="448" spans="2:59" s="15" customFormat="1" ht="14.25" x14ac:dyDescent="0.2">
      <c r="B448" s="27"/>
      <c r="C448" s="27"/>
      <c r="D448" s="27"/>
      <c r="E448" s="27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9"/>
      <c r="AE448" s="29"/>
      <c r="AF448" s="29"/>
      <c r="AG448" s="14"/>
      <c r="AH448" s="14"/>
      <c r="AI448" s="14"/>
      <c r="AJ448" s="14"/>
      <c r="AK448" s="14"/>
      <c r="AL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18"/>
      <c r="AX448" s="118"/>
      <c r="AY448" s="118"/>
      <c r="AZ448" s="14"/>
      <c r="BA448" s="14"/>
      <c r="BB448" s="14"/>
      <c r="BC448" s="14"/>
      <c r="BD448" s="14"/>
      <c r="BE448" s="14"/>
      <c r="BF448" s="14"/>
      <c r="BG448" s="14"/>
    </row>
    <row r="449" spans="2:59" s="15" customFormat="1" ht="14.25" x14ac:dyDescent="0.2">
      <c r="B449" s="27"/>
      <c r="C449" s="27"/>
      <c r="D449" s="27"/>
      <c r="E449" s="27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9"/>
      <c r="AE449" s="29"/>
      <c r="AF449" s="29"/>
      <c r="AG449" s="14"/>
      <c r="AH449" s="14"/>
      <c r="AI449" s="14"/>
      <c r="AJ449" s="14"/>
      <c r="AK449" s="14"/>
      <c r="AL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18"/>
      <c r="AX449" s="118"/>
      <c r="AY449" s="118"/>
      <c r="AZ449" s="14"/>
      <c r="BA449" s="14"/>
      <c r="BB449" s="14"/>
      <c r="BC449" s="14"/>
      <c r="BD449" s="14"/>
      <c r="BE449" s="14"/>
      <c r="BF449" s="14"/>
      <c r="BG449" s="14"/>
    </row>
    <row r="450" spans="2:59" s="15" customFormat="1" ht="14.25" x14ac:dyDescent="0.2">
      <c r="B450" s="27"/>
      <c r="C450" s="27"/>
      <c r="D450" s="27"/>
      <c r="E450" s="27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9"/>
      <c r="AE450" s="29"/>
      <c r="AF450" s="29"/>
      <c r="AG450" s="14"/>
      <c r="AH450" s="14"/>
      <c r="AI450" s="14"/>
      <c r="AJ450" s="14"/>
      <c r="AK450" s="14"/>
      <c r="AL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18"/>
      <c r="AX450" s="118"/>
      <c r="AY450" s="118"/>
      <c r="AZ450" s="14"/>
      <c r="BA450" s="14"/>
      <c r="BB450" s="14"/>
      <c r="BC450" s="14"/>
      <c r="BD450" s="14"/>
      <c r="BE450" s="14"/>
      <c r="BF450" s="14"/>
      <c r="BG450" s="14"/>
    </row>
    <row r="451" spans="2:59" s="15" customFormat="1" ht="14.25" x14ac:dyDescent="0.2">
      <c r="B451" s="27"/>
      <c r="C451" s="27"/>
      <c r="D451" s="27"/>
      <c r="E451" s="27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9"/>
      <c r="AE451" s="29"/>
      <c r="AF451" s="29"/>
      <c r="AG451" s="14"/>
      <c r="AH451" s="14"/>
      <c r="AI451" s="14"/>
      <c r="AJ451" s="14"/>
      <c r="AK451" s="14"/>
      <c r="AL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18"/>
      <c r="AX451" s="118"/>
      <c r="AY451" s="118"/>
      <c r="AZ451" s="14"/>
      <c r="BA451" s="14"/>
      <c r="BB451" s="14"/>
      <c r="BC451" s="14"/>
      <c r="BD451" s="14"/>
      <c r="BE451" s="14"/>
      <c r="BF451" s="14"/>
      <c r="BG451" s="14"/>
    </row>
    <row r="452" spans="2:59" s="15" customFormat="1" ht="14.25" x14ac:dyDescent="0.2">
      <c r="B452" s="27"/>
      <c r="C452" s="27"/>
      <c r="D452" s="27"/>
      <c r="E452" s="27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9"/>
      <c r="AE452" s="29"/>
      <c r="AF452" s="29"/>
      <c r="AG452" s="14"/>
      <c r="AH452" s="14"/>
      <c r="AI452" s="14"/>
      <c r="AJ452" s="14"/>
      <c r="AK452" s="14"/>
      <c r="AL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18"/>
      <c r="AX452" s="118"/>
      <c r="AY452" s="118"/>
      <c r="AZ452" s="14"/>
      <c r="BA452" s="14"/>
      <c r="BB452" s="14"/>
      <c r="BC452" s="14"/>
      <c r="BD452" s="14"/>
      <c r="BE452" s="14"/>
      <c r="BF452" s="14"/>
      <c r="BG452" s="14"/>
    </row>
    <row r="453" spans="2:59" s="15" customFormat="1" ht="14.25" x14ac:dyDescent="0.2">
      <c r="B453" s="27"/>
      <c r="C453" s="27"/>
      <c r="D453" s="27"/>
      <c r="E453" s="27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9"/>
      <c r="AE453" s="29"/>
      <c r="AF453" s="29"/>
      <c r="AG453" s="14"/>
      <c r="AH453" s="14"/>
      <c r="AI453" s="14"/>
      <c r="AJ453" s="14"/>
      <c r="AK453" s="14"/>
      <c r="AL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18"/>
      <c r="AX453" s="118"/>
      <c r="AY453" s="118"/>
      <c r="AZ453" s="14"/>
      <c r="BA453" s="14"/>
      <c r="BB453" s="14"/>
      <c r="BC453" s="14"/>
      <c r="BD453" s="14"/>
      <c r="BE453" s="14"/>
      <c r="BF453" s="14"/>
      <c r="BG453" s="14"/>
    </row>
    <row r="454" spans="2:59" s="15" customFormat="1" ht="14.25" x14ac:dyDescent="0.2">
      <c r="B454" s="27"/>
      <c r="C454" s="27"/>
      <c r="D454" s="27"/>
      <c r="E454" s="27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9"/>
      <c r="AE454" s="29"/>
      <c r="AF454" s="29"/>
      <c r="AG454" s="14"/>
      <c r="AH454" s="14"/>
      <c r="AI454" s="14"/>
      <c r="AJ454" s="14"/>
      <c r="AK454" s="14"/>
      <c r="AL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18"/>
      <c r="AX454" s="118"/>
      <c r="AY454" s="118"/>
      <c r="AZ454" s="14"/>
      <c r="BA454" s="14"/>
      <c r="BB454" s="14"/>
      <c r="BC454" s="14"/>
      <c r="BD454" s="14"/>
      <c r="BE454" s="14"/>
      <c r="BF454" s="14"/>
      <c r="BG454" s="14"/>
    </row>
    <row r="455" spans="2:59" s="15" customFormat="1" ht="14.25" x14ac:dyDescent="0.2">
      <c r="B455" s="27"/>
      <c r="C455" s="27"/>
      <c r="D455" s="27"/>
      <c r="E455" s="27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9"/>
      <c r="AE455" s="29"/>
      <c r="AF455" s="29"/>
      <c r="AG455" s="14"/>
      <c r="AH455" s="14"/>
      <c r="AI455" s="14"/>
      <c r="AJ455" s="14"/>
      <c r="AK455" s="14"/>
      <c r="AL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18"/>
      <c r="AX455" s="118"/>
      <c r="AY455" s="118"/>
      <c r="AZ455" s="14"/>
      <c r="BA455" s="14"/>
      <c r="BB455" s="14"/>
      <c r="BC455" s="14"/>
      <c r="BD455" s="14"/>
      <c r="BE455" s="14"/>
      <c r="BF455" s="14"/>
      <c r="BG455" s="14"/>
    </row>
    <row r="456" spans="2:59" s="15" customFormat="1" ht="14.25" x14ac:dyDescent="0.2">
      <c r="B456" s="27"/>
      <c r="C456" s="27"/>
      <c r="D456" s="27"/>
      <c r="E456" s="27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9"/>
      <c r="AE456" s="29"/>
      <c r="AF456" s="29"/>
      <c r="AG456" s="14"/>
      <c r="AH456" s="14"/>
      <c r="AI456" s="14"/>
      <c r="AJ456" s="14"/>
      <c r="AK456" s="14"/>
      <c r="AL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18"/>
      <c r="AX456" s="118"/>
      <c r="AY456" s="118"/>
      <c r="AZ456" s="14"/>
      <c r="BA456" s="14"/>
      <c r="BB456" s="14"/>
      <c r="BC456" s="14"/>
      <c r="BD456" s="14"/>
      <c r="BE456" s="14"/>
      <c r="BF456" s="14"/>
      <c r="BG456" s="14"/>
    </row>
    <row r="457" spans="2:59" s="15" customFormat="1" ht="14.25" x14ac:dyDescent="0.2">
      <c r="B457" s="27"/>
      <c r="C457" s="27"/>
      <c r="D457" s="27"/>
      <c r="E457" s="27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9"/>
      <c r="AE457" s="29"/>
      <c r="AF457" s="29"/>
      <c r="AG457" s="14"/>
      <c r="AH457" s="14"/>
      <c r="AI457" s="14"/>
      <c r="AJ457" s="14"/>
      <c r="AK457" s="14"/>
      <c r="AL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18"/>
      <c r="AX457" s="118"/>
      <c r="AY457" s="118"/>
      <c r="AZ457" s="14"/>
      <c r="BA457" s="14"/>
      <c r="BB457" s="14"/>
      <c r="BC457" s="14"/>
      <c r="BD457" s="14"/>
      <c r="BE457" s="14"/>
      <c r="BF457" s="14"/>
      <c r="BG457" s="14"/>
    </row>
    <row r="458" spans="2:59" s="15" customFormat="1" ht="14.25" x14ac:dyDescent="0.2">
      <c r="B458" s="27"/>
      <c r="C458" s="27"/>
      <c r="D458" s="27"/>
      <c r="E458" s="27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9"/>
      <c r="AE458" s="29"/>
      <c r="AF458" s="29"/>
      <c r="AG458" s="14"/>
      <c r="AH458" s="14"/>
      <c r="AI458" s="14"/>
      <c r="AJ458" s="14"/>
      <c r="AK458" s="14"/>
      <c r="AL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18"/>
      <c r="AX458" s="118"/>
      <c r="AY458" s="118"/>
      <c r="AZ458" s="14"/>
      <c r="BA458" s="14"/>
      <c r="BB458" s="14"/>
      <c r="BC458" s="14"/>
      <c r="BD458" s="14"/>
      <c r="BE458" s="14"/>
      <c r="BF458" s="14"/>
      <c r="BG458" s="14"/>
    </row>
    <row r="459" spans="2:59" s="15" customFormat="1" ht="14.25" x14ac:dyDescent="0.2">
      <c r="B459" s="27"/>
      <c r="C459" s="27"/>
      <c r="D459" s="27"/>
      <c r="E459" s="27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9"/>
      <c r="AE459" s="29"/>
      <c r="AF459" s="29"/>
      <c r="AG459" s="14"/>
      <c r="AH459" s="14"/>
      <c r="AI459" s="14"/>
      <c r="AJ459" s="14"/>
      <c r="AK459" s="14"/>
      <c r="AL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18"/>
      <c r="AX459" s="118"/>
      <c r="AY459" s="118"/>
      <c r="AZ459" s="14"/>
      <c r="BA459" s="14"/>
      <c r="BB459" s="14"/>
      <c r="BC459" s="14"/>
      <c r="BD459" s="14"/>
      <c r="BE459" s="14"/>
      <c r="BF459" s="14"/>
      <c r="BG459" s="14"/>
    </row>
    <row r="460" spans="2:59" s="15" customFormat="1" ht="14.25" x14ac:dyDescent="0.2">
      <c r="B460" s="27"/>
      <c r="C460" s="27"/>
      <c r="D460" s="27"/>
      <c r="E460" s="27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9"/>
      <c r="AE460" s="29"/>
      <c r="AF460" s="29"/>
      <c r="AG460" s="14"/>
      <c r="AH460" s="14"/>
      <c r="AI460" s="14"/>
      <c r="AJ460" s="14"/>
      <c r="AK460" s="14"/>
      <c r="AL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18"/>
      <c r="AX460" s="118"/>
      <c r="AY460" s="118"/>
      <c r="AZ460" s="14"/>
      <c r="BA460" s="14"/>
      <c r="BB460" s="14"/>
      <c r="BC460" s="14"/>
      <c r="BD460" s="14"/>
      <c r="BE460" s="14"/>
      <c r="BF460" s="14"/>
      <c r="BG460" s="14"/>
    </row>
    <row r="461" spans="2:59" s="15" customFormat="1" ht="14.25" x14ac:dyDescent="0.2">
      <c r="B461" s="27"/>
      <c r="C461" s="27"/>
      <c r="D461" s="27"/>
      <c r="E461" s="27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9"/>
      <c r="AE461" s="29"/>
      <c r="AF461" s="29"/>
      <c r="AG461" s="14"/>
      <c r="AH461" s="14"/>
      <c r="AI461" s="14"/>
      <c r="AJ461" s="14"/>
      <c r="AK461" s="14"/>
      <c r="AL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18"/>
      <c r="AX461" s="118"/>
      <c r="AY461" s="118"/>
      <c r="AZ461" s="14"/>
      <c r="BA461" s="14"/>
      <c r="BB461" s="14"/>
      <c r="BC461" s="14"/>
      <c r="BD461" s="14"/>
      <c r="BE461" s="14"/>
      <c r="BF461" s="14"/>
      <c r="BG461" s="14"/>
    </row>
    <row r="462" spans="2:59" s="15" customFormat="1" ht="14.25" x14ac:dyDescent="0.2">
      <c r="B462" s="27"/>
      <c r="C462" s="27"/>
      <c r="D462" s="27"/>
      <c r="E462" s="27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9"/>
      <c r="AE462" s="29"/>
      <c r="AF462" s="29"/>
      <c r="AG462" s="14"/>
      <c r="AH462" s="14"/>
      <c r="AI462" s="14"/>
      <c r="AJ462" s="14"/>
      <c r="AK462" s="14"/>
      <c r="AL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18"/>
      <c r="AX462" s="118"/>
      <c r="AY462" s="118"/>
      <c r="AZ462" s="14"/>
      <c r="BA462" s="14"/>
      <c r="BB462" s="14"/>
      <c r="BC462" s="14"/>
      <c r="BD462" s="14"/>
      <c r="BE462" s="14"/>
      <c r="BF462" s="14"/>
      <c r="BG462" s="14"/>
    </row>
    <row r="463" spans="2:59" s="15" customFormat="1" ht="14.25" x14ac:dyDescent="0.2">
      <c r="B463" s="27"/>
      <c r="C463" s="27"/>
      <c r="D463" s="27"/>
      <c r="E463" s="27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9"/>
      <c r="AE463" s="29"/>
      <c r="AF463" s="29"/>
      <c r="AG463" s="14"/>
      <c r="AH463" s="14"/>
      <c r="AI463" s="14"/>
      <c r="AJ463" s="14"/>
      <c r="AK463" s="14"/>
      <c r="AL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18"/>
      <c r="AX463" s="118"/>
      <c r="AY463" s="118"/>
      <c r="AZ463" s="14"/>
      <c r="BA463" s="14"/>
      <c r="BB463" s="14"/>
      <c r="BC463" s="14"/>
      <c r="BD463" s="14"/>
      <c r="BE463" s="14"/>
      <c r="BF463" s="14"/>
      <c r="BG463" s="14"/>
    </row>
    <row r="464" spans="2:59" s="15" customFormat="1" ht="14.25" x14ac:dyDescent="0.2">
      <c r="B464" s="27"/>
      <c r="C464" s="27"/>
      <c r="D464" s="27"/>
      <c r="E464" s="27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9"/>
      <c r="AE464" s="29"/>
      <c r="AF464" s="29"/>
      <c r="AG464" s="14"/>
      <c r="AH464" s="14"/>
      <c r="AI464" s="14"/>
      <c r="AJ464" s="14"/>
      <c r="AK464" s="14"/>
      <c r="AL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18"/>
      <c r="AX464" s="118"/>
      <c r="AY464" s="118"/>
      <c r="AZ464" s="14"/>
      <c r="BA464" s="14"/>
      <c r="BB464" s="14"/>
      <c r="BC464" s="14"/>
      <c r="BD464" s="14"/>
      <c r="BE464" s="14"/>
      <c r="BF464" s="14"/>
      <c r="BG464" s="14"/>
    </row>
    <row r="465" spans="2:59" s="15" customFormat="1" ht="14.25" x14ac:dyDescent="0.2">
      <c r="B465" s="27"/>
      <c r="C465" s="27"/>
      <c r="D465" s="27"/>
      <c r="E465" s="27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9"/>
      <c r="AE465" s="29"/>
      <c r="AF465" s="29"/>
      <c r="AG465" s="14"/>
      <c r="AH465" s="14"/>
      <c r="AI465" s="14"/>
      <c r="AJ465" s="14"/>
      <c r="AK465" s="14"/>
      <c r="AL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18"/>
      <c r="AX465" s="118"/>
      <c r="AY465" s="118"/>
      <c r="AZ465" s="14"/>
      <c r="BA465" s="14"/>
      <c r="BB465" s="14"/>
      <c r="BC465" s="14"/>
      <c r="BD465" s="14"/>
      <c r="BE465" s="14"/>
      <c r="BF465" s="14"/>
      <c r="BG465" s="14"/>
    </row>
    <row r="466" spans="2:59" s="15" customFormat="1" ht="14.25" x14ac:dyDescent="0.2">
      <c r="B466" s="27"/>
      <c r="C466" s="27"/>
      <c r="D466" s="27"/>
      <c r="E466" s="27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9"/>
      <c r="AE466" s="29"/>
      <c r="AF466" s="29"/>
      <c r="AG466" s="14"/>
      <c r="AH466" s="14"/>
      <c r="AI466" s="14"/>
      <c r="AJ466" s="14"/>
      <c r="AK466" s="14"/>
      <c r="AL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18"/>
      <c r="AX466" s="118"/>
      <c r="AY466" s="118"/>
      <c r="AZ466" s="14"/>
      <c r="BA466" s="14"/>
      <c r="BB466" s="14"/>
      <c r="BC466" s="14"/>
      <c r="BD466" s="14"/>
      <c r="BE466" s="14"/>
      <c r="BF466" s="14"/>
      <c r="BG466" s="14"/>
    </row>
    <row r="467" spans="2:59" s="15" customFormat="1" ht="14.25" x14ac:dyDescent="0.2">
      <c r="B467" s="27"/>
      <c r="C467" s="27"/>
      <c r="D467" s="27"/>
      <c r="E467" s="27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9"/>
      <c r="AE467" s="29"/>
      <c r="AF467" s="29"/>
      <c r="AG467" s="14"/>
      <c r="AH467" s="14"/>
      <c r="AI467" s="14"/>
      <c r="AJ467" s="14"/>
      <c r="AK467" s="14"/>
      <c r="AL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18"/>
      <c r="AX467" s="118"/>
      <c r="AY467" s="118"/>
      <c r="AZ467" s="14"/>
      <c r="BA467" s="14"/>
      <c r="BB467" s="14"/>
      <c r="BC467" s="14"/>
      <c r="BD467" s="14"/>
      <c r="BE467" s="14"/>
      <c r="BF467" s="14"/>
      <c r="BG467" s="14"/>
    </row>
    <row r="468" spans="2:59" s="15" customFormat="1" ht="14.25" x14ac:dyDescent="0.2">
      <c r="B468" s="27"/>
      <c r="C468" s="27"/>
      <c r="D468" s="27"/>
      <c r="E468" s="27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9"/>
      <c r="AE468" s="29"/>
      <c r="AF468" s="29"/>
      <c r="AG468" s="14"/>
      <c r="AH468" s="14"/>
      <c r="AI468" s="14"/>
      <c r="AJ468" s="14"/>
      <c r="AK468" s="14"/>
      <c r="AL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18"/>
      <c r="AX468" s="118"/>
      <c r="AY468" s="118"/>
      <c r="AZ468" s="14"/>
      <c r="BA468" s="14"/>
      <c r="BB468" s="14"/>
      <c r="BC468" s="14"/>
      <c r="BD468" s="14"/>
      <c r="BE468" s="14"/>
      <c r="BF468" s="14"/>
      <c r="BG468" s="14"/>
    </row>
    <row r="469" spans="2:59" s="15" customFormat="1" ht="14.25" x14ac:dyDescent="0.2">
      <c r="B469" s="27"/>
      <c r="C469" s="27"/>
      <c r="D469" s="27"/>
      <c r="E469" s="27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9"/>
      <c r="AE469" s="29"/>
      <c r="AF469" s="29"/>
      <c r="AG469" s="14"/>
      <c r="AH469" s="14"/>
      <c r="AI469" s="14"/>
      <c r="AJ469" s="14"/>
      <c r="AK469" s="14"/>
      <c r="AL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18"/>
      <c r="AX469" s="118"/>
      <c r="AY469" s="118"/>
      <c r="AZ469" s="14"/>
      <c r="BA469" s="14"/>
      <c r="BB469" s="14"/>
      <c r="BC469" s="14"/>
      <c r="BD469" s="14"/>
      <c r="BE469" s="14"/>
      <c r="BF469" s="14"/>
      <c r="BG469" s="14"/>
    </row>
    <row r="470" spans="2:59" s="15" customFormat="1" ht="14.25" x14ac:dyDescent="0.2">
      <c r="B470" s="27"/>
      <c r="C470" s="27"/>
      <c r="D470" s="27"/>
      <c r="E470" s="27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9"/>
      <c r="AE470" s="29"/>
      <c r="AF470" s="29"/>
      <c r="AG470" s="14"/>
      <c r="AH470" s="14"/>
      <c r="AI470" s="14"/>
      <c r="AJ470" s="14"/>
      <c r="AK470" s="14"/>
      <c r="AL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18"/>
      <c r="AX470" s="118"/>
      <c r="AY470" s="118"/>
      <c r="AZ470" s="14"/>
      <c r="BA470" s="14"/>
      <c r="BB470" s="14"/>
      <c r="BC470" s="14"/>
      <c r="BD470" s="14"/>
      <c r="BE470" s="14"/>
      <c r="BF470" s="14"/>
      <c r="BG470" s="14"/>
    </row>
    <row r="471" spans="2:59" s="15" customFormat="1" ht="14.25" x14ac:dyDescent="0.2">
      <c r="B471" s="27"/>
      <c r="C471" s="27"/>
      <c r="D471" s="27"/>
      <c r="E471" s="27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9"/>
      <c r="AE471" s="29"/>
      <c r="AF471" s="29"/>
      <c r="AG471" s="14"/>
      <c r="AH471" s="14"/>
      <c r="AI471" s="14"/>
      <c r="AJ471" s="14"/>
      <c r="AK471" s="14"/>
      <c r="AL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18"/>
      <c r="AX471" s="118"/>
      <c r="AY471" s="118"/>
      <c r="AZ471" s="14"/>
      <c r="BA471" s="14"/>
      <c r="BB471" s="14"/>
      <c r="BC471" s="14"/>
      <c r="BD471" s="14"/>
      <c r="BE471" s="14"/>
      <c r="BF471" s="14"/>
      <c r="BG471" s="14"/>
    </row>
    <row r="472" spans="2:59" s="15" customFormat="1" ht="14.25" x14ac:dyDescent="0.2">
      <c r="B472" s="27"/>
      <c r="C472" s="27"/>
      <c r="D472" s="27"/>
      <c r="E472" s="27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9"/>
      <c r="AE472" s="29"/>
      <c r="AF472" s="29"/>
      <c r="AG472" s="14"/>
      <c r="AH472" s="14"/>
      <c r="AI472" s="14"/>
      <c r="AJ472" s="14"/>
      <c r="AK472" s="14"/>
      <c r="AL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18"/>
      <c r="AX472" s="118"/>
      <c r="AY472" s="118"/>
      <c r="AZ472" s="14"/>
      <c r="BA472" s="14"/>
      <c r="BB472" s="14"/>
      <c r="BC472" s="14"/>
      <c r="BD472" s="14"/>
      <c r="BE472" s="14"/>
      <c r="BF472" s="14"/>
      <c r="BG472" s="14"/>
    </row>
    <row r="473" spans="2:59" s="15" customFormat="1" ht="14.25" x14ac:dyDescent="0.2">
      <c r="B473" s="27"/>
      <c r="C473" s="27"/>
      <c r="D473" s="27"/>
      <c r="E473" s="27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9"/>
      <c r="AE473" s="29"/>
      <c r="AF473" s="29"/>
      <c r="AG473" s="14"/>
      <c r="AH473" s="14"/>
      <c r="AI473" s="14"/>
      <c r="AJ473" s="14"/>
      <c r="AK473" s="14"/>
      <c r="AL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18"/>
      <c r="AX473" s="118"/>
      <c r="AY473" s="118"/>
      <c r="AZ473" s="14"/>
      <c r="BA473" s="14"/>
      <c r="BB473" s="14"/>
      <c r="BC473" s="14"/>
      <c r="BD473" s="14"/>
      <c r="BE473" s="14"/>
      <c r="BF473" s="14"/>
      <c r="BG473" s="14"/>
    </row>
    <row r="474" spans="2:59" s="15" customFormat="1" ht="14.25" x14ac:dyDescent="0.2">
      <c r="B474" s="27"/>
      <c r="C474" s="27"/>
      <c r="D474" s="27"/>
      <c r="E474" s="27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9"/>
      <c r="AE474" s="29"/>
      <c r="AF474" s="29"/>
      <c r="AG474" s="14"/>
      <c r="AH474" s="14"/>
      <c r="AI474" s="14"/>
      <c r="AJ474" s="14"/>
      <c r="AK474" s="14"/>
      <c r="AL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18"/>
      <c r="AX474" s="118"/>
      <c r="AY474" s="118"/>
      <c r="AZ474" s="14"/>
      <c r="BA474" s="14"/>
      <c r="BB474" s="14"/>
      <c r="BC474" s="14"/>
      <c r="BD474" s="14"/>
      <c r="BE474" s="14"/>
      <c r="BF474" s="14"/>
      <c r="BG474" s="14"/>
    </row>
    <row r="475" spans="2:59" s="15" customFormat="1" ht="14.25" x14ac:dyDescent="0.2">
      <c r="B475" s="27"/>
      <c r="C475" s="27"/>
      <c r="D475" s="27"/>
      <c r="E475" s="27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9"/>
      <c r="AE475" s="29"/>
      <c r="AF475" s="29"/>
      <c r="AG475" s="14"/>
      <c r="AH475" s="14"/>
      <c r="AI475" s="14"/>
      <c r="AJ475" s="14"/>
      <c r="AK475" s="14"/>
      <c r="AL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18"/>
      <c r="AX475" s="118"/>
      <c r="AY475" s="118"/>
      <c r="AZ475" s="14"/>
      <c r="BA475" s="14"/>
      <c r="BB475" s="14"/>
      <c r="BC475" s="14"/>
      <c r="BD475" s="14"/>
      <c r="BE475" s="14"/>
      <c r="BF475" s="14"/>
      <c r="BG475" s="14"/>
    </row>
    <row r="476" spans="2:59" s="15" customFormat="1" ht="14.25" x14ac:dyDescent="0.2">
      <c r="B476" s="27"/>
      <c r="C476" s="27"/>
      <c r="D476" s="27"/>
      <c r="E476" s="27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9"/>
      <c r="AE476" s="29"/>
      <c r="AF476" s="29"/>
      <c r="AG476" s="14"/>
      <c r="AH476" s="14"/>
      <c r="AI476" s="14"/>
      <c r="AJ476" s="14"/>
      <c r="AK476" s="14"/>
      <c r="AL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18"/>
      <c r="AX476" s="118"/>
      <c r="AY476" s="118"/>
      <c r="AZ476" s="14"/>
      <c r="BA476" s="14"/>
      <c r="BB476" s="14"/>
      <c r="BC476" s="14"/>
      <c r="BD476" s="14"/>
      <c r="BE476" s="14"/>
      <c r="BF476" s="14"/>
      <c r="BG476" s="14"/>
    </row>
    <row r="477" spans="2:59" s="15" customFormat="1" ht="14.25" x14ac:dyDescent="0.2">
      <c r="B477" s="27"/>
      <c r="C477" s="27"/>
      <c r="D477" s="27"/>
      <c r="E477" s="27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9"/>
      <c r="AE477" s="29"/>
      <c r="AF477" s="29"/>
      <c r="AG477" s="14"/>
      <c r="AH477" s="14"/>
      <c r="AI477" s="14"/>
      <c r="AJ477" s="14"/>
      <c r="AK477" s="14"/>
      <c r="AL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18"/>
      <c r="AX477" s="118"/>
      <c r="AY477" s="118"/>
      <c r="AZ477" s="14"/>
      <c r="BA477" s="14"/>
      <c r="BB477" s="14"/>
      <c r="BC477" s="14"/>
      <c r="BD477" s="14"/>
      <c r="BE477" s="14"/>
      <c r="BF477" s="14"/>
      <c r="BG477" s="14"/>
    </row>
    <row r="478" spans="2:59" s="15" customFormat="1" ht="14.25" x14ac:dyDescent="0.2">
      <c r="B478" s="27"/>
      <c r="C478" s="27"/>
      <c r="D478" s="27"/>
      <c r="E478" s="27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9"/>
      <c r="AE478" s="29"/>
      <c r="AF478" s="29"/>
      <c r="AG478" s="14"/>
      <c r="AH478" s="14"/>
      <c r="AI478" s="14"/>
      <c r="AJ478" s="14"/>
      <c r="AK478" s="14"/>
      <c r="AL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18"/>
      <c r="AX478" s="118"/>
      <c r="AY478" s="118"/>
      <c r="AZ478" s="14"/>
      <c r="BA478" s="14"/>
      <c r="BB478" s="14"/>
      <c r="BC478" s="14"/>
      <c r="BD478" s="14"/>
      <c r="BE478" s="14"/>
      <c r="BF478" s="14"/>
      <c r="BG478" s="14"/>
    </row>
    <row r="479" spans="2:59" s="15" customFormat="1" ht="14.25" x14ac:dyDescent="0.2">
      <c r="B479" s="27"/>
      <c r="C479" s="27"/>
      <c r="D479" s="27"/>
      <c r="E479" s="27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9"/>
      <c r="AE479" s="29"/>
      <c r="AF479" s="29"/>
      <c r="AG479" s="14"/>
      <c r="AH479" s="14"/>
      <c r="AI479" s="14"/>
      <c r="AJ479" s="14"/>
      <c r="AK479" s="14"/>
      <c r="AL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18"/>
      <c r="AX479" s="118"/>
      <c r="AY479" s="118"/>
      <c r="AZ479" s="14"/>
      <c r="BA479" s="14"/>
      <c r="BB479" s="14"/>
      <c r="BC479" s="14"/>
      <c r="BD479" s="14"/>
      <c r="BE479" s="14"/>
      <c r="BF479" s="14"/>
      <c r="BG479" s="14"/>
    </row>
    <row r="480" spans="2:59" s="15" customFormat="1" ht="14.25" x14ac:dyDescent="0.2">
      <c r="B480" s="27"/>
      <c r="C480" s="27"/>
      <c r="D480" s="27"/>
      <c r="E480" s="27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9"/>
      <c r="AE480" s="29"/>
      <c r="AF480" s="29"/>
      <c r="AG480" s="14"/>
      <c r="AH480" s="14"/>
      <c r="AI480" s="14"/>
      <c r="AJ480" s="14"/>
      <c r="AK480" s="14"/>
      <c r="AL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18"/>
      <c r="AX480" s="118"/>
      <c r="AY480" s="118"/>
      <c r="AZ480" s="14"/>
      <c r="BA480" s="14"/>
      <c r="BB480" s="14"/>
      <c r="BC480" s="14"/>
      <c r="BD480" s="14"/>
      <c r="BE480" s="14"/>
      <c r="BF480" s="14"/>
      <c r="BG480" s="14"/>
    </row>
    <row r="481" spans="2:59" s="15" customFormat="1" ht="14.25" x14ac:dyDescent="0.2">
      <c r="B481" s="27"/>
      <c r="C481" s="27"/>
      <c r="D481" s="27"/>
      <c r="E481" s="27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9"/>
      <c r="AE481" s="29"/>
      <c r="AF481" s="29"/>
      <c r="AG481" s="14"/>
      <c r="AH481" s="14"/>
      <c r="AI481" s="14"/>
      <c r="AJ481" s="14"/>
      <c r="AK481" s="14"/>
      <c r="AL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18"/>
      <c r="AX481" s="118"/>
      <c r="AY481" s="118"/>
      <c r="AZ481" s="14"/>
      <c r="BA481" s="14"/>
      <c r="BB481" s="14"/>
      <c r="BC481" s="14"/>
      <c r="BD481" s="14"/>
      <c r="BE481" s="14"/>
      <c r="BF481" s="14"/>
      <c r="BG481" s="14"/>
    </row>
    <row r="482" spans="2:59" s="15" customFormat="1" ht="14.25" x14ac:dyDescent="0.2">
      <c r="B482" s="27"/>
      <c r="C482" s="27"/>
      <c r="D482" s="27"/>
      <c r="E482" s="27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9"/>
      <c r="AE482" s="29"/>
      <c r="AF482" s="29"/>
      <c r="AG482" s="14"/>
      <c r="AH482" s="14"/>
      <c r="AI482" s="14"/>
      <c r="AJ482" s="14"/>
      <c r="AK482" s="14"/>
      <c r="AL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18"/>
      <c r="AX482" s="118"/>
      <c r="AY482" s="118"/>
      <c r="AZ482" s="14"/>
      <c r="BA482" s="14"/>
      <c r="BB482" s="14"/>
      <c r="BC482" s="14"/>
      <c r="BD482" s="14"/>
      <c r="BE482" s="14"/>
      <c r="BF482" s="14"/>
      <c r="BG482" s="14"/>
    </row>
    <row r="483" spans="2:59" s="15" customFormat="1" ht="14.25" x14ac:dyDescent="0.2">
      <c r="B483" s="27"/>
      <c r="C483" s="27"/>
      <c r="D483" s="27"/>
      <c r="E483" s="27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9"/>
      <c r="AE483" s="29"/>
      <c r="AF483" s="29"/>
      <c r="AG483" s="14"/>
      <c r="AH483" s="14"/>
      <c r="AI483" s="14"/>
      <c r="AJ483" s="14"/>
      <c r="AK483" s="14"/>
      <c r="AL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18"/>
      <c r="AX483" s="118"/>
      <c r="AY483" s="118"/>
      <c r="AZ483" s="14"/>
      <c r="BA483" s="14"/>
      <c r="BB483" s="14"/>
      <c r="BC483" s="14"/>
      <c r="BD483" s="14"/>
      <c r="BE483" s="14"/>
      <c r="BF483" s="14"/>
      <c r="BG483" s="14"/>
    </row>
    <row r="484" spans="2:59" s="15" customFormat="1" ht="14.25" x14ac:dyDescent="0.2">
      <c r="B484" s="27"/>
      <c r="C484" s="27"/>
      <c r="D484" s="27"/>
      <c r="E484" s="27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9"/>
      <c r="AE484" s="29"/>
      <c r="AF484" s="29"/>
      <c r="AG484" s="14"/>
      <c r="AH484" s="14"/>
      <c r="AI484" s="14"/>
      <c r="AJ484" s="14"/>
      <c r="AK484" s="14"/>
      <c r="AL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18"/>
      <c r="AX484" s="118"/>
      <c r="AY484" s="118"/>
      <c r="AZ484" s="14"/>
      <c r="BA484" s="14"/>
      <c r="BB484" s="14"/>
      <c r="BC484" s="14"/>
      <c r="BD484" s="14"/>
      <c r="BE484" s="14"/>
      <c r="BF484" s="14"/>
      <c r="BG484" s="14"/>
    </row>
    <row r="485" spans="2:59" s="15" customFormat="1" ht="14.25" x14ac:dyDescent="0.2">
      <c r="B485" s="27"/>
      <c r="C485" s="27"/>
      <c r="D485" s="27"/>
      <c r="E485" s="27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9"/>
      <c r="AE485" s="29"/>
      <c r="AF485" s="29"/>
      <c r="AG485" s="14"/>
      <c r="AH485" s="14"/>
      <c r="AI485" s="14"/>
      <c r="AJ485" s="14"/>
      <c r="AK485" s="14"/>
      <c r="AL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18"/>
      <c r="AX485" s="118"/>
      <c r="AY485" s="118"/>
      <c r="AZ485" s="14"/>
      <c r="BA485" s="14"/>
      <c r="BB485" s="14"/>
      <c r="BC485" s="14"/>
      <c r="BD485" s="14"/>
      <c r="BE485" s="14"/>
      <c r="BF485" s="14"/>
      <c r="BG485" s="14"/>
    </row>
    <row r="486" spans="2:59" s="15" customFormat="1" ht="14.25" x14ac:dyDescent="0.2">
      <c r="B486" s="27"/>
      <c r="C486" s="27"/>
      <c r="D486" s="27"/>
      <c r="E486" s="27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9"/>
      <c r="AE486" s="29"/>
      <c r="AF486" s="29"/>
      <c r="AG486" s="14"/>
      <c r="AH486" s="14"/>
      <c r="AI486" s="14"/>
      <c r="AJ486" s="14"/>
      <c r="AK486" s="14"/>
      <c r="AL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18"/>
      <c r="AX486" s="118"/>
      <c r="AY486" s="118"/>
      <c r="AZ486" s="14"/>
      <c r="BA486" s="14"/>
      <c r="BB486" s="14"/>
      <c r="BC486" s="14"/>
      <c r="BD486" s="14"/>
      <c r="BE486" s="14"/>
      <c r="BF486" s="14"/>
      <c r="BG486" s="14"/>
    </row>
    <row r="487" spans="2:59" s="15" customFormat="1" ht="14.25" x14ac:dyDescent="0.2">
      <c r="B487" s="27"/>
      <c r="C487" s="27"/>
      <c r="D487" s="27"/>
      <c r="E487" s="27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9"/>
      <c r="AE487" s="29"/>
      <c r="AF487" s="29"/>
      <c r="AG487" s="14"/>
      <c r="AH487" s="14"/>
      <c r="AI487" s="14"/>
      <c r="AJ487" s="14"/>
      <c r="AK487" s="14"/>
      <c r="AL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18"/>
      <c r="AX487" s="118"/>
      <c r="AY487" s="118"/>
      <c r="AZ487" s="14"/>
      <c r="BA487" s="14"/>
      <c r="BB487" s="14"/>
      <c r="BC487" s="14"/>
      <c r="BD487" s="14"/>
      <c r="BE487" s="14"/>
      <c r="BF487" s="14"/>
      <c r="BG487" s="14"/>
    </row>
    <row r="488" spans="2:59" s="15" customFormat="1" ht="14.25" x14ac:dyDescent="0.2">
      <c r="B488" s="27"/>
      <c r="C488" s="27"/>
      <c r="D488" s="27"/>
      <c r="E488" s="27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9"/>
      <c r="AE488" s="29"/>
      <c r="AF488" s="29"/>
      <c r="AG488" s="14"/>
      <c r="AH488" s="14"/>
      <c r="AI488" s="14"/>
      <c r="AJ488" s="14"/>
      <c r="AK488" s="14"/>
      <c r="AL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18"/>
      <c r="AX488" s="118"/>
      <c r="AY488" s="118"/>
      <c r="AZ488" s="14"/>
      <c r="BA488" s="14"/>
      <c r="BB488" s="14"/>
      <c r="BC488" s="14"/>
      <c r="BD488" s="14"/>
      <c r="BE488" s="14"/>
      <c r="BF488" s="14"/>
      <c r="BG488" s="14"/>
    </row>
    <row r="489" spans="2:59" s="15" customFormat="1" ht="14.25" x14ac:dyDescent="0.2">
      <c r="B489" s="27"/>
      <c r="C489" s="27"/>
      <c r="D489" s="27"/>
      <c r="E489" s="27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9"/>
      <c r="AE489" s="29"/>
      <c r="AF489" s="29"/>
      <c r="AG489" s="14"/>
      <c r="AH489" s="14"/>
      <c r="AI489" s="14"/>
      <c r="AJ489" s="14"/>
      <c r="AK489" s="14"/>
      <c r="AL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18"/>
      <c r="AX489" s="118"/>
      <c r="AY489" s="118"/>
      <c r="AZ489" s="14"/>
      <c r="BA489" s="14"/>
      <c r="BB489" s="14"/>
      <c r="BC489" s="14"/>
      <c r="BD489" s="14"/>
      <c r="BE489" s="14"/>
      <c r="BF489" s="14"/>
      <c r="BG489" s="14"/>
    </row>
    <row r="490" spans="2:59" s="15" customFormat="1" ht="14.25" x14ac:dyDescent="0.2">
      <c r="B490" s="27"/>
      <c r="C490" s="27"/>
      <c r="D490" s="27"/>
      <c r="E490" s="27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9"/>
      <c r="AE490" s="29"/>
      <c r="AF490" s="29"/>
      <c r="AG490" s="14"/>
      <c r="AH490" s="14"/>
      <c r="AI490" s="14"/>
      <c r="AJ490" s="14"/>
      <c r="AK490" s="14"/>
      <c r="AL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18"/>
      <c r="AX490" s="118"/>
      <c r="AY490" s="118"/>
      <c r="AZ490" s="14"/>
      <c r="BA490" s="14"/>
      <c r="BB490" s="14"/>
      <c r="BC490" s="14"/>
      <c r="BD490" s="14"/>
      <c r="BE490" s="14"/>
      <c r="BF490" s="14"/>
      <c r="BG490" s="14"/>
    </row>
    <row r="491" spans="2:59" s="15" customFormat="1" ht="14.25" x14ac:dyDescent="0.2">
      <c r="B491" s="27"/>
      <c r="C491" s="27"/>
      <c r="D491" s="27"/>
      <c r="E491" s="27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9"/>
      <c r="AE491" s="29"/>
      <c r="AF491" s="29"/>
      <c r="AG491" s="14"/>
      <c r="AH491" s="14"/>
      <c r="AI491" s="14"/>
      <c r="AJ491" s="14"/>
      <c r="AK491" s="14"/>
      <c r="AL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18"/>
      <c r="AX491" s="118"/>
      <c r="AY491" s="118"/>
      <c r="AZ491" s="14"/>
      <c r="BA491" s="14"/>
      <c r="BB491" s="14"/>
      <c r="BC491" s="14"/>
      <c r="BD491" s="14"/>
      <c r="BE491" s="14"/>
      <c r="BF491" s="14"/>
      <c r="BG491" s="14"/>
    </row>
    <row r="492" spans="2:59" s="15" customFormat="1" ht="14.25" x14ac:dyDescent="0.2">
      <c r="B492" s="27"/>
      <c r="C492" s="27"/>
      <c r="D492" s="27"/>
      <c r="E492" s="27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9"/>
      <c r="AE492" s="29"/>
      <c r="AF492" s="29"/>
      <c r="AG492" s="14"/>
      <c r="AH492" s="14"/>
      <c r="AI492" s="14"/>
      <c r="AJ492" s="14"/>
      <c r="AK492" s="14"/>
      <c r="AL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18"/>
      <c r="AX492" s="118"/>
      <c r="AY492" s="118"/>
      <c r="AZ492" s="14"/>
      <c r="BA492" s="14"/>
      <c r="BB492" s="14"/>
      <c r="BC492" s="14"/>
      <c r="BD492" s="14"/>
      <c r="BE492" s="14"/>
      <c r="BF492" s="14"/>
      <c r="BG492" s="14"/>
    </row>
    <row r="493" spans="2:59" s="15" customFormat="1" ht="14.25" x14ac:dyDescent="0.2">
      <c r="B493" s="27"/>
      <c r="C493" s="27"/>
      <c r="D493" s="27"/>
      <c r="E493" s="27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9"/>
      <c r="AE493" s="29"/>
      <c r="AF493" s="29"/>
      <c r="AG493" s="14"/>
      <c r="AH493" s="14"/>
      <c r="AI493" s="14"/>
      <c r="AJ493" s="14"/>
      <c r="AK493" s="14"/>
      <c r="AL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18"/>
      <c r="AX493" s="118"/>
      <c r="AY493" s="118"/>
      <c r="AZ493" s="14"/>
      <c r="BA493" s="14"/>
      <c r="BB493" s="14"/>
      <c r="BC493" s="14"/>
      <c r="BD493" s="14"/>
      <c r="BE493" s="14"/>
      <c r="BF493" s="14"/>
      <c r="BG493" s="14"/>
    </row>
    <row r="494" spans="2:59" s="15" customFormat="1" ht="14.25" x14ac:dyDescent="0.2">
      <c r="B494" s="27"/>
      <c r="C494" s="27"/>
      <c r="D494" s="27"/>
      <c r="E494" s="27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9"/>
      <c r="AE494" s="29"/>
      <c r="AF494" s="29"/>
      <c r="AG494" s="14"/>
      <c r="AH494" s="14"/>
      <c r="AI494" s="14"/>
      <c r="AJ494" s="14"/>
      <c r="AK494" s="14"/>
      <c r="AL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18"/>
      <c r="AX494" s="118"/>
      <c r="AY494" s="118"/>
      <c r="AZ494" s="14"/>
      <c r="BA494" s="14"/>
      <c r="BB494" s="14"/>
      <c r="BC494" s="14"/>
      <c r="BD494" s="14"/>
      <c r="BE494" s="14"/>
      <c r="BF494" s="14"/>
      <c r="BG494" s="14"/>
    </row>
    <row r="495" spans="2:59" s="15" customFormat="1" ht="14.25" x14ac:dyDescent="0.2">
      <c r="B495" s="27"/>
      <c r="C495" s="27"/>
      <c r="D495" s="27"/>
      <c r="E495" s="27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9"/>
      <c r="AE495" s="29"/>
      <c r="AF495" s="29"/>
      <c r="AG495" s="14"/>
      <c r="AH495" s="14"/>
      <c r="AI495" s="14"/>
      <c r="AJ495" s="14"/>
      <c r="AK495" s="14"/>
      <c r="AL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18"/>
      <c r="AX495" s="118"/>
      <c r="AY495" s="118"/>
      <c r="AZ495" s="14"/>
      <c r="BA495" s="14"/>
      <c r="BB495" s="14"/>
      <c r="BC495" s="14"/>
      <c r="BD495" s="14"/>
      <c r="BE495" s="14"/>
      <c r="BF495" s="14"/>
      <c r="BG495" s="14"/>
    </row>
    <row r="496" spans="2:59" s="15" customFormat="1" ht="14.25" x14ac:dyDescent="0.2">
      <c r="B496" s="27"/>
      <c r="C496" s="27"/>
      <c r="D496" s="27"/>
      <c r="E496" s="27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9"/>
      <c r="AE496" s="29"/>
      <c r="AF496" s="29"/>
      <c r="AG496" s="14"/>
      <c r="AH496" s="14"/>
      <c r="AI496" s="14"/>
      <c r="AJ496" s="14"/>
      <c r="AK496" s="14"/>
      <c r="AL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18"/>
      <c r="AX496" s="118"/>
      <c r="AY496" s="118"/>
      <c r="AZ496" s="14"/>
      <c r="BA496" s="14"/>
      <c r="BB496" s="14"/>
      <c r="BC496" s="14"/>
      <c r="BD496" s="14"/>
      <c r="BE496" s="14"/>
      <c r="BF496" s="14"/>
      <c r="BG496" s="14"/>
    </row>
    <row r="497" spans="2:59" s="15" customFormat="1" ht="14.25" x14ac:dyDescent="0.2">
      <c r="B497" s="27"/>
      <c r="C497" s="27"/>
      <c r="D497" s="27"/>
      <c r="E497" s="27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9"/>
      <c r="AE497" s="29"/>
      <c r="AF497" s="29"/>
      <c r="AG497" s="14"/>
      <c r="AH497" s="14"/>
      <c r="AI497" s="14"/>
      <c r="AJ497" s="14"/>
      <c r="AK497" s="14"/>
      <c r="AL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18"/>
      <c r="AX497" s="118"/>
      <c r="AY497" s="118"/>
      <c r="AZ497" s="14"/>
      <c r="BA497" s="14"/>
      <c r="BB497" s="14"/>
      <c r="BC497" s="14"/>
      <c r="BD497" s="14"/>
      <c r="BE497" s="14"/>
      <c r="BF497" s="14"/>
      <c r="BG497" s="14"/>
    </row>
    <row r="498" spans="2:59" s="15" customFormat="1" ht="14.25" x14ac:dyDescent="0.2">
      <c r="B498" s="27"/>
      <c r="C498" s="27"/>
      <c r="D498" s="27"/>
      <c r="E498" s="27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9"/>
      <c r="AE498" s="29"/>
      <c r="AF498" s="29"/>
      <c r="AG498" s="14"/>
      <c r="AH498" s="14"/>
      <c r="AI498" s="14"/>
      <c r="AJ498" s="14"/>
      <c r="AK498" s="14"/>
      <c r="AL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18"/>
      <c r="AX498" s="118"/>
      <c r="AY498" s="118"/>
      <c r="AZ498" s="14"/>
      <c r="BA498" s="14"/>
      <c r="BB498" s="14"/>
      <c r="BC498" s="14"/>
      <c r="BD498" s="14"/>
      <c r="BE498" s="14"/>
      <c r="BF498" s="14"/>
      <c r="BG498" s="14"/>
    </row>
    <row r="499" spans="2:59" s="15" customFormat="1" ht="14.25" x14ac:dyDescent="0.2">
      <c r="B499" s="27"/>
      <c r="C499" s="27"/>
      <c r="D499" s="27"/>
      <c r="E499" s="27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9"/>
      <c r="AE499" s="29"/>
      <c r="AF499" s="29"/>
      <c r="AG499" s="14"/>
      <c r="AH499" s="14"/>
      <c r="AI499" s="14"/>
      <c r="AJ499" s="14"/>
      <c r="AK499" s="14"/>
      <c r="AL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18"/>
      <c r="AX499" s="118"/>
      <c r="AY499" s="118"/>
      <c r="AZ499" s="14"/>
      <c r="BA499" s="14"/>
      <c r="BB499" s="14"/>
      <c r="BC499" s="14"/>
      <c r="BD499" s="14"/>
      <c r="BE499" s="14"/>
      <c r="BF499" s="14"/>
      <c r="BG499" s="14"/>
    </row>
    <row r="500" spans="2:59" s="15" customFormat="1" ht="14.25" x14ac:dyDescent="0.2">
      <c r="B500" s="27"/>
      <c r="C500" s="27"/>
      <c r="D500" s="27"/>
      <c r="E500" s="27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9"/>
      <c r="AE500" s="29"/>
      <c r="AF500" s="29"/>
      <c r="AG500" s="14"/>
      <c r="AH500" s="14"/>
      <c r="AI500" s="14"/>
      <c r="AJ500" s="14"/>
      <c r="AK500" s="14"/>
      <c r="AL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18"/>
      <c r="AX500" s="118"/>
      <c r="AY500" s="118"/>
      <c r="AZ500" s="14"/>
      <c r="BA500" s="14"/>
      <c r="BB500" s="14"/>
      <c r="BC500" s="14"/>
      <c r="BD500" s="14"/>
      <c r="BE500" s="14"/>
      <c r="BF500" s="14"/>
      <c r="BG500" s="14"/>
    </row>
    <row r="501" spans="2:59" s="15" customFormat="1" ht="14.25" x14ac:dyDescent="0.2">
      <c r="B501" s="27"/>
      <c r="C501" s="27"/>
      <c r="D501" s="27"/>
      <c r="E501" s="27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9"/>
      <c r="AE501" s="29"/>
      <c r="AF501" s="29"/>
      <c r="AG501" s="14"/>
      <c r="AH501" s="14"/>
      <c r="AI501" s="14"/>
      <c r="AJ501" s="14"/>
      <c r="AK501" s="14"/>
      <c r="AL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18"/>
      <c r="AX501" s="118"/>
      <c r="AY501" s="118"/>
      <c r="AZ501" s="14"/>
      <c r="BA501" s="14"/>
      <c r="BB501" s="14"/>
      <c r="BC501" s="14"/>
      <c r="BD501" s="14"/>
      <c r="BE501" s="14"/>
      <c r="BF501" s="14"/>
      <c r="BG501" s="14"/>
    </row>
    <row r="502" spans="2:59" s="15" customFormat="1" ht="14.25" x14ac:dyDescent="0.2">
      <c r="B502" s="27"/>
      <c r="C502" s="27"/>
      <c r="D502" s="27"/>
      <c r="E502" s="27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9"/>
      <c r="AE502" s="29"/>
      <c r="AF502" s="29"/>
      <c r="AG502" s="14"/>
      <c r="AH502" s="14"/>
      <c r="AI502" s="14"/>
      <c r="AJ502" s="14"/>
      <c r="AK502" s="14"/>
      <c r="AL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18"/>
      <c r="AX502" s="118"/>
      <c r="AY502" s="118"/>
      <c r="AZ502" s="14"/>
      <c r="BA502" s="14"/>
      <c r="BB502" s="14"/>
      <c r="BC502" s="14"/>
      <c r="BD502" s="14"/>
      <c r="BE502" s="14"/>
      <c r="BF502" s="14"/>
      <c r="BG502" s="14"/>
    </row>
    <row r="503" spans="2:59" s="15" customFormat="1" ht="14.25" x14ac:dyDescent="0.2">
      <c r="B503" s="27"/>
      <c r="C503" s="27"/>
      <c r="D503" s="27"/>
      <c r="E503" s="27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9"/>
      <c r="AE503" s="29"/>
      <c r="AF503" s="29"/>
      <c r="AG503" s="14"/>
      <c r="AH503" s="14"/>
      <c r="AI503" s="14"/>
      <c r="AJ503" s="14"/>
      <c r="AK503" s="14"/>
      <c r="AL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18"/>
      <c r="AX503" s="118"/>
      <c r="AY503" s="118"/>
      <c r="AZ503" s="14"/>
      <c r="BA503" s="14"/>
      <c r="BB503" s="14"/>
      <c r="BC503" s="14"/>
      <c r="BD503" s="14"/>
      <c r="BE503" s="14"/>
      <c r="BF503" s="14"/>
      <c r="BG503" s="14"/>
    </row>
    <row r="504" spans="2:59" s="15" customFormat="1" ht="14.25" x14ac:dyDescent="0.2">
      <c r="B504" s="27"/>
      <c r="C504" s="27"/>
      <c r="D504" s="27"/>
      <c r="E504" s="27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9"/>
      <c r="AE504" s="29"/>
      <c r="AF504" s="29"/>
      <c r="AG504" s="14"/>
      <c r="AH504" s="14"/>
      <c r="AI504" s="14"/>
      <c r="AJ504" s="14"/>
      <c r="AK504" s="14"/>
      <c r="AL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18"/>
      <c r="AX504" s="118"/>
      <c r="AY504" s="118"/>
      <c r="AZ504" s="14"/>
      <c r="BA504" s="14"/>
      <c r="BB504" s="14"/>
      <c r="BC504" s="14"/>
      <c r="BD504" s="14"/>
      <c r="BE504" s="14"/>
      <c r="BF504" s="14"/>
      <c r="BG504" s="14"/>
    </row>
    <row r="505" spans="2:59" s="15" customFormat="1" ht="14.25" x14ac:dyDescent="0.2">
      <c r="B505" s="27"/>
      <c r="C505" s="27"/>
      <c r="D505" s="27"/>
      <c r="E505" s="27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9"/>
      <c r="AE505" s="29"/>
      <c r="AF505" s="29"/>
      <c r="AG505" s="14"/>
      <c r="AH505" s="14"/>
      <c r="AI505" s="14"/>
      <c r="AJ505" s="14"/>
      <c r="AK505" s="14"/>
      <c r="AL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18"/>
      <c r="AX505" s="118"/>
      <c r="AY505" s="118"/>
      <c r="AZ505" s="14"/>
      <c r="BA505" s="14"/>
      <c r="BB505" s="14"/>
      <c r="BC505" s="14"/>
      <c r="BD505" s="14"/>
      <c r="BE505" s="14"/>
      <c r="BF505" s="14"/>
      <c r="BG505" s="14"/>
    </row>
    <row r="506" spans="2:59" s="15" customFormat="1" ht="14.25" x14ac:dyDescent="0.2">
      <c r="B506" s="27"/>
      <c r="C506" s="27"/>
      <c r="D506" s="27"/>
      <c r="E506" s="27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9"/>
      <c r="AE506" s="29"/>
      <c r="AF506" s="29"/>
      <c r="AG506" s="14"/>
      <c r="AH506" s="14"/>
      <c r="AI506" s="14"/>
      <c r="AJ506" s="14"/>
      <c r="AK506" s="14"/>
      <c r="AL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18"/>
      <c r="AX506" s="118"/>
      <c r="AY506" s="118"/>
      <c r="AZ506" s="14"/>
      <c r="BA506" s="14"/>
      <c r="BB506" s="14"/>
      <c r="BC506" s="14"/>
      <c r="BD506" s="14"/>
      <c r="BE506" s="14"/>
      <c r="BF506" s="14"/>
      <c r="BG506" s="14"/>
    </row>
    <row r="507" spans="2:59" s="15" customFormat="1" ht="14.25" x14ac:dyDescent="0.2">
      <c r="B507" s="27"/>
      <c r="C507" s="27"/>
      <c r="D507" s="27"/>
      <c r="E507" s="27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9"/>
      <c r="AE507" s="29"/>
      <c r="AF507" s="29"/>
      <c r="AG507" s="14"/>
      <c r="AH507" s="14"/>
      <c r="AI507" s="14"/>
      <c r="AJ507" s="14"/>
      <c r="AK507" s="14"/>
      <c r="AL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18"/>
      <c r="AX507" s="118"/>
      <c r="AY507" s="118"/>
      <c r="AZ507" s="14"/>
      <c r="BA507" s="14"/>
      <c r="BB507" s="14"/>
      <c r="BC507" s="14"/>
      <c r="BD507" s="14"/>
      <c r="BE507" s="14"/>
      <c r="BF507" s="14"/>
      <c r="BG507" s="14"/>
    </row>
    <row r="508" spans="2:59" s="15" customFormat="1" ht="14.25" x14ac:dyDescent="0.2">
      <c r="B508" s="27"/>
      <c r="C508" s="27"/>
      <c r="D508" s="27"/>
      <c r="E508" s="27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9"/>
      <c r="AE508" s="29"/>
      <c r="AF508" s="29"/>
      <c r="AG508" s="14"/>
      <c r="AH508" s="14"/>
      <c r="AI508" s="14"/>
      <c r="AJ508" s="14"/>
      <c r="AK508" s="14"/>
      <c r="AL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18"/>
      <c r="AX508" s="118"/>
      <c r="AY508" s="118"/>
      <c r="AZ508" s="14"/>
      <c r="BA508" s="14"/>
      <c r="BB508" s="14"/>
      <c r="BC508" s="14"/>
      <c r="BD508" s="14"/>
      <c r="BE508" s="14"/>
      <c r="BF508" s="14"/>
      <c r="BG508" s="14"/>
    </row>
    <row r="509" spans="2:59" s="15" customFormat="1" ht="14.25" x14ac:dyDescent="0.2">
      <c r="B509" s="27"/>
      <c r="C509" s="27"/>
      <c r="D509" s="27"/>
      <c r="E509" s="27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9"/>
      <c r="AE509" s="29"/>
      <c r="AF509" s="29"/>
      <c r="AG509" s="14"/>
      <c r="AH509" s="14"/>
      <c r="AI509" s="14"/>
      <c r="AJ509" s="14"/>
      <c r="AK509" s="14"/>
      <c r="AL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18"/>
      <c r="AX509" s="118"/>
      <c r="AY509" s="118"/>
      <c r="AZ509" s="14"/>
      <c r="BA509" s="14"/>
      <c r="BB509" s="14"/>
      <c r="BC509" s="14"/>
      <c r="BD509" s="14"/>
      <c r="BE509" s="14"/>
      <c r="BF509" s="14"/>
      <c r="BG509" s="14"/>
    </row>
    <row r="510" spans="2:59" s="15" customFormat="1" ht="14.25" x14ac:dyDescent="0.2">
      <c r="B510" s="27"/>
      <c r="C510" s="27"/>
      <c r="D510" s="27"/>
      <c r="E510" s="27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9"/>
      <c r="AE510" s="29"/>
      <c r="AF510" s="29"/>
      <c r="AG510" s="14"/>
      <c r="AH510" s="14"/>
      <c r="AI510" s="14"/>
      <c r="AJ510" s="14"/>
      <c r="AK510" s="14"/>
      <c r="AL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18"/>
      <c r="AX510" s="118"/>
      <c r="AY510" s="118"/>
      <c r="AZ510" s="14"/>
      <c r="BA510" s="14"/>
      <c r="BB510" s="14"/>
      <c r="BC510" s="14"/>
      <c r="BD510" s="14"/>
      <c r="BE510" s="14"/>
      <c r="BF510" s="14"/>
      <c r="BG510" s="14"/>
    </row>
    <row r="511" spans="2:59" s="15" customFormat="1" ht="14.25" x14ac:dyDescent="0.2">
      <c r="B511" s="27"/>
      <c r="C511" s="27"/>
      <c r="D511" s="27"/>
      <c r="E511" s="27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9"/>
      <c r="AE511" s="29"/>
      <c r="AF511" s="29"/>
      <c r="AG511" s="14"/>
      <c r="AH511" s="14"/>
      <c r="AI511" s="14"/>
      <c r="AJ511" s="14"/>
      <c r="AK511" s="14"/>
      <c r="AL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18"/>
      <c r="AX511" s="118"/>
      <c r="AY511" s="118"/>
      <c r="AZ511" s="14"/>
      <c r="BA511" s="14"/>
      <c r="BB511" s="14"/>
      <c r="BC511" s="14"/>
      <c r="BD511" s="14"/>
      <c r="BE511" s="14"/>
      <c r="BF511" s="14"/>
      <c r="BG511" s="14"/>
    </row>
    <row r="512" spans="2:59" s="15" customFormat="1" ht="14.25" x14ac:dyDescent="0.2">
      <c r="B512" s="27"/>
      <c r="C512" s="27"/>
      <c r="D512" s="27"/>
      <c r="E512" s="27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9"/>
      <c r="AE512" s="29"/>
      <c r="AF512" s="29"/>
      <c r="AG512" s="14"/>
      <c r="AH512" s="14"/>
      <c r="AI512" s="14"/>
      <c r="AJ512" s="14"/>
      <c r="AK512" s="14"/>
      <c r="AL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18"/>
      <c r="AX512" s="118"/>
      <c r="AY512" s="118"/>
      <c r="AZ512" s="14"/>
      <c r="BA512" s="14"/>
      <c r="BB512" s="14"/>
      <c r="BC512" s="14"/>
      <c r="BD512" s="14"/>
      <c r="BE512" s="14"/>
      <c r="BF512" s="14"/>
      <c r="BG512" s="14"/>
    </row>
    <row r="513" spans="2:59" s="15" customFormat="1" ht="14.25" x14ac:dyDescent="0.2">
      <c r="B513" s="27"/>
      <c r="C513" s="27"/>
      <c r="D513" s="27"/>
      <c r="E513" s="27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9"/>
      <c r="AE513" s="29"/>
      <c r="AF513" s="29"/>
      <c r="AG513" s="14"/>
      <c r="AH513" s="14"/>
      <c r="AI513" s="14"/>
      <c r="AJ513" s="14"/>
      <c r="AK513" s="14"/>
      <c r="AL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18"/>
      <c r="AX513" s="118"/>
      <c r="AY513" s="118"/>
      <c r="AZ513" s="14"/>
      <c r="BA513" s="14"/>
      <c r="BB513" s="14"/>
      <c r="BC513" s="14"/>
      <c r="BD513" s="14"/>
      <c r="BE513" s="14"/>
      <c r="BF513" s="14"/>
      <c r="BG513" s="14"/>
    </row>
    <row r="514" spans="2:59" s="15" customFormat="1" ht="14.25" x14ac:dyDescent="0.2">
      <c r="B514" s="27"/>
      <c r="C514" s="27"/>
      <c r="D514" s="27"/>
      <c r="E514" s="27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9"/>
      <c r="AE514" s="29"/>
      <c r="AF514" s="29"/>
      <c r="AG514" s="14"/>
      <c r="AH514" s="14"/>
      <c r="AI514" s="14"/>
      <c r="AJ514" s="14"/>
      <c r="AK514" s="14"/>
      <c r="AL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18"/>
      <c r="AX514" s="118"/>
      <c r="AY514" s="118"/>
      <c r="AZ514" s="14"/>
      <c r="BA514" s="14"/>
      <c r="BB514" s="14"/>
      <c r="BC514" s="14"/>
      <c r="BD514" s="14"/>
      <c r="BE514" s="14"/>
      <c r="BF514" s="14"/>
      <c r="BG514" s="14"/>
    </row>
    <row r="515" spans="2:59" s="15" customFormat="1" ht="14.25" x14ac:dyDescent="0.2">
      <c r="B515" s="27"/>
      <c r="C515" s="27"/>
      <c r="D515" s="27"/>
      <c r="E515" s="27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9"/>
      <c r="AE515" s="29"/>
      <c r="AF515" s="29"/>
      <c r="AG515" s="14"/>
      <c r="AH515" s="14"/>
      <c r="AI515" s="14"/>
      <c r="AJ515" s="14"/>
      <c r="AK515" s="14"/>
      <c r="AL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18"/>
      <c r="AX515" s="118"/>
      <c r="AY515" s="118"/>
      <c r="AZ515" s="14"/>
      <c r="BA515" s="14"/>
      <c r="BB515" s="14"/>
      <c r="BC515" s="14"/>
      <c r="BD515" s="14"/>
      <c r="BE515" s="14"/>
      <c r="BF515" s="14"/>
      <c r="BG515" s="14"/>
    </row>
    <row r="516" spans="2:59" s="15" customFormat="1" ht="14.25" x14ac:dyDescent="0.2">
      <c r="B516" s="27"/>
      <c r="C516" s="27"/>
      <c r="D516" s="27"/>
      <c r="E516" s="27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9"/>
      <c r="AE516" s="29"/>
      <c r="AF516" s="29"/>
      <c r="AG516" s="14"/>
      <c r="AH516" s="14"/>
      <c r="AI516" s="14"/>
      <c r="AJ516" s="14"/>
      <c r="AK516" s="14"/>
      <c r="AL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18"/>
      <c r="AX516" s="118"/>
      <c r="AY516" s="118"/>
      <c r="AZ516" s="14"/>
      <c r="BA516" s="14"/>
      <c r="BB516" s="14"/>
      <c r="BC516" s="14"/>
      <c r="BD516" s="14"/>
      <c r="BE516" s="14"/>
      <c r="BF516" s="14"/>
      <c r="BG516" s="14"/>
    </row>
    <row r="517" spans="2:59" s="15" customFormat="1" ht="14.25" x14ac:dyDescent="0.2">
      <c r="B517" s="27"/>
      <c r="C517" s="27"/>
      <c r="D517" s="27"/>
      <c r="E517" s="27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9"/>
      <c r="AE517" s="29"/>
      <c r="AF517" s="29"/>
      <c r="AG517" s="14"/>
      <c r="AH517" s="14"/>
      <c r="AI517" s="14"/>
      <c r="AJ517" s="14"/>
      <c r="AK517" s="14"/>
      <c r="AL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18"/>
      <c r="AX517" s="118"/>
      <c r="AY517" s="118"/>
      <c r="AZ517" s="14"/>
      <c r="BA517" s="14"/>
      <c r="BB517" s="14"/>
      <c r="BC517" s="14"/>
      <c r="BD517" s="14"/>
      <c r="BE517" s="14"/>
      <c r="BF517" s="14"/>
      <c r="BG517" s="14"/>
    </row>
    <row r="518" spans="2:59" s="15" customFormat="1" ht="14.25" x14ac:dyDescent="0.2">
      <c r="B518" s="27"/>
      <c r="C518" s="27"/>
      <c r="D518" s="27"/>
      <c r="E518" s="27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9"/>
      <c r="AE518" s="29"/>
      <c r="AF518" s="29"/>
      <c r="AG518" s="14"/>
      <c r="AH518" s="14"/>
      <c r="AI518" s="14"/>
      <c r="AJ518" s="14"/>
      <c r="AK518" s="14"/>
      <c r="AL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18"/>
      <c r="AX518" s="118"/>
      <c r="AY518" s="118"/>
      <c r="AZ518" s="14"/>
      <c r="BA518" s="14"/>
      <c r="BB518" s="14"/>
      <c r="BC518" s="14"/>
      <c r="BD518" s="14"/>
      <c r="BE518" s="14"/>
      <c r="BF518" s="14"/>
      <c r="BG518" s="14"/>
    </row>
    <row r="519" spans="2:59" s="15" customFormat="1" ht="14.25" x14ac:dyDescent="0.2">
      <c r="B519" s="27"/>
      <c r="C519" s="27"/>
      <c r="D519" s="27"/>
      <c r="E519" s="27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9"/>
      <c r="AE519" s="29"/>
      <c r="AF519" s="29"/>
      <c r="AG519" s="14"/>
      <c r="AH519" s="14"/>
      <c r="AI519" s="14"/>
      <c r="AJ519" s="14"/>
      <c r="AK519" s="14"/>
      <c r="AL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18"/>
      <c r="AX519" s="118"/>
      <c r="AY519" s="118"/>
      <c r="AZ519" s="14"/>
      <c r="BA519" s="14"/>
      <c r="BB519" s="14"/>
      <c r="BC519" s="14"/>
      <c r="BD519" s="14"/>
      <c r="BE519" s="14"/>
      <c r="BF519" s="14"/>
      <c r="BG519" s="14"/>
    </row>
    <row r="520" spans="2:59" s="15" customFormat="1" ht="14.25" x14ac:dyDescent="0.2">
      <c r="B520" s="27"/>
      <c r="C520" s="27"/>
      <c r="D520" s="27"/>
      <c r="E520" s="27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9"/>
      <c r="AE520" s="29"/>
      <c r="AF520" s="29"/>
      <c r="AG520" s="14"/>
      <c r="AH520" s="14"/>
      <c r="AI520" s="14"/>
      <c r="AJ520" s="14"/>
      <c r="AK520" s="14"/>
      <c r="AL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18"/>
      <c r="AX520" s="118"/>
      <c r="AY520" s="118"/>
      <c r="AZ520" s="14"/>
      <c r="BA520" s="14"/>
      <c r="BB520" s="14"/>
      <c r="BC520" s="14"/>
      <c r="BD520" s="14"/>
      <c r="BE520" s="14"/>
      <c r="BF520" s="14"/>
      <c r="BG520" s="14"/>
    </row>
    <row r="521" spans="2:59" s="15" customFormat="1" ht="14.25" x14ac:dyDescent="0.2">
      <c r="B521" s="27"/>
      <c r="C521" s="27"/>
      <c r="D521" s="27"/>
      <c r="E521" s="27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9"/>
      <c r="AE521" s="29"/>
      <c r="AF521" s="29"/>
      <c r="AG521" s="14"/>
      <c r="AH521" s="14"/>
      <c r="AI521" s="14"/>
      <c r="AJ521" s="14"/>
      <c r="AK521" s="14"/>
      <c r="AL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18"/>
      <c r="AX521" s="118"/>
      <c r="AY521" s="118"/>
      <c r="AZ521" s="14"/>
      <c r="BA521" s="14"/>
      <c r="BB521" s="14"/>
      <c r="BC521" s="14"/>
      <c r="BD521" s="14"/>
      <c r="BE521" s="14"/>
      <c r="BF521" s="14"/>
      <c r="BG521" s="14"/>
    </row>
    <row r="522" spans="2:59" s="15" customFormat="1" ht="14.25" x14ac:dyDescent="0.2">
      <c r="B522" s="27"/>
      <c r="C522" s="27"/>
      <c r="D522" s="27"/>
      <c r="E522" s="27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9"/>
      <c r="AE522" s="29"/>
      <c r="AF522" s="29"/>
      <c r="AG522" s="14"/>
      <c r="AH522" s="14"/>
      <c r="AI522" s="14"/>
      <c r="AJ522" s="14"/>
      <c r="AK522" s="14"/>
      <c r="AL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18"/>
      <c r="AX522" s="118"/>
      <c r="AY522" s="118"/>
      <c r="AZ522" s="14"/>
      <c r="BA522" s="14"/>
      <c r="BB522" s="14"/>
      <c r="BC522" s="14"/>
      <c r="BD522" s="14"/>
      <c r="BE522" s="14"/>
      <c r="BF522" s="14"/>
      <c r="BG522" s="14"/>
    </row>
    <row r="523" spans="2:59" s="15" customFormat="1" ht="14.25" x14ac:dyDescent="0.2">
      <c r="B523" s="27"/>
      <c r="C523" s="27"/>
      <c r="D523" s="27"/>
      <c r="E523" s="27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9"/>
      <c r="AE523" s="29"/>
      <c r="AF523" s="29"/>
      <c r="AG523" s="14"/>
      <c r="AH523" s="14"/>
      <c r="AI523" s="14"/>
      <c r="AJ523" s="14"/>
      <c r="AK523" s="14"/>
      <c r="AL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18"/>
      <c r="AX523" s="118"/>
      <c r="AY523" s="118"/>
      <c r="AZ523" s="14"/>
      <c r="BA523" s="14"/>
      <c r="BB523" s="14"/>
      <c r="BC523" s="14"/>
      <c r="BD523" s="14"/>
      <c r="BE523" s="14"/>
      <c r="BF523" s="14"/>
      <c r="BG523" s="14"/>
    </row>
    <row r="524" spans="2:59" s="15" customFormat="1" ht="14.25" x14ac:dyDescent="0.2">
      <c r="B524" s="27"/>
      <c r="C524" s="27"/>
      <c r="D524" s="27"/>
      <c r="E524" s="27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9"/>
      <c r="AE524" s="29"/>
      <c r="AF524" s="29"/>
      <c r="AG524" s="14"/>
      <c r="AH524" s="14"/>
      <c r="AI524" s="14"/>
      <c r="AJ524" s="14"/>
      <c r="AK524" s="14"/>
      <c r="AL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18"/>
      <c r="AX524" s="118"/>
      <c r="AY524" s="118"/>
      <c r="AZ524" s="14"/>
      <c r="BA524" s="14"/>
      <c r="BB524" s="14"/>
      <c r="BC524" s="14"/>
      <c r="BD524" s="14"/>
      <c r="BE524" s="14"/>
      <c r="BF524" s="14"/>
      <c r="BG524" s="14"/>
    </row>
    <row r="525" spans="2:59" s="15" customFormat="1" ht="14.25" x14ac:dyDescent="0.2">
      <c r="B525" s="27"/>
      <c r="C525" s="27"/>
      <c r="D525" s="27"/>
      <c r="E525" s="27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9"/>
      <c r="AE525" s="29"/>
      <c r="AF525" s="29"/>
      <c r="AG525" s="14"/>
      <c r="AH525" s="14"/>
      <c r="AI525" s="14"/>
      <c r="AJ525" s="14"/>
      <c r="AK525" s="14"/>
      <c r="AL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18"/>
      <c r="AX525" s="118"/>
      <c r="AY525" s="118"/>
      <c r="AZ525" s="14"/>
      <c r="BA525" s="14"/>
      <c r="BB525" s="14"/>
      <c r="BC525" s="14"/>
      <c r="BD525" s="14"/>
      <c r="BE525" s="14"/>
      <c r="BF525" s="14"/>
      <c r="BG525" s="14"/>
    </row>
    <row r="526" spans="2:59" s="15" customFormat="1" ht="14.25" x14ac:dyDescent="0.2">
      <c r="B526" s="27"/>
      <c r="C526" s="27"/>
      <c r="D526" s="27"/>
      <c r="E526" s="27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9"/>
      <c r="AE526" s="29"/>
      <c r="AF526" s="29"/>
      <c r="AG526" s="14"/>
      <c r="AH526" s="14"/>
      <c r="AI526" s="14"/>
      <c r="AJ526" s="14"/>
      <c r="AK526" s="14"/>
      <c r="AL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18"/>
      <c r="AX526" s="118"/>
      <c r="AY526" s="118"/>
      <c r="AZ526" s="14"/>
      <c r="BA526" s="14"/>
      <c r="BB526" s="14"/>
      <c r="BC526" s="14"/>
      <c r="BD526" s="14"/>
      <c r="BE526" s="14"/>
      <c r="BF526" s="14"/>
      <c r="BG526" s="14"/>
    </row>
    <row r="527" spans="2:59" s="15" customFormat="1" ht="14.25" x14ac:dyDescent="0.2">
      <c r="B527" s="27"/>
      <c r="C527" s="27"/>
      <c r="D527" s="27"/>
      <c r="E527" s="27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9"/>
      <c r="AE527" s="29"/>
      <c r="AF527" s="29"/>
      <c r="AG527" s="14"/>
      <c r="AH527" s="14"/>
      <c r="AI527" s="14"/>
      <c r="AJ527" s="14"/>
      <c r="AK527" s="14"/>
      <c r="AL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18"/>
      <c r="AX527" s="118"/>
      <c r="AY527" s="118"/>
      <c r="AZ527" s="14"/>
      <c r="BA527" s="14"/>
      <c r="BB527" s="14"/>
      <c r="BC527" s="14"/>
      <c r="BD527" s="14"/>
      <c r="BE527" s="14"/>
      <c r="BF527" s="14"/>
      <c r="BG527" s="14"/>
    </row>
    <row r="528" spans="2:59" s="15" customFormat="1" ht="14.25" x14ac:dyDescent="0.2">
      <c r="B528" s="27"/>
      <c r="C528" s="27"/>
      <c r="D528" s="27"/>
      <c r="E528" s="27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9"/>
      <c r="AE528" s="29"/>
      <c r="AF528" s="29"/>
      <c r="AG528" s="14"/>
      <c r="AH528" s="14"/>
      <c r="AI528" s="14"/>
      <c r="AJ528" s="14"/>
      <c r="AK528" s="14"/>
      <c r="AL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18"/>
      <c r="AX528" s="118"/>
      <c r="AY528" s="118"/>
      <c r="AZ528" s="14"/>
      <c r="BA528" s="14"/>
      <c r="BB528" s="14"/>
      <c r="BC528" s="14"/>
      <c r="BD528" s="14"/>
      <c r="BE528" s="14"/>
      <c r="BF528" s="14"/>
      <c r="BG528" s="14"/>
    </row>
    <row r="529" spans="2:59" s="15" customFormat="1" ht="14.25" x14ac:dyDescent="0.2">
      <c r="B529" s="27"/>
      <c r="C529" s="27"/>
      <c r="D529" s="27"/>
      <c r="E529" s="27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9"/>
      <c r="AE529" s="29"/>
      <c r="AF529" s="29"/>
      <c r="AG529" s="14"/>
      <c r="AH529" s="14"/>
      <c r="AI529" s="14"/>
      <c r="AJ529" s="14"/>
      <c r="AK529" s="14"/>
      <c r="AL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18"/>
      <c r="AX529" s="118"/>
      <c r="AY529" s="118"/>
      <c r="AZ529" s="14"/>
      <c r="BA529" s="14"/>
      <c r="BB529" s="14"/>
      <c r="BC529" s="14"/>
      <c r="BD529" s="14"/>
      <c r="BE529" s="14"/>
      <c r="BF529" s="14"/>
      <c r="BG529" s="14"/>
    </row>
    <row r="530" spans="2:59" s="15" customFormat="1" ht="14.25" x14ac:dyDescent="0.2">
      <c r="B530" s="27"/>
      <c r="C530" s="27"/>
      <c r="D530" s="27"/>
      <c r="E530" s="27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9"/>
      <c r="AE530" s="29"/>
      <c r="AF530" s="29"/>
      <c r="AG530" s="14"/>
      <c r="AH530" s="14"/>
      <c r="AI530" s="14"/>
      <c r="AJ530" s="14"/>
      <c r="AK530" s="14"/>
      <c r="AL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18"/>
      <c r="AX530" s="118"/>
      <c r="AY530" s="118"/>
      <c r="AZ530" s="14"/>
      <c r="BA530" s="14"/>
      <c r="BB530" s="14"/>
      <c r="BC530" s="14"/>
      <c r="BD530" s="14"/>
      <c r="BE530" s="14"/>
      <c r="BF530" s="14"/>
      <c r="BG530" s="14"/>
    </row>
    <row r="531" spans="2:59" s="15" customFormat="1" ht="14.25" x14ac:dyDescent="0.2">
      <c r="B531" s="27"/>
      <c r="C531" s="27"/>
      <c r="D531" s="27"/>
      <c r="E531" s="27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9"/>
      <c r="AE531" s="29"/>
      <c r="AF531" s="29"/>
      <c r="AG531" s="14"/>
      <c r="AH531" s="14"/>
      <c r="AI531" s="14"/>
      <c r="AJ531" s="14"/>
      <c r="AK531" s="14"/>
      <c r="AL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18"/>
      <c r="AX531" s="118"/>
      <c r="AY531" s="118"/>
      <c r="AZ531" s="14"/>
      <c r="BA531" s="14"/>
      <c r="BB531" s="14"/>
      <c r="BC531" s="14"/>
      <c r="BD531" s="14"/>
      <c r="BE531" s="14"/>
      <c r="BF531" s="14"/>
      <c r="BG531" s="14"/>
    </row>
    <row r="532" spans="2:59" s="15" customFormat="1" ht="14.25" x14ac:dyDescent="0.2">
      <c r="B532" s="27"/>
      <c r="C532" s="27"/>
      <c r="D532" s="27"/>
      <c r="E532" s="27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9"/>
      <c r="AE532" s="29"/>
      <c r="AF532" s="29"/>
      <c r="AG532" s="14"/>
      <c r="AH532" s="14"/>
      <c r="AI532" s="14"/>
      <c r="AJ532" s="14"/>
      <c r="AK532" s="14"/>
      <c r="AL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18"/>
      <c r="AX532" s="118"/>
      <c r="AY532" s="118"/>
      <c r="AZ532" s="14"/>
      <c r="BA532" s="14"/>
      <c r="BB532" s="14"/>
      <c r="BC532" s="14"/>
      <c r="BD532" s="14"/>
      <c r="BE532" s="14"/>
      <c r="BF532" s="14"/>
      <c r="BG532" s="14"/>
    </row>
    <row r="533" spans="2:59" s="15" customFormat="1" ht="14.25" x14ac:dyDescent="0.2">
      <c r="B533" s="27"/>
      <c r="C533" s="27"/>
      <c r="D533" s="27"/>
      <c r="E533" s="27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9"/>
      <c r="AE533" s="29"/>
      <c r="AF533" s="29"/>
      <c r="AG533" s="14"/>
      <c r="AH533" s="14"/>
      <c r="AI533" s="14"/>
      <c r="AJ533" s="14"/>
      <c r="AK533" s="14"/>
      <c r="AL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18"/>
      <c r="AX533" s="118"/>
      <c r="AY533" s="118"/>
      <c r="AZ533" s="14"/>
      <c r="BA533" s="14"/>
      <c r="BB533" s="14"/>
      <c r="BC533" s="14"/>
      <c r="BD533" s="14"/>
      <c r="BE533" s="14"/>
      <c r="BF533" s="14"/>
      <c r="BG533" s="14"/>
    </row>
    <row r="534" spans="2:59" s="15" customFormat="1" ht="14.25" x14ac:dyDescent="0.2">
      <c r="B534" s="27"/>
      <c r="C534" s="27"/>
      <c r="D534" s="27"/>
      <c r="E534" s="27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9"/>
      <c r="AE534" s="29"/>
      <c r="AF534" s="29"/>
      <c r="AG534" s="14"/>
      <c r="AH534" s="14"/>
      <c r="AI534" s="14"/>
      <c r="AJ534" s="14"/>
      <c r="AK534" s="14"/>
      <c r="AL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18"/>
      <c r="AX534" s="118"/>
      <c r="AY534" s="118"/>
      <c r="AZ534" s="14"/>
      <c r="BA534" s="14"/>
      <c r="BB534" s="14"/>
      <c r="BC534" s="14"/>
      <c r="BD534" s="14"/>
      <c r="BE534" s="14"/>
      <c r="BF534" s="14"/>
      <c r="BG534" s="14"/>
    </row>
    <row r="535" spans="2:59" s="15" customFormat="1" ht="14.25" x14ac:dyDescent="0.2">
      <c r="B535" s="27"/>
      <c r="C535" s="27"/>
      <c r="D535" s="27"/>
      <c r="E535" s="27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9"/>
      <c r="AE535" s="29"/>
      <c r="AF535" s="29"/>
      <c r="AG535" s="14"/>
      <c r="AH535" s="14"/>
      <c r="AI535" s="14"/>
      <c r="AJ535" s="14"/>
      <c r="AK535" s="14"/>
      <c r="AL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18"/>
      <c r="AX535" s="118"/>
      <c r="AY535" s="118"/>
      <c r="AZ535" s="14"/>
      <c r="BA535" s="14"/>
      <c r="BB535" s="14"/>
      <c r="BC535" s="14"/>
      <c r="BD535" s="14"/>
      <c r="BE535" s="14"/>
      <c r="BF535" s="14"/>
      <c r="BG535" s="14"/>
    </row>
    <row r="536" spans="2:59" s="15" customFormat="1" ht="14.25" x14ac:dyDescent="0.2">
      <c r="B536" s="27"/>
      <c r="C536" s="27"/>
      <c r="D536" s="27"/>
      <c r="E536" s="27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9"/>
      <c r="AE536" s="29"/>
      <c r="AF536" s="29"/>
      <c r="AG536" s="14"/>
      <c r="AH536" s="14"/>
      <c r="AI536" s="14"/>
      <c r="AJ536" s="14"/>
      <c r="AK536" s="14"/>
      <c r="AL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18"/>
      <c r="AX536" s="118"/>
      <c r="AY536" s="118"/>
      <c r="AZ536" s="14"/>
      <c r="BA536" s="14"/>
      <c r="BB536" s="14"/>
      <c r="BC536" s="14"/>
      <c r="BD536" s="14"/>
      <c r="BE536" s="14"/>
      <c r="BF536" s="14"/>
      <c r="BG536" s="14"/>
    </row>
    <row r="537" spans="2:59" s="15" customFormat="1" ht="14.25" x14ac:dyDescent="0.2">
      <c r="B537" s="27"/>
      <c r="C537" s="27"/>
      <c r="D537" s="27"/>
      <c r="E537" s="27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9"/>
      <c r="AE537" s="29"/>
      <c r="AF537" s="29"/>
      <c r="AG537" s="14"/>
      <c r="AH537" s="14"/>
      <c r="AI537" s="14"/>
      <c r="AJ537" s="14"/>
      <c r="AK537" s="14"/>
      <c r="AL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18"/>
      <c r="AX537" s="118"/>
      <c r="AY537" s="118"/>
      <c r="AZ537" s="14"/>
      <c r="BA537" s="14"/>
      <c r="BB537" s="14"/>
      <c r="BC537" s="14"/>
      <c r="BD537" s="14"/>
      <c r="BE537" s="14"/>
      <c r="BF537" s="14"/>
      <c r="BG537" s="14"/>
    </row>
    <row r="538" spans="2:59" s="15" customFormat="1" ht="14.25" x14ac:dyDescent="0.2">
      <c r="B538" s="27"/>
      <c r="C538" s="27"/>
      <c r="D538" s="27"/>
      <c r="E538" s="27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9"/>
      <c r="AE538" s="29"/>
      <c r="AF538" s="29"/>
      <c r="AG538" s="14"/>
      <c r="AH538" s="14"/>
      <c r="AI538" s="14"/>
      <c r="AJ538" s="14"/>
      <c r="AK538" s="14"/>
      <c r="AL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18"/>
      <c r="AX538" s="118"/>
      <c r="AY538" s="118"/>
      <c r="AZ538" s="14"/>
      <c r="BA538" s="14"/>
      <c r="BB538" s="14"/>
      <c r="BC538" s="14"/>
      <c r="BD538" s="14"/>
      <c r="BE538" s="14"/>
      <c r="BF538" s="14"/>
      <c r="BG538" s="14"/>
    </row>
    <row r="539" spans="2:59" s="15" customFormat="1" ht="14.25" x14ac:dyDescent="0.2">
      <c r="B539" s="27"/>
      <c r="C539" s="27"/>
      <c r="D539" s="27"/>
      <c r="E539" s="27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9"/>
      <c r="AE539" s="29"/>
      <c r="AF539" s="29"/>
      <c r="AG539" s="14"/>
      <c r="AH539" s="14"/>
      <c r="AI539" s="14"/>
      <c r="AJ539" s="14"/>
      <c r="AK539" s="14"/>
      <c r="AL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18"/>
      <c r="AX539" s="118"/>
      <c r="AY539" s="118"/>
      <c r="AZ539" s="14"/>
      <c r="BA539" s="14"/>
      <c r="BB539" s="14"/>
      <c r="BC539" s="14"/>
      <c r="BD539" s="14"/>
      <c r="BE539" s="14"/>
      <c r="BF539" s="14"/>
      <c r="BG539" s="14"/>
    </row>
    <row r="540" spans="2:59" s="15" customFormat="1" ht="14.25" x14ac:dyDescent="0.2">
      <c r="B540" s="27"/>
      <c r="C540" s="27"/>
      <c r="D540" s="27"/>
      <c r="E540" s="27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9"/>
      <c r="AE540" s="29"/>
      <c r="AF540" s="29"/>
      <c r="AG540" s="14"/>
      <c r="AH540" s="14"/>
      <c r="AI540" s="14"/>
      <c r="AJ540" s="14"/>
      <c r="AK540" s="14"/>
      <c r="AL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18"/>
      <c r="AX540" s="118"/>
      <c r="AY540" s="118"/>
      <c r="AZ540" s="14"/>
      <c r="BA540" s="14"/>
      <c r="BB540" s="14"/>
      <c r="BC540" s="14"/>
      <c r="BD540" s="14"/>
      <c r="BE540" s="14"/>
      <c r="BF540" s="14"/>
      <c r="BG540" s="14"/>
    </row>
    <row r="541" spans="2:59" s="15" customFormat="1" ht="14.25" x14ac:dyDescent="0.2">
      <c r="B541" s="27"/>
      <c r="C541" s="27"/>
      <c r="D541" s="27"/>
      <c r="E541" s="27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9"/>
      <c r="AE541" s="29"/>
      <c r="AF541" s="29"/>
      <c r="AG541" s="14"/>
      <c r="AH541" s="14"/>
      <c r="AI541" s="14"/>
      <c r="AJ541" s="14"/>
      <c r="AK541" s="14"/>
      <c r="AL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18"/>
      <c r="AX541" s="118"/>
      <c r="AY541" s="118"/>
      <c r="AZ541" s="14"/>
      <c r="BA541" s="14"/>
      <c r="BB541" s="14"/>
      <c r="BC541" s="14"/>
      <c r="BD541" s="14"/>
      <c r="BE541" s="14"/>
      <c r="BF541" s="14"/>
      <c r="BG541" s="14"/>
    </row>
    <row r="542" spans="2:59" s="15" customFormat="1" ht="14.25" x14ac:dyDescent="0.2">
      <c r="B542" s="27"/>
      <c r="C542" s="27"/>
      <c r="D542" s="27"/>
      <c r="E542" s="27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9"/>
      <c r="AE542" s="29"/>
      <c r="AF542" s="29"/>
      <c r="AG542" s="14"/>
      <c r="AH542" s="14"/>
      <c r="AI542" s="14"/>
      <c r="AJ542" s="14"/>
      <c r="AK542" s="14"/>
      <c r="AL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18"/>
      <c r="AX542" s="118"/>
      <c r="AY542" s="118"/>
      <c r="AZ542" s="14"/>
      <c r="BA542" s="14"/>
      <c r="BB542" s="14"/>
      <c r="BC542" s="14"/>
      <c r="BD542" s="14"/>
      <c r="BE542" s="14"/>
      <c r="BF542" s="14"/>
      <c r="BG542" s="14"/>
    </row>
    <row r="543" spans="2:59" s="15" customFormat="1" ht="14.25" x14ac:dyDescent="0.2">
      <c r="B543" s="27"/>
      <c r="C543" s="27"/>
      <c r="D543" s="27"/>
      <c r="E543" s="27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9"/>
      <c r="AE543" s="29"/>
      <c r="AF543" s="29"/>
      <c r="AG543" s="14"/>
      <c r="AH543" s="14"/>
      <c r="AI543" s="14"/>
      <c r="AJ543" s="14"/>
      <c r="AK543" s="14"/>
      <c r="AL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18"/>
      <c r="AX543" s="118"/>
      <c r="AY543" s="118"/>
      <c r="AZ543" s="14"/>
      <c r="BA543" s="14"/>
      <c r="BB543" s="14"/>
      <c r="BC543" s="14"/>
      <c r="BD543" s="14"/>
      <c r="BE543" s="14"/>
      <c r="BF543" s="14"/>
      <c r="BG543" s="14"/>
    </row>
    <row r="544" spans="2:59" s="15" customFormat="1" ht="14.25" x14ac:dyDescent="0.2">
      <c r="B544" s="27"/>
      <c r="C544" s="27"/>
      <c r="D544" s="27"/>
      <c r="E544" s="27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9"/>
      <c r="AE544" s="29"/>
      <c r="AF544" s="29"/>
      <c r="AG544" s="14"/>
      <c r="AH544" s="14"/>
      <c r="AI544" s="14"/>
      <c r="AJ544" s="14"/>
      <c r="AK544" s="14"/>
      <c r="AL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18"/>
      <c r="AX544" s="118"/>
      <c r="AY544" s="118"/>
      <c r="AZ544" s="14"/>
      <c r="BA544" s="14"/>
      <c r="BB544" s="14"/>
      <c r="BC544" s="14"/>
      <c r="BD544" s="14"/>
      <c r="BE544" s="14"/>
      <c r="BF544" s="14"/>
      <c r="BG544" s="14"/>
    </row>
    <row r="545" spans="2:59" s="15" customFormat="1" ht="14.25" x14ac:dyDescent="0.2">
      <c r="B545" s="27"/>
      <c r="C545" s="27"/>
      <c r="D545" s="27"/>
      <c r="E545" s="27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9"/>
      <c r="AE545" s="29"/>
      <c r="AF545" s="29"/>
      <c r="AG545" s="14"/>
      <c r="AH545" s="14"/>
      <c r="AI545" s="14"/>
      <c r="AJ545" s="14"/>
      <c r="AK545" s="14"/>
      <c r="AL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18"/>
      <c r="AX545" s="118"/>
      <c r="AY545" s="118"/>
      <c r="AZ545" s="14"/>
      <c r="BA545" s="14"/>
      <c r="BB545" s="14"/>
      <c r="BC545" s="14"/>
      <c r="BD545" s="14"/>
      <c r="BE545" s="14"/>
      <c r="BF545" s="14"/>
      <c r="BG545" s="14"/>
    </row>
    <row r="546" spans="2:59" s="15" customFormat="1" ht="14.25" x14ac:dyDescent="0.2">
      <c r="B546" s="27"/>
      <c r="C546" s="27"/>
      <c r="D546" s="27"/>
      <c r="E546" s="27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9"/>
      <c r="AE546" s="29"/>
      <c r="AF546" s="29"/>
      <c r="AG546" s="14"/>
      <c r="AH546" s="14"/>
      <c r="AI546" s="14"/>
      <c r="AJ546" s="14"/>
      <c r="AK546" s="14"/>
      <c r="AL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18"/>
      <c r="AX546" s="118"/>
      <c r="AY546" s="118"/>
      <c r="AZ546" s="14"/>
      <c r="BA546" s="14"/>
      <c r="BB546" s="14"/>
      <c r="BC546" s="14"/>
      <c r="BD546" s="14"/>
      <c r="BE546" s="14"/>
      <c r="BF546" s="14"/>
      <c r="BG546" s="14"/>
    </row>
    <row r="547" spans="2:59" s="15" customFormat="1" ht="14.25" x14ac:dyDescent="0.2">
      <c r="B547" s="27"/>
      <c r="C547" s="27"/>
      <c r="D547" s="27"/>
      <c r="E547" s="27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9"/>
      <c r="AE547" s="29"/>
      <c r="AF547" s="29"/>
      <c r="AG547" s="14"/>
      <c r="AH547" s="14"/>
      <c r="AI547" s="14"/>
      <c r="AJ547" s="14"/>
      <c r="AK547" s="14"/>
      <c r="AL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18"/>
      <c r="AX547" s="118"/>
      <c r="AY547" s="118"/>
      <c r="AZ547" s="14"/>
      <c r="BA547" s="14"/>
      <c r="BB547" s="14"/>
      <c r="BC547" s="14"/>
      <c r="BD547" s="14"/>
      <c r="BE547" s="14"/>
      <c r="BF547" s="14"/>
      <c r="BG547" s="14"/>
    </row>
    <row r="548" spans="2:59" s="15" customFormat="1" ht="14.25" x14ac:dyDescent="0.2">
      <c r="B548" s="27"/>
      <c r="C548" s="27"/>
      <c r="D548" s="27"/>
      <c r="E548" s="27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9"/>
      <c r="AE548" s="29"/>
      <c r="AF548" s="29"/>
      <c r="AG548" s="14"/>
      <c r="AH548" s="14"/>
      <c r="AI548" s="14"/>
      <c r="AJ548" s="14"/>
      <c r="AK548" s="14"/>
      <c r="AL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18"/>
      <c r="AX548" s="118"/>
      <c r="AY548" s="118"/>
      <c r="AZ548" s="14"/>
      <c r="BA548" s="14"/>
      <c r="BB548" s="14"/>
      <c r="BC548" s="14"/>
      <c r="BD548" s="14"/>
      <c r="BE548" s="14"/>
      <c r="BF548" s="14"/>
      <c r="BG548" s="14"/>
    </row>
    <row r="549" spans="2:59" s="15" customFormat="1" ht="14.25" x14ac:dyDescent="0.2">
      <c r="B549" s="27"/>
      <c r="C549" s="27"/>
      <c r="D549" s="27"/>
      <c r="E549" s="27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9"/>
      <c r="AE549" s="29"/>
      <c r="AF549" s="29"/>
      <c r="AG549" s="14"/>
      <c r="AH549" s="14"/>
      <c r="AI549" s="14"/>
      <c r="AJ549" s="14"/>
      <c r="AK549" s="14"/>
      <c r="AL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18"/>
      <c r="AX549" s="118"/>
      <c r="AY549" s="118"/>
      <c r="AZ549" s="14"/>
      <c r="BA549" s="14"/>
      <c r="BB549" s="14"/>
      <c r="BC549" s="14"/>
      <c r="BD549" s="14"/>
      <c r="BE549" s="14"/>
      <c r="BF549" s="14"/>
      <c r="BG549" s="14"/>
    </row>
    <row r="550" spans="2:59" s="15" customFormat="1" ht="14.25" x14ac:dyDescent="0.2">
      <c r="B550" s="27"/>
      <c r="C550" s="27"/>
      <c r="D550" s="27"/>
      <c r="E550" s="27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9"/>
      <c r="AE550" s="29"/>
      <c r="AF550" s="29"/>
      <c r="AG550" s="14"/>
      <c r="AH550" s="14"/>
      <c r="AI550" s="14"/>
      <c r="AJ550" s="14"/>
      <c r="AK550" s="14"/>
      <c r="AL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18"/>
      <c r="AX550" s="118"/>
      <c r="AY550" s="118"/>
      <c r="AZ550" s="14"/>
      <c r="BA550" s="14"/>
      <c r="BB550" s="14"/>
      <c r="BC550" s="14"/>
      <c r="BD550" s="14"/>
      <c r="BE550" s="14"/>
      <c r="BF550" s="14"/>
      <c r="BG550" s="14"/>
    </row>
    <row r="551" spans="2:59" s="15" customFormat="1" ht="14.25" x14ac:dyDescent="0.2">
      <c r="B551" s="27"/>
      <c r="C551" s="27"/>
      <c r="D551" s="27"/>
      <c r="E551" s="27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9"/>
      <c r="AE551" s="29"/>
      <c r="AF551" s="29"/>
      <c r="AG551" s="14"/>
      <c r="AH551" s="14"/>
      <c r="AI551" s="14"/>
      <c r="AJ551" s="14"/>
      <c r="AK551" s="14"/>
      <c r="AL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18"/>
      <c r="AX551" s="118"/>
      <c r="AY551" s="118"/>
      <c r="AZ551" s="14"/>
      <c r="BA551" s="14"/>
      <c r="BB551" s="14"/>
      <c r="BC551" s="14"/>
      <c r="BD551" s="14"/>
      <c r="BE551" s="14"/>
      <c r="BF551" s="14"/>
      <c r="BG551" s="14"/>
    </row>
    <row r="552" spans="2:59" s="15" customFormat="1" ht="14.25" x14ac:dyDescent="0.2">
      <c r="B552" s="27"/>
      <c r="C552" s="27"/>
      <c r="D552" s="27"/>
      <c r="E552" s="27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9"/>
      <c r="AE552" s="29"/>
      <c r="AF552" s="29"/>
      <c r="AG552" s="14"/>
      <c r="AH552" s="14"/>
      <c r="AI552" s="14"/>
      <c r="AJ552" s="14"/>
      <c r="AK552" s="14"/>
      <c r="AL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18"/>
      <c r="AX552" s="118"/>
      <c r="AY552" s="118"/>
      <c r="AZ552" s="14"/>
      <c r="BA552" s="14"/>
      <c r="BB552" s="14"/>
      <c r="BC552" s="14"/>
      <c r="BD552" s="14"/>
      <c r="BE552" s="14"/>
      <c r="BF552" s="14"/>
      <c r="BG552" s="14"/>
    </row>
    <row r="553" spans="2:59" s="15" customFormat="1" ht="14.25" x14ac:dyDescent="0.2">
      <c r="B553" s="27"/>
      <c r="C553" s="27"/>
      <c r="D553" s="27"/>
      <c r="E553" s="27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9"/>
      <c r="AE553" s="29"/>
      <c r="AF553" s="29"/>
      <c r="AG553" s="14"/>
      <c r="AH553" s="14"/>
      <c r="AI553" s="14"/>
      <c r="AJ553" s="14"/>
      <c r="AK553" s="14"/>
      <c r="AL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18"/>
      <c r="AX553" s="118"/>
      <c r="AY553" s="118"/>
      <c r="AZ553" s="14"/>
      <c r="BA553" s="14"/>
      <c r="BB553" s="14"/>
      <c r="BC553" s="14"/>
      <c r="BD553" s="14"/>
      <c r="BE553" s="14"/>
      <c r="BF553" s="14"/>
      <c r="BG553" s="14"/>
    </row>
    <row r="554" spans="2:59" s="15" customFormat="1" ht="14.25" x14ac:dyDescent="0.2">
      <c r="B554" s="27"/>
      <c r="C554" s="27"/>
      <c r="D554" s="27"/>
      <c r="E554" s="27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9"/>
      <c r="AE554" s="29"/>
      <c r="AF554" s="29"/>
      <c r="AG554" s="14"/>
      <c r="AH554" s="14"/>
      <c r="AI554" s="14"/>
      <c r="AJ554" s="14"/>
      <c r="AK554" s="14"/>
      <c r="AL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18"/>
      <c r="AX554" s="118"/>
      <c r="AY554" s="118"/>
      <c r="AZ554" s="14"/>
      <c r="BA554" s="14"/>
      <c r="BB554" s="14"/>
      <c r="BC554" s="14"/>
      <c r="BD554" s="14"/>
      <c r="BE554" s="14"/>
      <c r="BF554" s="14"/>
      <c r="BG554" s="14"/>
    </row>
    <row r="555" spans="2:59" s="15" customFormat="1" ht="14.25" x14ac:dyDescent="0.2">
      <c r="B555" s="27"/>
      <c r="C555" s="27"/>
      <c r="D555" s="27"/>
      <c r="E555" s="27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9"/>
      <c r="AE555" s="29"/>
      <c r="AF555" s="29"/>
      <c r="AG555" s="14"/>
      <c r="AH555" s="14"/>
      <c r="AI555" s="14"/>
      <c r="AJ555" s="14"/>
      <c r="AK555" s="14"/>
      <c r="AL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18"/>
      <c r="AX555" s="118"/>
      <c r="AY555" s="118"/>
      <c r="AZ555" s="14"/>
      <c r="BA555" s="14"/>
      <c r="BB555" s="14"/>
      <c r="BC555" s="14"/>
      <c r="BD555" s="14"/>
      <c r="BE555" s="14"/>
      <c r="BF555" s="14"/>
      <c r="BG555" s="14"/>
    </row>
    <row r="556" spans="2:59" s="15" customFormat="1" ht="14.25" x14ac:dyDescent="0.2">
      <c r="B556" s="27"/>
      <c r="C556" s="27"/>
      <c r="D556" s="27"/>
      <c r="E556" s="27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9"/>
      <c r="AE556" s="29"/>
      <c r="AF556" s="29"/>
      <c r="AG556" s="14"/>
      <c r="AH556" s="14"/>
      <c r="AI556" s="14"/>
      <c r="AJ556" s="14"/>
      <c r="AK556" s="14"/>
      <c r="AL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18"/>
      <c r="AX556" s="118"/>
      <c r="AY556" s="118"/>
      <c r="AZ556" s="14"/>
      <c r="BA556" s="14"/>
      <c r="BB556" s="14"/>
      <c r="BC556" s="14"/>
      <c r="BD556" s="14"/>
      <c r="BE556" s="14"/>
      <c r="BF556" s="14"/>
      <c r="BG556" s="14"/>
    </row>
    <row r="557" spans="2:59" s="15" customFormat="1" ht="14.25" x14ac:dyDescent="0.2">
      <c r="B557" s="27"/>
      <c r="C557" s="27"/>
      <c r="D557" s="27"/>
      <c r="E557" s="27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9"/>
      <c r="AE557" s="29"/>
      <c r="AF557" s="29"/>
      <c r="AG557" s="14"/>
      <c r="AH557" s="14"/>
      <c r="AI557" s="14"/>
      <c r="AJ557" s="14"/>
      <c r="AK557" s="14"/>
      <c r="AL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18"/>
      <c r="AX557" s="118"/>
      <c r="AY557" s="118"/>
      <c r="AZ557" s="14"/>
      <c r="BA557" s="14"/>
      <c r="BB557" s="14"/>
      <c r="BC557" s="14"/>
      <c r="BD557" s="14"/>
      <c r="BE557" s="14"/>
      <c r="BF557" s="14"/>
      <c r="BG557" s="14"/>
    </row>
    <row r="558" spans="2:59" s="15" customFormat="1" ht="14.25" x14ac:dyDescent="0.2">
      <c r="B558" s="27"/>
      <c r="C558" s="27"/>
      <c r="D558" s="27"/>
      <c r="E558" s="27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9"/>
      <c r="AE558" s="29"/>
      <c r="AF558" s="29"/>
      <c r="AG558" s="14"/>
      <c r="AH558" s="14"/>
      <c r="AI558" s="14"/>
      <c r="AJ558" s="14"/>
      <c r="AK558" s="14"/>
      <c r="AL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18"/>
      <c r="AX558" s="118"/>
      <c r="AY558" s="118"/>
      <c r="AZ558" s="14"/>
      <c r="BA558" s="14"/>
      <c r="BB558" s="14"/>
      <c r="BC558" s="14"/>
      <c r="BD558" s="14"/>
      <c r="BE558" s="14"/>
      <c r="BF558" s="14"/>
      <c r="BG558" s="14"/>
    </row>
    <row r="559" spans="2:59" s="15" customFormat="1" ht="14.25" x14ac:dyDescent="0.2">
      <c r="B559" s="27"/>
      <c r="C559" s="27"/>
      <c r="D559" s="27"/>
      <c r="E559" s="27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9"/>
      <c r="AE559" s="29"/>
      <c r="AF559" s="29"/>
      <c r="AG559" s="14"/>
      <c r="AH559" s="14"/>
      <c r="AI559" s="14"/>
      <c r="AJ559" s="14"/>
      <c r="AK559" s="14"/>
      <c r="AL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18"/>
      <c r="AX559" s="118"/>
      <c r="AY559" s="118"/>
      <c r="AZ559" s="14"/>
      <c r="BA559" s="14"/>
      <c r="BB559" s="14"/>
      <c r="BC559" s="14"/>
      <c r="BD559" s="14"/>
      <c r="BE559" s="14"/>
      <c r="BF559" s="14"/>
      <c r="BG559" s="14"/>
    </row>
    <row r="560" spans="2:59" s="15" customFormat="1" ht="14.25" x14ac:dyDescent="0.2">
      <c r="B560" s="27"/>
      <c r="C560" s="27"/>
      <c r="D560" s="27"/>
      <c r="E560" s="27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9"/>
      <c r="AE560" s="29"/>
      <c r="AF560" s="29"/>
      <c r="AG560" s="14"/>
      <c r="AH560" s="14"/>
      <c r="AI560" s="14"/>
      <c r="AJ560" s="14"/>
      <c r="AK560" s="14"/>
      <c r="AL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18"/>
      <c r="AX560" s="118"/>
      <c r="AY560" s="118"/>
      <c r="AZ560" s="14"/>
      <c r="BA560" s="14"/>
      <c r="BB560" s="14"/>
      <c r="BC560" s="14"/>
      <c r="BD560" s="14"/>
      <c r="BE560" s="14"/>
      <c r="BF560" s="14"/>
      <c r="BG560" s="14"/>
    </row>
    <row r="561" spans="2:59" s="15" customFormat="1" ht="14.25" x14ac:dyDescent="0.2">
      <c r="B561" s="27"/>
      <c r="C561" s="27"/>
      <c r="D561" s="27"/>
      <c r="E561" s="27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9"/>
      <c r="AE561" s="29"/>
      <c r="AF561" s="29"/>
      <c r="AG561" s="14"/>
      <c r="AH561" s="14"/>
      <c r="AI561" s="14"/>
      <c r="AJ561" s="14"/>
      <c r="AK561" s="14"/>
      <c r="AL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18"/>
      <c r="AX561" s="118"/>
      <c r="AY561" s="118"/>
      <c r="AZ561" s="14"/>
      <c r="BA561" s="14"/>
      <c r="BB561" s="14"/>
      <c r="BC561" s="14"/>
      <c r="BD561" s="14"/>
      <c r="BE561" s="14"/>
      <c r="BF561" s="14"/>
      <c r="BG561" s="14"/>
    </row>
    <row r="562" spans="2:59" s="15" customFormat="1" ht="14.25" x14ac:dyDescent="0.2">
      <c r="B562" s="27"/>
      <c r="C562" s="27"/>
      <c r="D562" s="27"/>
      <c r="E562" s="27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9"/>
      <c r="AE562" s="29"/>
      <c r="AF562" s="29"/>
      <c r="AG562" s="14"/>
      <c r="AH562" s="14"/>
      <c r="AI562" s="14"/>
      <c r="AJ562" s="14"/>
      <c r="AK562" s="14"/>
      <c r="AL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18"/>
      <c r="AX562" s="118"/>
      <c r="AY562" s="118"/>
      <c r="AZ562" s="14"/>
      <c r="BA562" s="14"/>
      <c r="BB562" s="14"/>
      <c r="BC562" s="14"/>
      <c r="BD562" s="14"/>
      <c r="BE562" s="14"/>
      <c r="BF562" s="14"/>
      <c r="BG562" s="14"/>
    </row>
    <row r="563" spans="2:59" s="15" customFormat="1" ht="14.25" x14ac:dyDescent="0.2">
      <c r="B563" s="27"/>
      <c r="C563" s="27"/>
      <c r="D563" s="27"/>
      <c r="E563" s="27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9"/>
      <c r="AE563" s="29"/>
      <c r="AF563" s="29"/>
      <c r="AG563" s="14"/>
      <c r="AH563" s="14"/>
      <c r="AI563" s="14"/>
      <c r="AJ563" s="14"/>
      <c r="AK563" s="14"/>
      <c r="AL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18"/>
      <c r="AX563" s="118"/>
      <c r="AY563" s="118"/>
      <c r="AZ563" s="14"/>
      <c r="BA563" s="14"/>
      <c r="BB563" s="14"/>
      <c r="BC563" s="14"/>
      <c r="BD563" s="14"/>
      <c r="BE563" s="14"/>
      <c r="BF563" s="14"/>
      <c r="BG563" s="14"/>
    </row>
    <row r="564" spans="2:59" s="15" customFormat="1" ht="14.25" x14ac:dyDescent="0.2">
      <c r="B564" s="27"/>
      <c r="C564" s="27"/>
      <c r="D564" s="27"/>
      <c r="E564" s="27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9"/>
      <c r="AE564" s="29"/>
      <c r="AF564" s="29"/>
      <c r="AG564" s="14"/>
      <c r="AH564" s="14"/>
      <c r="AI564" s="14"/>
      <c r="AJ564" s="14"/>
      <c r="AK564" s="14"/>
      <c r="AL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18"/>
      <c r="AX564" s="118"/>
      <c r="AY564" s="118"/>
      <c r="AZ564" s="14"/>
      <c r="BA564" s="14"/>
      <c r="BB564" s="14"/>
      <c r="BC564" s="14"/>
      <c r="BD564" s="14"/>
      <c r="BE564" s="14"/>
      <c r="BF564" s="14"/>
      <c r="BG564" s="14"/>
    </row>
    <row r="565" spans="2:59" s="15" customFormat="1" ht="14.25" x14ac:dyDescent="0.2">
      <c r="B565" s="27"/>
      <c r="C565" s="27"/>
      <c r="D565" s="27"/>
      <c r="E565" s="27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9"/>
      <c r="AE565" s="29"/>
      <c r="AF565" s="29"/>
      <c r="AG565" s="14"/>
      <c r="AH565" s="14"/>
      <c r="AI565" s="14"/>
      <c r="AJ565" s="14"/>
      <c r="AK565" s="14"/>
      <c r="AL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18"/>
      <c r="AX565" s="118"/>
      <c r="AY565" s="118"/>
      <c r="AZ565" s="14"/>
      <c r="BA565" s="14"/>
      <c r="BB565" s="14"/>
      <c r="BC565" s="14"/>
      <c r="BD565" s="14"/>
      <c r="BE565" s="14"/>
      <c r="BF565" s="14"/>
      <c r="BG565" s="14"/>
    </row>
    <row r="566" spans="2:59" s="15" customFormat="1" ht="14.25" x14ac:dyDescent="0.2">
      <c r="B566" s="27"/>
      <c r="C566" s="27"/>
      <c r="D566" s="27"/>
      <c r="E566" s="27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9"/>
      <c r="AE566" s="29"/>
      <c r="AF566" s="29"/>
      <c r="AG566" s="14"/>
      <c r="AH566" s="14"/>
      <c r="AI566" s="14"/>
      <c r="AJ566" s="14"/>
      <c r="AK566" s="14"/>
      <c r="AL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18"/>
      <c r="AX566" s="118"/>
      <c r="AY566" s="118"/>
      <c r="AZ566" s="14"/>
      <c r="BA566" s="14"/>
      <c r="BB566" s="14"/>
      <c r="BC566" s="14"/>
      <c r="BD566" s="14"/>
      <c r="BE566" s="14"/>
      <c r="BF566" s="14"/>
      <c r="BG566" s="14"/>
    </row>
    <row r="567" spans="2:59" s="15" customFormat="1" ht="14.25" x14ac:dyDescent="0.2">
      <c r="B567" s="27"/>
      <c r="C567" s="27"/>
      <c r="D567" s="27"/>
      <c r="E567" s="27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9"/>
      <c r="AE567" s="29"/>
      <c r="AF567" s="29"/>
      <c r="AG567" s="14"/>
      <c r="AH567" s="14"/>
      <c r="AI567" s="14"/>
      <c r="AJ567" s="14"/>
      <c r="AK567" s="14"/>
      <c r="AL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18"/>
      <c r="AX567" s="118"/>
      <c r="AY567" s="118"/>
      <c r="AZ567" s="14"/>
      <c r="BA567" s="14"/>
      <c r="BB567" s="14"/>
      <c r="BC567" s="14"/>
      <c r="BD567" s="14"/>
      <c r="BE567" s="14"/>
      <c r="BF567" s="14"/>
      <c r="BG567" s="14"/>
    </row>
    <row r="568" spans="2:59" s="15" customFormat="1" ht="14.25" x14ac:dyDescent="0.2">
      <c r="B568" s="27"/>
      <c r="C568" s="27"/>
      <c r="D568" s="27"/>
      <c r="E568" s="27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9"/>
      <c r="AE568" s="29"/>
      <c r="AF568" s="29"/>
      <c r="AG568" s="14"/>
      <c r="AH568" s="14"/>
      <c r="AI568" s="14"/>
      <c r="AJ568" s="14"/>
      <c r="AK568" s="14"/>
      <c r="AL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18"/>
      <c r="AX568" s="118"/>
      <c r="AY568" s="118"/>
      <c r="AZ568" s="14"/>
      <c r="BA568" s="14"/>
      <c r="BB568" s="14"/>
      <c r="BC568" s="14"/>
      <c r="BD568" s="14"/>
      <c r="BE568" s="14"/>
      <c r="BF568" s="14"/>
      <c r="BG568" s="14"/>
    </row>
    <row r="569" spans="2:59" s="15" customFormat="1" ht="14.25" x14ac:dyDescent="0.2">
      <c r="B569" s="27"/>
      <c r="C569" s="27"/>
      <c r="D569" s="27"/>
      <c r="E569" s="27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9"/>
      <c r="AE569" s="29"/>
      <c r="AF569" s="29"/>
      <c r="AG569" s="14"/>
      <c r="AH569" s="14"/>
      <c r="AI569" s="14"/>
      <c r="AJ569" s="14"/>
      <c r="AK569" s="14"/>
      <c r="AL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18"/>
      <c r="AX569" s="118"/>
      <c r="AY569" s="118"/>
      <c r="AZ569" s="14"/>
      <c r="BA569" s="14"/>
      <c r="BB569" s="14"/>
      <c r="BC569" s="14"/>
      <c r="BD569" s="14"/>
      <c r="BE569" s="14"/>
      <c r="BF569" s="14"/>
      <c r="BG569" s="14"/>
    </row>
    <row r="570" spans="2:59" s="15" customFormat="1" ht="14.25" x14ac:dyDescent="0.2">
      <c r="B570" s="27"/>
      <c r="C570" s="27"/>
      <c r="D570" s="27"/>
      <c r="E570" s="27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9"/>
      <c r="AE570" s="29"/>
      <c r="AF570" s="29"/>
      <c r="AG570" s="14"/>
      <c r="AH570" s="14"/>
      <c r="AI570" s="14"/>
      <c r="AJ570" s="14"/>
      <c r="AK570" s="14"/>
      <c r="AL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18"/>
      <c r="AX570" s="118"/>
      <c r="AY570" s="118"/>
      <c r="AZ570" s="14"/>
      <c r="BA570" s="14"/>
      <c r="BB570" s="14"/>
      <c r="BC570" s="14"/>
      <c r="BD570" s="14"/>
      <c r="BE570" s="14"/>
      <c r="BF570" s="14"/>
      <c r="BG570" s="14"/>
    </row>
    <row r="571" spans="2:59" s="15" customFormat="1" ht="14.25" x14ac:dyDescent="0.2">
      <c r="B571" s="27"/>
      <c r="C571" s="27"/>
      <c r="D571" s="27"/>
      <c r="E571" s="27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9"/>
      <c r="AE571" s="29"/>
      <c r="AF571" s="29"/>
      <c r="AG571" s="14"/>
      <c r="AH571" s="14"/>
      <c r="AI571" s="14"/>
      <c r="AJ571" s="14"/>
      <c r="AK571" s="14"/>
      <c r="AL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18"/>
      <c r="AX571" s="118"/>
      <c r="AY571" s="118"/>
      <c r="AZ571" s="14"/>
      <c r="BA571" s="14"/>
      <c r="BB571" s="14"/>
      <c r="BC571" s="14"/>
      <c r="BD571" s="14"/>
      <c r="BE571" s="14"/>
      <c r="BF571" s="14"/>
      <c r="BG571" s="14"/>
    </row>
    <row r="572" spans="2:59" s="15" customFormat="1" ht="14.25" x14ac:dyDescent="0.2">
      <c r="B572" s="27"/>
      <c r="C572" s="27"/>
      <c r="D572" s="27"/>
      <c r="E572" s="27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9"/>
      <c r="AE572" s="29"/>
      <c r="AF572" s="29"/>
      <c r="AG572" s="14"/>
      <c r="AH572" s="14"/>
      <c r="AI572" s="14"/>
      <c r="AJ572" s="14"/>
      <c r="AK572" s="14"/>
      <c r="AL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18"/>
      <c r="AX572" s="118"/>
      <c r="AY572" s="118"/>
      <c r="AZ572" s="14"/>
      <c r="BA572" s="14"/>
      <c r="BB572" s="14"/>
      <c r="BC572" s="14"/>
      <c r="BD572" s="14"/>
      <c r="BE572" s="14"/>
      <c r="BF572" s="14"/>
      <c r="BG572" s="14"/>
    </row>
    <row r="573" spans="2:59" s="15" customFormat="1" ht="14.25" x14ac:dyDescent="0.2">
      <c r="B573" s="27"/>
      <c r="C573" s="27"/>
      <c r="D573" s="27"/>
      <c r="E573" s="27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9"/>
      <c r="AE573" s="29"/>
      <c r="AF573" s="29"/>
      <c r="AG573" s="14"/>
      <c r="AH573" s="14"/>
      <c r="AI573" s="14"/>
      <c r="AJ573" s="14"/>
      <c r="AK573" s="14"/>
      <c r="AL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18"/>
      <c r="AX573" s="118"/>
      <c r="AY573" s="118"/>
      <c r="AZ573" s="14"/>
      <c r="BA573" s="14"/>
      <c r="BB573" s="14"/>
      <c r="BC573" s="14"/>
      <c r="BD573" s="14"/>
      <c r="BE573" s="14"/>
      <c r="BF573" s="14"/>
      <c r="BG573" s="14"/>
    </row>
    <row r="574" spans="2:59" s="15" customFormat="1" ht="14.25" x14ac:dyDescent="0.2">
      <c r="B574" s="27"/>
      <c r="C574" s="27"/>
      <c r="D574" s="27"/>
      <c r="E574" s="27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9"/>
      <c r="AE574" s="29"/>
      <c r="AF574" s="29"/>
      <c r="AG574" s="14"/>
      <c r="AH574" s="14"/>
      <c r="AI574" s="14"/>
      <c r="AJ574" s="14"/>
      <c r="AK574" s="14"/>
      <c r="AL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18"/>
      <c r="AX574" s="118"/>
      <c r="AY574" s="118"/>
      <c r="AZ574" s="14"/>
      <c r="BA574" s="14"/>
      <c r="BB574" s="14"/>
      <c r="BC574" s="14"/>
      <c r="BD574" s="14"/>
      <c r="BE574" s="14"/>
      <c r="BF574" s="14"/>
      <c r="BG574" s="14"/>
    </row>
    <row r="575" spans="2:59" s="15" customFormat="1" ht="14.25" x14ac:dyDescent="0.2">
      <c r="B575" s="27"/>
      <c r="C575" s="27"/>
      <c r="D575" s="27"/>
      <c r="E575" s="27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9"/>
      <c r="AE575" s="29"/>
      <c r="AF575" s="29"/>
      <c r="AG575" s="14"/>
      <c r="AH575" s="14"/>
      <c r="AI575" s="14"/>
      <c r="AJ575" s="14"/>
      <c r="AK575" s="14"/>
      <c r="AL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18"/>
      <c r="AX575" s="118"/>
      <c r="AY575" s="118"/>
      <c r="AZ575" s="14"/>
      <c r="BA575" s="14"/>
      <c r="BB575" s="14"/>
      <c r="BC575" s="14"/>
      <c r="BD575" s="14"/>
      <c r="BE575" s="14"/>
      <c r="BF575" s="14"/>
      <c r="BG575" s="14"/>
    </row>
    <row r="576" spans="2:59" s="15" customFormat="1" ht="14.25" x14ac:dyDescent="0.2">
      <c r="B576" s="27"/>
      <c r="C576" s="27"/>
      <c r="D576" s="27"/>
      <c r="E576" s="27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9"/>
      <c r="AE576" s="29"/>
      <c r="AF576" s="29"/>
      <c r="AG576" s="14"/>
      <c r="AH576" s="14"/>
      <c r="AI576" s="14"/>
      <c r="AJ576" s="14"/>
      <c r="AK576" s="14"/>
      <c r="AL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18"/>
      <c r="AX576" s="118"/>
      <c r="AY576" s="118"/>
      <c r="AZ576" s="14"/>
      <c r="BA576" s="14"/>
      <c r="BB576" s="14"/>
      <c r="BC576" s="14"/>
      <c r="BD576" s="14"/>
      <c r="BE576" s="14"/>
      <c r="BF576" s="14"/>
      <c r="BG576" s="14"/>
    </row>
    <row r="577" spans="2:59" s="15" customFormat="1" ht="14.25" x14ac:dyDescent="0.2">
      <c r="B577" s="27"/>
      <c r="C577" s="27"/>
      <c r="D577" s="27"/>
      <c r="E577" s="27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9"/>
      <c r="AE577" s="29"/>
      <c r="AF577" s="29"/>
      <c r="AG577" s="14"/>
      <c r="AH577" s="14"/>
      <c r="AI577" s="14"/>
      <c r="AJ577" s="14"/>
      <c r="AK577" s="14"/>
      <c r="AL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18"/>
      <c r="AX577" s="118"/>
      <c r="AY577" s="118"/>
      <c r="AZ577" s="14"/>
      <c r="BA577" s="14"/>
      <c r="BB577" s="14"/>
      <c r="BC577" s="14"/>
      <c r="BD577" s="14"/>
      <c r="BE577" s="14"/>
      <c r="BF577" s="14"/>
      <c r="BG577" s="14"/>
    </row>
    <row r="578" spans="2:59" s="15" customFormat="1" ht="14.25" x14ac:dyDescent="0.2">
      <c r="B578" s="27"/>
      <c r="C578" s="27"/>
      <c r="D578" s="27"/>
      <c r="E578" s="27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9"/>
      <c r="AE578" s="29"/>
      <c r="AF578" s="29"/>
      <c r="AG578" s="14"/>
      <c r="AH578" s="14"/>
      <c r="AI578" s="14"/>
      <c r="AJ578" s="14"/>
      <c r="AK578" s="14"/>
      <c r="AL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18"/>
      <c r="AX578" s="118"/>
      <c r="AY578" s="118"/>
      <c r="AZ578" s="14"/>
      <c r="BA578" s="14"/>
      <c r="BB578" s="14"/>
      <c r="BC578" s="14"/>
      <c r="BD578" s="14"/>
      <c r="BE578" s="14"/>
      <c r="BF578" s="14"/>
      <c r="BG578" s="14"/>
    </row>
    <row r="579" spans="2:59" s="15" customFormat="1" ht="14.25" x14ac:dyDescent="0.2">
      <c r="B579" s="27"/>
      <c r="C579" s="27"/>
      <c r="D579" s="27"/>
      <c r="E579" s="27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9"/>
      <c r="AE579" s="29"/>
      <c r="AF579" s="29"/>
      <c r="AG579" s="14"/>
      <c r="AH579" s="14"/>
      <c r="AI579" s="14"/>
      <c r="AJ579" s="14"/>
      <c r="AK579" s="14"/>
      <c r="AL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18"/>
      <c r="AX579" s="118"/>
      <c r="AY579" s="118"/>
      <c r="AZ579" s="14"/>
      <c r="BA579" s="14"/>
      <c r="BB579" s="14"/>
      <c r="BC579" s="14"/>
      <c r="BD579" s="14"/>
      <c r="BE579" s="14"/>
      <c r="BF579" s="14"/>
      <c r="BG579" s="14"/>
    </row>
    <row r="580" spans="2:59" s="15" customFormat="1" ht="14.25" x14ac:dyDescent="0.2">
      <c r="B580" s="27"/>
      <c r="C580" s="27"/>
      <c r="D580" s="27"/>
      <c r="E580" s="27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9"/>
      <c r="AE580" s="29"/>
      <c r="AF580" s="29"/>
      <c r="AG580" s="14"/>
      <c r="AH580" s="14"/>
      <c r="AI580" s="14"/>
      <c r="AJ580" s="14"/>
      <c r="AK580" s="14"/>
      <c r="AL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18"/>
      <c r="AX580" s="118"/>
      <c r="AY580" s="118"/>
      <c r="AZ580" s="14"/>
      <c r="BA580" s="14"/>
      <c r="BB580" s="14"/>
      <c r="BC580" s="14"/>
      <c r="BD580" s="14"/>
      <c r="BE580" s="14"/>
      <c r="BF580" s="14"/>
      <c r="BG580" s="14"/>
    </row>
    <row r="581" spans="2:59" s="15" customFormat="1" ht="14.25" x14ac:dyDescent="0.2">
      <c r="B581" s="27"/>
      <c r="C581" s="27"/>
      <c r="D581" s="27"/>
      <c r="E581" s="27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9"/>
      <c r="AE581" s="29"/>
      <c r="AF581" s="29"/>
      <c r="AG581" s="14"/>
      <c r="AH581" s="14"/>
      <c r="AI581" s="14"/>
      <c r="AJ581" s="14"/>
      <c r="AK581" s="14"/>
      <c r="AL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18"/>
      <c r="AX581" s="118"/>
      <c r="AY581" s="118"/>
      <c r="AZ581" s="14"/>
      <c r="BA581" s="14"/>
      <c r="BB581" s="14"/>
      <c r="BC581" s="14"/>
      <c r="BD581" s="14"/>
      <c r="BE581" s="14"/>
      <c r="BF581" s="14"/>
      <c r="BG581" s="14"/>
    </row>
    <row r="582" spans="2:59" s="15" customFormat="1" ht="14.25" x14ac:dyDescent="0.2">
      <c r="B582" s="27"/>
      <c r="C582" s="27"/>
      <c r="D582" s="27"/>
      <c r="E582" s="27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9"/>
      <c r="AE582" s="29"/>
      <c r="AF582" s="29"/>
      <c r="AG582" s="14"/>
      <c r="AH582" s="14"/>
      <c r="AI582" s="14"/>
      <c r="AJ582" s="14"/>
      <c r="AK582" s="14"/>
      <c r="AL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18"/>
      <c r="AX582" s="118"/>
      <c r="AY582" s="118"/>
      <c r="AZ582" s="14"/>
      <c r="BA582" s="14"/>
      <c r="BB582" s="14"/>
      <c r="BC582" s="14"/>
      <c r="BD582" s="14"/>
      <c r="BE582" s="14"/>
      <c r="BF582" s="14"/>
      <c r="BG582" s="14"/>
    </row>
    <row r="583" spans="2:59" s="15" customFormat="1" ht="14.25" x14ac:dyDescent="0.2">
      <c r="B583" s="27"/>
      <c r="C583" s="27"/>
      <c r="D583" s="27"/>
      <c r="E583" s="27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9"/>
      <c r="AE583" s="29"/>
      <c r="AF583" s="29"/>
      <c r="AG583" s="14"/>
      <c r="AH583" s="14"/>
      <c r="AI583" s="14"/>
      <c r="AJ583" s="14"/>
      <c r="AK583" s="14"/>
      <c r="AL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18"/>
      <c r="AX583" s="118"/>
      <c r="AY583" s="118"/>
      <c r="AZ583" s="14"/>
      <c r="BA583" s="14"/>
      <c r="BB583" s="14"/>
      <c r="BC583" s="14"/>
      <c r="BD583" s="14"/>
      <c r="BE583" s="14"/>
      <c r="BF583" s="14"/>
      <c r="BG583" s="14"/>
    </row>
    <row r="584" spans="2:59" s="15" customFormat="1" ht="14.25" x14ac:dyDescent="0.2">
      <c r="B584" s="27"/>
      <c r="C584" s="27"/>
      <c r="D584" s="27"/>
      <c r="E584" s="27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9"/>
      <c r="AE584" s="29"/>
      <c r="AF584" s="29"/>
      <c r="AG584" s="14"/>
      <c r="AH584" s="14"/>
      <c r="AI584" s="14"/>
      <c r="AJ584" s="14"/>
      <c r="AK584" s="14"/>
      <c r="AL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18"/>
      <c r="AX584" s="118"/>
      <c r="AY584" s="118"/>
      <c r="AZ584" s="14"/>
      <c r="BA584" s="14"/>
      <c r="BB584" s="14"/>
      <c r="BC584" s="14"/>
      <c r="BD584" s="14"/>
      <c r="BE584" s="14"/>
      <c r="BF584" s="14"/>
      <c r="BG584" s="14"/>
    </row>
    <row r="585" spans="2:59" s="15" customFormat="1" ht="14.25" x14ac:dyDescent="0.2">
      <c r="B585" s="27"/>
      <c r="C585" s="27"/>
      <c r="D585" s="27"/>
      <c r="E585" s="27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9"/>
      <c r="AE585" s="29"/>
      <c r="AF585" s="29"/>
      <c r="AG585" s="14"/>
      <c r="AH585" s="14"/>
      <c r="AI585" s="14"/>
      <c r="AJ585" s="14"/>
      <c r="AK585" s="14"/>
      <c r="AL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18"/>
      <c r="AX585" s="118"/>
      <c r="AY585" s="118"/>
      <c r="AZ585" s="14"/>
      <c r="BA585" s="14"/>
      <c r="BB585" s="14"/>
      <c r="BC585" s="14"/>
      <c r="BD585" s="14"/>
      <c r="BE585" s="14"/>
      <c r="BF585" s="14"/>
      <c r="BG585" s="14"/>
    </row>
    <row r="586" spans="2:59" s="15" customFormat="1" ht="14.25" x14ac:dyDescent="0.2">
      <c r="B586" s="27"/>
      <c r="C586" s="27"/>
      <c r="D586" s="27"/>
      <c r="E586" s="27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9"/>
      <c r="AE586" s="29"/>
      <c r="AF586" s="29"/>
      <c r="AG586" s="14"/>
      <c r="AH586" s="14"/>
      <c r="AI586" s="14"/>
      <c r="AJ586" s="14"/>
      <c r="AK586" s="14"/>
      <c r="AL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18"/>
      <c r="AX586" s="118"/>
      <c r="AY586" s="118"/>
      <c r="AZ586" s="14"/>
      <c r="BA586" s="14"/>
      <c r="BB586" s="14"/>
      <c r="BC586" s="14"/>
      <c r="BD586" s="14"/>
      <c r="BE586" s="14"/>
      <c r="BF586" s="14"/>
      <c r="BG586" s="14"/>
    </row>
    <row r="587" spans="2:59" s="15" customFormat="1" ht="14.25" x14ac:dyDescent="0.2">
      <c r="B587" s="27"/>
      <c r="C587" s="27"/>
      <c r="D587" s="27"/>
      <c r="E587" s="27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9"/>
      <c r="AE587" s="29"/>
      <c r="AF587" s="29"/>
      <c r="AG587" s="14"/>
      <c r="AH587" s="14"/>
      <c r="AI587" s="14"/>
      <c r="AJ587" s="14"/>
      <c r="AK587" s="14"/>
      <c r="AL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18"/>
      <c r="AX587" s="118"/>
      <c r="AY587" s="118"/>
      <c r="AZ587" s="14"/>
      <c r="BA587" s="14"/>
      <c r="BB587" s="14"/>
      <c r="BC587" s="14"/>
      <c r="BD587" s="14"/>
      <c r="BE587" s="14"/>
      <c r="BF587" s="14"/>
      <c r="BG587" s="14"/>
    </row>
    <row r="588" spans="2:59" s="15" customFormat="1" ht="14.25" x14ac:dyDescent="0.2">
      <c r="B588" s="27"/>
      <c r="C588" s="27"/>
      <c r="D588" s="27"/>
      <c r="E588" s="27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9"/>
      <c r="AE588" s="29"/>
      <c r="AF588" s="29"/>
      <c r="AG588" s="14"/>
      <c r="AH588" s="14"/>
      <c r="AI588" s="14"/>
      <c r="AJ588" s="14"/>
      <c r="AK588" s="14"/>
      <c r="AL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18"/>
      <c r="AX588" s="118"/>
      <c r="AY588" s="118"/>
      <c r="AZ588" s="14"/>
      <c r="BA588" s="14"/>
      <c r="BB588" s="14"/>
      <c r="BC588" s="14"/>
      <c r="BD588" s="14"/>
      <c r="BE588" s="14"/>
      <c r="BF588" s="14"/>
      <c r="BG588" s="14"/>
    </row>
    <row r="589" spans="2:59" s="15" customFormat="1" ht="14.25" x14ac:dyDescent="0.2">
      <c r="B589" s="27"/>
      <c r="C589" s="27"/>
      <c r="D589" s="27"/>
      <c r="E589" s="27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9"/>
      <c r="AE589" s="29"/>
      <c r="AF589" s="29"/>
      <c r="AG589" s="14"/>
      <c r="AH589" s="14"/>
      <c r="AI589" s="14"/>
      <c r="AJ589" s="14"/>
      <c r="AK589" s="14"/>
      <c r="AL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18"/>
      <c r="AX589" s="118"/>
      <c r="AY589" s="118"/>
      <c r="AZ589" s="14"/>
      <c r="BA589" s="14"/>
      <c r="BB589" s="14"/>
      <c r="BC589" s="14"/>
      <c r="BD589" s="14"/>
      <c r="BE589" s="14"/>
      <c r="BF589" s="14"/>
      <c r="BG589" s="14"/>
    </row>
    <row r="590" spans="2:59" s="15" customFormat="1" ht="14.25" x14ac:dyDescent="0.2">
      <c r="B590" s="27"/>
      <c r="C590" s="27"/>
      <c r="D590" s="27"/>
      <c r="E590" s="27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9"/>
      <c r="AE590" s="29"/>
      <c r="AF590" s="29"/>
      <c r="AG590" s="14"/>
      <c r="AH590" s="14"/>
      <c r="AI590" s="14"/>
      <c r="AJ590" s="14"/>
      <c r="AK590" s="14"/>
      <c r="AL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18"/>
      <c r="AX590" s="118"/>
      <c r="AY590" s="118"/>
      <c r="AZ590" s="14"/>
      <c r="BA590" s="14"/>
      <c r="BB590" s="14"/>
      <c r="BC590" s="14"/>
      <c r="BD590" s="14"/>
      <c r="BE590" s="14"/>
      <c r="BF590" s="14"/>
      <c r="BG590" s="14"/>
    </row>
    <row r="591" spans="2:59" s="15" customFormat="1" ht="14.25" x14ac:dyDescent="0.2">
      <c r="B591" s="27"/>
      <c r="C591" s="27"/>
      <c r="D591" s="27"/>
      <c r="E591" s="27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9"/>
      <c r="AE591" s="29"/>
      <c r="AF591" s="29"/>
      <c r="AG591" s="14"/>
      <c r="AH591" s="14"/>
      <c r="AI591" s="14"/>
      <c r="AJ591" s="14"/>
      <c r="AK591" s="14"/>
      <c r="AL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18"/>
      <c r="AX591" s="118"/>
      <c r="AY591" s="118"/>
      <c r="AZ591" s="14"/>
      <c r="BA591" s="14"/>
      <c r="BB591" s="14"/>
      <c r="BC591" s="14"/>
      <c r="BD591" s="14"/>
      <c r="BE591" s="14"/>
      <c r="BF591" s="14"/>
      <c r="BG591" s="14"/>
    </row>
    <row r="592" spans="2:59" s="15" customFormat="1" ht="14.25" x14ac:dyDescent="0.2">
      <c r="B592" s="27"/>
      <c r="C592" s="27"/>
      <c r="D592" s="27"/>
      <c r="E592" s="27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9"/>
      <c r="AE592" s="29"/>
      <c r="AF592" s="29"/>
      <c r="AG592" s="14"/>
      <c r="AH592" s="14"/>
      <c r="AI592" s="14"/>
      <c r="AJ592" s="14"/>
      <c r="AK592" s="14"/>
      <c r="AL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18"/>
      <c r="AX592" s="118"/>
      <c r="AY592" s="118"/>
      <c r="AZ592" s="14"/>
      <c r="BA592" s="14"/>
      <c r="BB592" s="14"/>
      <c r="BC592" s="14"/>
      <c r="BD592" s="14"/>
      <c r="BE592" s="14"/>
      <c r="BF592" s="14"/>
      <c r="BG592" s="14"/>
    </row>
    <row r="593" spans="2:59" s="15" customFormat="1" ht="14.25" x14ac:dyDescent="0.2">
      <c r="B593" s="27"/>
      <c r="C593" s="27"/>
      <c r="D593" s="27"/>
      <c r="E593" s="27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9"/>
      <c r="AE593" s="29"/>
      <c r="AF593" s="29"/>
      <c r="AG593" s="14"/>
      <c r="AH593" s="14"/>
      <c r="AI593" s="14"/>
      <c r="AJ593" s="14"/>
      <c r="AK593" s="14"/>
      <c r="AL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18"/>
      <c r="AX593" s="118"/>
      <c r="AY593" s="118"/>
      <c r="AZ593" s="14"/>
      <c r="BA593" s="14"/>
      <c r="BB593" s="14"/>
      <c r="BC593" s="14"/>
      <c r="BD593" s="14"/>
      <c r="BE593" s="14"/>
      <c r="BF593" s="14"/>
      <c r="BG593" s="14"/>
    </row>
    <row r="594" spans="2:59" s="15" customFormat="1" ht="14.25" x14ac:dyDescent="0.2">
      <c r="B594" s="27"/>
      <c r="C594" s="27"/>
      <c r="D594" s="27"/>
      <c r="E594" s="27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9"/>
      <c r="AE594" s="29"/>
      <c r="AF594" s="29"/>
      <c r="AG594" s="14"/>
      <c r="AH594" s="14"/>
      <c r="AI594" s="14"/>
      <c r="AJ594" s="14"/>
      <c r="AK594" s="14"/>
      <c r="AL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18"/>
      <c r="AX594" s="118"/>
      <c r="AY594" s="118"/>
      <c r="AZ594" s="14"/>
      <c r="BA594" s="14"/>
      <c r="BB594" s="14"/>
      <c r="BC594" s="14"/>
      <c r="BD594" s="14"/>
      <c r="BE594" s="14"/>
      <c r="BF594" s="14"/>
      <c r="BG594" s="14"/>
    </row>
    <row r="595" spans="2:59" s="15" customFormat="1" ht="14.25" x14ac:dyDescent="0.2">
      <c r="B595" s="27"/>
      <c r="C595" s="27"/>
      <c r="D595" s="27"/>
      <c r="E595" s="27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9"/>
      <c r="AE595" s="29"/>
      <c r="AF595" s="29"/>
      <c r="AG595" s="14"/>
      <c r="AH595" s="14"/>
      <c r="AI595" s="14"/>
      <c r="AJ595" s="14"/>
      <c r="AK595" s="14"/>
      <c r="AL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18"/>
      <c r="AX595" s="118"/>
      <c r="AY595" s="118"/>
      <c r="AZ595" s="14"/>
      <c r="BA595" s="14"/>
      <c r="BB595" s="14"/>
      <c r="BC595" s="14"/>
      <c r="BD595" s="14"/>
      <c r="BE595" s="14"/>
      <c r="BF595" s="14"/>
      <c r="BG595" s="14"/>
    </row>
    <row r="596" spans="2:59" s="15" customFormat="1" ht="14.25" x14ac:dyDescent="0.2">
      <c r="B596" s="27"/>
      <c r="C596" s="27"/>
      <c r="D596" s="27"/>
      <c r="E596" s="27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9"/>
      <c r="AE596" s="29"/>
      <c r="AF596" s="29"/>
      <c r="AG596" s="14"/>
      <c r="AH596" s="14"/>
      <c r="AI596" s="14"/>
      <c r="AJ596" s="14"/>
      <c r="AK596" s="14"/>
      <c r="AL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18"/>
      <c r="AX596" s="118"/>
      <c r="AY596" s="118"/>
      <c r="AZ596" s="14"/>
      <c r="BA596" s="14"/>
      <c r="BB596" s="14"/>
      <c r="BC596" s="14"/>
      <c r="BD596" s="14"/>
      <c r="BE596" s="14"/>
      <c r="BF596" s="14"/>
      <c r="BG596" s="14"/>
    </row>
    <row r="597" spans="2:59" s="15" customFormat="1" ht="14.25" x14ac:dyDescent="0.2">
      <c r="B597" s="27"/>
      <c r="C597" s="27"/>
      <c r="D597" s="27"/>
      <c r="E597" s="27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9"/>
      <c r="AE597" s="29"/>
      <c r="AF597" s="29"/>
      <c r="AG597" s="14"/>
      <c r="AH597" s="14"/>
      <c r="AI597" s="14"/>
      <c r="AJ597" s="14"/>
      <c r="AK597" s="14"/>
      <c r="AL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18"/>
      <c r="AX597" s="118"/>
      <c r="AY597" s="118"/>
      <c r="AZ597" s="14"/>
      <c r="BA597" s="14"/>
      <c r="BB597" s="14"/>
      <c r="BC597" s="14"/>
      <c r="BD597" s="14"/>
      <c r="BE597" s="14"/>
      <c r="BF597" s="14"/>
      <c r="BG597" s="14"/>
    </row>
    <row r="598" spans="2:59" s="15" customFormat="1" ht="14.25" x14ac:dyDescent="0.2">
      <c r="B598" s="27"/>
      <c r="C598" s="27"/>
      <c r="D598" s="27"/>
      <c r="E598" s="27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9"/>
      <c r="AE598" s="29"/>
      <c r="AF598" s="29"/>
      <c r="AG598" s="14"/>
      <c r="AH598" s="14"/>
      <c r="AI598" s="14"/>
      <c r="AJ598" s="14"/>
      <c r="AK598" s="14"/>
      <c r="AL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18"/>
      <c r="AX598" s="118"/>
      <c r="AY598" s="118"/>
      <c r="AZ598" s="14"/>
      <c r="BA598" s="14"/>
      <c r="BB598" s="14"/>
      <c r="BC598" s="14"/>
      <c r="BD598" s="14"/>
      <c r="BE598" s="14"/>
      <c r="BF598" s="14"/>
      <c r="BG598" s="14"/>
    </row>
    <row r="599" spans="2:59" s="15" customFormat="1" ht="14.25" x14ac:dyDescent="0.2">
      <c r="B599" s="27"/>
      <c r="C599" s="27"/>
      <c r="D599" s="27"/>
      <c r="E599" s="27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9"/>
      <c r="AE599" s="29"/>
      <c r="AF599" s="29"/>
      <c r="AG599" s="14"/>
      <c r="AH599" s="14"/>
      <c r="AI599" s="14"/>
      <c r="AJ599" s="14"/>
      <c r="AK599" s="14"/>
      <c r="AL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18"/>
      <c r="AX599" s="118"/>
      <c r="AY599" s="118"/>
      <c r="AZ599" s="14"/>
      <c r="BA599" s="14"/>
      <c r="BB599" s="14"/>
      <c r="BC599" s="14"/>
      <c r="BD599" s="14"/>
      <c r="BE599" s="14"/>
      <c r="BF599" s="14"/>
      <c r="BG599" s="14"/>
    </row>
    <row r="600" spans="2:59" s="15" customFormat="1" ht="14.25" x14ac:dyDescent="0.2">
      <c r="B600" s="27"/>
      <c r="C600" s="27"/>
      <c r="D600" s="27"/>
      <c r="E600" s="27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9"/>
      <c r="AE600" s="29"/>
      <c r="AF600" s="29"/>
      <c r="AG600" s="14"/>
      <c r="AH600" s="14"/>
      <c r="AI600" s="14"/>
      <c r="AJ600" s="14"/>
      <c r="AK600" s="14"/>
      <c r="AL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18"/>
      <c r="AX600" s="118"/>
      <c r="AY600" s="118"/>
      <c r="AZ600" s="14"/>
      <c r="BA600" s="14"/>
      <c r="BB600" s="14"/>
      <c r="BC600" s="14"/>
      <c r="BD600" s="14"/>
      <c r="BE600" s="14"/>
      <c r="BF600" s="14"/>
      <c r="BG600" s="14"/>
    </row>
    <row r="601" spans="2:59" s="15" customFormat="1" ht="14.25" x14ac:dyDescent="0.2">
      <c r="B601" s="27"/>
      <c r="C601" s="27"/>
      <c r="D601" s="27"/>
      <c r="E601" s="27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9"/>
      <c r="AE601" s="29"/>
      <c r="AF601" s="29"/>
      <c r="AG601" s="14"/>
      <c r="AH601" s="14"/>
      <c r="AI601" s="14"/>
      <c r="AJ601" s="14"/>
      <c r="AK601" s="14"/>
      <c r="AL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18"/>
      <c r="AX601" s="118"/>
      <c r="AY601" s="118"/>
      <c r="AZ601" s="14"/>
      <c r="BA601" s="14"/>
      <c r="BB601" s="14"/>
      <c r="BC601" s="14"/>
      <c r="BD601" s="14"/>
      <c r="BE601" s="14"/>
      <c r="BF601" s="14"/>
      <c r="BG601" s="14"/>
    </row>
    <row r="602" spans="2:59" s="15" customFormat="1" ht="14.25" x14ac:dyDescent="0.2">
      <c r="B602" s="27"/>
      <c r="C602" s="27"/>
      <c r="D602" s="27"/>
      <c r="E602" s="27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9"/>
      <c r="AE602" s="29"/>
      <c r="AF602" s="29"/>
      <c r="AG602" s="14"/>
      <c r="AH602" s="14"/>
      <c r="AI602" s="14"/>
      <c r="AJ602" s="14"/>
      <c r="AK602" s="14"/>
      <c r="AL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18"/>
      <c r="AX602" s="118"/>
      <c r="AY602" s="118"/>
      <c r="AZ602" s="14"/>
      <c r="BA602" s="14"/>
      <c r="BB602" s="14"/>
      <c r="BC602" s="14"/>
      <c r="BD602" s="14"/>
      <c r="BE602" s="14"/>
      <c r="BF602" s="14"/>
      <c r="BG602" s="14"/>
    </row>
    <row r="603" spans="2:59" s="15" customFormat="1" ht="14.25" x14ac:dyDescent="0.2">
      <c r="B603" s="27"/>
      <c r="C603" s="27"/>
      <c r="D603" s="27"/>
      <c r="E603" s="27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9"/>
      <c r="AE603" s="29"/>
      <c r="AF603" s="29"/>
      <c r="AG603" s="14"/>
      <c r="AH603" s="14"/>
      <c r="AI603" s="14"/>
      <c r="AJ603" s="14"/>
      <c r="AK603" s="14"/>
      <c r="AL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18"/>
      <c r="AX603" s="118"/>
      <c r="AY603" s="118"/>
      <c r="AZ603" s="14"/>
      <c r="BA603" s="14"/>
      <c r="BB603" s="14"/>
      <c r="BC603" s="14"/>
      <c r="BD603" s="14"/>
      <c r="BE603" s="14"/>
      <c r="BF603" s="14"/>
      <c r="BG603" s="14"/>
    </row>
    <row r="604" spans="2:59" s="15" customFormat="1" ht="14.25" x14ac:dyDescent="0.2">
      <c r="B604" s="27"/>
      <c r="C604" s="27"/>
      <c r="D604" s="27"/>
      <c r="E604" s="27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9"/>
      <c r="AE604" s="29"/>
      <c r="AF604" s="29"/>
      <c r="AG604" s="14"/>
      <c r="AH604" s="14"/>
      <c r="AI604" s="14"/>
      <c r="AJ604" s="14"/>
      <c r="AK604" s="14"/>
      <c r="AL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18"/>
      <c r="AX604" s="118"/>
      <c r="AY604" s="118"/>
      <c r="AZ604" s="14"/>
      <c r="BA604" s="14"/>
      <c r="BB604" s="14"/>
      <c r="BC604" s="14"/>
      <c r="BD604" s="14"/>
      <c r="BE604" s="14"/>
      <c r="BF604" s="14"/>
      <c r="BG604" s="14"/>
    </row>
    <row r="605" spans="2:59" s="15" customFormat="1" ht="14.25" x14ac:dyDescent="0.2">
      <c r="B605" s="27"/>
      <c r="C605" s="27"/>
      <c r="D605" s="27"/>
      <c r="E605" s="27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9"/>
      <c r="AE605" s="29"/>
      <c r="AF605" s="29"/>
      <c r="AG605" s="14"/>
      <c r="AH605" s="14"/>
      <c r="AI605" s="14"/>
      <c r="AJ605" s="14"/>
      <c r="AK605" s="14"/>
      <c r="AL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18"/>
      <c r="AX605" s="118"/>
      <c r="AY605" s="118"/>
      <c r="AZ605" s="14"/>
      <c r="BA605" s="14"/>
      <c r="BB605" s="14"/>
      <c r="BC605" s="14"/>
      <c r="BD605" s="14"/>
      <c r="BE605" s="14"/>
      <c r="BF605" s="14"/>
      <c r="BG605" s="14"/>
    </row>
    <row r="606" spans="2:59" s="15" customFormat="1" ht="14.25" x14ac:dyDescent="0.2">
      <c r="B606" s="27"/>
      <c r="C606" s="27"/>
      <c r="D606" s="27"/>
      <c r="E606" s="27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9"/>
      <c r="AE606" s="29"/>
      <c r="AF606" s="29"/>
      <c r="AG606" s="14"/>
      <c r="AH606" s="14"/>
      <c r="AI606" s="14"/>
      <c r="AJ606" s="14"/>
      <c r="AK606" s="14"/>
      <c r="AL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18"/>
      <c r="AX606" s="118"/>
      <c r="AY606" s="118"/>
      <c r="AZ606" s="14"/>
      <c r="BA606" s="14"/>
      <c r="BB606" s="14"/>
      <c r="BC606" s="14"/>
      <c r="BD606" s="14"/>
      <c r="BE606" s="14"/>
      <c r="BF606" s="14"/>
      <c r="BG606" s="14"/>
    </row>
    <row r="607" spans="2:59" s="15" customFormat="1" ht="14.25" x14ac:dyDescent="0.2">
      <c r="B607" s="27"/>
      <c r="C607" s="27"/>
      <c r="D607" s="27"/>
      <c r="E607" s="27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9"/>
      <c r="AE607" s="29"/>
      <c r="AF607" s="29"/>
      <c r="AG607" s="14"/>
      <c r="AH607" s="14"/>
      <c r="AI607" s="14"/>
      <c r="AJ607" s="14"/>
      <c r="AK607" s="14"/>
      <c r="AL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18"/>
      <c r="AX607" s="118"/>
      <c r="AY607" s="118"/>
      <c r="AZ607" s="14"/>
      <c r="BA607" s="14"/>
      <c r="BB607" s="14"/>
      <c r="BC607" s="14"/>
      <c r="BD607" s="14"/>
      <c r="BE607" s="14"/>
      <c r="BF607" s="14"/>
      <c r="BG607" s="14"/>
    </row>
    <row r="608" spans="2:59" s="15" customFormat="1" ht="14.25" x14ac:dyDescent="0.2">
      <c r="B608" s="27"/>
      <c r="C608" s="27"/>
      <c r="D608" s="27"/>
      <c r="E608" s="27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9"/>
      <c r="AE608" s="29"/>
      <c r="AF608" s="29"/>
      <c r="AG608" s="14"/>
      <c r="AH608" s="14"/>
      <c r="AI608" s="14"/>
      <c r="AJ608" s="14"/>
      <c r="AK608" s="14"/>
      <c r="AL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18"/>
      <c r="AX608" s="118"/>
      <c r="AY608" s="118"/>
      <c r="AZ608" s="14"/>
      <c r="BA608" s="14"/>
      <c r="BB608" s="14"/>
      <c r="BC608" s="14"/>
      <c r="BD608" s="14"/>
      <c r="BE608" s="14"/>
      <c r="BF608" s="14"/>
      <c r="BG608" s="14"/>
    </row>
    <row r="609" spans="2:59" s="15" customFormat="1" ht="14.25" x14ac:dyDescent="0.2">
      <c r="B609" s="27"/>
      <c r="C609" s="27"/>
      <c r="D609" s="27"/>
      <c r="E609" s="27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9"/>
      <c r="AE609" s="29"/>
      <c r="AF609" s="29"/>
      <c r="AG609" s="14"/>
      <c r="AH609" s="14"/>
      <c r="AI609" s="14"/>
      <c r="AJ609" s="14"/>
      <c r="AK609" s="14"/>
      <c r="AL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18"/>
      <c r="AX609" s="118"/>
      <c r="AY609" s="118"/>
      <c r="AZ609" s="14"/>
      <c r="BA609" s="14"/>
      <c r="BB609" s="14"/>
      <c r="BC609" s="14"/>
      <c r="BD609" s="14"/>
      <c r="BE609" s="14"/>
      <c r="BF609" s="14"/>
      <c r="BG609" s="14"/>
    </row>
    <row r="610" spans="2:59" s="15" customFormat="1" ht="14.25" x14ac:dyDescent="0.2">
      <c r="B610" s="27"/>
      <c r="C610" s="27"/>
      <c r="D610" s="27"/>
      <c r="E610" s="27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9"/>
      <c r="AE610" s="29"/>
      <c r="AF610" s="29"/>
      <c r="AG610" s="14"/>
      <c r="AH610" s="14"/>
      <c r="AI610" s="14"/>
      <c r="AJ610" s="14"/>
      <c r="AK610" s="14"/>
      <c r="AL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18"/>
      <c r="AX610" s="118"/>
      <c r="AY610" s="118"/>
      <c r="AZ610" s="14"/>
      <c r="BA610" s="14"/>
      <c r="BB610" s="14"/>
      <c r="BC610" s="14"/>
      <c r="BD610" s="14"/>
      <c r="BE610" s="14"/>
      <c r="BF610" s="14"/>
      <c r="BG610" s="14"/>
    </row>
    <row r="611" spans="2:59" s="15" customFormat="1" ht="14.25" x14ac:dyDescent="0.2">
      <c r="B611" s="27"/>
      <c r="C611" s="27"/>
      <c r="D611" s="27"/>
      <c r="E611" s="27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9"/>
      <c r="AE611" s="29"/>
      <c r="AF611" s="29"/>
      <c r="AG611" s="14"/>
      <c r="AH611" s="14"/>
      <c r="AI611" s="14"/>
      <c r="AJ611" s="14"/>
      <c r="AK611" s="14"/>
      <c r="AL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18"/>
      <c r="AX611" s="118"/>
      <c r="AY611" s="118"/>
      <c r="AZ611" s="14"/>
      <c r="BA611" s="14"/>
      <c r="BB611" s="14"/>
      <c r="BC611" s="14"/>
      <c r="BD611" s="14"/>
      <c r="BE611" s="14"/>
      <c r="BF611" s="14"/>
      <c r="BG611" s="14"/>
    </row>
    <row r="612" spans="2:59" s="15" customFormat="1" ht="14.25" x14ac:dyDescent="0.2">
      <c r="B612" s="27"/>
      <c r="C612" s="27"/>
      <c r="D612" s="27"/>
      <c r="E612" s="27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9"/>
      <c r="AE612" s="29"/>
      <c r="AF612" s="29"/>
      <c r="AG612" s="14"/>
      <c r="AH612" s="14"/>
      <c r="AI612" s="14"/>
      <c r="AJ612" s="14"/>
      <c r="AK612" s="14"/>
      <c r="AL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18"/>
      <c r="AX612" s="118"/>
      <c r="AY612" s="118"/>
      <c r="AZ612" s="14"/>
      <c r="BA612" s="14"/>
      <c r="BB612" s="14"/>
      <c r="BC612" s="14"/>
      <c r="BD612" s="14"/>
      <c r="BE612" s="14"/>
      <c r="BF612" s="14"/>
      <c r="BG612" s="14"/>
    </row>
    <row r="613" spans="2:59" s="15" customFormat="1" ht="14.25" x14ac:dyDescent="0.2">
      <c r="B613" s="27"/>
      <c r="C613" s="27"/>
      <c r="D613" s="27"/>
      <c r="E613" s="27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9"/>
      <c r="AE613" s="29"/>
      <c r="AF613" s="29"/>
      <c r="AG613" s="14"/>
      <c r="AH613" s="14"/>
      <c r="AI613" s="14"/>
      <c r="AJ613" s="14"/>
      <c r="AK613" s="14"/>
      <c r="AL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18"/>
      <c r="AX613" s="118"/>
      <c r="AY613" s="118"/>
      <c r="AZ613" s="14"/>
      <c r="BA613" s="14"/>
      <c r="BB613" s="14"/>
      <c r="BC613" s="14"/>
      <c r="BD613" s="14"/>
      <c r="BE613" s="14"/>
      <c r="BF613" s="14"/>
      <c r="BG613" s="14"/>
    </row>
    <row r="614" spans="2:59" s="15" customFormat="1" ht="14.25" x14ac:dyDescent="0.2">
      <c r="B614" s="27"/>
      <c r="C614" s="27"/>
      <c r="D614" s="27"/>
      <c r="E614" s="27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9"/>
      <c r="AE614" s="29"/>
      <c r="AF614" s="29"/>
      <c r="AG614" s="14"/>
      <c r="AH614" s="14"/>
      <c r="AI614" s="14"/>
      <c r="AJ614" s="14"/>
      <c r="AK614" s="14"/>
      <c r="AL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18"/>
      <c r="AX614" s="118"/>
      <c r="AY614" s="118"/>
      <c r="AZ614" s="14"/>
      <c r="BA614" s="14"/>
      <c r="BB614" s="14"/>
      <c r="BC614" s="14"/>
      <c r="BD614" s="14"/>
      <c r="BE614" s="14"/>
      <c r="BF614" s="14"/>
      <c r="BG614" s="14"/>
    </row>
    <row r="615" spans="2:59" s="15" customFormat="1" ht="14.25" x14ac:dyDescent="0.2">
      <c r="B615" s="27"/>
      <c r="C615" s="27"/>
      <c r="D615" s="27"/>
      <c r="E615" s="27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9"/>
      <c r="AE615" s="29"/>
      <c r="AF615" s="29"/>
      <c r="AG615" s="14"/>
      <c r="AH615" s="14"/>
      <c r="AI615" s="14"/>
      <c r="AJ615" s="14"/>
      <c r="AK615" s="14"/>
      <c r="AL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18"/>
      <c r="AX615" s="118"/>
      <c r="AY615" s="118"/>
      <c r="AZ615" s="14"/>
      <c r="BA615" s="14"/>
      <c r="BB615" s="14"/>
      <c r="BC615" s="14"/>
      <c r="BD615" s="14"/>
      <c r="BE615" s="14"/>
      <c r="BF615" s="14"/>
      <c r="BG615" s="14"/>
    </row>
    <row r="616" spans="2:59" s="15" customFormat="1" ht="14.25" x14ac:dyDescent="0.2">
      <c r="B616" s="27"/>
      <c r="C616" s="27"/>
      <c r="D616" s="27"/>
      <c r="E616" s="27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9"/>
      <c r="AE616" s="29"/>
      <c r="AF616" s="29"/>
      <c r="AG616" s="14"/>
      <c r="AH616" s="14"/>
      <c r="AI616" s="14"/>
      <c r="AJ616" s="14"/>
      <c r="AK616" s="14"/>
      <c r="AL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18"/>
      <c r="AX616" s="118"/>
      <c r="AY616" s="118"/>
      <c r="AZ616" s="14"/>
      <c r="BA616" s="14"/>
      <c r="BB616" s="14"/>
      <c r="BC616" s="14"/>
      <c r="BD616" s="14"/>
      <c r="BE616" s="14"/>
      <c r="BF616" s="14"/>
      <c r="BG616" s="14"/>
    </row>
    <row r="617" spans="2:59" s="15" customFormat="1" ht="14.25" x14ac:dyDescent="0.2">
      <c r="B617" s="27"/>
      <c r="C617" s="27"/>
      <c r="D617" s="27"/>
      <c r="E617" s="27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9"/>
      <c r="AE617" s="29"/>
      <c r="AF617" s="29"/>
      <c r="AG617" s="14"/>
      <c r="AH617" s="14"/>
      <c r="AI617" s="14"/>
      <c r="AJ617" s="14"/>
      <c r="AK617" s="14"/>
      <c r="AL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18"/>
      <c r="AX617" s="118"/>
      <c r="AY617" s="118"/>
      <c r="AZ617" s="14"/>
      <c r="BA617" s="14"/>
      <c r="BB617" s="14"/>
      <c r="BC617" s="14"/>
      <c r="BD617" s="14"/>
      <c r="BE617" s="14"/>
      <c r="BF617" s="14"/>
      <c r="BG617" s="14"/>
    </row>
    <row r="618" spans="2:59" s="15" customFormat="1" ht="14.25" x14ac:dyDescent="0.2">
      <c r="B618" s="27"/>
      <c r="C618" s="27"/>
      <c r="D618" s="27"/>
      <c r="E618" s="27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9"/>
      <c r="AE618" s="29"/>
      <c r="AF618" s="29"/>
      <c r="AG618" s="14"/>
      <c r="AH618" s="14"/>
      <c r="AI618" s="14"/>
      <c r="AJ618" s="14"/>
      <c r="AK618" s="14"/>
      <c r="AL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18"/>
      <c r="AX618" s="118"/>
      <c r="AY618" s="118"/>
      <c r="AZ618" s="14"/>
      <c r="BA618" s="14"/>
      <c r="BB618" s="14"/>
      <c r="BC618" s="14"/>
      <c r="BD618" s="14"/>
      <c r="BE618" s="14"/>
      <c r="BF618" s="14"/>
      <c r="BG618" s="14"/>
    </row>
    <row r="619" spans="2:59" s="15" customFormat="1" ht="14.25" x14ac:dyDescent="0.2">
      <c r="B619" s="27"/>
      <c r="C619" s="27"/>
      <c r="D619" s="27"/>
      <c r="E619" s="27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9"/>
      <c r="AE619" s="29"/>
      <c r="AF619" s="29"/>
      <c r="AG619" s="14"/>
      <c r="AH619" s="14"/>
      <c r="AI619" s="14"/>
      <c r="AJ619" s="14"/>
      <c r="AK619" s="14"/>
      <c r="AL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18"/>
      <c r="AX619" s="118"/>
      <c r="AY619" s="118"/>
      <c r="AZ619" s="14"/>
      <c r="BA619" s="14"/>
      <c r="BB619" s="14"/>
      <c r="BC619" s="14"/>
      <c r="BD619" s="14"/>
      <c r="BE619" s="14"/>
      <c r="BF619" s="14"/>
      <c r="BG619" s="14"/>
    </row>
    <row r="620" spans="2:59" s="15" customFormat="1" ht="14.25" x14ac:dyDescent="0.2">
      <c r="B620" s="27"/>
      <c r="C620" s="27"/>
      <c r="D620" s="27"/>
      <c r="E620" s="27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9"/>
      <c r="AE620" s="29"/>
      <c r="AF620" s="29"/>
      <c r="AG620" s="14"/>
      <c r="AH620" s="14"/>
      <c r="AI620" s="14"/>
      <c r="AJ620" s="14"/>
      <c r="AK620" s="14"/>
      <c r="AL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18"/>
      <c r="AX620" s="118"/>
      <c r="AY620" s="118"/>
      <c r="AZ620" s="14"/>
      <c r="BA620" s="14"/>
      <c r="BB620" s="14"/>
      <c r="BC620" s="14"/>
      <c r="BD620" s="14"/>
      <c r="BE620" s="14"/>
      <c r="BF620" s="14"/>
      <c r="BG620" s="14"/>
    </row>
    <row r="621" spans="2:59" s="15" customFormat="1" ht="14.25" x14ac:dyDescent="0.2">
      <c r="B621" s="27"/>
      <c r="C621" s="27"/>
      <c r="D621" s="27"/>
      <c r="E621" s="27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9"/>
      <c r="AE621" s="29"/>
      <c r="AF621" s="29"/>
      <c r="AG621" s="14"/>
      <c r="AH621" s="14"/>
      <c r="AI621" s="14"/>
      <c r="AJ621" s="14"/>
      <c r="AK621" s="14"/>
      <c r="AL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18"/>
      <c r="AX621" s="118"/>
      <c r="AY621" s="118"/>
      <c r="AZ621" s="14"/>
      <c r="BA621" s="14"/>
      <c r="BB621" s="14"/>
      <c r="BC621" s="14"/>
      <c r="BD621" s="14"/>
      <c r="BE621" s="14"/>
      <c r="BF621" s="14"/>
      <c r="BG621" s="14"/>
    </row>
    <row r="622" spans="2:59" s="15" customFormat="1" ht="14.25" x14ac:dyDescent="0.2">
      <c r="B622" s="27"/>
      <c r="C622" s="27"/>
      <c r="D622" s="27"/>
      <c r="E622" s="27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9"/>
      <c r="AE622" s="29"/>
      <c r="AF622" s="29"/>
      <c r="AG622" s="14"/>
      <c r="AH622" s="14"/>
      <c r="AI622" s="14"/>
      <c r="AJ622" s="14"/>
      <c r="AK622" s="14"/>
      <c r="AL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18"/>
      <c r="AX622" s="118"/>
      <c r="AY622" s="118"/>
      <c r="AZ622" s="14"/>
      <c r="BA622" s="14"/>
      <c r="BB622" s="14"/>
      <c r="BC622" s="14"/>
      <c r="BD622" s="14"/>
      <c r="BE622" s="14"/>
      <c r="BF622" s="14"/>
      <c r="BG622" s="14"/>
    </row>
    <row r="623" spans="2:59" s="15" customFormat="1" ht="14.25" x14ac:dyDescent="0.2">
      <c r="B623" s="27"/>
      <c r="C623" s="27"/>
      <c r="D623" s="27"/>
      <c r="E623" s="27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9"/>
      <c r="AE623" s="29"/>
      <c r="AF623" s="29"/>
      <c r="AG623" s="14"/>
      <c r="AH623" s="14"/>
      <c r="AI623" s="14"/>
      <c r="AJ623" s="14"/>
      <c r="AK623" s="14"/>
      <c r="AL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18"/>
      <c r="AX623" s="118"/>
      <c r="AY623" s="118"/>
      <c r="AZ623" s="14"/>
      <c r="BA623" s="14"/>
      <c r="BB623" s="14"/>
      <c r="BC623" s="14"/>
      <c r="BD623" s="14"/>
      <c r="BE623" s="14"/>
      <c r="BF623" s="14"/>
      <c r="BG623" s="14"/>
    </row>
    <row r="624" spans="2:59" s="15" customFormat="1" ht="14.25" x14ac:dyDescent="0.2">
      <c r="B624" s="27"/>
      <c r="C624" s="27"/>
      <c r="D624" s="27"/>
      <c r="E624" s="27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9"/>
      <c r="AE624" s="29"/>
      <c r="AF624" s="29"/>
      <c r="AG624" s="14"/>
      <c r="AH624" s="14"/>
      <c r="AI624" s="14"/>
      <c r="AJ624" s="14"/>
      <c r="AK624" s="14"/>
      <c r="AL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18"/>
      <c r="AX624" s="118"/>
      <c r="AY624" s="118"/>
      <c r="AZ624" s="14"/>
      <c r="BA624" s="14"/>
      <c r="BB624" s="14"/>
      <c r="BC624" s="14"/>
      <c r="BD624" s="14"/>
      <c r="BE624" s="14"/>
      <c r="BF624" s="14"/>
      <c r="BG624" s="14"/>
    </row>
    <row r="625" spans="2:59" s="15" customFormat="1" ht="14.25" x14ac:dyDescent="0.2">
      <c r="B625" s="27"/>
      <c r="C625" s="27"/>
      <c r="D625" s="27"/>
      <c r="E625" s="27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9"/>
      <c r="AE625" s="29"/>
      <c r="AF625" s="29"/>
      <c r="AG625" s="14"/>
      <c r="AH625" s="14"/>
      <c r="AI625" s="14"/>
      <c r="AJ625" s="14"/>
      <c r="AK625" s="14"/>
      <c r="AL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18"/>
      <c r="AX625" s="118"/>
      <c r="AY625" s="118"/>
      <c r="AZ625" s="14"/>
      <c r="BA625" s="14"/>
      <c r="BB625" s="14"/>
      <c r="BC625" s="14"/>
      <c r="BD625" s="14"/>
      <c r="BE625" s="14"/>
      <c r="BF625" s="14"/>
      <c r="BG625" s="14"/>
    </row>
    <row r="626" spans="2:59" s="15" customFormat="1" ht="14.25" x14ac:dyDescent="0.2">
      <c r="B626" s="27"/>
      <c r="C626" s="27"/>
      <c r="D626" s="27"/>
      <c r="E626" s="27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9"/>
      <c r="AE626" s="29"/>
      <c r="AF626" s="29"/>
      <c r="AG626" s="14"/>
      <c r="AH626" s="14"/>
      <c r="AI626" s="14"/>
      <c r="AJ626" s="14"/>
      <c r="AK626" s="14"/>
      <c r="AL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18"/>
      <c r="AX626" s="118"/>
      <c r="AY626" s="118"/>
      <c r="AZ626" s="14"/>
      <c r="BA626" s="14"/>
      <c r="BB626" s="14"/>
      <c r="BC626" s="14"/>
      <c r="BD626" s="14"/>
      <c r="BE626" s="14"/>
      <c r="BF626" s="14"/>
      <c r="BG626" s="14"/>
    </row>
    <row r="627" spans="2:59" s="15" customFormat="1" ht="14.25" x14ac:dyDescent="0.2">
      <c r="B627" s="27"/>
      <c r="C627" s="27"/>
      <c r="D627" s="27"/>
      <c r="E627" s="27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9"/>
      <c r="AE627" s="29"/>
      <c r="AF627" s="29"/>
      <c r="AG627" s="14"/>
      <c r="AH627" s="14"/>
      <c r="AI627" s="14"/>
      <c r="AJ627" s="14"/>
      <c r="AK627" s="14"/>
      <c r="AL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18"/>
      <c r="AX627" s="118"/>
      <c r="AY627" s="118"/>
      <c r="AZ627" s="14"/>
      <c r="BA627" s="14"/>
      <c r="BB627" s="14"/>
      <c r="BC627" s="14"/>
      <c r="BD627" s="14"/>
      <c r="BE627" s="14"/>
      <c r="BF627" s="14"/>
      <c r="BG627" s="14"/>
    </row>
    <row r="628" spans="2:59" s="15" customFormat="1" ht="14.25" x14ac:dyDescent="0.2">
      <c r="B628" s="27"/>
      <c r="C628" s="27"/>
      <c r="D628" s="27"/>
      <c r="E628" s="27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9"/>
      <c r="AE628" s="29"/>
      <c r="AF628" s="29"/>
      <c r="AG628" s="14"/>
      <c r="AH628" s="14"/>
      <c r="AI628" s="14"/>
      <c r="AJ628" s="14"/>
      <c r="AK628" s="14"/>
      <c r="AL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18"/>
      <c r="AX628" s="118"/>
      <c r="AY628" s="118"/>
      <c r="AZ628" s="14"/>
      <c r="BA628" s="14"/>
      <c r="BB628" s="14"/>
      <c r="BC628" s="14"/>
      <c r="BD628" s="14"/>
      <c r="BE628" s="14"/>
      <c r="BF628" s="14"/>
      <c r="BG628" s="14"/>
    </row>
    <row r="629" spans="2:59" s="15" customFormat="1" ht="14.25" x14ac:dyDescent="0.2">
      <c r="B629" s="27"/>
      <c r="C629" s="27"/>
      <c r="D629" s="27"/>
      <c r="E629" s="27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9"/>
      <c r="AE629" s="29"/>
      <c r="AF629" s="29"/>
      <c r="AG629" s="14"/>
      <c r="AH629" s="14"/>
      <c r="AI629" s="14"/>
      <c r="AJ629" s="14"/>
      <c r="AK629" s="14"/>
      <c r="AL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18"/>
      <c r="AX629" s="118"/>
      <c r="AY629" s="118"/>
      <c r="AZ629" s="14"/>
      <c r="BA629" s="14"/>
      <c r="BB629" s="14"/>
      <c r="BC629" s="14"/>
      <c r="BD629" s="14"/>
      <c r="BE629" s="14"/>
      <c r="BF629" s="14"/>
      <c r="BG629" s="14"/>
    </row>
    <row r="630" spans="2:59" s="15" customFormat="1" ht="14.25" x14ac:dyDescent="0.2">
      <c r="B630" s="27"/>
      <c r="C630" s="27"/>
      <c r="D630" s="27"/>
      <c r="E630" s="27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9"/>
      <c r="AE630" s="29"/>
      <c r="AF630" s="29"/>
      <c r="AG630" s="14"/>
      <c r="AH630" s="14"/>
      <c r="AI630" s="14"/>
      <c r="AJ630" s="14"/>
      <c r="AK630" s="14"/>
      <c r="AL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18"/>
      <c r="AX630" s="118"/>
      <c r="AY630" s="118"/>
      <c r="AZ630" s="14"/>
      <c r="BA630" s="14"/>
      <c r="BB630" s="14"/>
      <c r="BC630" s="14"/>
      <c r="BD630" s="14"/>
      <c r="BE630" s="14"/>
      <c r="BF630" s="14"/>
      <c r="BG630" s="14"/>
    </row>
    <row r="631" spans="2:59" s="15" customFormat="1" ht="14.25" x14ac:dyDescent="0.2">
      <c r="B631" s="27"/>
      <c r="C631" s="27"/>
      <c r="D631" s="27"/>
      <c r="E631" s="27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9"/>
      <c r="AE631" s="29"/>
      <c r="AF631" s="29"/>
      <c r="AG631" s="14"/>
      <c r="AH631" s="14"/>
      <c r="AI631" s="14"/>
      <c r="AJ631" s="14"/>
      <c r="AK631" s="14"/>
      <c r="AL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18"/>
      <c r="AX631" s="118"/>
      <c r="AY631" s="118"/>
      <c r="AZ631" s="14"/>
      <c r="BA631" s="14"/>
      <c r="BB631" s="14"/>
      <c r="BC631" s="14"/>
      <c r="BD631" s="14"/>
      <c r="BE631" s="14"/>
      <c r="BF631" s="14"/>
      <c r="BG631" s="14"/>
    </row>
    <row r="632" spans="2:59" s="15" customFormat="1" ht="14.25" x14ac:dyDescent="0.2">
      <c r="B632" s="27"/>
      <c r="C632" s="27"/>
      <c r="D632" s="27"/>
      <c r="E632" s="27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9"/>
      <c r="AE632" s="29"/>
      <c r="AF632" s="29"/>
      <c r="AG632" s="14"/>
      <c r="AH632" s="14"/>
      <c r="AI632" s="14"/>
      <c r="AJ632" s="14"/>
      <c r="AK632" s="14"/>
      <c r="AL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18"/>
      <c r="AX632" s="118"/>
      <c r="AY632" s="118"/>
      <c r="AZ632" s="14"/>
      <c r="BA632" s="14"/>
      <c r="BB632" s="14"/>
      <c r="BC632" s="14"/>
      <c r="BD632" s="14"/>
      <c r="BE632" s="14"/>
      <c r="BF632" s="14"/>
      <c r="BG632" s="14"/>
    </row>
    <row r="633" spans="2:59" s="15" customFormat="1" ht="14.25" x14ac:dyDescent="0.2">
      <c r="B633" s="27"/>
      <c r="C633" s="27"/>
      <c r="D633" s="27"/>
      <c r="E633" s="27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9"/>
      <c r="AE633" s="29"/>
      <c r="AF633" s="29"/>
      <c r="AG633" s="14"/>
      <c r="AH633" s="14"/>
      <c r="AI633" s="14"/>
      <c r="AJ633" s="14"/>
      <c r="AK633" s="14"/>
      <c r="AL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18"/>
      <c r="AX633" s="118"/>
      <c r="AY633" s="118"/>
      <c r="AZ633" s="14"/>
      <c r="BA633" s="14"/>
      <c r="BB633" s="14"/>
      <c r="BC633" s="14"/>
      <c r="BD633" s="14"/>
      <c r="BE633" s="14"/>
      <c r="BF633" s="14"/>
      <c r="BG633" s="14"/>
    </row>
    <row r="634" spans="2:59" s="15" customFormat="1" ht="14.25" x14ac:dyDescent="0.2">
      <c r="B634" s="27"/>
      <c r="C634" s="27"/>
      <c r="D634" s="27"/>
      <c r="E634" s="27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9"/>
      <c r="AE634" s="29"/>
      <c r="AF634" s="29"/>
      <c r="AG634" s="14"/>
      <c r="AH634" s="14"/>
      <c r="AI634" s="14"/>
      <c r="AJ634" s="14"/>
      <c r="AK634" s="14"/>
      <c r="AL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18"/>
      <c r="AX634" s="118"/>
      <c r="AY634" s="118"/>
      <c r="AZ634" s="14"/>
      <c r="BA634" s="14"/>
      <c r="BB634" s="14"/>
      <c r="BC634" s="14"/>
      <c r="BD634" s="14"/>
      <c r="BE634" s="14"/>
      <c r="BF634" s="14"/>
      <c r="BG634" s="14"/>
    </row>
    <row r="635" spans="2:59" s="15" customFormat="1" ht="14.25" x14ac:dyDescent="0.2">
      <c r="B635" s="27"/>
      <c r="C635" s="27"/>
      <c r="D635" s="27"/>
      <c r="E635" s="27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9"/>
      <c r="AE635" s="29"/>
      <c r="AF635" s="29"/>
      <c r="AG635" s="14"/>
      <c r="AH635" s="14"/>
      <c r="AI635" s="14"/>
      <c r="AJ635" s="14"/>
      <c r="AK635" s="14"/>
      <c r="AL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18"/>
      <c r="AX635" s="118"/>
      <c r="AY635" s="118"/>
      <c r="AZ635" s="14"/>
      <c r="BA635" s="14"/>
      <c r="BB635" s="14"/>
      <c r="BC635" s="14"/>
      <c r="BD635" s="14"/>
      <c r="BE635" s="14"/>
      <c r="BF635" s="14"/>
      <c r="BG635" s="14"/>
    </row>
    <row r="636" spans="2:59" s="15" customFormat="1" ht="14.25" x14ac:dyDescent="0.2">
      <c r="B636" s="27"/>
      <c r="C636" s="27"/>
      <c r="D636" s="27"/>
      <c r="E636" s="27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9"/>
      <c r="AE636" s="29"/>
      <c r="AF636" s="29"/>
      <c r="AG636" s="14"/>
      <c r="AH636" s="14"/>
      <c r="AI636" s="14"/>
      <c r="AJ636" s="14"/>
      <c r="AK636" s="14"/>
      <c r="AL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18"/>
      <c r="AX636" s="118"/>
      <c r="AY636" s="118"/>
      <c r="AZ636" s="14"/>
      <c r="BA636" s="14"/>
      <c r="BB636" s="14"/>
      <c r="BC636" s="14"/>
      <c r="BD636" s="14"/>
      <c r="BE636" s="14"/>
      <c r="BF636" s="14"/>
      <c r="BG636" s="14"/>
    </row>
    <row r="637" spans="2:59" s="15" customFormat="1" ht="14.25" x14ac:dyDescent="0.2">
      <c r="B637" s="27"/>
      <c r="C637" s="27"/>
      <c r="D637" s="27"/>
      <c r="E637" s="27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9"/>
      <c r="AE637" s="29"/>
      <c r="AF637" s="29"/>
      <c r="AG637" s="14"/>
      <c r="AH637" s="14"/>
      <c r="AI637" s="14"/>
      <c r="AJ637" s="14"/>
      <c r="AK637" s="14"/>
      <c r="AL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18"/>
      <c r="AX637" s="118"/>
      <c r="AY637" s="118"/>
      <c r="AZ637" s="14"/>
      <c r="BA637" s="14"/>
      <c r="BB637" s="14"/>
      <c r="BC637" s="14"/>
      <c r="BD637" s="14"/>
      <c r="BE637" s="14"/>
      <c r="BF637" s="14"/>
      <c r="BG637" s="14"/>
    </row>
    <row r="638" spans="2:59" s="15" customFormat="1" ht="14.25" x14ac:dyDescent="0.2">
      <c r="B638" s="27"/>
      <c r="C638" s="27"/>
      <c r="D638" s="27"/>
      <c r="E638" s="27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9"/>
      <c r="AE638" s="29"/>
      <c r="AF638" s="29"/>
      <c r="AG638" s="14"/>
      <c r="AH638" s="14"/>
      <c r="AI638" s="14"/>
      <c r="AJ638" s="14"/>
      <c r="AK638" s="14"/>
      <c r="AL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18"/>
      <c r="AX638" s="118"/>
      <c r="AY638" s="118"/>
      <c r="AZ638" s="14"/>
      <c r="BA638" s="14"/>
      <c r="BB638" s="14"/>
      <c r="BC638" s="14"/>
      <c r="BD638" s="14"/>
      <c r="BE638" s="14"/>
      <c r="BF638" s="14"/>
      <c r="BG638" s="14"/>
    </row>
    <row r="639" spans="2:59" s="15" customFormat="1" ht="14.25" x14ac:dyDescent="0.2">
      <c r="B639" s="27"/>
      <c r="C639" s="27"/>
      <c r="D639" s="27"/>
      <c r="E639" s="27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9"/>
      <c r="AE639" s="29"/>
      <c r="AF639" s="29"/>
      <c r="AG639" s="14"/>
      <c r="AH639" s="14"/>
      <c r="AI639" s="14"/>
      <c r="AJ639" s="14"/>
      <c r="AK639" s="14"/>
      <c r="AL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18"/>
      <c r="AX639" s="118"/>
      <c r="AY639" s="118"/>
      <c r="AZ639" s="14"/>
      <c r="BA639" s="14"/>
      <c r="BB639" s="14"/>
      <c r="BC639" s="14"/>
      <c r="BD639" s="14"/>
      <c r="BE639" s="14"/>
      <c r="BF639" s="14"/>
      <c r="BG639" s="14"/>
    </row>
    <row r="640" spans="2:59" s="15" customFormat="1" ht="14.25" x14ac:dyDescent="0.2">
      <c r="B640" s="27"/>
      <c r="C640" s="27"/>
      <c r="D640" s="27"/>
      <c r="E640" s="27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9"/>
      <c r="AE640" s="29"/>
      <c r="AF640" s="29"/>
      <c r="AG640" s="14"/>
      <c r="AH640" s="14"/>
      <c r="AI640" s="14"/>
      <c r="AJ640" s="14"/>
      <c r="AK640" s="14"/>
      <c r="AL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18"/>
      <c r="AX640" s="118"/>
      <c r="AY640" s="118"/>
      <c r="AZ640" s="14"/>
      <c r="BA640" s="14"/>
      <c r="BB640" s="14"/>
      <c r="BC640" s="14"/>
      <c r="BD640" s="14"/>
      <c r="BE640" s="14"/>
      <c r="BF640" s="14"/>
      <c r="BG640" s="14"/>
    </row>
    <row r="641" spans="2:59" s="15" customFormat="1" ht="14.25" x14ac:dyDescent="0.2">
      <c r="B641" s="27"/>
      <c r="C641" s="27"/>
      <c r="D641" s="27"/>
      <c r="E641" s="27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9"/>
      <c r="AE641" s="29"/>
      <c r="AF641" s="29"/>
      <c r="AG641" s="14"/>
      <c r="AH641" s="14"/>
      <c r="AI641" s="14"/>
      <c r="AJ641" s="14"/>
      <c r="AK641" s="14"/>
      <c r="AL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18"/>
      <c r="AX641" s="118"/>
      <c r="AY641" s="118"/>
      <c r="AZ641" s="14"/>
      <c r="BA641" s="14"/>
      <c r="BB641" s="14"/>
      <c r="BC641" s="14"/>
      <c r="BD641" s="14"/>
      <c r="BE641" s="14"/>
      <c r="BF641" s="14"/>
      <c r="BG641" s="14"/>
    </row>
    <row r="642" spans="2:59" s="15" customFormat="1" ht="14.25" x14ac:dyDescent="0.2">
      <c r="B642" s="27"/>
      <c r="C642" s="27"/>
      <c r="D642" s="27"/>
      <c r="E642" s="27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9"/>
      <c r="AE642" s="29"/>
      <c r="AF642" s="29"/>
      <c r="AG642" s="14"/>
      <c r="AH642" s="14"/>
      <c r="AI642" s="14"/>
      <c r="AJ642" s="14"/>
      <c r="AK642" s="14"/>
      <c r="AL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18"/>
      <c r="AX642" s="118"/>
      <c r="AY642" s="118"/>
      <c r="AZ642" s="14"/>
      <c r="BA642" s="14"/>
      <c r="BB642" s="14"/>
      <c r="BC642" s="14"/>
      <c r="BD642" s="14"/>
      <c r="BE642" s="14"/>
      <c r="BF642" s="14"/>
      <c r="BG642" s="14"/>
    </row>
    <row r="643" spans="2:59" s="15" customFormat="1" ht="14.25" x14ac:dyDescent="0.2">
      <c r="B643" s="27"/>
      <c r="C643" s="27"/>
      <c r="D643" s="27"/>
      <c r="E643" s="27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9"/>
      <c r="AE643" s="29"/>
      <c r="AF643" s="29"/>
      <c r="AG643" s="14"/>
      <c r="AH643" s="14"/>
      <c r="AI643" s="14"/>
      <c r="AJ643" s="14"/>
      <c r="AK643" s="14"/>
      <c r="AL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18"/>
      <c r="AX643" s="118"/>
      <c r="AY643" s="118"/>
      <c r="AZ643" s="14"/>
      <c r="BA643" s="14"/>
      <c r="BB643" s="14"/>
      <c r="BC643" s="14"/>
      <c r="BD643" s="14"/>
      <c r="BE643" s="14"/>
      <c r="BF643" s="14"/>
      <c r="BG643" s="14"/>
    </row>
    <row r="644" spans="2:59" s="15" customFormat="1" ht="14.25" x14ac:dyDescent="0.2">
      <c r="B644" s="27"/>
      <c r="C644" s="27"/>
      <c r="D644" s="27"/>
      <c r="E644" s="27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9"/>
      <c r="AE644" s="29"/>
      <c r="AF644" s="29"/>
      <c r="AG644" s="14"/>
      <c r="AH644" s="14"/>
      <c r="AI644" s="14"/>
      <c r="AJ644" s="14"/>
      <c r="AK644" s="14"/>
      <c r="AL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18"/>
      <c r="AX644" s="118"/>
      <c r="AY644" s="118"/>
      <c r="AZ644" s="14"/>
      <c r="BA644" s="14"/>
      <c r="BB644" s="14"/>
      <c r="BC644" s="14"/>
      <c r="BD644" s="14"/>
      <c r="BE644" s="14"/>
      <c r="BF644" s="14"/>
      <c r="BG644" s="14"/>
    </row>
    <row r="645" spans="2:59" s="15" customFormat="1" ht="14.25" x14ac:dyDescent="0.2">
      <c r="B645" s="27"/>
      <c r="C645" s="27"/>
      <c r="D645" s="27"/>
      <c r="E645" s="27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9"/>
      <c r="AE645" s="29"/>
      <c r="AF645" s="29"/>
      <c r="AG645" s="14"/>
      <c r="AH645" s="14"/>
      <c r="AI645" s="14"/>
      <c r="AJ645" s="14"/>
      <c r="AK645" s="14"/>
      <c r="AL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18"/>
      <c r="AX645" s="118"/>
      <c r="AY645" s="118"/>
      <c r="AZ645" s="14"/>
      <c r="BA645" s="14"/>
      <c r="BB645" s="14"/>
      <c r="BC645" s="14"/>
      <c r="BD645" s="14"/>
      <c r="BE645" s="14"/>
      <c r="BF645" s="14"/>
      <c r="BG645" s="14"/>
    </row>
    <row r="646" spans="2:59" s="15" customFormat="1" ht="14.25" x14ac:dyDescent="0.2">
      <c r="B646" s="27"/>
      <c r="C646" s="27"/>
      <c r="D646" s="27"/>
      <c r="E646" s="27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9"/>
      <c r="AE646" s="29"/>
      <c r="AF646" s="29"/>
      <c r="AG646" s="14"/>
      <c r="AH646" s="14"/>
      <c r="AI646" s="14"/>
      <c r="AJ646" s="14"/>
      <c r="AK646" s="14"/>
      <c r="AL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18"/>
      <c r="AX646" s="118"/>
      <c r="AY646" s="118"/>
      <c r="AZ646" s="14"/>
      <c r="BA646" s="14"/>
      <c r="BB646" s="14"/>
      <c r="BC646" s="14"/>
      <c r="BD646" s="14"/>
      <c r="BE646" s="14"/>
      <c r="BF646" s="14"/>
      <c r="BG646" s="14"/>
    </row>
    <row r="647" spans="2:59" s="15" customFormat="1" ht="14.25" x14ac:dyDescent="0.2">
      <c r="B647" s="27"/>
      <c r="C647" s="27"/>
      <c r="D647" s="27"/>
      <c r="E647" s="27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9"/>
      <c r="AE647" s="29"/>
      <c r="AF647" s="29"/>
      <c r="AG647" s="14"/>
      <c r="AH647" s="14"/>
      <c r="AI647" s="14"/>
      <c r="AJ647" s="14"/>
      <c r="AK647" s="14"/>
      <c r="AL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18"/>
      <c r="AX647" s="118"/>
      <c r="AY647" s="118"/>
      <c r="AZ647" s="14"/>
      <c r="BA647" s="14"/>
      <c r="BB647" s="14"/>
      <c r="BC647" s="14"/>
      <c r="BD647" s="14"/>
      <c r="BE647" s="14"/>
      <c r="BF647" s="14"/>
      <c r="BG647" s="14"/>
    </row>
    <row r="648" spans="2:59" s="15" customFormat="1" ht="14.25" x14ac:dyDescent="0.2">
      <c r="B648" s="27"/>
      <c r="C648" s="27"/>
      <c r="D648" s="27"/>
      <c r="E648" s="27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9"/>
      <c r="AE648" s="29"/>
      <c r="AF648" s="29"/>
      <c r="AG648" s="14"/>
      <c r="AH648" s="14"/>
      <c r="AI648" s="14"/>
      <c r="AJ648" s="14"/>
      <c r="AK648" s="14"/>
      <c r="AL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18"/>
      <c r="AX648" s="118"/>
      <c r="AY648" s="118"/>
      <c r="AZ648" s="14"/>
      <c r="BA648" s="14"/>
      <c r="BB648" s="14"/>
      <c r="BC648" s="14"/>
      <c r="BD648" s="14"/>
      <c r="BE648" s="14"/>
      <c r="BF648" s="14"/>
      <c r="BG648" s="14"/>
    </row>
    <row r="649" spans="2:59" s="15" customFormat="1" ht="14.25" x14ac:dyDescent="0.2">
      <c r="B649" s="27"/>
      <c r="C649" s="27"/>
      <c r="D649" s="27"/>
      <c r="E649" s="27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9"/>
      <c r="AE649" s="29"/>
      <c r="AF649" s="29"/>
      <c r="AG649" s="14"/>
      <c r="AH649" s="14"/>
      <c r="AI649" s="14"/>
      <c r="AJ649" s="14"/>
      <c r="AK649" s="14"/>
      <c r="AL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18"/>
      <c r="AX649" s="118"/>
      <c r="AY649" s="118"/>
      <c r="AZ649" s="14"/>
      <c r="BA649" s="14"/>
      <c r="BB649" s="14"/>
      <c r="BC649" s="14"/>
      <c r="BD649" s="14"/>
      <c r="BE649" s="14"/>
      <c r="BF649" s="14"/>
      <c r="BG649" s="14"/>
    </row>
    <row r="650" spans="2:59" s="15" customFormat="1" ht="14.25" x14ac:dyDescent="0.2">
      <c r="B650" s="27"/>
      <c r="C650" s="27"/>
      <c r="D650" s="27"/>
      <c r="E650" s="27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9"/>
      <c r="AE650" s="29"/>
      <c r="AF650" s="29"/>
      <c r="AG650" s="14"/>
      <c r="AH650" s="14"/>
      <c r="AI650" s="14"/>
      <c r="AJ650" s="14"/>
      <c r="AK650" s="14"/>
      <c r="AL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18"/>
      <c r="AX650" s="118"/>
      <c r="AY650" s="118"/>
      <c r="AZ650" s="14"/>
      <c r="BA650" s="14"/>
      <c r="BB650" s="14"/>
      <c r="BC650" s="14"/>
      <c r="BD650" s="14"/>
      <c r="BE650" s="14"/>
      <c r="BF650" s="14"/>
      <c r="BG650" s="14"/>
    </row>
    <row r="651" spans="2:59" s="15" customFormat="1" ht="14.25" x14ac:dyDescent="0.2">
      <c r="B651" s="27"/>
      <c r="C651" s="27"/>
      <c r="D651" s="27"/>
      <c r="E651" s="27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9"/>
      <c r="AE651" s="29"/>
      <c r="AF651" s="29"/>
      <c r="AG651" s="14"/>
      <c r="AH651" s="14"/>
      <c r="AI651" s="14"/>
      <c r="AJ651" s="14"/>
      <c r="AK651" s="14"/>
      <c r="AL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18"/>
      <c r="AX651" s="118"/>
      <c r="AY651" s="118"/>
      <c r="AZ651" s="14"/>
      <c r="BA651" s="14"/>
      <c r="BB651" s="14"/>
      <c r="BC651" s="14"/>
      <c r="BD651" s="14"/>
      <c r="BE651" s="14"/>
      <c r="BF651" s="14"/>
      <c r="BG651" s="14"/>
    </row>
    <row r="652" spans="2:59" s="15" customFormat="1" ht="14.25" x14ac:dyDescent="0.2">
      <c r="B652" s="27"/>
      <c r="C652" s="27"/>
      <c r="D652" s="27"/>
      <c r="E652" s="27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9"/>
      <c r="AE652" s="29"/>
      <c r="AF652" s="29"/>
      <c r="AG652" s="14"/>
      <c r="AH652" s="14"/>
      <c r="AI652" s="14"/>
      <c r="AJ652" s="14"/>
      <c r="AK652" s="14"/>
      <c r="AL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18"/>
      <c r="AX652" s="118"/>
      <c r="AY652" s="118"/>
      <c r="AZ652" s="14"/>
      <c r="BA652" s="14"/>
      <c r="BB652" s="14"/>
      <c r="BC652" s="14"/>
      <c r="BD652" s="14"/>
      <c r="BE652" s="14"/>
      <c r="BF652" s="14"/>
      <c r="BG652" s="14"/>
    </row>
    <row r="653" spans="2:59" s="15" customFormat="1" ht="14.25" x14ac:dyDescent="0.2">
      <c r="B653" s="27"/>
      <c r="C653" s="27"/>
      <c r="D653" s="27"/>
      <c r="E653" s="27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9"/>
      <c r="AE653" s="29"/>
      <c r="AF653" s="29"/>
      <c r="AG653" s="14"/>
      <c r="AH653" s="14"/>
      <c r="AI653" s="14"/>
      <c r="AJ653" s="14"/>
      <c r="AK653" s="14"/>
      <c r="AL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18"/>
      <c r="AX653" s="118"/>
      <c r="AY653" s="118"/>
      <c r="AZ653" s="14"/>
      <c r="BA653" s="14"/>
      <c r="BB653" s="14"/>
      <c r="BC653" s="14"/>
      <c r="BD653" s="14"/>
      <c r="BE653" s="14"/>
      <c r="BF653" s="14"/>
      <c r="BG653" s="14"/>
    </row>
    <row r="654" spans="2:59" s="15" customFormat="1" ht="14.25" x14ac:dyDescent="0.2">
      <c r="B654" s="27"/>
      <c r="C654" s="27"/>
      <c r="D654" s="27"/>
      <c r="E654" s="27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9"/>
      <c r="AE654" s="29"/>
      <c r="AF654" s="29"/>
      <c r="AG654" s="14"/>
      <c r="AH654" s="14"/>
      <c r="AI654" s="14"/>
      <c r="AJ654" s="14"/>
      <c r="AK654" s="14"/>
      <c r="AL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18"/>
      <c r="AX654" s="118"/>
      <c r="AY654" s="118"/>
      <c r="AZ654" s="14"/>
      <c r="BA654" s="14"/>
      <c r="BB654" s="14"/>
      <c r="BC654" s="14"/>
      <c r="BD654" s="14"/>
      <c r="BE654" s="14"/>
      <c r="BF654" s="14"/>
      <c r="BG654" s="14"/>
    </row>
    <row r="655" spans="2:59" s="15" customFormat="1" ht="14.25" x14ac:dyDescent="0.2">
      <c r="B655" s="27"/>
      <c r="C655" s="27"/>
      <c r="D655" s="27"/>
      <c r="E655" s="27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9"/>
      <c r="AE655" s="29"/>
      <c r="AF655" s="29"/>
      <c r="AG655" s="14"/>
      <c r="AH655" s="14"/>
      <c r="AI655" s="14"/>
      <c r="AJ655" s="14"/>
      <c r="AK655" s="14"/>
      <c r="AL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18"/>
      <c r="AX655" s="118"/>
      <c r="AY655" s="118"/>
      <c r="AZ655" s="14"/>
      <c r="BA655" s="14"/>
      <c r="BB655" s="14"/>
      <c r="BC655" s="14"/>
      <c r="BD655" s="14"/>
      <c r="BE655" s="14"/>
      <c r="BF655" s="14"/>
      <c r="BG655" s="14"/>
    </row>
    <row r="656" spans="2:59" s="15" customFormat="1" ht="14.25" x14ac:dyDescent="0.2">
      <c r="B656" s="27"/>
      <c r="C656" s="27"/>
      <c r="D656" s="27"/>
      <c r="E656" s="27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9"/>
      <c r="AE656" s="29"/>
      <c r="AF656" s="29"/>
      <c r="AG656" s="14"/>
      <c r="AH656" s="14"/>
      <c r="AI656" s="14"/>
      <c r="AJ656" s="14"/>
      <c r="AK656" s="14"/>
      <c r="AL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18"/>
      <c r="AX656" s="118"/>
      <c r="AY656" s="118"/>
      <c r="AZ656" s="14"/>
      <c r="BA656" s="14"/>
      <c r="BB656" s="14"/>
      <c r="BC656" s="14"/>
      <c r="BD656" s="14"/>
      <c r="BE656" s="14"/>
      <c r="BF656" s="14"/>
      <c r="BG656" s="14"/>
    </row>
    <row r="657" spans="2:59" s="15" customFormat="1" ht="14.25" x14ac:dyDescent="0.2">
      <c r="B657" s="27"/>
      <c r="C657" s="27"/>
      <c r="D657" s="27"/>
      <c r="E657" s="27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9"/>
      <c r="AE657" s="29"/>
      <c r="AF657" s="29"/>
      <c r="AG657" s="14"/>
      <c r="AH657" s="14"/>
      <c r="AI657" s="14"/>
      <c r="AJ657" s="14"/>
      <c r="AK657" s="14"/>
      <c r="AL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18"/>
      <c r="AX657" s="118"/>
      <c r="AY657" s="118"/>
      <c r="AZ657" s="14"/>
      <c r="BA657" s="14"/>
      <c r="BB657" s="14"/>
      <c r="BC657" s="14"/>
      <c r="BD657" s="14"/>
      <c r="BE657" s="14"/>
      <c r="BF657" s="14"/>
      <c r="BG657" s="14"/>
    </row>
    <row r="658" spans="2:59" s="15" customFormat="1" ht="14.25" x14ac:dyDescent="0.2">
      <c r="B658" s="27"/>
      <c r="C658" s="27"/>
      <c r="D658" s="27"/>
      <c r="E658" s="27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9"/>
      <c r="AE658" s="29"/>
      <c r="AF658" s="29"/>
      <c r="AG658" s="14"/>
      <c r="AH658" s="14"/>
      <c r="AI658" s="14"/>
      <c r="AJ658" s="14"/>
      <c r="AK658" s="14"/>
      <c r="AL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18"/>
      <c r="AX658" s="118"/>
      <c r="AY658" s="118"/>
      <c r="AZ658" s="14"/>
      <c r="BA658" s="14"/>
      <c r="BB658" s="14"/>
      <c r="BC658" s="14"/>
      <c r="BD658" s="14"/>
      <c r="BE658" s="14"/>
      <c r="BF658" s="14"/>
      <c r="BG658" s="14"/>
    </row>
    <row r="659" spans="2:59" s="15" customFormat="1" ht="14.25" x14ac:dyDescent="0.2">
      <c r="B659" s="27"/>
      <c r="C659" s="27"/>
      <c r="D659" s="27"/>
      <c r="E659" s="27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9"/>
      <c r="AE659" s="29"/>
      <c r="AF659" s="29"/>
      <c r="AG659" s="14"/>
      <c r="AH659" s="14"/>
      <c r="AI659" s="14"/>
      <c r="AJ659" s="14"/>
      <c r="AK659" s="14"/>
      <c r="AL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18"/>
      <c r="AX659" s="118"/>
      <c r="AY659" s="118"/>
      <c r="AZ659" s="14"/>
      <c r="BA659" s="14"/>
      <c r="BB659" s="14"/>
      <c r="BC659" s="14"/>
      <c r="BD659" s="14"/>
      <c r="BE659" s="14"/>
      <c r="BF659" s="14"/>
      <c r="BG659" s="14"/>
    </row>
    <row r="660" spans="2:59" s="15" customFormat="1" ht="14.25" x14ac:dyDescent="0.2">
      <c r="B660" s="27"/>
      <c r="C660" s="27"/>
      <c r="D660" s="27"/>
      <c r="E660" s="27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9"/>
      <c r="AE660" s="29"/>
      <c r="AF660" s="29"/>
      <c r="AG660" s="14"/>
      <c r="AH660" s="14"/>
      <c r="AI660" s="14"/>
      <c r="AJ660" s="14"/>
      <c r="AK660" s="14"/>
      <c r="AL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18"/>
      <c r="AX660" s="118"/>
      <c r="AY660" s="118"/>
      <c r="AZ660" s="14"/>
      <c r="BA660" s="14"/>
      <c r="BB660" s="14"/>
      <c r="BC660" s="14"/>
      <c r="BD660" s="14"/>
      <c r="BE660" s="14"/>
      <c r="BF660" s="14"/>
      <c r="BG660" s="14"/>
    </row>
    <row r="661" spans="2:59" s="15" customFormat="1" ht="14.25" x14ac:dyDescent="0.2">
      <c r="B661" s="27"/>
      <c r="C661" s="27"/>
      <c r="D661" s="27"/>
      <c r="E661" s="27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9"/>
      <c r="AE661" s="29"/>
      <c r="AF661" s="29"/>
      <c r="AG661" s="14"/>
      <c r="AH661" s="14"/>
      <c r="AI661" s="14"/>
      <c r="AJ661" s="14"/>
      <c r="AK661" s="14"/>
      <c r="AL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18"/>
      <c r="AX661" s="118"/>
      <c r="AY661" s="118"/>
      <c r="AZ661" s="14"/>
      <c r="BA661" s="14"/>
      <c r="BB661" s="14"/>
      <c r="BC661" s="14"/>
      <c r="BD661" s="14"/>
      <c r="BE661" s="14"/>
      <c r="BF661" s="14"/>
      <c r="BG661" s="14"/>
    </row>
    <row r="662" spans="2:59" s="15" customFormat="1" ht="14.25" x14ac:dyDescent="0.2">
      <c r="B662" s="27"/>
      <c r="C662" s="27"/>
      <c r="D662" s="27"/>
      <c r="E662" s="27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9"/>
      <c r="AE662" s="29"/>
      <c r="AF662" s="29"/>
      <c r="AG662" s="14"/>
      <c r="AH662" s="14"/>
      <c r="AI662" s="14"/>
      <c r="AJ662" s="14"/>
      <c r="AK662" s="14"/>
      <c r="AL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18"/>
      <c r="AX662" s="118"/>
      <c r="AY662" s="118"/>
      <c r="AZ662" s="14"/>
      <c r="BA662" s="14"/>
      <c r="BB662" s="14"/>
      <c r="BC662" s="14"/>
      <c r="BD662" s="14"/>
      <c r="BE662" s="14"/>
      <c r="BF662" s="14"/>
      <c r="BG662" s="14"/>
    </row>
    <row r="663" spans="2:59" s="15" customFormat="1" ht="14.25" x14ac:dyDescent="0.2">
      <c r="B663" s="27"/>
      <c r="C663" s="27"/>
      <c r="D663" s="27"/>
      <c r="E663" s="27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9"/>
      <c r="AE663" s="29"/>
      <c r="AF663" s="29"/>
      <c r="AG663" s="14"/>
      <c r="AH663" s="14"/>
      <c r="AI663" s="14"/>
      <c r="AJ663" s="14"/>
      <c r="AK663" s="14"/>
      <c r="AL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18"/>
      <c r="AX663" s="118"/>
      <c r="AY663" s="118"/>
      <c r="AZ663" s="14"/>
      <c r="BA663" s="14"/>
      <c r="BB663" s="14"/>
      <c r="BC663" s="14"/>
      <c r="BD663" s="14"/>
      <c r="BE663" s="14"/>
      <c r="BF663" s="14"/>
      <c r="BG663" s="14"/>
    </row>
    <row r="664" spans="2:59" s="15" customFormat="1" ht="14.25" x14ac:dyDescent="0.2">
      <c r="B664" s="27"/>
      <c r="C664" s="27"/>
      <c r="D664" s="27"/>
      <c r="E664" s="27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9"/>
      <c r="AE664" s="29"/>
      <c r="AF664" s="29"/>
      <c r="AG664" s="14"/>
      <c r="AH664" s="14"/>
      <c r="AI664" s="14"/>
      <c r="AJ664" s="14"/>
      <c r="AK664" s="14"/>
      <c r="AL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18"/>
      <c r="AX664" s="118"/>
      <c r="AY664" s="118"/>
      <c r="AZ664" s="14"/>
      <c r="BA664" s="14"/>
      <c r="BB664" s="14"/>
      <c r="BC664" s="14"/>
      <c r="BD664" s="14"/>
      <c r="BE664" s="14"/>
      <c r="BF664" s="14"/>
      <c r="BG664" s="14"/>
    </row>
    <row r="665" spans="2:59" s="15" customFormat="1" ht="14.25" x14ac:dyDescent="0.2">
      <c r="B665" s="27"/>
      <c r="C665" s="27"/>
      <c r="D665" s="27"/>
      <c r="E665" s="27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9"/>
      <c r="AE665" s="29"/>
      <c r="AF665" s="29"/>
      <c r="AG665" s="14"/>
      <c r="AH665" s="14"/>
      <c r="AI665" s="14"/>
      <c r="AJ665" s="14"/>
      <c r="AK665" s="14"/>
      <c r="AL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18"/>
      <c r="AX665" s="118"/>
      <c r="AY665" s="118"/>
      <c r="AZ665" s="14"/>
      <c r="BA665" s="14"/>
      <c r="BB665" s="14"/>
      <c r="BC665" s="14"/>
      <c r="BD665" s="14"/>
      <c r="BE665" s="14"/>
      <c r="BF665" s="14"/>
      <c r="BG665" s="14"/>
    </row>
    <row r="666" spans="2:59" s="15" customFormat="1" ht="14.25" x14ac:dyDescent="0.2">
      <c r="B666" s="27"/>
      <c r="C666" s="27"/>
      <c r="D666" s="27"/>
      <c r="E666" s="27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9"/>
      <c r="AE666" s="29"/>
      <c r="AF666" s="29"/>
      <c r="AG666" s="14"/>
      <c r="AH666" s="14"/>
      <c r="AI666" s="14"/>
      <c r="AJ666" s="14"/>
      <c r="AK666" s="14"/>
      <c r="AL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18"/>
      <c r="AX666" s="118"/>
      <c r="AY666" s="118"/>
      <c r="AZ666" s="14"/>
      <c r="BA666" s="14"/>
      <c r="BB666" s="14"/>
      <c r="BC666" s="14"/>
      <c r="BD666" s="14"/>
      <c r="BE666" s="14"/>
      <c r="BF666" s="14"/>
      <c r="BG666" s="14"/>
    </row>
    <row r="667" spans="2:59" s="15" customFormat="1" ht="14.25" x14ac:dyDescent="0.2">
      <c r="B667" s="27"/>
      <c r="C667" s="27"/>
      <c r="D667" s="27"/>
      <c r="E667" s="27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9"/>
      <c r="AE667" s="29"/>
      <c r="AF667" s="29"/>
      <c r="AG667" s="14"/>
      <c r="AH667" s="14"/>
      <c r="AI667" s="14"/>
      <c r="AJ667" s="14"/>
      <c r="AK667" s="14"/>
      <c r="AL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18"/>
      <c r="AX667" s="118"/>
      <c r="AY667" s="118"/>
      <c r="AZ667" s="14"/>
      <c r="BA667" s="14"/>
      <c r="BB667" s="14"/>
      <c r="BC667" s="14"/>
      <c r="BD667" s="14"/>
      <c r="BE667" s="14"/>
      <c r="BF667" s="14"/>
      <c r="BG667" s="14"/>
    </row>
    <row r="668" spans="2:59" s="15" customFormat="1" ht="14.25" x14ac:dyDescent="0.2">
      <c r="B668" s="27"/>
      <c r="C668" s="27"/>
      <c r="D668" s="27"/>
      <c r="E668" s="27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9"/>
      <c r="AE668" s="29"/>
      <c r="AF668" s="29"/>
      <c r="AG668" s="14"/>
      <c r="AH668" s="14"/>
      <c r="AI668" s="14"/>
      <c r="AJ668" s="14"/>
      <c r="AK668" s="14"/>
      <c r="AL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18"/>
      <c r="AX668" s="118"/>
      <c r="AY668" s="118"/>
      <c r="AZ668" s="14"/>
      <c r="BA668" s="14"/>
      <c r="BB668" s="14"/>
      <c r="BC668" s="14"/>
      <c r="BD668" s="14"/>
      <c r="BE668" s="14"/>
      <c r="BF668" s="14"/>
      <c r="BG668" s="14"/>
    </row>
    <row r="669" spans="2:59" s="15" customFormat="1" ht="14.25" x14ac:dyDescent="0.2">
      <c r="B669" s="27"/>
      <c r="C669" s="27"/>
      <c r="D669" s="27"/>
      <c r="E669" s="27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9"/>
      <c r="AE669" s="29"/>
      <c r="AF669" s="29"/>
      <c r="AG669" s="14"/>
      <c r="AH669" s="14"/>
      <c r="AI669" s="14"/>
      <c r="AJ669" s="14"/>
      <c r="AK669" s="14"/>
      <c r="AL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18"/>
      <c r="AX669" s="118"/>
      <c r="AY669" s="118"/>
      <c r="AZ669" s="14"/>
      <c r="BA669" s="14"/>
      <c r="BB669" s="14"/>
      <c r="BC669" s="14"/>
      <c r="BD669" s="14"/>
      <c r="BE669" s="14"/>
      <c r="BF669" s="14"/>
      <c r="BG669" s="14"/>
    </row>
    <row r="670" spans="2:59" s="15" customFormat="1" ht="14.25" x14ac:dyDescent="0.2">
      <c r="B670" s="27"/>
      <c r="C670" s="27"/>
      <c r="D670" s="27"/>
      <c r="E670" s="27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9"/>
      <c r="AE670" s="29"/>
      <c r="AF670" s="29"/>
      <c r="AG670" s="14"/>
      <c r="AH670" s="14"/>
      <c r="AI670" s="14"/>
      <c r="AJ670" s="14"/>
      <c r="AK670" s="14"/>
      <c r="AL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18"/>
      <c r="AX670" s="118"/>
      <c r="AY670" s="118"/>
      <c r="AZ670" s="14"/>
      <c r="BA670" s="14"/>
      <c r="BB670" s="14"/>
      <c r="BC670" s="14"/>
      <c r="BD670" s="14"/>
      <c r="BE670" s="14"/>
      <c r="BF670" s="14"/>
      <c r="BG670" s="14"/>
    </row>
    <row r="671" spans="2:59" s="15" customFormat="1" ht="14.25" x14ac:dyDescent="0.2">
      <c r="B671" s="27"/>
      <c r="C671" s="27"/>
      <c r="D671" s="27"/>
      <c r="E671" s="27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9"/>
      <c r="AE671" s="29"/>
      <c r="AF671" s="29"/>
      <c r="AG671" s="14"/>
      <c r="AH671" s="14"/>
      <c r="AI671" s="14"/>
      <c r="AJ671" s="14"/>
      <c r="AK671" s="14"/>
      <c r="AL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18"/>
      <c r="AX671" s="118"/>
      <c r="AY671" s="118"/>
      <c r="AZ671" s="14"/>
      <c r="BA671" s="14"/>
      <c r="BB671" s="14"/>
      <c r="BC671" s="14"/>
      <c r="BD671" s="14"/>
      <c r="BE671" s="14"/>
      <c r="BF671" s="14"/>
      <c r="BG671" s="14"/>
    </row>
    <row r="672" spans="2:59" s="15" customFormat="1" ht="14.25" x14ac:dyDescent="0.2">
      <c r="B672" s="27"/>
      <c r="C672" s="27"/>
      <c r="D672" s="27"/>
      <c r="E672" s="27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9"/>
      <c r="AE672" s="29"/>
      <c r="AF672" s="29"/>
      <c r="AG672" s="14"/>
      <c r="AH672" s="14"/>
      <c r="AI672" s="14"/>
      <c r="AJ672" s="14"/>
      <c r="AK672" s="14"/>
      <c r="AL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18"/>
      <c r="AX672" s="118"/>
      <c r="AY672" s="118"/>
      <c r="AZ672" s="14"/>
      <c r="BA672" s="14"/>
      <c r="BB672" s="14"/>
      <c r="BC672" s="14"/>
      <c r="BD672" s="14"/>
      <c r="BE672" s="14"/>
      <c r="BF672" s="14"/>
      <c r="BG672" s="14"/>
    </row>
    <row r="673" spans="2:59" s="15" customFormat="1" ht="14.25" x14ac:dyDescent="0.2">
      <c r="B673" s="27"/>
      <c r="C673" s="27"/>
      <c r="D673" s="27"/>
      <c r="E673" s="27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9"/>
      <c r="AE673" s="29"/>
      <c r="AF673" s="29"/>
      <c r="AG673" s="14"/>
      <c r="AH673" s="14"/>
      <c r="AI673" s="14"/>
      <c r="AJ673" s="14"/>
      <c r="AK673" s="14"/>
      <c r="AL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18"/>
      <c r="AX673" s="118"/>
      <c r="AY673" s="118"/>
      <c r="AZ673" s="14"/>
      <c r="BA673" s="14"/>
      <c r="BB673" s="14"/>
      <c r="BC673" s="14"/>
      <c r="BD673" s="14"/>
      <c r="BE673" s="14"/>
      <c r="BF673" s="14"/>
      <c r="BG673" s="14"/>
    </row>
    <row r="674" spans="2:59" s="15" customFormat="1" ht="14.25" x14ac:dyDescent="0.2">
      <c r="B674" s="27"/>
      <c r="C674" s="27"/>
      <c r="D674" s="27"/>
      <c r="E674" s="27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9"/>
      <c r="AE674" s="29"/>
      <c r="AF674" s="29"/>
      <c r="AG674" s="14"/>
      <c r="AH674" s="14"/>
      <c r="AI674" s="14"/>
      <c r="AJ674" s="14"/>
      <c r="AK674" s="14"/>
      <c r="AL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18"/>
      <c r="AX674" s="118"/>
      <c r="AY674" s="118"/>
      <c r="AZ674" s="14"/>
      <c r="BA674" s="14"/>
      <c r="BB674" s="14"/>
      <c r="BC674" s="14"/>
      <c r="BD674" s="14"/>
      <c r="BE674" s="14"/>
      <c r="BF674" s="14"/>
      <c r="BG674" s="14"/>
    </row>
    <row r="675" spans="2:59" s="15" customFormat="1" ht="14.25" x14ac:dyDescent="0.2">
      <c r="B675" s="27"/>
      <c r="C675" s="27"/>
      <c r="D675" s="27"/>
      <c r="E675" s="27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9"/>
      <c r="AE675" s="29"/>
      <c r="AF675" s="29"/>
      <c r="AG675" s="14"/>
      <c r="AH675" s="14"/>
      <c r="AI675" s="14"/>
      <c r="AJ675" s="14"/>
      <c r="AK675" s="14"/>
      <c r="AL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18"/>
      <c r="AX675" s="118"/>
      <c r="AY675" s="118"/>
      <c r="AZ675" s="14"/>
      <c r="BA675" s="14"/>
      <c r="BB675" s="14"/>
      <c r="BC675" s="14"/>
      <c r="BD675" s="14"/>
      <c r="BE675" s="14"/>
      <c r="BF675" s="14"/>
      <c r="BG675" s="14"/>
    </row>
    <row r="676" spans="2:59" s="15" customFormat="1" ht="14.25" x14ac:dyDescent="0.2">
      <c r="B676" s="27"/>
      <c r="C676" s="27"/>
      <c r="D676" s="27"/>
      <c r="E676" s="27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9"/>
      <c r="AE676" s="29"/>
      <c r="AF676" s="29"/>
      <c r="AG676" s="14"/>
      <c r="AH676" s="14"/>
      <c r="AI676" s="14"/>
      <c r="AJ676" s="14"/>
      <c r="AK676" s="14"/>
      <c r="AL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18"/>
      <c r="AX676" s="118"/>
      <c r="AY676" s="118"/>
      <c r="AZ676" s="14"/>
      <c r="BA676" s="14"/>
      <c r="BB676" s="14"/>
      <c r="BC676" s="14"/>
      <c r="BD676" s="14"/>
      <c r="BE676" s="14"/>
      <c r="BF676" s="14"/>
      <c r="BG676" s="14"/>
    </row>
    <row r="677" spans="2:59" s="15" customFormat="1" ht="14.25" x14ac:dyDescent="0.2">
      <c r="B677" s="27"/>
      <c r="C677" s="27"/>
      <c r="D677" s="27"/>
      <c r="E677" s="27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9"/>
      <c r="AE677" s="29"/>
      <c r="AF677" s="29"/>
      <c r="AG677" s="14"/>
      <c r="AH677" s="14"/>
      <c r="AI677" s="14"/>
      <c r="AJ677" s="14"/>
      <c r="AK677" s="14"/>
      <c r="AL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18"/>
      <c r="AX677" s="118"/>
      <c r="AY677" s="118"/>
      <c r="AZ677" s="14"/>
      <c r="BA677" s="14"/>
      <c r="BB677" s="14"/>
      <c r="BC677" s="14"/>
      <c r="BD677" s="14"/>
      <c r="BE677" s="14"/>
      <c r="BF677" s="14"/>
      <c r="BG677" s="14"/>
    </row>
    <row r="678" spans="2:59" s="15" customFormat="1" ht="14.25" x14ac:dyDescent="0.2">
      <c r="B678" s="27"/>
      <c r="C678" s="27"/>
      <c r="D678" s="27"/>
      <c r="E678" s="27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9"/>
      <c r="AE678" s="29"/>
      <c r="AF678" s="29"/>
      <c r="AG678" s="14"/>
      <c r="AH678" s="14"/>
      <c r="AI678" s="14"/>
      <c r="AJ678" s="14"/>
      <c r="AK678" s="14"/>
      <c r="AL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18"/>
      <c r="AX678" s="118"/>
      <c r="AY678" s="118"/>
      <c r="AZ678" s="14"/>
      <c r="BA678" s="14"/>
      <c r="BB678" s="14"/>
      <c r="BC678" s="14"/>
      <c r="BD678" s="14"/>
      <c r="BE678" s="14"/>
      <c r="BF678" s="14"/>
      <c r="BG678" s="14"/>
    </row>
    <row r="679" spans="2:59" s="15" customFormat="1" ht="14.25" x14ac:dyDescent="0.2">
      <c r="B679" s="27"/>
      <c r="C679" s="27"/>
      <c r="D679" s="27"/>
      <c r="E679" s="27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9"/>
      <c r="AE679" s="29"/>
      <c r="AF679" s="29"/>
      <c r="AG679" s="14"/>
      <c r="AH679" s="14"/>
      <c r="AI679" s="14"/>
      <c r="AJ679" s="14"/>
      <c r="AK679" s="14"/>
      <c r="AL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18"/>
      <c r="AX679" s="118"/>
      <c r="AY679" s="118"/>
      <c r="AZ679" s="14"/>
      <c r="BA679" s="14"/>
      <c r="BB679" s="14"/>
      <c r="BC679" s="14"/>
      <c r="BD679" s="14"/>
      <c r="BE679" s="14"/>
      <c r="BF679" s="14"/>
      <c r="BG679" s="14"/>
    </row>
    <row r="680" spans="2:59" s="15" customFormat="1" ht="14.25" x14ac:dyDescent="0.2">
      <c r="B680" s="27"/>
      <c r="C680" s="27"/>
      <c r="D680" s="27"/>
      <c r="E680" s="27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9"/>
      <c r="AE680" s="29"/>
      <c r="AF680" s="29"/>
      <c r="AG680" s="14"/>
      <c r="AH680" s="14"/>
      <c r="AI680" s="14"/>
      <c r="AJ680" s="14"/>
      <c r="AK680" s="14"/>
      <c r="AL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18"/>
      <c r="AX680" s="118"/>
      <c r="AY680" s="118"/>
      <c r="AZ680" s="14"/>
      <c r="BA680" s="14"/>
      <c r="BB680" s="14"/>
      <c r="BC680" s="14"/>
      <c r="BD680" s="14"/>
      <c r="BE680" s="14"/>
      <c r="BF680" s="14"/>
      <c r="BG680" s="14"/>
    </row>
    <row r="681" spans="2:59" s="15" customFormat="1" ht="14.25" x14ac:dyDescent="0.2">
      <c r="B681" s="27"/>
      <c r="C681" s="27"/>
      <c r="D681" s="27"/>
      <c r="E681" s="27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9"/>
      <c r="AE681" s="29"/>
      <c r="AF681" s="29"/>
      <c r="AG681" s="14"/>
      <c r="AH681" s="14"/>
      <c r="AI681" s="14"/>
      <c r="AJ681" s="14"/>
      <c r="AK681" s="14"/>
      <c r="AL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18"/>
      <c r="AX681" s="118"/>
      <c r="AY681" s="118"/>
      <c r="AZ681" s="14"/>
      <c r="BA681" s="14"/>
      <c r="BB681" s="14"/>
      <c r="BC681" s="14"/>
      <c r="BD681" s="14"/>
      <c r="BE681" s="14"/>
      <c r="BF681" s="14"/>
      <c r="BG681" s="14"/>
    </row>
    <row r="682" spans="2:59" s="15" customFormat="1" ht="14.25" x14ac:dyDescent="0.2">
      <c r="B682" s="27"/>
      <c r="C682" s="27"/>
      <c r="D682" s="27"/>
      <c r="E682" s="27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9"/>
      <c r="AE682" s="29"/>
      <c r="AF682" s="29"/>
      <c r="AG682" s="14"/>
      <c r="AH682" s="14"/>
      <c r="AI682" s="14"/>
      <c r="AJ682" s="14"/>
      <c r="AK682" s="14"/>
      <c r="AL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18"/>
      <c r="AX682" s="118"/>
      <c r="AY682" s="118"/>
      <c r="AZ682" s="14"/>
      <c r="BA682" s="14"/>
      <c r="BB682" s="14"/>
      <c r="BC682" s="14"/>
      <c r="BD682" s="14"/>
      <c r="BE682" s="14"/>
      <c r="BF682" s="14"/>
      <c r="BG682" s="14"/>
    </row>
    <row r="683" spans="2:59" s="15" customFormat="1" ht="14.25" x14ac:dyDescent="0.2">
      <c r="B683" s="27"/>
      <c r="C683" s="27"/>
      <c r="D683" s="27"/>
      <c r="E683" s="27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9"/>
      <c r="AE683" s="29"/>
      <c r="AF683" s="29"/>
      <c r="AG683" s="14"/>
      <c r="AH683" s="14"/>
      <c r="AI683" s="14"/>
      <c r="AJ683" s="14"/>
      <c r="AK683" s="14"/>
      <c r="AL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18"/>
      <c r="AX683" s="118"/>
      <c r="AY683" s="118"/>
      <c r="AZ683" s="14"/>
      <c r="BA683" s="14"/>
      <c r="BB683" s="14"/>
      <c r="BC683" s="14"/>
      <c r="BD683" s="14"/>
      <c r="BE683" s="14"/>
      <c r="BF683" s="14"/>
      <c r="BG683" s="14"/>
    </row>
    <row r="684" spans="2:59" s="15" customFormat="1" ht="14.25" x14ac:dyDescent="0.2">
      <c r="B684" s="27"/>
      <c r="C684" s="27"/>
      <c r="D684" s="27"/>
      <c r="E684" s="27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9"/>
      <c r="AE684" s="29"/>
      <c r="AF684" s="29"/>
      <c r="AG684" s="14"/>
      <c r="AH684" s="14"/>
      <c r="AI684" s="14"/>
      <c r="AJ684" s="14"/>
      <c r="AK684" s="14"/>
      <c r="AL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18"/>
      <c r="AX684" s="118"/>
      <c r="AY684" s="118"/>
      <c r="AZ684" s="14"/>
      <c r="BA684" s="14"/>
      <c r="BB684" s="14"/>
      <c r="BC684" s="14"/>
      <c r="BD684" s="14"/>
      <c r="BE684" s="14"/>
      <c r="BF684" s="14"/>
      <c r="BG684" s="14"/>
    </row>
    <row r="685" spans="2:59" s="15" customFormat="1" ht="14.25" x14ac:dyDescent="0.2">
      <c r="B685" s="27"/>
      <c r="C685" s="27"/>
      <c r="D685" s="27"/>
      <c r="E685" s="27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9"/>
      <c r="AE685" s="29"/>
      <c r="AF685" s="29"/>
      <c r="AG685" s="14"/>
      <c r="AH685" s="14"/>
      <c r="AI685" s="14"/>
      <c r="AJ685" s="14"/>
      <c r="AK685" s="14"/>
      <c r="AL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18"/>
      <c r="AX685" s="118"/>
      <c r="AY685" s="118"/>
      <c r="AZ685" s="14"/>
      <c r="BA685" s="14"/>
      <c r="BB685" s="14"/>
      <c r="BC685" s="14"/>
      <c r="BD685" s="14"/>
      <c r="BE685" s="14"/>
      <c r="BF685" s="14"/>
      <c r="BG685" s="14"/>
    </row>
    <row r="686" spans="2:59" s="15" customFormat="1" ht="14.25" x14ac:dyDescent="0.2">
      <c r="B686" s="27"/>
      <c r="C686" s="27"/>
      <c r="D686" s="27"/>
      <c r="E686" s="27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9"/>
      <c r="AE686" s="29"/>
      <c r="AF686" s="29"/>
      <c r="AG686" s="14"/>
      <c r="AH686" s="14"/>
      <c r="AI686" s="14"/>
      <c r="AJ686" s="14"/>
      <c r="AK686" s="14"/>
      <c r="AL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18"/>
      <c r="AX686" s="118"/>
      <c r="AY686" s="118"/>
      <c r="AZ686" s="14"/>
      <c r="BA686" s="14"/>
      <c r="BB686" s="14"/>
      <c r="BC686" s="14"/>
      <c r="BD686" s="14"/>
      <c r="BE686" s="14"/>
      <c r="BF686" s="14"/>
      <c r="BG686" s="14"/>
    </row>
    <row r="687" spans="2:59" s="15" customFormat="1" ht="14.25" x14ac:dyDescent="0.2">
      <c r="B687" s="27"/>
      <c r="C687" s="27"/>
      <c r="D687" s="27"/>
      <c r="E687" s="27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9"/>
      <c r="AE687" s="29"/>
      <c r="AF687" s="29"/>
      <c r="AG687" s="14"/>
      <c r="AH687" s="14"/>
      <c r="AI687" s="14"/>
      <c r="AJ687" s="14"/>
      <c r="AK687" s="14"/>
      <c r="AL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18"/>
      <c r="AX687" s="118"/>
      <c r="AY687" s="118"/>
      <c r="AZ687" s="14"/>
      <c r="BA687" s="14"/>
      <c r="BB687" s="14"/>
      <c r="BC687" s="14"/>
      <c r="BD687" s="14"/>
      <c r="BE687" s="14"/>
      <c r="BF687" s="14"/>
      <c r="BG687" s="14"/>
    </row>
    <row r="688" spans="2:59" s="15" customFormat="1" ht="14.25" x14ac:dyDescent="0.2">
      <c r="B688" s="27"/>
      <c r="C688" s="27"/>
      <c r="D688" s="27"/>
      <c r="E688" s="27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9"/>
      <c r="AE688" s="29"/>
      <c r="AF688" s="29"/>
      <c r="AG688" s="14"/>
      <c r="AH688" s="14"/>
      <c r="AI688" s="14"/>
      <c r="AJ688" s="14"/>
      <c r="AK688" s="14"/>
      <c r="AL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18"/>
      <c r="AX688" s="118"/>
      <c r="AY688" s="118"/>
      <c r="AZ688" s="14"/>
      <c r="BA688" s="14"/>
      <c r="BB688" s="14"/>
      <c r="BC688" s="14"/>
      <c r="BD688" s="14"/>
      <c r="BE688" s="14"/>
      <c r="BF688" s="14"/>
      <c r="BG688" s="14"/>
    </row>
    <row r="689" spans="2:59" s="15" customFormat="1" ht="14.25" x14ac:dyDescent="0.2">
      <c r="B689" s="27"/>
      <c r="C689" s="27"/>
      <c r="D689" s="27"/>
      <c r="E689" s="27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9"/>
      <c r="AE689" s="29"/>
      <c r="AF689" s="29"/>
      <c r="AG689" s="14"/>
      <c r="AH689" s="14"/>
      <c r="AI689" s="14"/>
      <c r="AJ689" s="14"/>
      <c r="AK689" s="14"/>
      <c r="AL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18"/>
      <c r="AX689" s="118"/>
      <c r="AY689" s="118"/>
      <c r="AZ689" s="14"/>
      <c r="BA689" s="14"/>
      <c r="BB689" s="14"/>
      <c r="BC689" s="14"/>
      <c r="BD689" s="14"/>
      <c r="BE689" s="14"/>
      <c r="BF689" s="14"/>
      <c r="BG689" s="14"/>
    </row>
    <row r="690" spans="2:59" s="15" customFormat="1" ht="14.25" x14ac:dyDescent="0.2">
      <c r="B690" s="27"/>
      <c r="C690" s="27"/>
      <c r="D690" s="27"/>
      <c r="E690" s="27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9"/>
      <c r="AE690" s="29"/>
      <c r="AF690" s="29"/>
      <c r="AG690" s="14"/>
      <c r="AH690" s="14"/>
      <c r="AI690" s="14"/>
      <c r="AJ690" s="14"/>
      <c r="AK690" s="14"/>
      <c r="AL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18"/>
      <c r="AX690" s="118"/>
      <c r="AY690" s="118"/>
      <c r="AZ690" s="14"/>
      <c r="BA690" s="14"/>
      <c r="BB690" s="14"/>
      <c r="BC690" s="14"/>
      <c r="BD690" s="14"/>
      <c r="BE690" s="14"/>
      <c r="BF690" s="14"/>
      <c r="BG690" s="14"/>
    </row>
    <row r="691" spans="2:59" s="15" customFormat="1" ht="14.25" x14ac:dyDescent="0.2">
      <c r="B691" s="27"/>
      <c r="C691" s="27"/>
      <c r="D691" s="27"/>
      <c r="E691" s="27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9"/>
      <c r="AE691" s="29"/>
      <c r="AF691" s="29"/>
      <c r="AG691" s="14"/>
      <c r="AH691" s="14"/>
      <c r="AI691" s="14"/>
      <c r="AJ691" s="14"/>
      <c r="AK691" s="14"/>
      <c r="AL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18"/>
      <c r="AX691" s="118"/>
      <c r="AY691" s="118"/>
      <c r="AZ691" s="14"/>
      <c r="BA691" s="14"/>
      <c r="BB691" s="14"/>
      <c r="BC691" s="14"/>
      <c r="BD691" s="14"/>
      <c r="BE691" s="14"/>
      <c r="BF691" s="14"/>
      <c r="BG691" s="14"/>
    </row>
    <row r="692" spans="2:59" s="15" customFormat="1" ht="14.25" x14ac:dyDescent="0.2">
      <c r="B692" s="27"/>
      <c r="C692" s="27"/>
      <c r="D692" s="27"/>
      <c r="E692" s="27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9"/>
      <c r="AE692" s="29"/>
      <c r="AF692" s="29"/>
      <c r="AG692" s="14"/>
      <c r="AH692" s="14"/>
      <c r="AI692" s="14"/>
      <c r="AJ692" s="14"/>
      <c r="AK692" s="14"/>
      <c r="AL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18"/>
      <c r="AX692" s="118"/>
      <c r="AY692" s="118"/>
      <c r="AZ692" s="14"/>
      <c r="BA692" s="14"/>
      <c r="BB692" s="14"/>
      <c r="BC692" s="14"/>
      <c r="BD692" s="14"/>
      <c r="BE692" s="14"/>
      <c r="BF692" s="14"/>
      <c r="BG692" s="14"/>
    </row>
    <row r="693" spans="2:59" s="15" customFormat="1" ht="14.25" x14ac:dyDescent="0.2">
      <c r="B693" s="27"/>
      <c r="C693" s="27"/>
      <c r="D693" s="27"/>
      <c r="E693" s="27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9"/>
      <c r="AE693" s="29"/>
      <c r="AF693" s="29"/>
      <c r="AG693" s="14"/>
      <c r="AH693" s="14"/>
      <c r="AI693" s="14"/>
      <c r="AJ693" s="14"/>
      <c r="AK693" s="14"/>
      <c r="AL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18"/>
      <c r="AX693" s="118"/>
      <c r="AY693" s="118"/>
      <c r="AZ693" s="14"/>
      <c r="BA693" s="14"/>
      <c r="BB693" s="14"/>
      <c r="BC693" s="14"/>
      <c r="BD693" s="14"/>
      <c r="BE693" s="14"/>
      <c r="BF693" s="14"/>
      <c r="BG693" s="14"/>
    </row>
    <row r="694" spans="2:59" s="15" customFormat="1" ht="14.25" x14ac:dyDescent="0.2">
      <c r="B694" s="27"/>
      <c r="C694" s="27"/>
      <c r="D694" s="27"/>
      <c r="E694" s="27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9"/>
      <c r="AE694" s="29"/>
      <c r="AF694" s="29"/>
      <c r="AG694" s="14"/>
      <c r="AH694" s="14"/>
      <c r="AI694" s="14"/>
      <c r="AJ694" s="14"/>
      <c r="AK694" s="14"/>
      <c r="AL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18"/>
      <c r="AX694" s="118"/>
      <c r="AY694" s="118"/>
      <c r="AZ694" s="14"/>
      <c r="BA694" s="14"/>
      <c r="BB694" s="14"/>
      <c r="BC694" s="14"/>
      <c r="BD694" s="14"/>
      <c r="BE694" s="14"/>
      <c r="BF694" s="14"/>
      <c r="BG694" s="14"/>
    </row>
    <row r="695" spans="2:59" s="15" customFormat="1" ht="14.25" x14ac:dyDescent="0.2">
      <c r="B695" s="27"/>
      <c r="C695" s="27"/>
      <c r="D695" s="27"/>
      <c r="E695" s="27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9"/>
      <c r="AE695" s="29"/>
      <c r="AF695" s="29"/>
      <c r="AG695" s="14"/>
      <c r="AH695" s="14"/>
      <c r="AI695" s="14"/>
      <c r="AJ695" s="14"/>
      <c r="AK695" s="14"/>
      <c r="AL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18"/>
      <c r="AX695" s="118"/>
      <c r="AY695" s="118"/>
      <c r="AZ695" s="14"/>
      <c r="BA695" s="14"/>
      <c r="BB695" s="14"/>
      <c r="BC695" s="14"/>
      <c r="BD695" s="14"/>
      <c r="BE695" s="14"/>
      <c r="BF695" s="14"/>
      <c r="BG695" s="14"/>
    </row>
    <row r="696" spans="2:59" s="15" customFormat="1" ht="14.25" x14ac:dyDescent="0.2">
      <c r="B696" s="27"/>
      <c r="C696" s="27"/>
      <c r="D696" s="27"/>
      <c r="E696" s="27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9"/>
      <c r="AE696" s="29"/>
      <c r="AF696" s="29"/>
      <c r="AG696" s="14"/>
      <c r="AH696" s="14"/>
      <c r="AI696" s="14"/>
      <c r="AJ696" s="14"/>
      <c r="AK696" s="14"/>
      <c r="AL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18"/>
      <c r="AX696" s="118"/>
      <c r="AY696" s="118"/>
      <c r="AZ696" s="14"/>
      <c r="BA696" s="14"/>
      <c r="BB696" s="14"/>
      <c r="BC696" s="14"/>
      <c r="BD696" s="14"/>
      <c r="BE696" s="14"/>
      <c r="BF696" s="14"/>
      <c r="BG696" s="14"/>
    </row>
    <row r="697" spans="2:59" s="15" customFormat="1" ht="14.25" x14ac:dyDescent="0.2">
      <c r="B697" s="27"/>
      <c r="C697" s="27"/>
      <c r="D697" s="27"/>
      <c r="E697" s="27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9"/>
      <c r="AE697" s="29"/>
      <c r="AF697" s="29"/>
      <c r="AG697" s="14"/>
      <c r="AH697" s="14"/>
      <c r="AI697" s="14"/>
      <c r="AJ697" s="14"/>
      <c r="AK697" s="14"/>
      <c r="AL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18"/>
      <c r="AX697" s="118"/>
      <c r="AY697" s="118"/>
      <c r="AZ697" s="14"/>
      <c r="BA697" s="14"/>
      <c r="BB697" s="14"/>
      <c r="BC697" s="14"/>
      <c r="BD697" s="14"/>
      <c r="BE697" s="14"/>
      <c r="BF697" s="14"/>
      <c r="BG697" s="14"/>
    </row>
    <row r="698" spans="2:59" s="15" customFormat="1" ht="14.25" x14ac:dyDescent="0.2">
      <c r="B698" s="27"/>
      <c r="C698" s="27"/>
      <c r="D698" s="27"/>
      <c r="E698" s="27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9"/>
      <c r="AE698" s="29"/>
      <c r="AF698" s="29"/>
      <c r="AG698" s="14"/>
      <c r="AH698" s="14"/>
      <c r="AI698" s="14"/>
      <c r="AJ698" s="14"/>
      <c r="AK698" s="14"/>
      <c r="AL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18"/>
      <c r="AX698" s="118"/>
      <c r="AY698" s="118"/>
      <c r="AZ698" s="14"/>
      <c r="BA698" s="14"/>
      <c r="BB698" s="14"/>
      <c r="BC698" s="14"/>
      <c r="BD698" s="14"/>
      <c r="BE698" s="14"/>
      <c r="BF698" s="14"/>
      <c r="BG698" s="14"/>
    </row>
    <row r="699" spans="2:59" s="15" customFormat="1" ht="14.25" x14ac:dyDescent="0.2">
      <c r="B699" s="27"/>
      <c r="C699" s="27"/>
      <c r="D699" s="27"/>
      <c r="E699" s="27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9"/>
      <c r="AE699" s="29"/>
      <c r="AF699" s="29"/>
      <c r="AG699" s="14"/>
      <c r="AH699" s="14"/>
      <c r="AI699" s="14"/>
      <c r="AJ699" s="14"/>
      <c r="AK699" s="14"/>
      <c r="AL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18"/>
      <c r="AX699" s="118"/>
      <c r="AY699" s="118"/>
      <c r="AZ699" s="14"/>
      <c r="BA699" s="14"/>
      <c r="BB699" s="14"/>
      <c r="BC699" s="14"/>
      <c r="BD699" s="14"/>
      <c r="BE699" s="14"/>
      <c r="BF699" s="14"/>
      <c r="BG699" s="14"/>
    </row>
    <row r="700" spans="2:59" s="15" customFormat="1" ht="14.25" x14ac:dyDescent="0.2">
      <c r="B700" s="27"/>
      <c r="C700" s="27"/>
      <c r="D700" s="27"/>
      <c r="E700" s="27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9"/>
      <c r="AE700" s="29"/>
      <c r="AF700" s="29"/>
      <c r="AG700" s="14"/>
      <c r="AH700" s="14"/>
      <c r="AI700" s="14"/>
      <c r="AJ700" s="14"/>
      <c r="AK700" s="14"/>
      <c r="AL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18"/>
      <c r="AX700" s="118"/>
      <c r="AY700" s="118"/>
      <c r="AZ700" s="14"/>
      <c r="BA700" s="14"/>
      <c r="BB700" s="14"/>
      <c r="BC700" s="14"/>
      <c r="BD700" s="14"/>
      <c r="BE700" s="14"/>
      <c r="BF700" s="14"/>
      <c r="BG700" s="14"/>
    </row>
    <row r="701" spans="2:59" s="15" customFormat="1" ht="14.25" x14ac:dyDescent="0.2">
      <c r="B701" s="27"/>
      <c r="C701" s="27"/>
      <c r="D701" s="27"/>
      <c r="E701" s="27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9"/>
      <c r="AE701" s="29"/>
      <c r="AF701" s="29"/>
      <c r="AG701" s="14"/>
      <c r="AH701" s="14"/>
      <c r="AI701" s="14"/>
      <c r="AJ701" s="14"/>
      <c r="AK701" s="14"/>
      <c r="AL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18"/>
      <c r="AX701" s="118"/>
      <c r="AY701" s="118"/>
      <c r="AZ701" s="14"/>
      <c r="BA701" s="14"/>
      <c r="BB701" s="14"/>
      <c r="BC701" s="14"/>
      <c r="BD701" s="14"/>
      <c r="BE701" s="14"/>
      <c r="BF701" s="14"/>
      <c r="BG701" s="14"/>
    </row>
    <row r="702" spans="2:59" s="15" customFormat="1" ht="14.25" x14ac:dyDescent="0.2">
      <c r="B702" s="27"/>
      <c r="C702" s="27"/>
      <c r="D702" s="27"/>
      <c r="E702" s="27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9"/>
      <c r="AE702" s="29"/>
      <c r="AF702" s="29"/>
      <c r="AG702" s="14"/>
      <c r="AH702" s="14"/>
      <c r="AI702" s="14"/>
      <c r="AJ702" s="14"/>
      <c r="AK702" s="14"/>
      <c r="AL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18"/>
      <c r="AX702" s="118"/>
      <c r="AY702" s="118"/>
      <c r="AZ702" s="14"/>
      <c r="BA702" s="14"/>
      <c r="BB702" s="14"/>
      <c r="BC702" s="14"/>
      <c r="BD702" s="14"/>
      <c r="BE702" s="14"/>
      <c r="BF702" s="14"/>
      <c r="BG702" s="14"/>
    </row>
    <row r="703" spans="2:59" s="15" customFormat="1" ht="14.25" x14ac:dyDescent="0.2">
      <c r="B703" s="27"/>
      <c r="C703" s="27"/>
      <c r="D703" s="27"/>
      <c r="E703" s="27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9"/>
      <c r="AE703" s="29"/>
      <c r="AF703" s="29"/>
      <c r="AG703" s="14"/>
      <c r="AH703" s="14"/>
      <c r="AI703" s="14"/>
      <c r="AJ703" s="14"/>
      <c r="AK703" s="14"/>
      <c r="AL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18"/>
      <c r="AX703" s="118"/>
      <c r="AY703" s="118"/>
      <c r="AZ703" s="14"/>
      <c r="BA703" s="14"/>
      <c r="BB703" s="14"/>
      <c r="BC703" s="14"/>
      <c r="BD703" s="14"/>
      <c r="BE703" s="14"/>
      <c r="BF703" s="14"/>
      <c r="BG703" s="14"/>
    </row>
    <row r="704" spans="2:59" s="15" customFormat="1" ht="14.25" x14ac:dyDescent="0.2">
      <c r="B704" s="27"/>
      <c r="C704" s="27"/>
      <c r="D704" s="27"/>
      <c r="E704" s="27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9"/>
      <c r="AE704" s="29"/>
      <c r="AF704" s="29"/>
      <c r="AG704" s="14"/>
      <c r="AH704" s="14"/>
      <c r="AI704" s="14"/>
      <c r="AJ704" s="14"/>
      <c r="AK704" s="14"/>
      <c r="AL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18"/>
      <c r="AX704" s="118"/>
      <c r="AY704" s="118"/>
      <c r="AZ704" s="14"/>
      <c r="BA704" s="14"/>
      <c r="BB704" s="14"/>
      <c r="BC704" s="14"/>
      <c r="BD704" s="14"/>
      <c r="BE704" s="14"/>
      <c r="BF704" s="14"/>
      <c r="BG704" s="14"/>
    </row>
    <row r="705" spans="2:59" s="15" customFormat="1" ht="14.25" x14ac:dyDescent="0.2">
      <c r="B705" s="27"/>
      <c r="C705" s="27"/>
      <c r="D705" s="27"/>
      <c r="E705" s="27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9"/>
      <c r="AE705" s="29"/>
      <c r="AF705" s="29"/>
      <c r="AG705" s="14"/>
      <c r="AH705" s="14"/>
      <c r="AI705" s="14"/>
      <c r="AJ705" s="14"/>
      <c r="AK705" s="14"/>
      <c r="AL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18"/>
      <c r="AX705" s="118"/>
      <c r="AY705" s="118"/>
      <c r="AZ705" s="14"/>
      <c r="BA705" s="14"/>
      <c r="BB705" s="14"/>
      <c r="BC705" s="14"/>
      <c r="BD705" s="14"/>
      <c r="BE705" s="14"/>
      <c r="BF705" s="14"/>
      <c r="BG705" s="14"/>
    </row>
    <row r="706" spans="2:59" s="15" customFormat="1" ht="14.25" x14ac:dyDescent="0.2">
      <c r="B706" s="27"/>
      <c r="C706" s="27"/>
      <c r="D706" s="27"/>
      <c r="E706" s="27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9"/>
      <c r="AE706" s="29"/>
      <c r="AF706" s="29"/>
      <c r="AG706" s="14"/>
      <c r="AH706" s="14"/>
      <c r="AI706" s="14"/>
      <c r="AJ706" s="14"/>
      <c r="AK706" s="14"/>
      <c r="AL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18"/>
      <c r="AX706" s="118"/>
      <c r="AY706" s="118"/>
      <c r="AZ706" s="14"/>
      <c r="BA706" s="14"/>
      <c r="BB706" s="14"/>
      <c r="BC706" s="14"/>
      <c r="BD706" s="14"/>
      <c r="BE706" s="14"/>
      <c r="BF706" s="14"/>
      <c r="BG706" s="14"/>
    </row>
    <row r="707" spans="2:59" s="15" customFormat="1" ht="14.25" x14ac:dyDescent="0.2">
      <c r="B707" s="27"/>
      <c r="C707" s="27"/>
      <c r="D707" s="27"/>
      <c r="E707" s="27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9"/>
      <c r="AE707" s="29"/>
      <c r="AF707" s="29"/>
      <c r="AG707" s="14"/>
      <c r="AH707" s="14"/>
      <c r="AI707" s="14"/>
      <c r="AJ707" s="14"/>
      <c r="AK707" s="14"/>
      <c r="AL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18"/>
      <c r="AX707" s="118"/>
      <c r="AY707" s="118"/>
      <c r="AZ707" s="14"/>
      <c r="BA707" s="14"/>
      <c r="BB707" s="14"/>
      <c r="BC707" s="14"/>
      <c r="BD707" s="14"/>
      <c r="BE707" s="14"/>
      <c r="BF707" s="14"/>
      <c r="BG707" s="14"/>
    </row>
    <row r="708" spans="2:59" s="15" customFormat="1" ht="14.25" x14ac:dyDescent="0.2">
      <c r="B708" s="27"/>
      <c r="C708" s="27"/>
      <c r="D708" s="27"/>
      <c r="E708" s="27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9"/>
      <c r="AE708" s="29"/>
      <c r="AF708" s="29"/>
      <c r="AG708" s="14"/>
      <c r="AH708" s="14"/>
      <c r="AI708" s="14"/>
      <c r="AJ708" s="14"/>
      <c r="AK708" s="14"/>
      <c r="AL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18"/>
      <c r="AX708" s="118"/>
      <c r="AY708" s="118"/>
      <c r="AZ708" s="14"/>
      <c r="BA708" s="14"/>
      <c r="BB708" s="14"/>
      <c r="BC708" s="14"/>
      <c r="BD708" s="14"/>
      <c r="BE708" s="14"/>
      <c r="BF708" s="14"/>
      <c r="BG708" s="14"/>
    </row>
    <row r="709" spans="2:59" s="15" customFormat="1" ht="14.25" x14ac:dyDescent="0.2">
      <c r="B709" s="27"/>
      <c r="C709" s="27"/>
      <c r="D709" s="27"/>
      <c r="E709" s="27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9"/>
      <c r="AE709" s="29"/>
      <c r="AF709" s="29"/>
      <c r="AG709" s="14"/>
      <c r="AH709" s="14"/>
      <c r="AI709" s="14"/>
      <c r="AJ709" s="14"/>
      <c r="AK709" s="14"/>
      <c r="AL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18"/>
      <c r="AX709" s="118"/>
      <c r="AY709" s="118"/>
      <c r="AZ709" s="14"/>
      <c r="BA709" s="14"/>
      <c r="BB709" s="14"/>
      <c r="BC709" s="14"/>
      <c r="BD709" s="14"/>
      <c r="BE709" s="14"/>
      <c r="BF709" s="14"/>
      <c r="BG709" s="14"/>
    </row>
    <row r="710" spans="2:59" s="15" customFormat="1" ht="14.25" x14ac:dyDescent="0.2">
      <c r="B710" s="27"/>
      <c r="C710" s="27"/>
      <c r="D710" s="27"/>
      <c r="E710" s="27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9"/>
      <c r="AE710" s="29"/>
      <c r="AF710" s="29"/>
      <c r="AG710" s="14"/>
      <c r="AH710" s="14"/>
      <c r="AI710" s="14"/>
      <c r="AJ710" s="14"/>
      <c r="AK710" s="14"/>
      <c r="AL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18"/>
      <c r="AX710" s="118"/>
      <c r="AY710" s="118"/>
      <c r="AZ710" s="14"/>
      <c r="BA710" s="14"/>
      <c r="BB710" s="14"/>
      <c r="BC710" s="14"/>
      <c r="BD710" s="14"/>
      <c r="BE710" s="14"/>
      <c r="BF710" s="14"/>
      <c r="BG710" s="14"/>
    </row>
    <row r="711" spans="2:59" s="15" customFormat="1" ht="14.25" x14ac:dyDescent="0.2">
      <c r="B711" s="27"/>
      <c r="C711" s="27"/>
      <c r="D711" s="27"/>
      <c r="E711" s="27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9"/>
      <c r="AE711" s="29"/>
      <c r="AF711" s="29"/>
      <c r="AG711" s="14"/>
      <c r="AH711" s="14"/>
      <c r="AI711" s="14"/>
      <c r="AJ711" s="14"/>
      <c r="AK711" s="14"/>
      <c r="AL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18"/>
      <c r="AX711" s="118"/>
      <c r="AY711" s="118"/>
      <c r="AZ711" s="14"/>
      <c r="BA711" s="14"/>
      <c r="BB711" s="14"/>
      <c r="BC711" s="14"/>
      <c r="BD711" s="14"/>
      <c r="BE711" s="14"/>
      <c r="BF711" s="14"/>
      <c r="BG711" s="14"/>
    </row>
    <row r="712" spans="2:59" s="15" customFormat="1" ht="14.25" x14ac:dyDescent="0.2">
      <c r="B712" s="27"/>
      <c r="C712" s="27"/>
      <c r="D712" s="27"/>
      <c r="E712" s="27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9"/>
      <c r="AE712" s="29"/>
      <c r="AF712" s="29"/>
      <c r="AG712" s="14"/>
      <c r="AH712" s="14"/>
      <c r="AI712" s="14"/>
      <c r="AJ712" s="14"/>
      <c r="AK712" s="14"/>
      <c r="AL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18"/>
      <c r="AX712" s="118"/>
      <c r="AY712" s="118"/>
      <c r="AZ712" s="14"/>
      <c r="BA712" s="14"/>
      <c r="BB712" s="14"/>
      <c r="BC712" s="14"/>
      <c r="BD712" s="14"/>
      <c r="BE712" s="14"/>
      <c r="BF712" s="14"/>
      <c r="BG712" s="14"/>
    </row>
    <row r="713" spans="2:59" s="15" customFormat="1" ht="14.25" x14ac:dyDescent="0.2">
      <c r="B713" s="27"/>
      <c r="C713" s="27"/>
      <c r="D713" s="27"/>
      <c r="E713" s="27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9"/>
      <c r="AE713" s="29"/>
      <c r="AF713" s="29"/>
      <c r="AG713" s="14"/>
      <c r="AH713" s="14"/>
      <c r="AI713" s="14"/>
      <c r="AJ713" s="14"/>
      <c r="AK713" s="14"/>
      <c r="AL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18"/>
      <c r="AX713" s="118"/>
      <c r="AY713" s="118"/>
      <c r="AZ713" s="14"/>
      <c r="BA713" s="14"/>
      <c r="BB713" s="14"/>
      <c r="BC713" s="14"/>
      <c r="BD713" s="14"/>
      <c r="BE713" s="14"/>
      <c r="BF713" s="14"/>
      <c r="BG713" s="14"/>
    </row>
    <row r="714" spans="2:59" s="15" customFormat="1" ht="14.25" x14ac:dyDescent="0.2">
      <c r="B714" s="27"/>
      <c r="C714" s="27"/>
      <c r="D714" s="27"/>
      <c r="E714" s="27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9"/>
      <c r="AE714" s="29"/>
      <c r="AF714" s="29"/>
      <c r="AG714" s="14"/>
      <c r="AH714" s="14"/>
      <c r="AI714" s="14"/>
      <c r="AJ714" s="14"/>
      <c r="AK714" s="14"/>
      <c r="AL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18"/>
      <c r="AX714" s="118"/>
      <c r="AY714" s="118"/>
      <c r="AZ714" s="14"/>
      <c r="BA714" s="14"/>
      <c r="BB714" s="14"/>
      <c r="BC714" s="14"/>
      <c r="BD714" s="14"/>
      <c r="BE714" s="14"/>
      <c r="BF714" s="14"/>
      <c r="BG714" s="14"/>
    </row>
    <row r="715" spans="2:59" s="15" customFormat="1" ht="14.25" x14ac:dyDescent="0.2">
      <c r="B715" s="27"/>
      <c r="C715" s="27"/>
      <c r="D715" s="27"/>
      <c r="E715" s="27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9"/>
      <c r="AE715" s="29"/>
      <c r="AF715" s="29"/>
      <c r="AG715" s="14"/>
      <c r="AH715" s="14"/>
      <c r="AI715" s="14"/>
      <c r="AJ715" s="14"/>
      <c r="AK715" s="14"/>
      <c r="AL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18"/>
      <c r="AX715" s="118"/>
      <c r="AY715" s="118"/>
      <c r="AZ715" s="14"/>
      <c r="BA715" s="14"/>
      <c r="BB715" s="14"/>
      <c r="BC715" s="14"/>
      <c r="BD715" s="14"/>
      <c r="BE715" s="14"/>
      <c r="BF715" s="14"/>
      <c r="BG715" s="14"/>
    </row>
    <row r="716" spans="2:59" s="15" customFormat="1" ht="14.25" x14ac:dyDescent="0.2">
      <c r="B716" s="27"/>
      <c r="C716" s="27"/>
      <c r="D716" s="27"/>
      <c r="E716" s="27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9"/>
      <c r="AE716" s="29"/>
      <c r="AF716" s="29"/>
      <c r="AG716" s="14"/>
      <c r="AH716" s="14"/>
      <c r="AI716" s="14"/>
      <c r="AJ716" s="14"/>
      <c r="AK716" s="14"/>
      <c r="AL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18"/>
      <c r="AX716" s="118"/>
      <c r="AY716" s="118"/>
      <c r="AZ716" s="14"/>
      <c r="BA716" s="14"/>
      <c r="BB716" s="14"/>
      <c r="BC716" s="14"/>
      <c r="BD716" s="14"/>
      <c r="BE716" s="14"/>
      <c r="BF716" s="14"/>
      <c r="BG716" s="14"/>
    </row>
    <row r="717" spans="2:59" s="15" customFormat="1" ht="14.25" x14ac:dyDescent="0.2">
      <c r="B717" s="27"/>
      <c r="C717" s="27"/>
      <c r="D717" s="27"/>
      <c r="E717" s="27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9"/>
      <c r="AE717" s="29"/>
      <c r="AF717" s="29"/>
      <c r="AG717" s="14"/>
      <c r="AH717" s="14"/>
      <c r="AI717" s="14"/>
      <c r="AJ717" s="14"/>
      <c r="AK717" s="14"/>
      <c r="AL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18"/>
      <c r="AX717" s="118"/>
      <c r="AY717" s="118"/>
      <c r="AZ717" s="14"/>
      <c r="BA717" s="14"/>
      <c r="BB717" s="14"/>
      <c r="BC717" s="14"/>
      <c r="BD717" s="14"/>
      <c r="BE717" s="14"/>
      <c r="BF717" s="14"/>
      <c r="BG717" s="14"/>
    </row>
    <row r="718" spans="2:59" s="15" customFormat="1" ht="14.25" x14ac:dyDescent="0.2">
      <c r="B718" s="27"/>
      <c r="C718" s="27"/>
      <c r="D718" s="27"/>
      <c r="E718" s="27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9"/>
      <c r="AE718" s="29"/>
      <c r="AF718" s="29"/>
      <c r="AG718" s="14"/>
      <c r="AH718" s="14"/>
      <c r="AI718" s="14"/>
      <c r="AJ718" s="14"/>
      <c r="AK718" s="14"/>
      <c r="AL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18"/>
      <c r="AX718" s="118"/>
      <c r="AY718" s="118"/>
      <c r="AZ718" s="14"/>
      <c r="BA718" s="14"/>
      <c r="BB718" s="14"/>
      <c r="BC718" s="14"/>
      <c r="BD718" s="14"/>
      <c r="BE718" s="14"/>
      <c r="BF718" s="14"/>
      <c r="BG718" s="14"/>
    </row>
    <row r="719" spans="2:59" s="15" customFormat="1" ht="14.25" x14ac:dyDescent="0.2">
      <c r="B719" s="27"/>
      <c r="C719" s="27"/>
      <c r="D719" s="27"/>
      <c r="E719" s="27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9"/>
      <c r="AE719" s="29"/>
      <c r="AF719" s="29"/>
      <c r="AG719" s="14"/>
      <c r="AH719" s="14"/>
      <c r="AI719" s="14"/>
      <c r="AJ719" s="14"/>
      <c r="AK719" s="14"/>
      <c r="AL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18"/>
      <c r="AX719" s="118"/>
      <c r="AY719" s="118"/>
      <c r="AZ719" s="14"/>
      <c r="BA719" s="14"/>
      <c r="BB719" s="14"/>
      <c r="BC719" s="14"/>
      <c r="BD719" s="14"/>
      <c r="BE719" s="14"/>
      <c r="BF719" s="14"/>
      <c r="BG719" s="14"/>
    </row>
    <row r="720" spans="2:59" s="15" customFormat="1" ht="14.25" x14ac:dyDescent="0.2">
      <c r="B720" s="27"/>
      <c r="C720" s="27"/>
      <c r="D720" s="27"/>
      <c r="E720" s="27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9"/>
      <c r="AE720" s="29"/>
      <c r="AF720" s="29"/>
      <c r="AG720" s="14"/>
      <c r="AH720" s="14"/>
      <c r="AI720" s="14"/>
      <c r="AJ720" s="14"/>
      <c r="AK720" s="14"/>
      <c r="AL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18"/>
      <c r="AX720" s="118"/>
      <c r="AY720" s="118"/>
      <c r="AZ720" s="14"/>
      <c r="BA720" s="14"/>
      <c r="BB720" s="14"/>
      <c r="BC720" s="14"/>
      <c r="BD720" s="14"/>
      <c r="BE720" s="14"/>
      <c r="BF720" s="14"/>
      <c r="BG720" s="14"/>
    </row>
    <row r="721" spans="2:59" s="15" customFormat="1" ht="14.25" x14ac:dyDescent="0.2">
      <c r="B721" s="27"/>
      <c r="C721" s="27"/>
      <c r="D721" s="27"/>
      <c r="E721" s="27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9"/>
      <c r="AE721" s="29"/>
      <c r="AF721" s="29"/>
      <c r="AG721" s="14"/>
      <c r="AH721" s="14"/>
      <c r="AI721" s="14"/>
      <c r="AJ721" s="14"/>
      <c r="AK721" s="14"/>
      <c r="AL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18"/>
      <c r="AX721" s="118"/>
      <c r="AY721" s="118"/>
      <c r="AZ721" s="14"/>
      <c r="BA721" s="14"/>
      <c r="BB721" s="14"/>
      <c r="BC721" s="14"/>
      <c r="BD721" s="14"/>
      <c r="BE721" s="14"/>
      <c r="BF721" s="14"/>
      <c r="BG721" s="14"/>
    </row>
    <row r="722" spans="2:59" s="15" customFormat="1" ht="14.25" x14ac:dyDescent="0.2">
      <c r="B722" s="27"/>
      <c r="C722" s="27"/>
      <c r="D722" s="27"/>
      <c r="E722" s="27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9"/>
      <c r="AE722" s="29"/>
      <c r="AF722" s="29"/>
      <c r="AG722" s="14"/>
      <c r="AH722" s="14"/>
      <c r="AI722" s="14"/>
      <c r="AJ722" s="14"/>
      <c r="AK722" s="14"/>
      <c r="AL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18"/>
      <c r="AX722" s="118"/>
      <c r="AY722" s="118"/>
      <c r="AZ722" s="14"/>
      <c r="BA722" s="14"/>
      <c r="BB722" s="14"/>
      <c r="BC722" s="14"/>
      <c r="BD722" s="14"/>
      <c r="BE722" s="14"/>
      <c r="BF722" s="14"/>
      <c r="BG722" s="14"/>
    </row>
    <row r="723" spans="2:59" s="15" customFormat="1" ht="14.25" x14ac:dyDescent="0.2">
      <c r="B723" s="27"/>
      <c r="C723" s="27"/>
      <c r="D723" s="27"/>
      <c r="E723" s="27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9"/>
      <c r="AE723" s="29"/>
      <c r="AF723" s="29"/>
      <c r="AG723" s="14"/>
      <c r="AH723" s="14"/>
      <c r="AI723" s="14"/>
      <c r="AJ723" s="14"/>
      <c r="AK723" s="14"/>
      <c r="AL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18"/>
      <c r="AX723" s="118"/>
      <c r="AY723" s="118"/>
      <c r="AZ723" s="14"/>
      <c r="BA723" s="14"/>
      <c r="BB723" s="14"/>
      <c r="BC723" s="14"/>
      <c r="BD723" s="14"/>
      <c r="BE723" s="14"/>
      <c r="BF723" s="14"/>
      <c r="BG723" s="14"/>
    </row>
    <row r="724" spans="2:59" s="15" customFormat="1" ht="14.25" x14ac:dyDescent="0.2">
      <c r="B724" s="27"/>
      <c r="C724" s="27"/>
      <c r="D724" s="27"/>
      <c r="E724" s="27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9"/>
      <c r="AE724" s="29"/>
      <c r="AF724" s="29"/>
      <c r="AG724" s="14"/>
      <c r="AH724" s="14"/>
      <c r="AI724" s="14"/>
      <c r="AJ724" s="14"/>
      <c r="AK724" s="14"/>
      <c r="AL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18"/>
      <c r="AX724" s="118"/>
      <c r="AY724" s="118"/>
      <c r="AZ724" s="14"/>
      <c r="BA724" s="14"/>
      <c r="BB724" s="14"/>
      <c r="BC724" s="14"/>
      <c r="BD724" s="14"/>
      <c r="BE724" s="14"/>
      <c r="BF724" s="14"/>
      <c r="BG724" s="14"/>
    </row>
    <row r="725" spans="2:59" s="15" customFormat="1" ht="14.25" x14ac:dyDescent="0.2">
      <c r="B725" s="27"/>
      <c r="C725" s="27"/>
      <c r="D725" s="27"/>
      <c r="E725" s="27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9"/>
      <c r="AE725" s="29"/>
      <c r="AF725" s="29"/>
      <c r="AG725" s="14"/>
      <c r="AH725" s="14"/>
      <c r="AI725" s="14"/>
      <c r="AJ725" s="14"/>
      <c r="AK725" s="14"/>
      <c r="AL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18"/>
      <c r="AX725" s="118"/>
      <c r="AY725" s="118"/>
      <c r="AZ725" s="14"/>
      <c r="BA725" s="14"/>
      <c r="BB725" s="14"/>
      <c r="BC725" s="14"/>
      <c r="BD725" s="14"/>
      <c r="BE725" s="14"/>
      <c r="BF725" s="14"/>
      <c r="BG725" s="14"/>
    </row>
    <row r="726" spans="2:59" s="15" customFormat="1" ht="14.25" x14ac:dyDescent="0.2">
      <c r="B726" s="27"/>
      <c r="C726" s="27"/>
      <c r="D726" s="27"/>
      <c r="E726" s="27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9"/>
      <c r="AE726" s="29"/>
      <c r="AF726" s="29"/>
      <c r="AG726" s="14"/>
      <c r="AH726" s="14"/>
      <c r="AI726" s="14"/>
      <c r="AJ726" s="14"/>
      <c r="AK726" s="14"/>
      <c r="AL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18"/>
      <c r="AX726" s="118"/>
      <c r="AY726" s="118"/>
      <c r="AZ726" s="14"/>
      <c r="BA726" s="14"/>
      <c r="BB726" s="14"/>
      <c r="BC726" s="14"/>
      <c r="BD726" s="14"/>
      <c r="BE726" s="14"/>
      <c r="BF726" s="14"/>
      <c r="BG726" s="14"/>
    </row>
    <row r="727" spans="2:59" s="15" customFormat="1" ht="14.25" x14ac:dyDescent="0.2">
      <c r="B727" s="27"/>
      <c r="C727" s="27"/>
      <c r="D727" s="27"/>
      <c r="E727" s="27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9"/>
      <c r="AE727" s="29"/>
      <c r="AF727" s="29"/>
      <c r="AG727" s="14"/>
      <c r="AH727" s="14"/>
      <c r="AI727" s="14"/>
      <c r="AJ727" s="14"/>
      <c r="AK727" s="14"/>
      <c r="AL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18"/>
      <c r="AX727" s="118"/>
      <c r="AY727" s="118"/>
      <c r="AZ727" s="14"/>
      <c r="BA727" s="14"/>
      <c r="BB727" s="14"/>
      <c r="BC727" s="14"/>
      <c r="BD727" s="14"/>
      <c r="BE727" s="14"/>
      <c r="BF727" s="14"/>
      <c r="BG727" s="14"/>
    </row>
    <row r="728" spans="2:59" s="15" customFormat="1" ht="14.25" x14ac:dyDescent="0.2">
      <c r="B728" s="27"/>
      <c r="C728" s="27"/>
      <c r="D728" s="27"/>
      <c r="E728" s="27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9"/>
      <c r="AE728" s="29"/>
      <c r="AF728" s="29"/>
      <c r="AG728" s="14"/>
      <c r="AH728" s="14"/>
      <c r="AI728" s="14"/>
      <c r="AJ728" s="14"/>
      <c r="AK728" s="14"/>
      <c r="AL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18"/>
      <c r="AX728" s="118"/>
      <c r="AY728" s="118"/>
      <c r="AZ728" s="14"/>
      <c r="BA728" s="14"/>
      <c r="BB728" s="14"/>
      <c r="BC728" s="14"/>
      <c r="BD728" s="14"/>
      <c r="BE728" s="14"/>
      <c r="BF728" s="14"/>
      <c r="BG728" s="14"/>
    </row>
    <row r="729" spans="2:59" s="15" customFormat="1" ht="14.25" x14ac:dyDescent="0.2">
      <c r="B729" s="27"/>
      <c r="C729" s="27"/>
      <c r="D729" s="27"/>
      <c r="E729" s="27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9"/>
      <c r="AE729" s="29"/>
      <c r="AF729" s="29"/>
      <c r="AG729" s="14"/>
      <c r="AH729" s="14"/>
      <c r="AI729" s="14"/>
      <c r="AJ729" s="14"/>
      <c r="AK729" s="14"/>
      <c r="AL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18"/>
      <c r="AX729" s="118"/>
      <c r="AY729" s="118"/>
      <c r="AZ729" s="14"/>
      <c r="BA729" s="14"/>
      <c r="BB729" s="14"/>
      <c r="BC729" s="14"/>
      <c r="BD729" s="14"/>
      <c r="BE729" s="14"/>
      <c r="BF729" s="14"/>
      <c r="BG729" s="14"/>
    </row>
    <row r="730" spans="2:59" s="15" customFormat="1" ht="14.25" x14ac:dyDescent="0.2">
      <c r="B730" s="27"/>
      <c r="C730" s="27"/>
      <c r="D730" s="27"/>
      <c r="E730" s="27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9"/>
      <c r="AE730" s="29"/>
      <c r="AF730" s="29"/>
      <c r="AG730" s="14"/>
      <c r="AH730" s="14"/>
      <c r="AI730" s="14"/>
      <c r="AJ730" s="14"/>
      <c r="AK730" s="14"/>
      <c r="AL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18"/>
      <c r="AX730" s="118"/>
      <c r="AY730" s="118"/>
      <c r="AZ730" s="14"/>
      <c r="BA730" s="14"/>
      <c r="BB730" s="14"/>
      <c r="BC730" s="14"/>
      <c r="BD730" s="14"/>
      <c r="BE730" s="14"/>
      <c r="BF730" s="14"/>
      <c r="BG730" s="14"/>
    </row>
    <row r="731" spans="2:59" s="15" customFormat="1" ht="14.25" x14ac:dyDescent="0.2">
      <c r="B731" s="27"/>
      <c r="C731" s="27"/>
      <c r="D731" s="27"/>
      <c r="E731" s="27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9"/>
      <c r="AE731" s="29"/>
      <c r="AF731" s="29"/>
      <c r="AG731" s="14"/>
      <c r="AH731" s="14"/>
      <c r="AI731" s="14"/>
      <c r="AJ731" s="14"/>
      <c r="AK731" s="14"/>
      <c r="AL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18"/>
      <c r="AX731" s="118"/>
      <c r="AY731" s="118"/>
      <c r="AZ731" s="14"/>
      <c r="BA731" s="14"/>
      <c r="BB731" s="14"/>
      <c r="BC731" s="14"/>
      <c r="BD731" s="14"/>
      <c r="BE731" s="14"/>
      <c r="BF731" s="14"/>
      <c r="BG731" s="14"/>
    </row>
    <row r="732" spans="2:59" s="15" customFormat="1" ht="14.25" x14ac:dyDescent="0.2">
      <c r="B732" s="27"/>
      <c r="C732" s="27"/>
      <c r="D732" s="27"/>
      <c r="E732" s="27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9"/>
      <c r="AE732" s="29"/>
      <c r="AF732" s="29"/>
      <c r="AG732" s="14"/>
      <c r="AH732" s="14"/>
      <c r="AI732" s="14"/>
      <c r="AJ732" s="14"/>
      <c r="AK732" s="14"/>
      <c r="AL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18"/>
      <c r="AX732" s="118"/>
      <c r="AY732" s="118"/>
      <c r="AZ732" s="14"/>
      <c r="BA732" s="14"/>
      <c r="BB732" s="14"/>
      <c r="BC732" s="14"/>
      <c r="BD732" s="14"/>
      <c r="BE732" s="14"/>
      <c r="BF732" s="14"/>
      <c r="BG732" s="14"/>
    </row>
    <row r="733" spans="2:59" s="15" customFormat="1" ht="14.25" x14ac:dyDescent="0.2">
      <c r="B733" s="27"/>
      <c r="C733" s="27"/>
      <c r="D733" s="27"/>
      <c r="E733" s="27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9"/>
      <c r="AE733" s="29"/>
      <c r="AF733" s="29"/>
      <c r="AG733" s="14"/>
      <c r="AH733" s="14"/>
      <c r="AI733" s="14"/>
      <c r="AJ733" s="14"/>
      <c r="AK733" s="14"/>
      <c r="AL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18"/>
      <c r="AX733" s="118"/>
      <c r="AY733" s="118"/>
      <c r="AZ733" s="14"/>
      <c r="BA733" s="14"/>
      <c r="BB733" s="14"/>
      <c r="BC733" s="14"/>
      <c r="BD733" s="14"/>
      <c r="BE733" s="14"/>
      <c r="BF733" s="14"/>
      <c r="BG733" s="14"/>
    </row>
    <row r="734" spans="2:59" s="15" customFormat="1" ht="14.25" x14ac:dyDescent="0.2">
      <c r="B734" s="27"/>
      <c r="C734" s="27"/>
      <c r="D734" s="27"/>
      <c r="E734" s="27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9"/>
      <c r="AE734" s="29"/>
      <c r="AF734" s="29"/>
      <c r="AG734" s="14"/>
      <c r="AH734" s="14"/>
      <c r="AI734" s="14"/>
      <c r="AJ734" s="14"/>
      <c r="AK734" s="14"/>
      <c r="AL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18"/>
      <c r="AX734" s="118"/>
      <c r="AY734" s="118"/>
      <c r="AZ734" s="14"/>
      <c r="BA734" s="14"/>
      <c r="BB734" s="14"/>
      <c r="BC734" s="14"/>
      <c r="BD734" s="14"/>
      <c r="BE734" s="14"/>
      <c r="BF734" s="14"/>
      <c r="BG734" s="14"/>
    </row>
    <row r="735" spans="2:59" s="15" customFormat="1" ht="14.25" x14ac:dyDescent="0.2">
      <c r="B735" s="27"/>
      <c r="C735" s="27"/>
      <c r="D735" s="27"/>
      <c r="E735" s="27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9"/>
      <c r="AE735" s="29"/>
      <c r="AF735" s="29"/>
      <c r="AG735" s="14"/>
      <c r="AH735" s="14"/>
      <c r="AI735" s="14"/>
      <c r="AJ735" s="14"/>
      <c r="AK735" s="14"/>
      <c r="AL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18"/>
      <c r="AX735" s="118"/>
      <c r="AY735" s="118"/>
      <c r="AZ735" s="14"/>
      <c r="BA735" s="14"/>
      <c r="BB735" s="14"/>
      <c r="BC735" s="14"/>
      <c r="BD735" s="14"/>
      <c r="BE735" s="14"/>
      <c r="BF735" s="14"/>
      <c r="BG735" s="14"/>
    </row>
    <row r="736" spans="2:59" s="15" customFormat="1" ht="14.25" x14ac:dyDescent="0.2">
      <c r="B736" s="27"/>
      <c r="C736" s="27"/>
      <c r="D736" s="27"/>
      <c r="E736" s="27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9"/>
      <c r="AE736" s="29"/>
      <c r="AF736" s="29"/>
      <c r="AG736" s="14"/>
      <c r="AH736" s="14"/>
      <c r="AI736" s="14"/>
      <c r="AJ736" s="14"/>
      <c r="AK736" s="14"/>
      <c r="AL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18"/>
      <c r="AX736" s="118"/>
      <c r="AY736" s="118"/>
      <c r="AZ736" s="14"/>
      <c r="BA736" s="14"/>
      <c r="BB736" s="14"/>
      <c r="BC736" s="14"/>
      <c r="BD736" s="14"/>
      <c r="BE736" s="14"/>
      <c r="BF736" s="14"/>
      <c r="BG736" s="14"/>
    </row>
    <row r="737" spans="2:59" s="15" customFormat="1" ht="14.25" x14ac:dyDescent="0.2">
      <c r="B737" s="27"/>
      <c r="C737" s="27"/>
      <c r="D737" s="27"/>
      <c r="E737" s="27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9"/>
      <c r="AE737" s="29"/>
      <c r="AF737" s="29"/>
      <c r="AG737" s="14"/>
      <c r="AH737" s="14"/>
      <c r="AI737" s="14"/>
      <c r="AJ737" s="14"/>
      <c r="AK737" s="14"/>
      <c r="AL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18"/>
      <c r="AX737" s="118"/>
      <c r="AY737" s="118"/>
      <c r="AZ737" s="14"/>
      <c r="BA737" s="14"/>
      <c r="BB737" s="14"/>
      <c r="BC737" s="14"/>
      <c r="BD737" s="14"/>
      <c r="BE737" s="14"/>
      <c r="BF737" s="14"/>
      <c r="BG737" s="14"/>
    </row>
    <row r="738" spans="2:59" s="15" customFormat="1" ht="14.25" x14ac:dyDescent="0.2">
      <c r="B738" s="27"/>
      <c r="C738" s="27"/>
      <c r="D738" s="27"/>
      <c r="E738" s="27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9"/>
      <c r="AE738" s="29"/>
      <c r="AF738" s="29"/>
      <c r="AG738" s="14"/>
      <c r="AH738" s="14"/>
      <c r="AI738" s="14"/>
      <c r="AJ738" s="14"/>
      <c r="AK738" s="14"/>
      <c r="AL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18"/>
      <c r="AX738" s="118"/>
      <c r="AY738" s="118"/>
      <c r="AZ738" s="14"/>
      <c r="BA738" s="14"/>
      <c r="BB738" s="14"/>
      <c r="BC738" s="14"/>
      <c r="BD738" s="14"/>
      <c r="BE738" s="14"/>
      <c r="BF738" s="14"/>
      <c r="BG738" s="14"/>
    </row>
    <row r="739" spans="2:59" s="15" customFormat="1" ht="14.25" x14ac:dyDescent="0.2">
      <c r="B739" s="27"/>
      <c r="C739" s="27"/>
      <c r="D739" s="27"/>
      <c r="E739" s="27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9"/>
      <c r="AE739" s="29"/>
      <c r="AF739" s="29"/>
      <c r="AG739" s="14"/>
      <c r="AH739" s="14"/>
      <c r="AI739" s="14"/>
      <c r="AJ739" s="14"/>
      <c r="AK739" s="14"/>
      <c r="AL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18"/>
      <c r="AX739" s="118"/>
      <c r="AY739" s="118"/>
      <c r="AZ739" s="14"/>
      <c r="BA739" s="14"/>
      <c r="BB739" s="14"/>
      <c r="BC739" s="14"/>
      <c r="BD739" s="14"/>
      <c r="BE739" s="14"/>
      <c r="BF739" s="14"/>
      <c r="BG739" s="14"/>
    </row>
    <row r="740" spans="2:59" s="15" customFormat="1" ht="14.25" x14ac:dyDescent="0.2">
      <c r="B740" s="27"/>
      <c r="C740" s="27"/>
      <c r="D740" s="27"/>
      <c r="E740" s="27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9"/>
      <c r="AE740" s="29"/>
      <c r="AF740" s="29"/>
      <c r="AG740" s="14"/>
      <c r="AH740" s="14"/>
      <c r="AI740" s="14"/>
      <c r="AJ740" s="14"/>
      <c r="AK740" s="14"/>
      <c r="AL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18"/>
      <c r="AX740" s="118"/>
      <c r="AY740" s="118"/>
      <c r="AZ740" s="14"/>
      <c r="BA740" s="14"/>
      <c r="BB740" s="14"/>
      <c r="BC740" s="14"/>
      <c r="BD740" s="14"/>
      <c r="BE740" s="14"/>
      <c r="BF740" s="14"/>
      <c r="BG740" s="14"/>
    </row>
    <row r="741" spans="2:59" s="15" customFormat="1" ht="14.25" x14ac:dyDescent="0.2">
      <c r="B741" s="27"/>
      <c r="C741" s="27"/>
      <c r="D741" s="27"/>
      <c r="E741" s="27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9"/>
      <c r="AE741" s="29"/>
      <c r="AF741" s="29"/>
      <c r="AG741" s="14"/>
      <c r="AH741" s="14"/>
      <c r="AI741" s="14"/>
      <c r="AJ741" s="14"/>
      <c r="AK741" s="14"/>
      <c r="AL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18"/>
      <c r="AX741" s="118"/>
      <c r="AY741" s="118"/>
      <c r="AZ741" s="14"/>
      <c r="BA741" s="14"/>
      <c r="BB741" s="14"/>
      <c r="BC741" s="14"/>
      <c r="BD741" s="14"/>
      <c r="BE741" s="14"/>
      <c r="BF741" s="14"/>
      <c r="BG741" s="14"/>
    </row>
    <row r="742" spans="2:59" s="15" customFormat="1" ht="14.25" x14ac:dyDescent="0.2">
      <c r="B742" s="27"/>
      <c r="C742" s="27"/>
      <c r="D742" s="27"/>
      <c r="E742" s="27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9"/>
      <c r="AE742" s="29"/>
      <c r="AF742" s="29"/>
      <c r="AG742" s="14"/>
      <c r="AH742" s="14"/>
      <c r="AI742" s="14"/>
      <c r="AJ742" s="14"/>
      <c r="AK742" s="14"/>
      <c r="AL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18"/>
      <c r="AX742" s="118"/>
      <c r="AY742" s="118"/>
      <c r="AZ742" s="14"/>
      <c r="BA742" s="14"/>
      <c r="BB742" s="14"/>
      <c r="BC742" s="14"/>
      <c r="BD742" s="14"/>
      <c r="BE742" s="14"/>
      <c r="BF742" s="14"/>
      <c r="BG742" s="14"/>
    </row>
    <row r="743" spans="2:59" s="15" customFormat="1" ht="14.25" x14ac:dyDescent="0.2">
      <c r="B743" s="27"/>
      <c r="C743" s="27"/>
      <c r="D743" s="27"/>
      <c r="E743" s="27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9"/>
      <c r="AE743" s="29"/>
      <c r="AF743" s="29"/>
      <c r="AG743" s="14"/>
      <c r="AH743" s="14"/>
      <c r="AI743" s="14"/>
      <c r="AJ743" s="14"/>
      <c r="AK743" s="14"/>
      <c r="AL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18"/>
      <c r="AX743" s="118"/>
      <c r="AY743" s="118"/>
      <c r="AZ743" s="14"/>
      <c r="BA743" s="14"/>
      <c r="BB743" s="14"/>
      <c r="BC743" s="14"/>
      <c r="BD743" s="14"/>
      <c r="BE743" s="14"/>
      <c r="BF743" s="14"/>
      <c r="BG743" s="14"/>
    </row>
    <row r="744" spans="2:59" s="15" customFormat="1" ht="14.25" x14ac:dyDescent="0.2">
      <c r="B744" s="27"/>
      <c r="C744" s="27"/>
      <c r="D744" s="27"/>
      <c r="E744" s="27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9"/>
      <c r="AE744" s="29"/>
      <c r="AF744" s="29"/>
      <c r="AG744" s="14"/>
      <c r="AH744" s="14"/>
      <c r="AI744" s="14"/>
      <c r="AJ744" s="14"/>
      <c r="AK744" s="14"/>
      <c r="AL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18"/>
      <c r="AX744" s="118"/>
      <c r="AY744" s="118"/>
      <c r="AZ744" s="14"/>
      <c r="BA744" s="14"/>
      <c r="BB744" s="14"/>
      <c r="BC744" s="14"/>
      <c r="BD744" s="14"/>
      <c r="BE744" s="14"/>
      <c r="BF744" s="14"/>
      <c r="BG744" s="14"/>
    </row>
    <row r="745" spans="2:59" s="15" customFormat="1" ht="14.25" x14ac:dyDescent="0.2">
      <c r="B745" s="27"/>
      <c r="C745" s="27"/>
      <c r="D745" s="27"/>
      <c r="E745" s="27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9"/>
      <c r="AE745" s="29"/>
      <c r="AF745" s="29"/>
      <c r="AG745" s="14"/>
      <c r="AH745" s="14"/>
      <c r="AI745" s="14"/>
      <c r="AJ745" s="14"/>
      <c r="AK745" s="14"/>
      <c r="AL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18"/>
      <c r="AX745" s="118"/>
      <c r="AY745" s="118"/>
      <c r="AZ745" s="14"/>
      <c r="BA745" s="14"/>
      <c r="BB745" s="14"/>
      <c r="BC745" s="14"/>
      <c r="BD745" s="14"/>
      <c r="BE745" s="14"/>
      <c r="BF745" s="14"/>
      <c r="BG745" s="14"/>
    </row>
    <row r="746" spans="2:59" s="15" customFormat="1" ht="14.25" x14ac:dyDescent="0.2">
      <c r="B746" s="27"/>
      <c r="C746" s="27"/>
      <c r="D746" s="27"/>
      <c r="E746" s="27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9"/>
      <c r="AE746" s="29"/>
      <c r="AF746" s="29"/>
      <c r="AG746" s="14"/>
      <c r="AH746" s="14"/>
      <c r="AI746" s="14"/>
      <c r="AJ746" s="14"/>
      <c r="AK746" s="14"/>
      <c r="AL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18"/>
      <c r="AX746" s="118"/>
      <c r="AY746" s="118"/>
      <c r="AZ746" s="14"/>
      <c r="BA746" s="14"/>
      <c r="BB746" s="14"/>
      <c r="BC746" s="14"/>
      <c r="BD746" s="14"/>
      <c r="BE746" s="14"/>
      <c r="BF746" s="14"/>
      <c r="BG746" s="14"/>
    </row>
    <row r="747" spans="2:59" s="15" customFormat="1" ht="14.25" x14ac:dyDescent="0.2">
      <c r="B747" s="27"/>
      <c r="C747" s="27"/>
      <c r="D747" s="27"/>
      <c r="E747" s="27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9"/>
      <c r="AE747" s="29"/>
      <c r="AF747" s="29"/>
      <c r="AG747" s="14"/>
      <c r="AH747" s="14"/>
      <c r="AI747" s="14"/>
      <c r="AJ747" s="14"/>
      <c r="AK747" s="14"/>
      <c r="AL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18"/>
      <c r="AX747" s="118"/>
      <c r="AY747" s="118"/>
      <c r="AZ747" s="14"/>
      <c r="BA747" s="14"/>
      <c r="BB747" s="14"/>
      <c r="BC747" s="14"/>
      <c r="BD747" s="14"/>
      <c r="BE747" s="14"/>
      <c r="BF747" s="14"/>
      <c r="BG747" s="14"/>
    </row>
    <row r="748" spans="2:59" s="15" customFormat="1" ht="14.25" x14ac:dyDescent="0.2">
      <c r="B748" s="27"/>
      <c r="C748" s="27"/>
      <c r="D748" s="27"/>
      <c r="E748" s="27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9"/>
      <c r="AE748" s="29"/>
      <c r="AF748" s="29"/>
      <c r="AG748" s="14"/>
      <c r="AH748" s="14"/>
      <c r="AI748" s="14"/>
      <c r="AJ748" s="14"/>
      <c r="AK748" s="14"/>
      <c r="AL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18"/>
      <c r="AX748" s="118"/>
      <c r="AY748" s="118"/>
      <c r="AZ748" s="14"/>
      <c r="BA748" s="14"/>
      <c r="BB748" s="14"/>
      <c r="BC748" s="14"/>
      <c r="BD748" s="14"/>
      <c r="BE748" s="14"/>
      <c r="BF748" s="14"/>
      <c r="BG748" s="14"/>
    </row>
    <row r="749" spans="2:59" s="15" customFormat="1" ht="14.25" x14ac:dyDescent="0.2">
      <c r="B749" s="27"/>
      <c r="C749" s="27"/>
      <c r="D749" s="27"/>
      <c r="E749" s="27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9"/>
      <c r="AE749" s="29"/>
      <c r="AF749" s="29"/>
      <c r="AG749" s="14"/>
      <c r="AH749" s="14"/>
      <c r="AI749" s="14"/>
      <c r="AJ749" s="14"/>
      <c r="AK749" s="14"/>
      <c r="AL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18"/>
      <c r="AX749" s="118"/>
      <c r="AY749" s="118"/>
      <c r="AZ749" s="14"/>
      <c r="BA749" s="14"/>
      <c r="BB749" s="14"/>
      <c r="BC749" s="14"/>
      <c r="BD749" s="14"/>
      <c r="BE749" s="14"/>
      <c r="BF749" s="14"/>
      <c r="BG749" s="14"/>
    </row>
    <row r="750" spans="2:59" s="15" customFormat="1" ht="14.25" x14ac:dyDescent="0.2">
      <c r="B750" s="27"/>
      <c r="C750" s="27"/>
      <c r="D750" s="27"/>
      <c r="E750" s="27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9"/>
      <c r="AE750" s="29"/>
      <c r="AF750" s="29"/>
      <c r="AG750" s="14"/>
      <c r="AH750" s="14"/>
      <c r="AI750" s="14"/>
      <c r="AJ750" s="14"/>
      <c r="AK750" s="14"/>
      <c r="AL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18"/>
      <c r="AX750" s="118"/>
      <c r="AY750" s="118"/>
      <c r="AZ750" s="14"/>
      <c r="BA750" s="14"/>
      <c r="BB750" s="14"/>
      <c r="BC750" s="14"/>
      <c r="BD750" s="14"/>
      <c r="BE750" s="14"/>
      <c r="BF750" s="14"/>
      <c r="BG750" s="14"/>
    </row>
    <row r="751" spans="2:59" s="15" customFormat="1" ht="14.25" x14ac:dyDescent="0.2">
      <c r="B751" s="27"/>
      <c r="C751" s="27"/>
      <c r="D751" s="27"/>
      <c r="E751" s="27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9"/>
      <c r="AE751" s="29"/>
      <c r="AF751" s="29"/>
      <c r="AG751" s="14"/>
      <c r="AH751" s="14"/>
      <c r="AI751" s="14"/>
      <c r="AJ751" s="14"/>
      <c r="AK751" s="14"/>
      <c r="AL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18"/>
      <c r="AX751" s="118"/>
      <c r="AY751" s="118"/>
      <c r="AZ751" s="14"/>
      <c r="BA751" s="14"/>
      <c r="BB751" s="14"/>
      <c r="BC751" s="14"/>
      <c r="BD751" s="14"/>
      <c r="BE751" s="14"/>
      <c r="BF751" s="14"/>
      <c r="BG751" s="14"/>
    </row>
    <row r="752" spans="2:59" s="15" customFormat="1" ht="14.25" x14ac:dyDescent="0.2">
      <c r="B752" s="27"/>
      <c r="C752" s="27"/>
      <c r="D752" s="27"/>
      <c r="E752" s="27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9"/>
      <c r="AE752" s="29"/>
      <c r="AF752" s="29"/>
      <c r="AG752" s="14"/>
      <c r="AH752" s="14"/>
      <c r="AI752" s="14"/>
      <c r="AJ752" s="14"/>
      <c r="AK752" s="14"/>
      <c r="AL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18"/>
      <c r="AX752" s="118"/>
      <c r="AY752" s="118"/>
      <c r="AZ752" s="14"/>
      <c r="BA752" s="14"/>
      <c r="BB752" s="14"/>
      <c r="BC752" s="14"/>
      <c r="BD752" s="14"/>
      <c r="BE752" s="14"/>
      <c r="BF752" s="14"/>
      <c r="BG752" s="14"/>
    </row>
    <row r="753" spans="2:59" s="15" customFormat="1" ht="14.25" x14ac:dyDescent="0.2">
      <c r="B753" s="27"/>
      <c r="C753" s="27"/>
      <c r="D753" s="27"/>
      <c r="E753" s="27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9"/>
      <c r="AE753" s="29"/>
      <c r="AF753" s="29"/>
      <c r="AG753" s="14"/>
      <c r="AH753" s="14"/>
      <c r="AI753" s="14"/>
      <c r="AJ753" s="14"/>
      <c r="AK753" s="14"/>
      <c r="AL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18"/>
      <c r="AX753" s="118"/>
      <c r="AY753" s="118"/>
      <c r="AZ753" s="14"/>
      <c r="BA753" s="14"/>
      <c r="BB753" s="14"/>
      <c r="BC753" s="14"/>
      <c r="BD753" s="14"/>
      <c r="BE753" s="14"/>
      <c r="BF753" s="14"/>
      <c r="BG753" s="14"/>
    </row>
    <row r="754" spans="2:59" s="15" customFormat="1" ht="14.25" x14ac:dyDescent="0.2">
      <c r="B754" s="27"/>
      <c r="C754" s="27"/>
      <c r="D754" s="27"/>
      <c r="E754" s="27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9"/>
      <c r="AE754" s="29"/>
      <c r="AF754" s="29"/>
      <c r="AG754" s="14"/>
      <c r="AH754" s="14"/>
      <c r="AI754" s="14"/>
      <c r="AJ754" s="14"/>
      <c r="AK754" s="14"/>
      <c r="AL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18"/>
      <c r="AX754" s="118"/>
      <c r="AY754" s="118"/>
      <c r="AZ754" s="14"/>
      <c r="BA754" s="14"/>
      <c r="BB754" s="14"/>
      <c r="BC754" s="14"/>
      <c r="BD754" s="14"/>
      <c r="BE754" s="14"/>
      <c r="BF754" s="14"/>
      <c r="BG754" s="14"/>
    </row>
    <row r="755" spans="2:59" s="15" customFormat="1" ht="14.25" x14ac:dyDescent="0.2">
      <c r="B755" s="27"/>
      <c r="C755" s="27"/>
      <c r="D755" s="27"/>
      <c r="E755" s="27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9"/>
      <c r="AE755" s="29"/>
      <c r="AF755" s="29"/>
      <c r="AG755" s="14"/>
      <c r="AH755" s="14"/>
      <c r="AI755" s="14"/>
      <c r="AJ755" s="14"/>
      <c r="AK755" s="14"/>
      <c r="AL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18"/>
      <c r="AX755" s="118"/>
      <c r="AY755" s="118"/>
      <c r="AZ755" s="14"/>
      <c r="BA755" s="14"/>
      <c r="BB755" s="14"/>
      <c r="BC755" s="14"/>
      <c r="BD755" s="14"/>
      <c r="BE755" s="14"/>
      <c r="BF755" s="14"/>
      <c r="BG755" s="14"/>
    </row>
    <row r="756" spans="2:59" s="15" customFormat="1" ht="14.25" x14ac:dyDescent="0.2">
      <c r="B756" s="27"/>
      <c r="C756" s="27"/>
      <c r="D756" s="27"/>
      <c r="E756" s="27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9"/>
      <c r="AE756" s="29"/>
      <c r="AF756" s="29"/>
      <c r="AG756" s="14"/>
      <c r="AH756" s="14"/>
      <c r="AI756" s="14"/>
      <c r="AJ756" s="14"/>
      <c r="AK756" s="14"/>
      <c r="AL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18"/>
      <c r="AX756" s="118"/>
      <c r="AY756" s="118"/>
      <c r="AZ756" s="14"/>
      <c r="BA756" s="14"/>
      <c r="BB756" s="14"/>
      <c r="BC756" s="14"/>
      <c r="BD756" s="14"/>
      <c r="BE756" s="14"/>
      <c r="BF756" s="14"/>
      <c r="BG756" s="14"/>
    </row>
    <row r="757" spans="2:59" s="15" customFormat="1" ht="14.25" x14ac:dyDescent="0.2">
      <c r="B757" s="27"/>
      <c r="C757" s="27"/>
      <c r="D757" s="27"/>
      <c r="E757" s="27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9"/>
      <c r="AE757" s="29"/>
      <c r="AF757" s="29"/>
      <c r="AG757" s="14"/>
      <c r="AH757" s="14"/>
      <c r="AI757" s="14"/>
      <c r="AJ757" s="14"/>
      <c r="AK757" s="14"/>
      <c r="AL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18"/>
      <c r="AX757" s="118"/>
      <c r="AY757" s="118"/>
      <c r="AZ757" s="14"/>
      <c r="BA757" s="14"/>
      <c r="BB757" s="14"/>
      <c r="BC757" s="14"/>
      <c r="BD757" s="14"/>
      <c r="BE757" s="14"/>
      <c r="BF757" s="14"/>
      <c r="BG757" s="14"/>
    </row>
    <row r="758" spans="2:59" s="15" customFormat="1" ht="14.25" x14ac:dyDescent="0.2">
      <c r="B758" s="27"/>
      <c r="C758" s="27"/>
      <c r="D758" s="27"/>
      <c r="E758" s="27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9"/>
      <c r="AE758" s="29"/>
      <c r="AF758" s="29"/>
      <c r="AG758" s="14"/>
      <c r="AH758" s="14"/>
      <c r="AI758" s="14"/>
      <c r="AJ758" s="14"/>
      <c r="AK758" s="14"/>
      <c r="AL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18"/>
      <c r="AX758" s="118"/>
      <c r="AY758" s="118"/>
      <c r="AZ758" s="14"/>
      <c r="BA758" s="14"/>
      <c r="BB758" s="14"/>
      <c r="BC758" s="14"/>
      <c r="BD758" s="14"/>
      <c r="BE758" s="14"/>
      <c r="BF758" s="14"/>
      <c r="BG758" s="14"/>
    </row>
    <row r="759" spans="2:59" s="15" customFormat="1" ht="14.25" x14ac:dyDescent="0.2">
      <c r="B759" s="27"/>
      <c r="C759" s="27"/>
      <c r="D759" s="27"/>
      <c r="E759" s="27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9"/>
      <c r="AE759" s="29"/>
      <c r="AF759" s="29"/>
      <c r="AG759" s="14"/>
      <c r="AH759" s="14"/>
      <c r="AI759" s="14"/>
      <c r="AJ759" s="14"/>
      <c r="AK759" s="14"/>
      <c r="AL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18"/>
      <c r="AX759" s="118"/>
      <c r="AY759" s="118"/>
      <c r="AZ759" s="14"/>
      <c r="BA759" s="14"/>
      <c r="BB759" s="14"/>
      <c r="BC759" s="14"/>
      <c r="BD759" s="14"/>
      <c r="BE759" s="14"/>
      <c r="BF759" s="14"/>
      <c r="BG759" s="14"/>
    </row>
    <row r="760" spans="2:59" s="15" customFormat="1" ht="14.25" x14ac:dyDescent="0.2">
      <c r="B760" s="27"/>
      <c r="C760" s="27"/>
      <c r="D760" s="27"/>
      <c r="E760" s="27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9"/>
      <c r="AE760" s="29"/>
      <c r="AF760" s="29"/>
      <c r="AG760" s="14"/>
      <c r="AH760" s="14"/>
      <c r="AI760" s="14"/>
      <c r="AJ760" s="14"/>
      <c r="AK760" s="14"/>
      <c r="AL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18"/>
      <c r="AX760" s="118"/>
      <c r="AY760" s="118"/>
      <c r="AZ760" s="14"/>
      <c r="BA760" s="14"/>
      <c r="BB760" s="14"/>
      <c r="BC760" s="14"/>
      <c r="BD760" s="14"/>
      <c r="BE760" s="14"/>
      <c r="BF760" s="14"/>
      <c r="BG760" s="14"/>
    </row>
    <row r="761" spans="2:59" s="15" customFormat="1" ht="14.25" x14ac:dyDescent="0.2">
      <c r="B761" s="27"/>
      <c r="C761" s="27"/>
      <c r="D761" s="27"/>
      <c r="E761" s="27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9"/>
      <c r="AE761" s="29"/>
      <c r="AF761" s="29"/>
      <c r="AG761" s="14"/>
      <c r="AH761" s="14"/>
      <c r="AI761" s="14"/>
      <c r="AJ761" s="14"/>
      <c r="AK761" s="14"/>
      <c r="AL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18"/>
      <c r="AX761" s="118"/>
      <c r="AY761" s="118"/>
      <c r="AZ761" s="14"/>
      <c r="BA761" s="14"/>
      <c r="BB761" s="14"/>
      <c r="BC761" s="14"/>
      <c r="BD761" s="14"/>
      <c r="BE761" s="14"/>
      <c r="BF761" s="14"/>
      <c r="BG761" s="14"/>
    </row>
    <row r="762" spans="2:59" s="15" customFormat="1" ht="14.25" x14ac:dyDescent="0.2">
      <c r="B762" s="27"/>
      <c r="C762" s="27"/>
      <c r="D762" s="27"/>
      <c r="E762" s="27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9"/>
      <c r="AE762" s="29"/>
      <c r="AF762" s="29"/>
      <c r="AG762" s="14"/>
      <c r="AH762" s="14"/>
      <c r="AI762" s="14"/>
      <c r="AJ762" s="14"/>
      <c r="AK762" s="14"/>
      <c r="AL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18"/>
      <c r="AX762" s="118"/>
      <c r="AY762" s="118"/>
      <c r="AZ762" s="14"/>
      <c r="BA762" s="14"/>
      <c r="BB762" s="14"/>
      <c r="BC762" s="14"/>
      <c r="BD762" s="14"/>
      <c r="BE762" s="14"/>
      <c r="BF762" s="14"/>
      <c r="BG762" s="14"/>
    </row>
    <row r="763" spans="2:59" s="15" customFormat="1" ht="14.25" x14ac:dyDescent="0.2">
      <c r="B763" s="27"/>
      <c r="C763" s="27"/>
      <c r="D763" s="27"/>
      <c r="E763" s="27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9"/>
      <c r="AE763" s="29"/>
      <c r="AF763" s="29"/>
      <c r="AG763" s="14"/>
      <c r="AH763" s="14"/>
      <c r="AI763" s="14"/>
      <c r="AJ763" s="14"/>
      <c r="AK763" s="14"/>
      <c r="AL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18"/>
      <c r="AX763" s="118"/>
      <c r="AY763" s="118"/>
      <c r="AZ763" s="14"/>
      <c r="BA763" s="14"/>
      <c r="BB763" s="14"/>
      <c r="BC763" s="14"/>
      <c r="BD763" s="14"/>
      <c r="BE763" s="14"/>
      <c r="BF763" s="14"/>
      <c r="BG763" s="14"/>
    </row>
    <row r="764" spans="2:59" s="15" customFormat="1" ht="14.25" x14ac:dyDescent="0.2">
      <c r="B764" s="27"/>
      <c r="C764" s="27"/>
      <c r="D764" s="27"/>
      <c r="E764" s="27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9"/>
      <c r="AE764" s="29"/>
      <c r="AF764" s="29"/>
      <c r="AG764" s="14"/>
      <c r="AH764" s="14"/>
      <c r="AI764" s="14"/>
      <c r="AJ764" s="14"/>
      <c r="AK764" s="14"/>
      <c r="AL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18"/>
      <c r="AX764" s="118"/>
      <c r="AY764" s="118"/>
      <c r="AZ764" s="14"/>
      <c r="BA764" s="14"/>
      <c r="BB764" s="14"/>
      <c r="BC764" s="14"/>
      <c r="BD764" s="14"/>
      <c r="BE764" s="14"/>
      <c r="BF764" s="14"/>
      <c r="BG764" s="14"/>
    </row>
    <row r="765" spans="2:59" s="15" customFormat="1" ht="14.25" x14ac:dyDescent="0.2">
      <c r="B765" s="27"/>
      <c r="C765" s="27"/>
      <c r="D765" s="27"/>
      <c r="E765" s="27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9"/>
      <c r="AE765" s="29"/>
      <c r="AF765" s="29"/>
      <c r="AG765" s="14"/>
      <c r="AH765" s="14"/>
      <c r="AI765" s="14"/>
      <c r="AJ765" s="14"/>
      <c r="AK765" s="14"/>
      <c r="AL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18"/>
      <c r="AX765" s="118"/>
      <c r="AY765" s="118"/>
      <c r="AZ765" s="14"/>
      <c r="BA765" s="14"/>
      <c r="BB765" s="14"/>
      <c r="BC765" s="14"/>
      <c r="BD765" s="14"/>
      <c r="BE765" s="14"/>
      <c r="BF765" s="14"/>
      <c r="BG765" s="14"/>
    </row>
    <row r="766" spans="2:59" s="15" customFormat="1" ht="14.25" x14ac:dyDescent="0.2">
      <c r="B766" s="27"/>
      <c r="C766" s="27"/>
      <c r="D766" s="27"/>
      <c r="E766" s="27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9"/>
      <c r="AE766" s="29"/>
      <c r="AF766" s="29"/>
      <c r="AG766" s="14"/>
      <c r="AH766" s="14"/>
      <c r="AI766" s="14"/>
      <c r="AJ766" s="14"/>
      <c r="AK766" s="14"/>
      <c r="AL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18"/>
      <c r="AX766" s="118"/>
      <c r="AY766" s="118"/>
      <c r="AZ766" s="14"/>
      <c r="BA766" s="14"/>
      <c r="BB766" s="14"/>
      <c r="BC766" s="14"/>
      <c r="BD766" s="14"/>
      <c r="BE766" s="14"/>
      <c r="BF766" s="14"/>
      <c r="BG766" s="14"/>
    </row>
    <row r="767" spans="2:59" s="15" customFormat="1" ht="14.25" x14ac:dyDescent="0.2">
      <c r="B767" s="27"/>
      <c r="C767" s="27"/>
      <c r="D767" s="27"/>
      <c r="E767" s="27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9"/>
      <c r="AE767" s="29"/>
      <c r="AF767" s="29"/>
      <c r="AG767" s="14"/>
      <c r="AH767" s="14"/>
      <c r="AI767" s="14"/>
      <c r="AJ767" s="14"/>
      <c r="AK767" s="14"/>
      <c r="AL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18"/>
      <c r="AX767" s="118"/>
      <c r="AY767" s="118"/>
      <c r="AZ767" s="14"/>
      <c r="BA767" s="14"/>
      <c r="BB767" s="14"/>
      <c r="BC767" s="14"/>
      <c r="BD767" s="14"/>
      <c r="BE767" s="14"/>
      <c r="BF767" s="14"/>
      <c r="BG767" s="14"/>
    </row>
    <row r="768" spans="2:59" s="15" customFormat="1" ht="14.25" x14ac:dyDescent="0.2">
      <c r="B768" s="27"/>
      <c r="C768" s="27"/>
      <c r="D768" s="27"/>
      <c r="E768" s="27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9"/>
      <c r="AE768" s="29"/>
      <c r="AF768" s="29"/>
      <c r="AG768" s="14"/>
      <c r="AH768" s="14"/>
      <c r="AI768" s="14"/>
      <c r="AJ768" s="14"/>
      <c r="AK768" s="14"/>
      <c r="AL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18"/>
      <c r="AX768" s="118"/>
      <c r="AY768" s="118"/>
      <c r="AZ768" s="14"/>
      <c r="BA768" s="14"/>
      <c r="BB768" s="14"/>
      <c r="BC768" s="14"/>
      <c r="BD768" s="14"/>
      <c r="BE768" s="14"/>
      <c r="BF768" s="14"/>
      <c r="BG768" s="14"/>
    </row>
    <row r="769" spans="2:59" s="15" customFormat="1" ht="14.25" x14ac:dyDescent="0.2">
      <c r="B769" s="27"/>
      <c r="C769" s="27"/>
      <c r="D769" s="27"/>
      <c r="E769" s="27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9"/>
      <c r="AE769" s="29"/>
      <c r="AF769" s="29"/>
      <c r="AG769" s="14"/>
      <c r="AH769" s="14"/>
      <c r="AI769" s="14"/>
      <c r="AJ769" s="14"/>
      <c r="AK769" s="14"/>
      <c r="AL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18"/>
      <c r="AX769" s="118"/>
      <c r="AY769" s="118"/>
      <c r="AZ769" s="14"/>
      <c r="BA769" s="14"/>
      <c r="BB769" s="14"/>
      <c r="BC769" s="14"/>
      <c r="BD769" s="14"/>
      <c r="BE769" s="14"/>
      <c r="BF769" s="14"/>
      <c r="BG769" s="14"/>
    </row>
    <row r="770" spans="2:59" s="15" customFormat="1" ht="14.25" x14ac:dyDescent="0.2">
      <c r="B770" s="27"/>
      <c r="C770" s="27"/>
      <c r="D770" s="27"/>
      <c r="E770" s="27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9"/>
      <c r="AE770" s="29"/>
      <c r="AF770" s="29"/>
      <c r="AG770" s="14"/>
      <c r="AH770" s="14"/>
      <c r="AI770" s="14"/>
      <c r="AJ770" s="14"/>
      <c r="AK770" s="14"/>
      <c r="AL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18"/>
      <c r="AX770" s="118"/>
      <c r="AY770" s="118"/>
      <c r="AZ770" s="14"/>
      <c r="BA770" s="14"/>
      <c r="BB770" s="14"/>
      <c r="BC770" s="14"/>
      <c r="BD770" s="14"/>
      <c r="BE770" s="14"/>
      <c r="BF770" s="14"/>
      <c r="BG770" s="14"/>
    </row>
    <row r="771" spans="2:59" s="15" customFormat="1" ht="14.25" x14ac:dyDescent="0.2">
      <c r="B771" s="27"/>
      <c r="C771" s="27"/>
      <c r="D771" s="27"/>
      <c r="E771" s="27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9"/>
      <c r="AE771" s="29"/>
      <c r="AF771" s="29"/>
      <c r="AG771" s="14"/>
      <c r="AH771" s="14"/>
      <c r="AI771" s="14"/>
      <c r="AJ771" s="14"/>
      <c r="AK771" s="14"/>
      <c r="AL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18"/>
      <c r="AX771" s="118"/>
      <c r="AY771" s="118"/>
      <c r="AZ771" s="14"/>
      <c r="BA771" s="14"/>
      <c r="BB771" s="14"/>
      <c r="BC771" s="14"/>
      <c r="BD771" s="14"/>
      <c r="BE771" s="14"/>
      <c r="BF771" s="14"/>
      <c r="BG771" s="14"/>
    </row>
    <row r="772" spans="2:59" s="15" customFormat="1" ht="14.25" x14ac:dyDescent="0.2">
      <c r="B772" s="27"/>
      <c r="C772" s="27"/>
      <c r="D772" s="27"/>
      <c r="E772" s="27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9"/>
      <c r="AE772" s="29"/>
      <c r="AF772" s="29"/>
      <c r="AG772" s="14"/>
      <c r="AH772" s="14"/>
      <c r="AI772" s="14"/>
      <c r="AJ772" s="14"/>
      <c r="AK772" s="14"/>
      <c r="AL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18"/>
      <c r="AX772" s="118"/>
      <c r="AY772" s="118"/>
      <c r="AZ772" s="14"/>
      <c r="BA772" s="14"/>
      <c r="BB772" s="14"/>
      <c r="BC772" s="14"/>
      <c r="BD772" s="14"/>
      <c r="BE772" s="14"/>
      <c r="BF772" s="14"/>
      <c r="BG772" s="14"/>
    </row>
    <row r="773" spans="2:59" s="15" customFormat="1" ht="14.25" x14ac:dyDescent="0.2">
      <c r="B773" s="27"/>
      <c r="C773" s="27"/>
      <c r="D773" s="27"/>
      <c r="E773" s="27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9"/>
      <c r="AE773" s="29"/>
      <c r="AF773" s="29"/>
      <c r="AG773" s="14"/>
      <c r="AH773" s="14"/>
      <c r="AI773" s="14"/>
      <c r="AJ773" s="14"/>
      <c r="AK773" s="14"/>
      <c r="AL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18"/>
      <c r="AX773" s="118"/>
      <c r="AY773" s="118"/>
      <c r="AZ773" s="14"/>
      <c r="BA773" s="14"/>
      <c r="BB773" s="14"/>
      <c r="BC773" s="14"/>
      <c r="BD773" s="14"/>
      <c r="BE773" s="14"/>
      <c r="BF773" s="14"/>
      <c r="BG773" s="14"/>
    </row>
    <row r="774" spans="2:59" s="15" customFormat="1" ht="14.25" x14ac:dyDescent="0.2">
      <c r="B774" s="27"/>
      <c r="C774" s="27"/>
      <c r="D774" s="27"/>
      <c r="E774" s="27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9"/>
      <c r="AE774" s="29"/>
      <c r="AF774" s="29"/>
      <c r="AG774" s="14"/>
      <c r="AH774" s="14"/>
      <c r="AI774" s="14"/>
      <c r="AJ774" s="14"/>
      <c r="AK774" s="14"/>
      <c r="AL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18"/>
      <c r="AX774" s="118"/>
      <c r="AY774" s="118"/>
      <c r="AZ774" s="14"/>
      <c r="BA774" s="14"/>
      <c r="BB774" s="14"/>
      <c r="BC774" s="14"/>
      <c r="BD774" s="14"/>
      <c r="BE774" s="14"/>
      <c r="BF774" s="14"/>
      <c r="BG774" s="14"/>
    </row>
    <row r="775" spans="2:59" s="15" customFormat="1" ht="14.25" x14ac:dyDescent="0.2">
      <c r="B775" s="27"/>
      <c r="C775" s="27"/>
      <c r="D775" s="27"/>
      <c r="E775" s="27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9"/>
      <c r="AE775" s="29"/>
      <c r="AF775" s="29"/>
      <c r="AG775" s="14"/>
      <c r="AH775" s="14"/>
      <c r="AI775" s="14"/>
      <c r="AJ775" s="14"/>
      <c r="AK775" s="14"/>
      <c r="AL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18"/>
      <c r="AX775" s="118"/>
      <c r="AY775" s="118"/>
      <c r="AZ775" s="14"/>
      <c r="BA775" s="14"/>
      <c r="BB775" s="14"/>
      <c r="BC775" s="14"/>
      <c r="BD775" s="14"/>
      <c r="BE775" s="14"/>
      <c r="BF775" s="14"/>
      <c r="BG775" s="14"/>
    </row>
    <row r="776" spans="2:59" s="15" customFormat="1" ht="14.25" x14ac:dyDescent="0.2">
      <c r="B776" s="27"/>
      <c r="C776" s="27"/>
      <c r="D776" s="27"/>
      <c r="E776" s="27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9"/>
      <c r="AE776" s="29"/>
      <c r="AF776" s="29"/>
      <c r="AG776" s="14"/>
      <c r="AH776" s="14"/>
      <c r="AI776" s="14"/>
      <c r="AJ776" s="14"/>
      <c r="AK776" s="14"/>
      <c r="AL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18"/>
      <c r="AX776" s="118"/>
      <c r="AY776" s="118"/>
      <c r="AZ776" s="14"/>
      <c r="BA776" s="14"/>
      <c r="BB776" s="14"/>
      <c r="BC776" s="14"/>
      <c r="BD776" s="14"/>
      <c r="BE776" s="14"/>
      <c r="BF776" s="14"/>
      <c r="BG776" s="14"/>
    </row>
    <row r="777" spans="2:59" s="15" customFormat="1" ht="14.25" x14ac:dyDescent="0.2">
      <c r="B777" s="27"/>
      <c r="C777" s="27"/>
      <c r="D777" s="27"/>
      <c r="E777" s="27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9"/>
      <c r="AE777" s="29"/>
      <c r="AF777" s="29"/>
      <c r="AG777" s="14"/>
      <c r="AH777" s="14"/>
      <c r="AI777" s="14"/>
      <c r="AJ777" s="14"/>
      <c r="AK777" s="14"/>
      <c r="AL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18"/>
      <c r="AX777" s="118"/>
      <c r="AY777" s="118"/>
      <c r="AZ777" s="14"/>
      <c r="BA777" s="14"/>
      <c r="BB777" s="14"/>
      <c r="BC777" s="14"/>
      <c r="BD777" s="14"/>
      <c r="BE777" s="14"/>
      <c r="BF777" s="14"/>
      <c r="BG777" s="14"/>
    </row>
    <row r="778" spans="2:59" s="15" customFormat="1" ht="14.25" x14ac:dyDescent="0.2">
      <c r="B778" s="27"/>
      <c r="C778" s="27"/>
      <c r="D778" s="27"/>
      <c r="E778" s="27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9"/>
      <c r="AE778" s="29"/>
      <c r="AF778" s="29"/>
      <c r="AG778" s="14"/>
      <c r="AH778" s="14"/>
      <c r="AI778" s="14"/>
      <c r="AJ778" s="14"/>
      <c r="AK778" s="14"/>
      <c r="AL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18"/>
      <c r="AX778" s="118"/>
      <c r="AY778" s="118"/>
      <c r="AZ778" s="14"/>
      <c r="BA778" s="14"/>
      <c r="BB778" s="14"/>
      <c r="BC778" s="14"/>
      <c r="BD778" s="14"/>
      <c r="BE778" s="14"/>
      <c r="BF778" s="14"/>
      <c r="BG778" s="14"/>
    </row>
    <row r="779" spans="2:59" s="15" customFormat="1" ht="14.25" x14ac:dyDescent="0.2">
      <c r="B779" s="27"/>
      <c r="C779" s="27"/>
      <c r="D779" s="27"/>
      <c r="E779" s="27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9"/>
      <c r="AE779" s="29"/>
      <c r="AF779" s="29"/>
      <c r="AG779" s="14"/>
      <c r="AH779" s="14"/>
      <c r="AI779" s="14"/>
      <c r="AJ779" s="14"/>
      <c r="AK779" s="14"/>
      <c r="AL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18"/>
      <c r="AX779" s="118"/>
      <c r="AY779" s="118"/>
      <c r="AZ779" s="14"/>
      <c r="BA779" s="14"/>
      <c r="BB779" s="14"/>
      <c r="BC779" s="14"/>
      <c r="BD779" s="14"/>
      <c r="BE779" s="14"/>
      <c r="BF779" s="14"/>
      <c r="BG779" s="14"/>
    </row>
    <row r="780" spans="2:59" s="15" customFormat="1" ht="14.25" x14ac:dyDescent="0.2">
      <c r="B780" s="27"/>
      <c r="C780" s="27"/>
      <c r="D780" s="27"/>
      <c r="E780" s="27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9"/>
      <c r="AE780" s="29"/>
      <c r="AF780" s="29"/>
      <c r="AG780" s="14"/>
      <c r="AH780" s="14"/>
      <c r="AI780" s="14"/>
      <c r="AJ780" s="14"/>
      <c r="AK780" s="14"/>
      <c r="AL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18"/>
      <c r="AX780" s="118"/>
      <c r="AY780" s="118"/>
      <c r="AZ780" s="14"/>
      <c r="BA780" s="14"/>
      <c r="BB780" s="14"/>
      <c r="BC780" s="14"/>
      <c r="BD780" s="14"/>
      <c r="BE780" s="14"/>
      <c r="BF780" s="14"/>
      <c r="BG780" s="14"/>
    </row>
    <row r="781" spans="2:59" s="15" customFormat="1" ht="14.25" x14ac:dyDescent="0.2">
      <c r="B781" s="27"/>
      <c r="C781" s="27"/>
      <c r="D781" s="27"/>
      <c r="E781" s="27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9"/>
      <c r="AE781" s="29"/>
      <c r="AF781" s="29"/>
      <c r="AG781" s="14"/>
      <c r="AH781" s="14"/>
      <c r="AI781" s="14"/>
      <c r="AJ781" s="14"/>
      <c r="AK781" s="14"/>
      <c r="AL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18"/>
      <c r="AX781" s="118"/>
      <c r="AY781" s="118"/>
      <c r="AZ781" s="14"/>
      <c r="BA781" s="14"/>
      <c r="BB781" s="14"/>
      <c r="BC781" s="14"/>
      <c r="BD781" s="14"/>
      <c r="BE781" s="14"/>
      <c r="BF781" s="14"/>
      <c r="BG781" s="14"/>
    </row>
    <row r="782" spans="2:59" s="15" customFormat="1" ht="14.25" x14ac:dyDescent="0.2">
      <c r="B782" s="27"/>
      <c r="C782" s="27"/>
      <c r="D782" s="27"/>
      <c r="E782" s="27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9"/>
      <c r="AE782" s="29"/>
      <c r="AF782" s="29"/>
      <c r="AG782" s="14"/>
      <c r="AH782" s="14"/>
      <c r="AI782" s="14"/>
      <c r="AJ782" s="14"/>
      <c r="AK782" s="14"/>
      <c r="AL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18"/>
      <c r="AX782" s="118"/>
      <c r="AY782" s="118"/>
      <c r="AZ782" s="14"/>
      <c r="BA782" s="14"/>
      <c r="BB782" s="14"/>
      <c r="BC782" s="14"/>
      <c r="BD782" s="14"/>
      <c r="BE782" s="14"/>
      <c r="BF782" s="14"/>
      <c r="BG782" s="14"/>
    </row>
    <row r="783" spans="2:59" s="15" customFormat="1" ht="14.25" x14ac:dyDescent="0.2">
      <c r="B783" s="27"/>
      <c r="C783" s="27"/>
      <c r="D783" s="27"/>
      <c r="E783" s="27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9"/>
      <c r="AE783" s="29"/>
      <c r="AF783" s="29"/>
      <c r="AG783" s="14"/>
      <c r="AH783" s="14"/>
      <c r="AI783" s="14"/>
      <c r="AJ783" s="14"/>
      <c r="AK783" s="14"/>
      <c r="AL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18"/>
      <c r="AX783" s="118"/>
      <c r="AY783" s="118"/>
      <c r="AZ783" s="14"/>
      <c r="BA783" s="14"/>
      <c r="BB783" s="14"/>
      <c r="BC783" s="14"/>
      <c r="BD783" s="14"/>
      <c r="BE783" s="14"/>
      <c r="BF783" s="14"/>
      <c r="BG783" s="14"/>
    </row>
    <row r="784" spans="2:59" s="15" customFormat="1" ht="14.25" x14ac:dyDescent="0.2">
      <c r="B784" s="27"/>
      <c r="C784" s="27"/>
      <c r="D784" s="27"/>
      <c r="E784" s="27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9"/>
      <c r="AE784" s="29"/>
      <c r="AF784" s="29"/>
      <c r="AG784" s="14"/>
      <c r="AH784" s="14"/>
      <c r="AI784" s="14"/>
      <c r="AJ784" s="14"/>
      <c r="AK784" s="14"/>
      <c r="AL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18"/>
      <c r="AX784" s="118"/>
      <c r="AY784" s="118"/>
      <c r="AZ784" s="14"/>
      <c r="BA784" s="14"/>
      <c r="BB784" s="14"/>
      <c r="BC784" s="14"/>
      <c r="BD784" s="14"/>
      <c r="BE784" s="14"/>
      <c r="BF784" s="14"/>
      <c r="BG784" s="14"/>
    </row>
    <row r="785" spans="2:59" s="15" customFormat="1" ht="14.25" x14ac:dyDescent="0.2">
      <c r="B785" s="27"/>
      <c r="C785" s="27"/>
      <c r="D785" s="27"/>
      <c r="E785" s="27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9"/>
      <c r="AE785" s="29"/>
      <c r="AF785" s="29"/>
      <c r="AG785" s="14"/>
      <c r="AH785" s="14"/>
      <c r="AI785" s="14"/>
      <c r="AJ785" s="14"/>
      <c r="AK785" s="14"/>
      <c r="AL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18"/>
      <c r="AX785" s="118"/>
      <c r="AY785" s="118"/>
      <c r="AZ785" s="14"/>
      <c r="BA785" s="14"/>
      <c r="BB785" s="14"/>
      <c r="BC785" s="14"/>
      <c r="BD785" s="14"/>
      <c r="BE785" s="14"/>
      <c r="BF785" s="14"/>
      <c r="BG785" s="14"/>
    </row>
    <row r="786" spans="2:59" s="15" customFormat="1" ht="14.25" x14ac:dyDescent="0.2">
      <c r="B786" s="27"/>
      <c r="C786" s="27"/>
      <c r="D786" s="27"/>
      <c r="E786" s="27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9"/>
      <c r="AE786" s="29"/>
      <c r="AF786" s="29"/>
      <c r="AG786" s="14"/>
      <c r="AH786" s="14"/>
      <c r="AI786" s="14"/>
      <c r="AJ786" s="14"/>
      <c r="AK786" s="14"/>
      <c r="AL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18"/>
      <c r="AX786" s="118"/>
      <c r="AY786" s="118"/>
      <c r="AZ786" s="14"/>
      <c r="BA786" s="14"/>
      <c r="BB786" s="14"/>
      <c r="BC786" s="14"/>
      <c r="BD786" s="14"/>
      <c r="BE786" s="14"/>
      <c r="BF786" s="14"/>
      <c r="BG786" s="14"/>
    </row>
    <row r="787" spans="2:59" s="15" customFormat="1" ht="14.25" x14ac:dyDescent="0.2">
      <c r="B787" s="27"/>
      <c r="C787" s="27"/>
      <c r="D787" s="27"/>
      <c r="E787" s="27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9"/>
      <c r="AE787" s="29"/>
      <c r="AF787" s="29"/>
      <c r="AG787" s="14"/>
      <c r="AH787" s="14"/>
      <c r="AI787" s="14"/>
      <c r="AJ787" s="14"/>
      <c r="AK787" s="14"/>
      <c r="AL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18"/>
      <c r="AX787" s="118"/>
      <c r="AY787" s="118"/>
      <c r="AZ787" s="14"/>
      <c r="BA787" s="14"/>
      <c r="BB787" s="14"/>
      <c r="BC787" s="14"/>
      <c r="BD787" s="14"/>
      <c r="BE787" s="14"/>
      <c r="BF787" s="14"/>
      <c r="BG787" s="14"/>
    </row>
    <row r="788" spans="2:59" s="15" customFormat="1" ht="14.25" x14ac:dyDescent="0.2">
      <c r="B788" s="27"/>
      <c r="C788" s="27"/>
      <c r="D788" s="27"/>
      <c r="E788" s="27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9"/>
      <c r="AE788" s="29"/>
      <c r="AF788" s="29"/>
      <c r="AG788" s="14"/>
      <c r="AH788" s="14"/>
      <c r="AI788" s="14"/>
      <c r="AJ788" s="14"/>
      <c r="AK788" s="14"/>
      <c r="AL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18"/>
      <c r="AX788" s="118"/>
      <c r="AY788" s="118"/>
      <c r="AZ788" s="14"/>
      <c r="BA788" s="14"/>
      <c r="BB788" s="14"/>
      <c r="BC788" s="14"/>
      <c r="BD788" s="14"/>
      <c r="BE788" s="14"/>
      <c r="BF788" s="14"/>
      <c r="BG788" s="14"/>
    </row>
    <row r="789" spans="2:59" s="15" customFormat="1" ht="14.25" x14ac:dyDescent="0.2">
      <c r="B789" s="27"/>
      <c r="C789" s="27"/>
      <c r="D789" s="27"/>
      <c r="E789" s="27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9"/>
      <c r="AE789" s="29"/>
      <c r="AF789" s="29"/>
      <c r="AG789" s="14"/>
      <c r="AH789" s="14"/>
      <c r="AI789" s="14"/>
      <c r="AJ789" s="14"/>
      <c r="AK789" s="14"/>
      <c r="AL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18"/>
      <c r="AX789" s="118"/>
      <c r="AY789" s="118"/>
      <c r="AZ789" s="14"/>
      <c r="BA789" s="14"/>
      <c r="BB789" s="14"/>
      <c r="BC789" s="14"/>
      <c r="BD789" s="14"/>
      <c r="BE789" s="14"/>
      <c r="BF789" s="14"/>
      <c r="BG789" s="14"/>
    </row>
    <row r="790" spans="2:59" s="15" customFormat="1" ht="14.25" x14ac:dyDescent="0.2">
      <c r="B790" s="27"/>
      <c r="C790" s="27"/>
      <c r="D790" s="27"/>
      <c r="E790" s="27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9"/>
      <c r="AE790" s="29"/>
      <c r="AF790" s="29"/>
      <c r="AG790" s="14"/>
      <c r="AH790" s="14"/>
      <c r="AI790" s="14"/>
      <c r="AJ790" s="14"/>
      <c r="AK790" s="14"/>
      <c r="AL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18"/>
      <c r="AX790" s="118"/>
      <c r="AY790" s="118"/>
      <c r="AZ790" s="14"/>
      <c r="BA790" s="14"/>
      <c r="BB790" s="14"/>
      <c r="BC790" s="14"/>
      <c r="BD790" s="14"/>
      <c r="BE790" s="14"/>
      <c r="BF790" s="14"/>
      <c r="BG790" s="14"/>
    </row>
    <row r="791" spans="2:59" s="15" customFormat="1" ht="14.25" x14ac:dyDescent="0.2">
      <c r="B791" s="27"/>
      <c r="C791" s="27"/>
      <c r="D791" s="27"/>
      <c r="E791" s="27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9"/>
      <c r="AE791" s="29"/>
      <c r="AF791" s="29"/>
      <c r="AG791" s="14"/>
      <c r="AH791" s="14"/>
      <c r="AI791" s="14"/>
      <c r="AJ791" s="14"/>
      <c r="AK791" s="14"/>
      <c r="AL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18"/>
      <c r="AX791" s="118"/>
      <c r="AY791" s="118"/>
      <c r="AZ791" s="14"/>
      <c r="BA791" s="14"/>
      <c r="BB791" s="14"/>
      <c r="BC791" s="14"/>
      <c r="BD791" s="14"/>
      <c r="BE791" s="14"/>
      <c r="BF791" s="14"/>
      <c r="BG791" s="14"/>
    </row>
    <row r="792" spans="2:59" s="15" customFormat="1" ht="14.25" x14ac:dyDescent="0.2">
      <c r="B792" s="27"/>
      <c r="C792" s="27"/>
      <c r="D792" s="27"/>
      <c r="E792" s="27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9"/>
      <c r="AE792" s="29"/>
      <c r="AF792" s="29"/>
      <c r="AG792" s="14"/>
      <c r="AH792" s="14"/>
      <c r="AI792" s="14"/>
      <c r="AJ792" s="14"/>
      <c r="AK792" s="14"/>
      <c r="AL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18"/>
      <c r="AX792" s="118"/>
      <c r="AY792" s="118"/>
      <c r="AZ792" s="14"/>
      <c r="BA792" s="14"/>
      <c r="BB792" s="14"/>
      <c r="BC792" s="14"/>
      <c r="BD792" s="14"/>
      <c r="BE792" s="14"/>
      <c r="BF792" s="14"/>
      <c r="BG792" s="14"/>
    </row>
    <row r="793" spans="2:59" s="15" customFormat="1" ht="14.25" x14ac:dyDescent="0.2">
      <c r="B793" s="27"/>
      <c r="C793" s="27"/>
      <c r="D793" s="27"/>
      <c r="E793" s="27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9"/>
      <c r="AE793" s="29"/>
      <c r="AF793" s="29"/>
      <c r="AG793" s="14"/>
      <c r="AH793" s="14"/>
      <c r="AI793" s="14"/>
      <c r="AJ793" s="14"/>
      <c r="AK793" s="14"/>
      <c r="AL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18"/>
      <c r="AX793" s="118"/>
      <c r="AY793" s="118"/>
      <c r="AZ793" s="14"/>
      <c r="BA793" s="14"/>
      <c r="BB793" s="14"/>
      <c r="BC793" s="14"/>
      <c r="BD793" s="14"/>
      <c r="BE793" s="14"/>
      <c r="BF793" s="14"/>
      <c r="BG793" s="14"/>
    </row>
    <row r="794" spans="2:59" s="15" customFormat="1" ht="14.25" x14ac:dyDescent="0.2">
      <c r="B794" s="27"/>
      <c r="C794" s="27"/>
      <c r="D794" s="27"/>
      <c r="E794" s="27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9"/>
      <c r="AE794" s="29"/>
      <c r="AF794" s="29"/>
      <c r="AG794" s="14"/>
      <c r="AH794" s="14"/>
      <c r="AI794" s="14"/>
      <c r="AJ794" s="14"/>
      <c r="AK794" s="14"/>
      <c r="AL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18"/>
      <c r="AX794" s="118"/>
      <c r="AY794" s="118"/>
      <c r="AZ794" s="14"/>
      <c r="BA794" s="14"/>
      <c r="BB794" s="14"/>
      <c r="BC794" s="14"/>
      <c r="BD794" s="14"/>
      <c r="BE794" s="14"/>
      <c r="BF794" s="14"/>
      <c r="BG794" s="14"/>
    </row>
    <row r="795" spans="2:59" s="15" customFormat="1" ht="14.25" x14ac:dyDescent="0.2">
      <c r="B795" s="27"/>
      <c r="C795" s="27"/>
      <c r="D795" s="27"/>
      <c r="E795" s="27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9"/>
      <c r="AE795" s="29"/>
      <c r="AF795" s="29"/>
      <c r="AG795" s="14"/>
      <c r="AH795" s="14"/>
      <c r="AI795" s="14"/>
      <c r="AJ795" s="14"/>
      <c r="AK795" s="14"/>
      <c r="AL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18"/>
      <c r="AX795" s="118"/>
      <c r="AY795" s="118"/>
      <c r="AZ795" s="14"/>
      <c r="BA795" s="14"/>
      <c r="BB795" s="14"/>
      <c r="BC795" s="14"/>
      <c r="BD795" s="14"/>
      <c r="BE795" s="14"/>
      <c r="BF795" s="14"/>
      <c r="BG795" s="14"/>
    </row>
    <row r="796" spans="2:59" s="15" customFormat="1" ht="14.25" x14ac:dyDescent="0.2">
      <c r="B796" s="27"/>
      <c r="C796" s="27"/>
      <c r="D796" s="27"/>
      <c r="E796" s="27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9"/>
      <c r="AE796" s="29"/>
      <c r="AF796" s="29"/>
      <c r="AG796" s="14"/>
      <c r="AH796" s="14"/>
      <c r="AI796" s="14"/>
      <c r="AJ796" s="14"/>
      <c r="AK796" s="14"/>
      <c r="AL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18"/>
      <c r="AX796" s="118"/>
      <c r="AY796" s="118"/>
      <c r="AZ796" s="14"/>
      <c r="BA796" s="14"/>
      <c r="BB796" s="14"/>
      <c r="BC796" s="14"/>
      <c r="BD796" s="14"/>
      <c r="BE796" s="14"/>
      <c r="BF796" s="14"/>
      <c r="BG796" s="14"/>
    </row>
    <row r="797" spans="2:59" s="15" customFormat="1" ht="14.25" x14ac:dyDescent="0.2">
      <c r="B797" s="27"/>
      <c r="C797" s="27"/>
      <c r="D797" s="27"/>
      <c r="E797" s="27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9"/>
      <c r="AE797" s="29"/>
      <c r="AF797" s="29"/>
      <c r="AG797" s="14"/>
      <c r="AH797" s="14"/>
      <c r="AI797" s="14"/>
      <c r="AJ797" s="14"/>
      <c r="AK797" s="14"/>
      <c r="AL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18"/>
      <c r="AX797" s="118"/>
      <c r="AY797" s="118"/>
      <c r="AZ797" s="14"/>
      <c r="BA797" s="14"/>
      <c r="BB797" s="14"/>
      <c r="BC797" s="14"/>
      <c r="BD797" s="14"/>
      <c r="BE797" s="14"/>
      <c r="BF797" s="14"/>
      <c r="BG797" s="14"/>
    </row>
    <row r="798" spans="2:59" s="15" customFormat="1" ht="14.25" x14ac:dyDescent="0.2">
      <c r="B798" s="27"/>
      <c r="C798" s="27"/>
      <c r="D798" s="27"/>
      <c r="E798" s="27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9"/>
      <c r="AE798" s="29"/>
      <c r="AF798" s="29"/>
      <c r="AG798" s="14"/>
      <c r="AH798" s="14"/>
      <c r="AI798" s="14"/>
      <c r="AJ798" s="14"/>
      <c r="AK798" s="14"/>
      <c r="AL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18"/>
      <c r="AX798" s="118"/>
      <c r="AY798" s="118"/>
      <c r="AZ798" s="14"/>
      <c r="BA798" s="14"/>
      <c r="BB798" s="14"/>
      <c r="BC798" s="14"/>
      <c r="BD798" s="14"/>
      <c r="BE798" s="14"/>
      <c r="BF798" s="14"/>
      <c r="BG798" s="14"/>
    </row>
    <row r="799" spans="2:59" s="15" customFormat="1" ht="14.25" x14ac:dyDescent="0.2">
      <c r="B799" s="27"/>
      <c r="C799" s="27"/>
      <c r="D799" s="27"/>
      <c r="E799" s="27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9"/>
      <c r="AE799" s="29"/>
      <c r="AF799" s="29"/>
      <c r="AG799" s="14"/>
      <c r="AH799" s="14"/>
      <c r="AI799" s="14"/>
      <c r="AJ799" s="14"/>
      <c r="AK799" s="14"/>
      <c r="AL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18"/>
      <c r="AX799" s="118"/>
      <c r="AY799" s="118"/>
      <c r="AZ799" s="14"/>
      <c r="BA799" s="14"/>
      <c r="BB799" s="14"/>
      <c r="BC799" s="14"/>
      <c r="BD799" s="14"/>
      <c r="BE799" s="14"/>
      <c r="BF799" s="14"/>
      <c r="BG799" s="14"/>
    </row>
    <row r="800" spans="2:59" s="15" customFormat="1" ht="14.25" x14ac:dyDescent="0.2">
      <c r="B800" s="27"/>
      <c r="C800" s="27"/>
      <c r="D800" s="27"/>
      <c r="E800" s="27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9"/>
      <c r="AE800" s="29"/>
      <c r="AF800" s="29"/>
      <c r="AG800" s="14"/>
      <c r="AH800" s="14"/>
      <c r="AI800" s="14"/>
      <c r="AJ800" s="14"/>
      <c r="AK800" s="14"/>
      <c r="AL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18"/>
      <c r="AX800" s="118"/>
      <c r="AY800" s="118"/>
      <c r="AZ800" s="14"/>
      <c r="BA800" s="14"/>
      <c r="BB800" s="14"/>
      <c r="BC800" s="14"/>
      <c r="BD800" s="14"/>
      <c r="BE800" s="14"/>
      <c r="BF800" s="14"/>
      <c r="BG800" s="14"/>
    </row>
    <row r="801" spans="2:59" s="15" customFormat="1" ht="14.25" x14ac:dyDescent="0.2">
      <c r="B801" s="27"/>
      <c r="C801" s="27"/>
      <c r="D801" s="27"/>
      <c r="E801" s="27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9"/>
      <c r="AE801" s="29"/>
      <c r="AF801" s="29"/>
      <c r="AG801" s="14"/>
      <c r="AH801" s="14"/>
      <c r="AI801" s="14"/>
      <c r="AJ801" s="14"/>
      <c r="AK801" s="14"/>
      <c r="AL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18"/>
      <c r="AX801" s="118"/>
      <c r="AY801" s="118"/>
      <c r="AZ801" s="14"/>
      <c r="BA801" s="14"/>
      <c r="BB801" s="14"/>
      <c r="BC801" s="14"/>
      <c r="BD801" s="14"/>
      <c r="BE801" s="14"/>
      <c r="BF801" s="14"/>
      <c r="BG801" s="14"/>
    </row>
    <row r="802" spans="2:59" s="15" customFormat="1" ht="14.25" x14ac:dyDescent="0.2">
      <c r="B802" s="27"/>
      <c r="C802" s="27"/>
      <c r="D802" s="27"/>
      <c r="E802" s="27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9"/>
      <c r="AE802" s="29"/>
      <c r="AF802" s="29"/>
      <c r="AG802" s="14"/>
      <c r="AH802" s="14"/>
      <c r="AI802" s="14"/>
      <c r="AJ802" s="14"/>
      <c r="AK802" s="14"/>
      <c r="AL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18"/>
      <c r="AX802" s="118"/>
      <c r="AY802" s="118"/>
      <c r="AZ802" s="14"/>
      <c r="BA802" s="14"/>
      <c r="BB802" s="14"/>
      <c r="BC802" s="14"/>
      <c r="BD802" s="14"/>
      <c r="BE802" s="14"/>
      <c r="BF802" s="14"/>
      <c r="BG802" s="14"/>
    </row>
    <row r="803" spans="2:59" s="15" customFormat="1" ht="14.25" x14ac:dyDescent="0.2">
      <c r="B803" s="27"/>
      <c r="C803" s="27"/>
      <c r="D803" s="27"/>
      <c r="E803" s="27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9"/>
      <c r="AE803" s="29"/>
      <c r="AF803" s="29"/>
      <c r="AG803" s="14"/>
      <c r="AH803" s="14"/>
      <c r="AI803" s="14"/>
      <c r="AJ803" s="14"/>
      <c r="AK803" s="14"/>
      <c r="AL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18"/>
      <c r="AX803" s="118"/>
      <c r="AY803" s="118"/>
      <c r="AZ803" s="14"/>
      <c r="BA803" s="14"/>
      <c r="BB803" s="14"/>
      <c r="BC803" s="14"/>
      <c r="BD803" s="14"/>
      <c r="BE803" s="14"/>
      <c r="BF803" s="14"/>
      <c r="BG803" s="14"/>
    </row>
    <row r="804" spans="2:59" s="15" customFormat="1" ht="14.25" x14ac:dyDescent="0.2">
      <c r="B804" s="27"/>
      <c r="C804" s="27"/>
      <c r="D804" s="27"/>
      <c r="E804" s="27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9"/>
      <c r="AE804" s="29"/>
      <c r="AF804" s="29"/>
      <c r="AG804" s="14"/>
      <c r="AH804" s="14"/>
      <c r="AI804" s="14"/>
      <c r="AJ804" s="14"/>
      <c r="AK804" s="14"/>
      <c r="AL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18"/>
      <c r="AX804" s="118"/>
      <c r="AY804" s="118"/>
      <c r="AZ804" s="14"/>
      <c r="BA804" s="14"/>
      <c r="BB804" s="14"/>
      <c r="BC804" s="14"/>
      <c r="BD804" s="14"/>
      <c r="BE804" s="14"/>
      <c r="BF804" s="14"/>
      <c r="BG804" s="14"/>
    </row>
    <row r="805" spans="2:59" s="15" customFormat="1" ht="14.25" x14ac:dyDescent="0.2">
      <c r="B805" s="27"/>
      <c r="C805" s="27"/>
      <c r="D805" s="27"/>
      <c r="E805" s="27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9"/>
      <c r="AE805" s="29"/>
      <c r="AF805" s="29"/>
      <c r="AG805" s="14"/>
      <c r="AH805" s="14"/>
      <c r="AI805" s="14"/>
      <c r="AJ805" s="14"/>
      <c r="AK805" s="14"/>
      <c r="AL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18"/>
      <c r="AX805" s="118"/>
      <c r="AY805" s="118"/>
      <c r="AZ805" s="14"/>
      <c r="BA805" s="14"/>
      <c r="BB805" s="14"/>
      <c r="BC805" s="14"/>
      <c r="BD805" s="14"/>
      <c r="BE805" s="14"/>
      <c r="BF805" s="14"/>
      <c r="BG805" s="14"/>
    </row>
    <row r="806" spans="2:59" s="15" customFormat="1" ht="14.25" x14ac:dyDescent="0.2">
      <c r="B806" s="27"/>
      <c r="C806" s="27"/>
      <c r="D806" s="27"/>
      <c r="E806" s="27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9"/>
      <c r="AE806" s="29"/>
      <c r="AF806" s="29"/>
      <c r="AG806" s="14"/>
      <c r="AH806" s="14"/>
      <c r="AI806" s="14"/>
      <c r="AJ806" s="14"/>
      <c r="AK806" s="14"/>
      <c r="AL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18"/>
      <c r="AX806" s="118"/>
      <c r="AY806" s="118"/>
      <c r="AZ806" s="14"/>
      <c r="BA806" s="14"/>
      <c r="BB806" s="14"/>
      <c r="BC806" s="14"/>
      <c r="BD806" s="14"/>
      <c r="BE806" s="14"/>
      <c r="BF806" s="14"/>
      <c r="BG806" s="14"/>
    </row>
    <row r="807" spans="2:59" s="15" customFormat="1" ht="14.25" x14ac:dyDescent="0.2">
      <c r="B807" s="27"/>
      <c r="C807" s="27"/>
      <c r="D807" s="27"/>
      <c r="E807" s="27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9"/>
      <c r="AE807" s="29"/>
      <c r="AF807" s="29"/>
      <c r="AG807" s="14"/>
      <c r="AH807" s="14"/>
      <c r="AI807" s="14"/>
      <c r="AJ807" s="14"/>
      <c r="AK807" s="14"/>
      <c r="AL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18"/>
      <c r="AX807" s="118"/>
      <c r="AY807" s="118"/>
      <c r="AZ807" s="14"/>
      <c r="BA807" s="14"/>
      <c r="BB807" s="14"/>
      <c r="BC807" s="14"/>
      <c r="BD807" s="14"/>
      <c r="BE807" s="14"/>
      <c r="BF807" s="14"/>
      <c r="BG807" s="14"/>
    </row>
    <row r="808" spans="2:59" s="15" customFormat="1" ht="14.25" x14ac:dyDescent="0.2">
      <c r="B808" s="27"/>
      <c r="C808" s="27"/>
      <c r="D808" s="27"/>
      <c r="E808" s="27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9"/>
      <c r="AE808" s="29"/>
      <c r="AF808" s="29"/>
      <c r="AG808" s="14"/>
      <c r="AH808" s="14"/>
      <c r="AI808" s="14"/>
      <c r="AJ808" s="14"/>
      <c r="AK808" s="14"/>
      <c r="AL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18"/>
      <c r="AX808" s="118"/>
      <c r="AY808" s="118"/>
      <c r="AZ808" s="14"/>
      <c r="BA808" s="14"/>
      <c r="BB808" s="14"/>
      <c r="BC808" s="14"/>
      <c r="BD808" s="14"/>
      <c r="BE808" s="14"/>
      <c r="BF808" s="14"/>
      <c r="BG808" s="14"/>
    </row>
    <row r="809" spans="2:59" s="15" customFormat="1" ht="14.25" x14ac:dyDescent="0.2">
      <c r="B809" s="27"/>
      <c r="C809" s="27"/>
      <c r="D809" s="27"/>
      <c r="E809" s="27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9"/>
      <c r="AE809" s="29"/>
      <c r="AF809" s="29"/>
      <c r="AG809" s="14"/>
      <c r="AH809" s="14"/>
      <c r="AI809" s="14"/>
      <c r="AJ809" s="14"/>
      <c r="AK809" s="14"/>
      <c r="AL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18"/>
      <c r="AX809" s="118"/>
      <c r="AY809" s="118"/>
      <c r="AZ809" s="14"/>
      <c r="BA809" s="14"/>
      <c r="BB809" s="14"/>
      <c r="BC809" s="14"/>
      <c r="BD809" s="14"/>
      <c r="BE809" s="14"/>
      <c r="BF809" s="14"/>
      <c r="BG809" s="14"/>
    </row>
    <row r="810" spans="2:59" s="15" customFormat="1" ht="14.25" x14ac:dyDescent="0.2">
      <c r="B810" s="27"/>
      <c r="C810" s="27"/>
      <c r="D810" s="27"/>
      <c r="E810" s="27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9"/>
      <c r="AE810" s="29"/>
      <c r="AF810" s="29"/>
      <c r="AG810" s="14"/>
      <c r="AH810" s="14"/>
      <c r="AI810" s="14"/>
      <c r="AJ810" s="14"/>
      <c r="AK810" s="14"/>
      <c r="AL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18"/>
      <c r="AX810" s="118"/>
      <c r="AY810" s="118"/>
      <c r="AZ810" s="14"/>
      <c r="BA810" s="14"/>
      <c r="BB810" s="14"/>
      <c r="BC810" s="14"/>
      <c r="BD810" s="14"/>
      <c r="BE810" s="14"/>
      <c r="BF810" s="14"/>
      <c r="BG810" s="14"/>
    </row>
    <row r="811" spans="2:59" s="15" customFormat="1" ht="14.25" x14ac:dyDescent="0.2">
      <c r="B811" s="27"/>
      <c r="C811" s="27"/>
      <c r="D811" s="27"/>
      <c r="E811" s="27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9"/>
      <c r="AE811" s="29"/>
      <c r="AF811" s="29"/>
      <c r="AG811" s="14"/>
      <c r="AH811" s="14"/>
      <c r="AI811" s="14"/>
      <c r="AJ811" s="14"/>
      <c r="AK811" s="14"/>
      <c r="AL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18"/>
      <c r="AX811" s="118"/>
      <c r="AY811" s="118"/>
      <c r="AZ811" s="14"/>
      <c r="BA811" s="14"/>
      <c r="BB811" s="14"/>
      <c r="BC811" s="14"/>
      <c r="BD811" s="14"/>
      <c r="BE811" s="14"/>
      <c r="BF811" s="14"/>
      <c r="BG811" s="14"/>
    </row>
    <row r="812" spans="2:59" s="15" customFormat="1" ht="14.25" x14ac:dyDescent="0.2">
      <c r="B812" s="27"/>
      <c r="C812" s="27"/>
      <c r="D812" s="27"/>
      <c r="E812" s="27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9"/>
      <c r="AE812" s="29"/>
      <c r="AF812" s="29"/>
      <c r="AG812" s="14"/>
      <c r="AH812" s="14"/>
      <c r="AI812" s="14"/>
      <c r="AJ812" s="14"/>
      <c r="AK812" s="14"/>
      <c r="AL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18"/>
      <c r="AX812" s="118"/>
      <c r="AY812" s="118"/>
      <c r="AZ812" s="14"/>
      <c r="BA812" s="14"/>
      <c r="BB812" s="14"/>
      <c r="BC812" s="14"/>
      <c r="BD812" s="14"/>
      <c r="BE812" s="14"/>
      <c r="BF812" s="14"/>
      <c r="BG812" s="14"/>
    </row>
    <row r="813" spans="2:59" s="15" customFormat="1" ht="14.25" x14ac:dyDescent="0.2">
      <c r="B813" s="27"/>
      <c r="C813" s="27"/>
      <c r="D813" s="27"/>
      <c r="E813" s="27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9"/>
      <c r="AE813" s="29"/>
      <c r="AF813" s="29"/>
      <c r="AG813" s="14"/>
      <c r="AH813" s="14"/>
      <c r="AI813" s="14"/>
      <c r="AJ813" s="14"/>
      <c r="AK813" s="14"/>
      <c r="AL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18"/>
      <c r="AX813" s="118"/>
      <c r="AY813" s="118"/>
      <c r="AZ813" s="14"/>
      <c r="BA813" s="14"/>
      <c r="BB813" s="14"/>
      <c r="BC813" s="14"/>
      <c r="BD813" s="14"/>
      <c r="BE813" s="14"/>
      <c r="BF813" s="14"/>
      <c r="BG813" s="14"/>
    </row>
    <row r="814" spans="2:59" s="15" customFormat="1" ht="14.25" x14ac:dyDescent="0.2">
      <c r="B814" s="27"/>
      <c r="C814" s="27"/>
      <c r="D814" s="27"/>
      <c r="E814" s="27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9"/>
      <c r="AE814" s="29"/>
      <c r="AF814" s="29"/>
      <c r="AG814" s="14"/>
      <c r="AH814" s="14"/>
      <c r="AI814" s="14"/>
      <c r="AJ814" s="14"/>
      <c r="AK814" s="14"/>
      <c r="AL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18"/>
      <c r="AX814" s="118"/>
      <c r="AY814" s="118"/>
      <c r="AZ814" s="14"/>
      <c r="BA814" s="14"/>
      <c r="BB814" s="14"/>
      <c r="BC814" s="14"/>
      <c r="BD814" s="14"/>
      <c r="BE814" s="14"/>
      <c r="BF814" s="14"/>
      <c r="BG814" s="14"/>
    </row>
    <row r="815" spans="2:59" s="15" customFormat="1" ht="14.25" x14ac:dyDescent="0.2">
      <c r="B815" s="27"/>
      <c r="C815" s="27"/>
      <c r="D815" s="27"/>
      <c r="E815" s="27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9"/>
      <c r="AE815" s="29"/>
      <c r="AF815" s="29"/>
      <c r="AG815" s="14"/>
      <c r="AH815" s="14"/>
      <c r="AI815" s="14"/>
      <c r="AJ815" s="14"/>
      <c r="AK815" s="14"/>
      <c r="AL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18"/>
      <c r="AX815" s="118"/>
      <c r="AY815" s="118"/>
      <c r="AZ815" s="14"/>
      <c r="BA815" s="14"/>
      <c r="BB815" s="14"/>
      <c r="BC815" s="14"/>
      <c r="BD815" s="14"/>
      <c r="BE815" s="14"/>
      <c r="BF815" s="14"/>
      <c r="BG815" s="14"/>
    </row>
    <row r="816" spans="2:59" s="15" customFormat="1" ht="14.25" x14ac:dyDescent="0.2">
      <c r="B816" s="27"/>
      <c r="C816" s="27"/>
      <c r="D816" s="27"/>
      <c r="E816" s="27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9"/>
      <c r="AE816" s="29"/>
      <c r="AF816" s="29"/>
      <c r="AG816" s="14"/>
      <c r="AH816" s="14"/>
      <c r="AI816" s="14"/>
      <c r="AJ816" s="14"/>
      <c r="AK816" s="14"/>
      <c r="AL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18"/>
      <c r="AX816" s="118"/>
      <c r="AY816" s="118"/>
      <c r="AZ816" s="14"/>
      <c r="BA816" s="14"/>
      <c r="BB816" s="14"/>
      <c r="BC816" s="14"/>
      <c r="BD816" s="14"/>
      <c r="BE816" s="14"/>
      <c r="BF816" s="14"/>
      <c r="BG816" s="14"/>
    </row>
    <row r="817" spans="2:59" s="15" customFormat="1" ht="14.25" x14ac:dyDescent="0.2">
      <c r="B817" s="27"/>
      <c r="C817" s="27"/>
      <c r="D817" s="27"/>
      <c r="E817" s="27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9"/>
      <c r="AE817" s="29"/>
      <c r="AF817" s="29"/>
      <c r="AG817" s="14"/>
      <c r="AH817" s="14"/>
      <c r="AI817" s="14"/>
      <c r="AJ817" s="14"/>
      <c r="AK817" s="14"/>
      <c r="AL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18"/>
      <c r="AX817" s="118"/>
      <c r="AY817" s="118"/>
      <c r="AZ817" s="14"/>
      <c r="BA817" s="14"/>
      <c r="BB817" s="14"/>
      <c r="BC817" s="14"/>
      <c r="BD817" s="14"/>
      <c r="BE817" s="14"/>
      <c r="BF817" s="14"/>
      <c r="BG817" s="14"/>
    </row>
    <row r="818" spans="2:59" s="15" customFormat="1" ht="14.25" x14ac:dyDescent="0.2">
      <c r="B818" s="27"/>
      <c r="C818" s="27"/>
      <c r="D818" s="27"/>
      <c r="E818" s="27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9"/>
      <c r="AE818" s="29"/>
      <c r="AF818" s="29"/>
      <c r="AG818" s="14"/>
      <c r="AH818" s="14"/>
      <c r="AI818" s="14"/>
      <c r="AJ818" s="14"/>
      <c r="AK818" s="14"/>
      <c r="AL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18"/>
      <c r="AX818" s="118"/>
      <c r="AY818" s="118"/>
      <c r="AZ818" s="14"/>
      <c r="BA818" s="14"/>
      <c r="BB818" s="14"/>
      <c r="BC818" s="14"/>
      <c r="BD818" s="14"/>
      <c r="BE818" s="14"/>
      <c r="BF818" s="14"/>
      <c r="BG818" s="14"/>
    </row>
    <row r="819" spans="2:59" s="15" customFormat="1" ht="14.25" x14ac:dyDescent="0.2">
      <c r="B819" s="27"/>
      <c r="C819" s="27"/>
      <c r="D819" s="27"/>
      <c r="E819" s="27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9"/>
      <c r="AE819" s="29"/>
      <c r="AF819" s="29"/>
      <c r="AG819" s="14"/>
      <c r="AH819" s="14"/>
      <c r="AI819" s="14"/>
      <c r="AJ819" s="14"/>
      <c r="AK819" s="14"/>
      <c r="AL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18"/>
      <c r="AX819" s="118"/>
      <c r="AY819" s="118"/>
      <c r="AZ819" s="14"/>
      <c r="BA819" s="14"/>
      <c r="BB819" s="14"/>
      <c r="BC819" s="14"/>
      <c r="BD819" s="14"/>
      <c r="BE819" s="14"/>
      <c r="BF819" s="14"/>
      <c r="BG819" s="14"/>
    </row>
    <row r="820" spans="2:59" s="15" customFormat="1" ht="14.25" x14ac:dyDescent="0.2">
      <c r="B820" s="27"/>
      <c r="C820" s="27"/>
      <c r="D820" s="27"/>
      <c r="E820" s="27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9"/>
      <c r="AE820" s="29"/>
      <c r="AF820" s="29"/>
      <c r="AG820" s="14"/>
      <c r="AH820" s="14"/>
      <c r="AI820" s="14"/>
      <c r="AJ820" s="14"/>
      <c r="AK820" s="14"/>
      <c r="AL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18"/>
      <c r="AX820" s="118"/>
      <c r="AY820" s="118"/>
      <c r="AZ820" s="14"/>
      <c r="BA820" s="14"/>
      <c r="BB820" s="14"/>
      <c r="BC820" s="14"/>
      <c r="BD820" s="14"/>
      <c r="BE820" s="14"/>
      <c r="BF820" s="14"/>
      <c r="BG820" s="14"/>
    </row>
    <row r="821" spans="2:59" s="15" customFormat="1" ht="14.25" x14ac:dyDescent="0.2">
      <c r="B821" s="27"/>
      <c r="C821" s="27"/>
      <c r="D821" s="27"/>
      <c r="E821" s="27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9"/>
      <c r="AE821" s="29"/>
      <c r="AF821" s="29"/>
      <c r="AG821" s="14"/>
      <c r="AH821" s="14"/>
      <c r="AI821" s="14"/>
      <c r="AJ821" s="14"/>
      <c r="AK821" s="14"/>
      <c r="AL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18"/>
      <c r="AX821" s="118"/>
      <c r="AY821" s="118"/>
      <c r="AZ821" s="14"/>
      <c r="BA821" s="14"/>
      <c r="BB821" s="14"/>
      <c r="BC821" s="14"/>
      <c r="BD821" s="14"/>
      <c r="BE821" s="14"/>
      <c r="BF821" s="14"/>
      <c r="BG821" s="14"/>
    </row>
    <row r="822" spans="2:59" s="15" customFormat="1" ht="14.25" x14ac:dyDescent="0.2">
      <c r="B822" s="27"/>
      <c r="C822" s="27"/>
      <c r="D822" s="27"/>
      <c r="E822" s="27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9"/>
      <c r="AE822" s="29"/>
      <c r="AF822" s="29"/>
      <c r="AG822" s="14"/>
      <c r="AH822" s="14"/>
      <c r="AI822" s="14"/>
      <c r="AJ822" s="14"/>
      <c r="AK822" s="14"/>
      <c r="AL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18"/>
      <c r="AX822" s="118"/>
      <c r="AY822" s="118"/>
      <c r="AZ822" s="14"/>
      <c r="BA822" s="14"/>
      <c r="BB822" s="14"/>
      <c r="BC822" s="14"/>
      <c r="BD822" s="14"/>
      <c r="BE822" s="14"/>
      <c r="BF822" s="14"/>
      <c r="BG822" s="14"/>
    </row>
    <row r="823" spans="2:59" s="15" customFormat="1" ht="14.25" x14ac:dyDescent="0.2">
      <c r="B823" s="27"/>
      <c r="C823" s="27"/>
      <c r="D823" s="27"/>
      <c r="E823" s="27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9"/>
      <c r="AE823" s="29"/>
      <c r="AF823" s="29"/>
      <c r="AG823" s="14"/>
      <c r="AH823" s="14"/>
      <c r="AI823" s="14"/>
      <c r="AJ823" s="14"/>
      <c r="AK823" s="14"/>
      <c r="AL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18"/>
      <c r="AX823" s="118"/>
      <c r="AY823" s="118"/>
      <c r="AZ823" s="14"/>
      <c r="BA823" s="14"/>
      <c r="BB823" s="14"/>
      <c r="BC823" s="14"/>
      <c r="BD823" s="14"/>
      <c r="BE823" s="14"/>
      <c r="BF823" s="14"/>
      <c r="BG823" s="14"/>
    </row>
    <row r="824" spans="2:59" s="15" customFormat="1" ht="14.25" x14ac:dyDescent="0.2">
      <c r="B824" s="27"/>
      <c r="C824" s="27"/>
      <c r="D824" s="27"/>
      <c r="E824" s="27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9"/>
      <c r="AE824" s="29"/>
      <c r="AF824" s="29"/>
      <c r="AG824" s="14"/>
      <c r="AH824" s="14"/>
      <c r="AI824" s="14"/>
      <c r="AJ824" s="14"/>
      <c r="AK824" s="14"/>
      <c r="AL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18"/>
      <c r="AX824" s="118"/>
      <c r="AY824" s="118"/>
      <c r="AZ824" s="14"/>
      <c r="BA824" s="14"/>
      <c r="BB824" s="14"/>
      <c r="BC824" s="14"/>
      <c r="BD824" s="14"/>
      <c r="BE824" s="14"/>
      <c r="BF824" s="14"/>
      <c r="BG824" s="14"/>
    </row>
    <row r="825" spans="2:59" s="15" customFormat="1" ht="14.25" x14ac:dyDescent="0.2">
      <c r="B825" s="27"/>
      <c r="C825" s="27"/>
      <c r="D825" s="27"/>
      <c r="E825" s="27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9"/>
      <c r="AE825" s="29"/>
      <c r="AF825" s="29"/>
      <c r="AG825" s="14"/>
      <c r="AH825" s="14"/>
      <c r="AI825" s="14"/>
      <c r="AJ825" s="14"/>
      <c r="AK825" s="14"/>
      <c r="AL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18"/>
      <c r="AX825" s="118"/>
      <c r="AY825" s="118"/>
      <c r="AZ825" s="14"/>
      <c r="BA825" s="14"/>
      <c r="BB825" s="14"/>
      <c r="BC825" s="14"/>
      <c r="BD825" s="14"/>
      <c r="BE825" s="14"/>
      <c r="BF825" s="14"/>
      <c r="BG825" s="14"/>
    </row>
    <row r="826" spans="2:59" s="15" customFormat="1" ht="14.25" x14ac:dyDescent="0.2">
      <c r="B826" s="27"/>
      <c r="C826" s="27"/>
      <c r="D826" s="27"/>
      <c r="E826" s="27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9"/>
      <c r="AE826" s="29"/>
      <c r="AF826" s="29"/>
      <c r="AG826" s="14"/>
      <c r="AH826" s="14"/>
      <c r="AI826" s="14"/>
      <c r="AJ826" s="14"/>
      <c r="AK826" s="14"/>
      <c r="AL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18"/>
      <c r="AX826" s="118"/>
      <c r="AY826" s="118"/>
      <c r="AZ826" s="14"/>
      <c r="BA826" s="14"/>
      <c r="BB826" s="14"/>
      <c r="BC826" s="14"/>
      <c r="BD826" s="14"/>
      <c r="BE826" s="14"/>
      <c r="BF826" s="14"/>
      <c r="BG826" s="14"/>
    </row>
    <row r="827" spans="2:59" s="15" customFormat="1" ht="14.25" x14ac:dyDescent="0.2">
      <c r="B827" s="27"/>
      <c r="C827" s="27"/>
      <c r="D827" s="27"/>
      <c r="E827" s="27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9"/>
      <c r="AE827" s="29"/>
      <c r="AF827" s="29"/>
      <c r="AG827" s="14"/>
      <c r="AH827" s="14"/>
      <c r="AI827" s="14"/>
      <c r="AJ827" s="14"/>
      <c r="AK827" s="14"/>
      <c r="AL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18"/>
      <c r="AX827" s="118"/>
      <c r="AY827" s="118"/>
      <c r="AZ827" s="14"/>
      <c r="BA827" s="14"/>
      <c r="BB827" s="14"/>
      <c r="BC827" s="14"/>
      <c r="BD827" s="14"/>
      <c r="BE827" s="14"/>
      <c r="BF827" s="14"/>
      <c r="BG827" s="14"/>
    </row>
    <row r="828" spans="2:59" s="15" customFormat="1" ht="14.25" x14ac:dyDescent="0.2">
      <c r="B828" s="27"/>
      <c r="C828" s="27"/>
      <c r="D828" s="27"/>
      <c r="E828" s="27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9"/>
      <c r="AE828" s="29"/>
      <c r="AF828" s="29"/>
      <c r="AG828" s="14"/>
      <c r="AH828" s="14"/>
      <c r="AI828" s="14"/>
      <c r="AJ828" s="14"/>
      <c r="AK828" s="14"/>
      <c r="AL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18"/>
      <c r="AX828" s="118"/>
      <c r="AY828" s="118"/>
      <c r="AZ828" s="14"/>
      <c r="BA828" s="14"/>
      <c r="BB828" s="14"/>
      <c r="BC828" s="14"/>
      <c r="BD828" s="14"/>
      <c r="BE828" s="14"/>
      <c r="BF828" s="14"/>
      <c r="BG828" s="14"/>
    </row>
    <row r="829" spans="2:59" s="15" customFormat="1" ht="14.25" x14ac:dyDescent="0.2">
      <c r="B829" s="27"/>
      <c r="C829" s="27"/>
      <c r="D829" s="27"/>
      <c r="E829" s="27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9"/>
      <c r="AE829" s="29"/>
      <c r="AF829" s="29"/>
      <c r="AG829" s="14"/>
      <c r="AH829" s="14"/>
      <c r="AI829" s="14"/>
      <c r="AJ829" s="14"/>
      <c r="AK829" s="14"/>
      <c r="AL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18"/>
      <c r="AX829" s="118"/>
      <c r="AY829" s="118"/>
      <c r="AZ829" s="14"/>
      <c r="BA829" s="14"/>
      <c r="BB829" s="14"/>
      <c r="BC829" s="14"/>
      <c r="BD829" s="14"/>
      <c r="BE829" s="14"/>
      <c r="BF829" s="14"/>
      <c r="BG829" s="14"/>
    </row>
    <row r="830" spans="2:59" s="15" customFormat="1" ht="14.25" x14ac:dyDescent="0.2">
      <c r="B830" s="27"/>
      <c r="C830" s="27"/>
      <c r="D830" s="27"/>
      <c r="E830" s="27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9"/>
      <c r="AE830" s="29"/>
      <c r="AF830" s="29"/>
      <c r="AG830" s="14"/>
      <c r="AH830" s="14"/>
      <c r="AI830" s="14"/>
      <c r="AJ830" s="14"/>
      <c r="AK830" s="14"/>
      <c r="AL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18"/>
      <c r="AX830" s="118"/>
      <c r="AY830" s="118"/>
      <c r="AZ830" s="14"/>
      <c r="BA830" s="14"/>
      <c r="BB830" s="14"/>
      <c r="BC830" s="14"/>
      <c r="BD830" s="14"/>
      <c r="BE830" s="14"/>
      <c r="BF830" s="14"/>
      <c r="BG830" s="14"/>
    </row>
    <row r="831" spans="2:59" s="15" customFormat="1" ht="14.25" x14ac:dyDescent="0.2">
      <c r="B831" s="27"/>
      <c r="C831" s="27"/>
      <c r="D831" s="27"/>
      <c r="E831" s="27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9"/>
      <c r="AE831" s="29"/>
      <c r="AF831" s="29"/>
      <c r="AG831" s="14"/>
      <c r="AH831" s="14"/>
      <c r="AI831" s="14"/>
      <c r="AJ831" s="14"/>
      <c r="AK831" s="14"/>
      <c r="AL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18"/>
      <c r="AX831" s="118"/>
      <c r="AY831" s="118"/>
      <c r="AZ831" s="14"/>
      <c r="BA831" s="14"/>
      <c r="BB831" s="14"/>
      <c r="BC831" s="14"/>
      <c r="BD831" s="14"/>
      <c r="BE831" s="14"/>
      <c r="BF831" s="14"/>
      <c r="BG831" s="14"/>
    </row>
    <row r="832" spans="2:59" s="15" customFormat="1" ht="14.25" x14ac:dyDescent="0.2">
      <c r="B832" s="27"/>
      <c r="C832" s="27"/>
      <c r="D832" s="27"/>
      <c r="E832" s="27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9"/>
      <c r="AE832" s="29"/>
      <c r="AF832" s="29"/>
      <c r="AG832" s="14"/>
      <c r="AH832" s="14"/>
      <c r="AI832" s="14"/>
      <c r="AJ832" s="14"/>
      <c r="AK832" s="14"/>
      <c r="AL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18"/>
      <c r="AX832" s="118"/>
      <c r="AY832" s="118"/>
      <c r="AZ832" s="14"/>
      <c r="BA832" s="14"/>
      <c r="BB832" s="14"/>
      <c r="BC832" s="14"/>
      <c r="BD832" s="14"/>
      <c r="BE832" s="14"/>
      <c r="BF832" s="14"/>
      <c r="BG832" s="14"/>
    </row>
    <row r="833" spans="2:59" s="15" customFormat="1" ht="14.25" x14ac:dyDescent="0.2">
      <c r="B833" s="27"/>
      <c r="C833" s="27"/>
      <c r="D833" s="27"/>
      <c r="E833" s="27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9"/>
      <c r="AE833" s="29"/>
      <c r="AF833" s="29"/>
      <c r="AG833" s="14"/>
      <c r="AH833" s="14"/>
      <c r="AI833" s="14"/>
      <c r="AJ833" s="14"/>
      <c r="AK833" s="14"/>
      <c r="AL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18"/>
      <c r="AX833" s="118"/>
      <c r="AY833" s="118"/>
      <c r="AZ833" s="14"/>
      <c r="BA833" s="14"/>
      <c r="BB833" s="14"/>
      <c r="BC833" s="14"/>
      <c r="BD833" s="14"/>
      <c r="BE833" s="14"/>
      <c r="BF833" s="14"/>
      <c r="BG833" s="14"/>
    </row>
    <row r="834" spans="2:59" s="15" customFormat="1" ht="14.25" x14ac:dyDescent="0.2">
      <c r="B834" s="27"/>
      <c r="C834" s="27"/>
      <c r="D834" s="27"/>
      <c r="E834" s="27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9"/>
      <c r="AE834" s="29"/>
      <c r="AF834" s="29"/>
      <c r="AG834" s="14"/>
      <c r="AH834" s="14"/>
      <c r="AI834" s="14"/>
      <c r="AJ834" s="14"/>
      <c r="AK834" s="14"/>
      <c r="AL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18"/>
      <c r="AX834" s="118"/>
      <c r="AY834" s="118"/>
      <c r="AZ834" s="14"/>
      <c r="BA834" s="14"/>
      <c r="BB834" s="14"/>
      <c r="BC834" s="14"/>
      <c r="BD834" s="14"/>
      <c r="BE834" s="14"/>
      <c r="BF834" s="14"/>
      <c r="BG834" s="14"/>
    </row>
    <row r="835" spans="2:59" s="15" customFormat="1" ht="14.25" x14ac:dyDescent="0.2">
      <c r="B835" s="27"/>
      <c r="C835" s="27"/>
      <c r="D835" s="27"/>
      <c r="E835" s="27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9"/>
      <c r="AE835" s="29"/>
      <c r="AF835" s="29"/>
      <c r="AG835" s="14"/>
      <c r="AH835" s="14"/>
      <c r="AI835" s="14"/>
      <c r="AJ835" s="14"/>
      <c r="AK835" s="14"/>
      <c r="AL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18"/>
      <c r="AX835" s="118"/>
      <c r="AY835" s="118"/>
      <c r="AZ835" s="14"/>
      <c r="BA835" s="14"/>
      <c r="BB835" s="14"/>
      <c r="BC835" s="14"/>
      <c r="BD835" s="14"/>
      <c r="BE835" s="14"/>
      <c r="BF835" s="14"/>
      <c r="BG835" s="14"/>
    </row>
    <row r="836" spans="2:59" s="15" customFormat="1" ht="14.25" x14ac:dyDescent="0.2">
      <c r="B836" s="27"/>
      <c r="C836" s="27"/>
      <c r="D836" s="27"/>
      <c r="E836" s="27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9"/>
      <c r="AE836" s="29"/>
      <c r="AF836" s="29"/>
      <c r="AG836" s="14"/>
      <c r="AH836" s="14"/>
      <c r="AI836" s="14"/>
      <c r="AJ836" s="14"/>
      <c r="AK836" s="14"/>
      <c r="AL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18"/>
      <c r="AX836" s="118"/>
      <c r="AY836" s="118"/>
      <c r="AZ836" s="14"/>
      <c r="BA836" s="14"/>
      <c r="BB836" s="14"/>
      <c r="BC836" s="14"/>
      <c r="BD836" s="14"/>
      <c r="BE836" s="14"/>
      <c r="BF836" s="14"/>
      <c r="BG836" s="14"/>
    </row>
    <row r="837" spans="2:59" s="15" customFormat="1" ht="14.25" x14ac:dyDescent="0.2">
      <c r="B837" s="27"/>
      <c r="C837" s="27"/>
      <c r="D837" s="27"/>
      <c r="E837" s="27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9"/>
      <c r="AE837" s="29"/>
      <c r="AF837" s="29"/>
      <c r="AG837" s="14"/>
      <c r="AH837" s="14"/>
      <c r="AI837" s="14"/>
      <c r="AJ837" s="14"/>
      <c r="AK837" s="14"/>
      <c r="AL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18"/>
      <c r="AX837" s="118"/>
      <c r="AY837" s="118"/>
      <c r="AZ837" s="14"/>
      <c r="BA837" s="14"/>
      <c r="BB837" s="14"/>
      <c r="BC837" s="14"/>
      <c r="BD837" s="14"/>
      <c r="BE837" s="14"/>
      <c r="BF837" s="14"/>
      <c r="BG837" s="14"/>
    </row>
    <row r="838" spans="2:59" s="15" customFormat="1" ht="14.25" x14ac:dyDescent="0.2">
      <c r="B838" s="27"/>
      <c r="C838" s="27"/>
      <c r="D838" s="27"/>
      <c r="E838" s="27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9"/>
      <c r="AE838" s="29"/>
      <c r="AF838" s="29"/>
      <c r="AG838" s="14"/>
      <c r="AH838" s="14"/>
      <c r="AI838" s="14"/>
      <c r="AJ838" s="14"/>
      <c r="AK838" s="14"/>
      <c r="AL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18"/>
      <c r="AX838" s="118"/>
      <c r="AY838" s="118"/>
      <c r="AZ838" s="14"/>
      <c r="BA838" s="14"/>
      <c r="BB838" s="14"/>
      <c r="BC838" s="14"/>
      <c r="BD838" s="14"/>
      <c r="BE838" s="14"/>
      <c r="BF838" s="14"/>
      <c r="BG838" s="14"/>
    </row>
    <row r="839" spans="2:59" s="15" customFormat="1" ht="14.25" x14ac:dyDescent="0.2">
      <c r="B839" s="27"/>
      <c r="C839" s="27"/>
      <c r="D839" s="27"/>
      <c r="E839" s="27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9"/>
      <c r="AE839" s="29"/>
      <c r="AF839" s="29"/>
      <c r="AG839" s="14"/>
      <c r="AH839" s="14"/>
      <c r="AI839" s="14"/>
      <c r="AJ839" s="14"/>
      <c r="AK839" s="14"/>
      <c r="AL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18"/>
      <c r="AX839" s="118"/>
      <c r="AY839" s="118"/>
      <c r="AZ839" s="14"/>
      <c r="BA839" s="14"/>
      <c r="BB839" s="14"/>
      <c r="BC839" s="14"/>
      <c r="BD839" s="14"/>
      <c r="BE839" s="14"/>
      <c r="BF839" s="14"/>
      <c r="BG839" s="14"/>
    </row>
    <row r="840" spans="2:59" s="15" customFormat="1" ht="14.25" x14ac:dyDescent="0.2">
      <c r="B840" s="27"/>
      <c r="C840" s="27"/>
      <c r="D840" s="27"/>
      <c r="E840" s="27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9"/>
      <c r="AE840" s="29"/>
      <c r="AF840" s="29"/>
      <c r="AG840" s="14"/>
      <c r="AH840" s="14"/>
      <c r="AI840" s="14"/>
      <c r="AJ840" s="14"/>
      <c r="AK840" s="14"/>
      <c r="AL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18"/>
      <c r="AX840" s="118"/>
      <c r="AY840" s="118"/>
      <c r="AZ840" s="14"/>
      <c r="BA840" s="14"/>
      <c r="BB840" s="14"/>
      <c r="BC840" s="14"/>
      <c r="BD840" s="14"/>
      <c r="BE840" s="14"/>
      <c r="BF840" s="14"/>
      <c r="BG840" s="14"/>
    </row>
    <row r="841" spans="2:59" s="15" customFormat="1" ht="14.25" x14ac:dyDescent="0.2">
      <c r="B841" s="27"/>
      <c r="C841" s="27"/>
      <c r="D841" s="27"/>
      <c r="E841" s="27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9"/>
      <c r="AE841" s="29"/>
      <c r="AF841" s="29"/>
      <c r="AG841" s="14"/>
      <c r="AH841" s="14"/>
      <c r="AI841" s="14"/>
      <c r="AJ841" s="14"/>
      <c r="AK841" s="14"/>
      <c r="AL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18"/>
      <c r="AX841" s="118"/>
      <c r="AY841" s="118"/>
      <c r="AZ841" s="14"/>
      <c r="BA841" s="14"/>
      <c r="BB841" s="14"/>
      <c r="BC841" s="14"/>
      <c r="BD841" s="14"/>
      <c r="BE841" s="14"/>
      <c r="BF841" s="14"/>
      <c r="BG841" s="14"/>
    </row>
    <row r="842" spans="2:59" s="15" customFormat="1" ht="14.25" x14ac:dyDescent="0.2">
      <c r="B842" s="27"/>
      <c r="C842" s="27"/>
      <c r="D842" s="27"/>
      <c r="E842" s="27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9"/>
      <c r="AE842" s="29"/>
      <c r="AF842" s="29"/>
      <c r="AG842" s="14"/>
      <c r="AH842" s="14"/>
      <c r="AI842" s="14"/>
      <c r="AJ842" s="14"/>
      <c r="AK842" s="14"/>
      <c r="AL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18"/>
      <c r="AX842" s="118"/>
      <c r="AY842" s="118"/>
      <c r="AZ842" s="14"/>
      <c r="BA842" s="14"/>
      <c r="BB842" s="14"/>
      <c r="BC842" s="14"/>
      <c r="BD842" s="14"/>
      <c r="BE842" s="14"/>
      <c r="BF842" s="14"/>
      <c r="BG842" s="14"/>
    </row>
    <row r="843" spans="2:59" s="15" customFormat="1" ht="14.25" x14ac:dyDescent="0.2">
      <c r="B843" s="27"/>
      <c r="C843" s="27"/>
      <c r="D843" s="27"/>
      <c r="E843" s="27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9"/>
      <c r="AE843" s="29"/>
      <c r="AF843" s="29"/>
      <c r="AG843" s="14"/>
      <c r="AH843" s="14"/>
      <c r="AI843" s="14"/>
      <c r="AJ843" s="14"/>
      <c r="AK843" s="14"/>
      <c r="AL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18"/>
      <c r="AX843" s="118"/>
      <c r="AY843" s="118"/>
      <c r="AZ843" s="14"/>
      <c r="BA843" s="14"/>
      <c r="BB843" s="14"/>
      <c r="BC843" s="14"/>
      <c r="BD843" s="14"/>
      <c r="BE843" s="14"/>
      <c r="BF843" s="14"/>
      <c r="BG843" s="14"/>
    </row>
    <row r="844" spans="2:59" s="15" customFormat="1" ht="14.25" x14ac:dyDescent="0.2">
      <c r="B844" s="27"/>
      <c r="C844" s="27"/>
      <c r="D844" s="27"/>
      <c r="E844" s="27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9"/>
      <c r="AE844" s="29"/>
      <c r="AF844" s="29"/>
      <c r="AG844" s="14"/>
      <c r="AH844" s="14"/>
      <c r="AI844" s="14"/>
      <c r="AJ844" s="14"/>
      <c r="AK844" s="14"/>
      <c r="AL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18"/>
      <c r="AX844" s="118"/>
      <c r="AY844" s="118"/>
      <c r="AZ844" s="14"/>
      <c r="BA844" s="14"/>
      <c r="BB844" s="14"/>
      <c r="BC844" s="14"/>
      <c r="BD844" s="14"/>
      <c r="BE844" s="14"/>
      <c r="BF844" s="14"/>
      <c r="BG844" s="14"/>
    </row>
    <row r="845" spans="2:59" s="15" customFormat="1" ht="14.25" x14ac:dyDescent="0.2">
      <c r="B845" s="27"/>
      <c r="C845" s="27"/>
      <c r="D845" s="27"/>
      <c r="E845" s="27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9"/>
      <c r="AE845" s="29"/>
      <c r="AF845" s="29"/>
      <c r="AG845" s="14"/>
      <c r="AH845" s="14"/>
      <c r="AI845" s="14"/>
      <c r="AJ845" s="14"/>
      <c r="AK845" s="14"/>
      <c r="AL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18"/>
      <c r="AX845" s="118"/>
      <c r="AY845" s="118"/>
      <c r="AZ845" s="14"/>
      <c r="BA845" s="14"/>
      <c r="BB845" s="14"/>
      <c r="BC845" s="14"/>
      <c r="BD845" s="14"/>
      <c r="BE845" s="14"/>
      <c r="BF845" s="14"/>
      <c r="BG845" s="14"/>
    </row>
    <row r="846" spans="2:59" s="15" customFormat="1" ht="14.25" x14ac:dyDescent="0.2">
      <c r="B846" s="27"/>
      <c r="C846" s="27"/>
      <c r="D846" s="27"/>
      <c r="E846" s="27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9"/>
      <c r="AE846" s="29"/>
      <c r="AF846" s="29"/>
      <c r="AG846" s="14"/>
      <c r="AH846" s="14"/>
      <c r="AI846" s="14"/>
      <c r="AJ846" s="14"/>
      <c r="AK846" s="14"/>
      <c r="AL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18"/>
      <c r="AX846" s="118"/>
      <c r="AY846" s="118"/>
      <c r="AZ846" s="14"/>
      <c r="BA846" s="14"/>
      <c r="BB846" s="14"/>
      <c r="BC846" s="14"/>
      <c r="BD846" s="14"/>
      <c r="BE846" s="14"/>
      <c r="BF846" s="14"/>
      <c r="BG846" s="14"/>
    </row>
    <row r="847" spans="2:59" s="15" customFormat="1" ht="14.25" x14ac:dyDescent="0.2">
      <c r="B847" s="27"/>
      <c r="C847" s="27"/>
      <c r="D847" s="27"/>
      <c r="E847" s="27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9"/>
      <c r="AE847" s="29"/>
      <c r="AF847" s="29"/>
      <c r="AG847" s="14"/>
      <c r="AH847" s="14"/>
      <c r="AI847" s="14"/>
      <c r="AJ847" s="14"/>
      <c r="AK847" s="14"/>
      <c r="AL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18"/>
      <c r="AX847" s="118"/>
      <c r="AY847" s="118"/>
      <c r="AZ847" s="14"/>
      <c r="BA847" s="14"/>
      <c r="BB847" s="14"/>
      <c r="BC847" s="14"/>
      <c r="BD847" s="14"/>
      <c r="BE847" s="14"/>
      <c r="BF847" s="14"/>
      <c r="BG847" s="14"/>
    </row>
    <row r="848" spans="2:59" s="15" customFormat="1" ht="14.25" x14ac:dyDescent="0.2">
      <c r="B848" s="27"/>
      <c r="C848" s="27"/>
      <c r="D848" s="27"/>
      <c r="E848" s="27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9"/>
      <c r="AE848" s="29"/>
      <c r="AF848" s="29"/>
      <c r="AG848" s="14"/>
      <c r="AH848" s="14"/>
      <c r="AI848" s="14"/>
      <c r="AJ848" s="14"/>
      <c r="AK848" s="14"/>
      <c r="AL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18"/>
      <c r="AX848" s="118"/>
      <c r="AY848" s="118"/>
      <c r="AZ848" s="14"/>
      <c r="BA848" s="14"/>
      <c r="BB848" s="14"/>
      <c r="BC848" s="14"/>
      <c r="BD848" s="14"/>
      <c r="BE848" s="14"/>
      <c r="BF848" s="14"/>
      <c r="BG848" s="14"/>
    </row>
    <row r="849" spans="2:59" s="15" customFormat="1" ht="14.25" x14ac:dyDescent="0.2">
      <c r="B849" s="27"/>
      <c r="C849" s="27"/>
      <c r="D849" s="27"/>
      <c r="E849" s="27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9"/>
      <c r="AE849" s="29"/>
      <c r="AF849" s="29"/>
      <c r="AG849" s="14"/>
      <c r="AH849" s="14"/>
      <c r="AI849" s="14"/>
      <c r="AJ849" s="14"/>
      <c r="AK849" s="14"/>
      <c r="AL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18"/>
      <c r="AX849" s="118"/>
      <c r="AY849" s="118"/>
      <c r="AZ849" s="14"/>
      <c r="BA849" s="14"/>
      <c r="BB849" s="14"/>
      <c r="BC849" s="14"/>
      <c r="BD849" s="14"/>
      <c r="BE849" s="14"/>
      <c r="BF849" s="14"/>
      <c r="BG849" s="14"/>
    </row>
    <row r="850" spans="2:59" s="15" customFormat="1" ht="14.25" x14ac:dyDescent="0.2">
      <c r="B850" s="27"/>
      <c r="C850" s="27"/>
      <c r="D850" s="27"/>
      <c r="E850" s="27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9"/>
      <c r="AE850" s="29"/>
      <c r="AF850" s="29"/>
      <c r="AG850" s="14"/>
      <c r="AH850" s="14"/>
      <c r="AI850" s="14"/>
      <c r="AJ850" s="14"/>
      <c r="AK850" s="14"/>
      <c r="AL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18"/>
      <c r="AX850" s="118"/>
      <c r="AY850" s="118"/>
      <c r="AZ850" s="14"/>
      <c r="BA850" s="14"/>
      <c r="BB850" s="14"/>
      <c r="BC850" s="14"/>
      <c r="BD850" s="14"/>
      <c r="BE850" s="14"/>
      <c r="BF850" s="14"/>
      <c r="BG850" s="14"/>
    </row>
    <row r="851" spans="2:59" s="15" customFormat="1" ht="14.25" x14ac:dyDescent="0.2">
      <c r="B851" s="27"/>
      <c r="C851" s="27"/>
      <c r="D851" s="27"/>
      <c r="E851" s="27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9"/>
      <c r="AE851" s="29"/>
      <c r="AF851" s="29"/>
      <c r="AG851" s="14"/>
      <c r="AH851" s="14"/>
      <c r="AI851" s="14"/>
      <c r="AJ851" s="14"/>
      <c r="AK851" s="14"/>
      <c r="AL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18"/>
      <c r="AX851" s="118"/>
      <c r="AY851" s="118"/>
      <c r="AZ851" s="14"/>
      <c r="BA851" s="14"/>
      <c r="BB851" s="14"/>
      <c r="BC851" s="14"/>
      <c r="BD851" s="14"/>
      <c r="BE851" s="14"/>
      <c r="BF851" s="14"/>
      <c r="BG851" s="14"/>
    </row>
    <row r="852" spans="2:59" s="15" customFormat="1" ht="14.25" x14ac:dyDescent="0.2">
      <c r="B852" s="27"/>
      <c r="C852" s="27"/>
      <c r="D852" s="27"/>
      <c r="E852" s="27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9"/>
      <c r="AE852" s="29"/>
      <c r="AF852" s="29"/>
      <c r="AG852" s="14"/>
      <c r="AH852" s="14"/>
      <c r="AI852" s="14"/>
      <c r="AJ852" s="14"/>
      <c r="AK852" s="14"/>
      <c r="AL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18"/>
      <c r="AX852" s="118"/>
      <c r="AY852" s="118"/>
      <c r="AZ852" s="14"/>
      <c r="BA852" s="14"/>
      <c r="BB852" s="14"/>
      <c r="BC852" s="14"/>
      <c r="BD852" s="14"/>
      <c r="BE852" s="14"/>
      <c r="BF852" s="14"/>
      <c r="BG852" s="14"/>
    </row>
    <row r="853" spans="2:59" s="15" customFormat="1" ht="14.25" x14ac:dyDescent="0.2">
      <c r="B853" s="27"/>
      <c r="C853" s="27"/>
      <c r="D853" s="27"/>
      <c r="E853" s="27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9"/>
      <c r="AE853" s="29"/>
      <c r="AF853" s="29"/>
      <c r="AG853" s="14"/>
      <c r="AH853" s="14"/>
      <c r="AI853" s="14"/>
      <c r="AJ853" s="14"/>
      <c r="AK853" s="14"/>
      <c r="AL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18"/>
      <c r="AX853" s="118"/>
      <c r="AY853" s="118"/>
      <c r="AZ853" s="14"/>
      <c r="BA853" s="14"/>
      <c r="BB853" s="14"/>
      <c r="BC853" s="14"/>
      <c r="BD853" s="14"/>
      <c r="BE853" s="14"/>
      <c r="BF853" s="14"/>
      <c r="BG853" s="14"/>
    </row>
    <row r="854" spans="2:59" s="15" customFormat="1" ht="14.25" x14ac:dyDescent="0.2">
      <c r="B854" s="27"/>
      <c r="C854" s="27"/>
      <c r="D854" s="27"/>
      <c r="E854" s="27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9"/>
      <c r="AE854" s="29"/>
      <c r="AF854" s="29"/>
      <c r="AG854" s="14"/>
      <c r="AH854" s="14"/>
      <c r="AI854" s="14"/>
      <c r="AJ854" s="14"/>
      <c r="AK854" s="14"/>
      <c r="AL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18"/>
      <c r="AX854" s="118"/>
      <c r="AY854" s="118"/>
      <c r="AZ854" s="14"/>
      <c r="BA854" s="14"/>
      <c r="BB854" s="14"/>
      <c r="BC854" s="14"/>
      <c r="BD854" s="14"/>
      <c r="BE854" s="14"/>
      <c r="BF854" s="14"/>
      <c r="BG854" s="14"/>
    </row>
    <row r="855" spans="2:59" s="15" customFormat="1" ht="14.25" x14ac:dyDescent="0.2">
      <c r="B855" s="27"/>
      <c r="C855" s="27"/>
      <c r="D855" s="27"/>
      <c r="E855" s="27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9"/>
      <c r="AE855" s="29"/>
      <c r="AF855" s="29"/>
      <c r="AG855" s="14"/>
      <c r="AH855" s="14"/>
      <c r="AI855" s="14"/>
      <c r="AJ855" s="14"/>
      <c r="AK855" s="14"/>
      <c r="AL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18"/>
      <c r="AX855" s="118"/>
      <c r="AY855" s="118"/>
      <c r="AZ855" s="14"/>
      <c r="BA855" s="14"/>
      <c r="BB855" s="14"/>
      <c r="BC855" s="14"/>
      <c r="BD855" s="14"/>
      <c r="BE855" s="14"/>
      <c r="BF855" s="14"/>
      <c r="BG855" s="14"/>
    </row>
    <row r="856" spans="2:59" s="15" customFormat="1" ht="14.25" x14ac:dyDescent="0.2">
      <c r="B856" s="27"/>
      <c r="C856" s="27"/>
      <c r="D856" s="27"/>
      <c r="E856" s="27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9"/>
      <c r="AE856" s="29"/>
      <c r="AF856" s="29"/>
      <c r="AG856" s="14"/>
      <c r="AH856" s="14"/>
      <c r="AI856" s="14"/>
      <c r="AJ856" s="14"/>
      <c r="AK856" s="14"/>
      <c r="AL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18"/>
      <c r="AX856" s="118"/>
      <c r="AY856" s="118"/>
      <c r="AZ856" s="14"/>
      <c r="BA856" s="14"/>
      <c r="BB856" s="14"/>
      <c r="BC856" s="14"/>
      <c r="BD856" s="14"/>
      <c r="BE856" s="14"/>
      <c r="BF856" s="14"/>
      <c r="BG856" s="14"/>
    </row>
    <row r="857" spans="2:59" s="15" customFormat="1" ht="14.25" x14ac:dyDescent="0.2">
      <c r="B857" s="27"/>
      <c r="C857" s="27"/>
      <c r="D857" s="27"/>
      <c r="E857" s="27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9"/>
      <c r="AE857" s="29"/>
      <c r="AF857" s="29"/>
      <c r="AG857" s="14"/>
      <c r="AH857" s="14"/>
      <c r="AI857" s="14"/>
      <c r="AJ857" s="14"/>
      <c r="AK857" s="14"/>
      <c r="AL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18"/>
      <c r="AX857" s="118"/>
      <c r="AY857" s="118"/>
      <c r="AZ857" s="14"/>
      <c r="BA857" s="14"/>
      <c r="BB857" s="14"/>
      <c r="BC857" s="14"/>
      <c r="BD857" s="14"/>
      <c r="BE857" s="14"/>
      <c r="BF857" s="14"/>
      <c r="BG857" s="14"/>
    </row>
    <row r="858" spans="2:59" s="15" customFormat="1" ht="14.25" x14ac:dyDescent="0.2">
      <c r="B858" s="27"/>
      <c r="C858" s="27"/>
      <c r="D858" s="27"/>
      <c r="E858" s="27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9"/>
      <c r="AE858" s="29"/>
      <c r="AF858" s="29"/>
      <c r="AG858" s="14"/>
      <c r="AH858" s="14"/>
      <c r="AI858" s="14"/>
      <c r="AJ858" s="14"/>
      <c r="AK858" s="14"/>
      <c r="AL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18"/>
      <c r="AX858" s="118"/>
      <c r="AY858" s="118"/>
      <c r="AZ858" s="14"/>
      <c r="BA858" s="14"/>
      <c r="BB858" s="14"/>
      <c r="BC858" s="14"/>
      <c r="BD858" s="14"/>
      <c r="BE858" s="14"/>
      <c r="BF858" s="14"/>
      <c r="BG858" s="14"/>
    </row>
    <row r="859" spans="2:59" s="15" customFormat="1" ht="14.25" x14ac:dyDescent="0.2">
      <c r="B859" s="27"/>
      <c r="C859" s="27"/>
      <c r="D859" s="27"/>
      <c r="E859" s="27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9"/>
      <c r="AE859" s="29"/>
      <c r="AF859" s="29"/>
      <c r="AG859" s="14"/>
      <c r="AH859" s="14"/>
      <c r="AI859" s="14"/>
      <c r="AJ859" s="14"/>
      <c r="AK859" s="14"/>
      <c r="AL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18"/>
      <c r="AX859" s="118"/>
      <c r="AY859" s="118"/>
      <c r="AZ859" s="14"/>
      <c r="BA859" s="14"/>
      <c r="BB859" s="14"/>
      <c r="BC859" s="14"/>
      <c r="BD859" s="14"/>
      <c r="BE859" s="14"/>
      <c r="BF859" s="14"/>
      <c r="BG859" s="14"/>
    </row>
    <row r="860" spans="2:59" s="15" customFormat="1" ht="14.25" x14ac:dyDescent="0.2">
      <c r="B860" s="27"/>
      <c r="C860" s="27"/>
      <c r="D860" s="27"/>
      <c r="E860" s="27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9"/>
      <c r="AE860" s="29"/>
      <c r="AF860" s="29"/>
      <c r="AG860" s="14"/>
      <c r="AH860" s="14"/>
      <c r="AI860" s="14"/>
      <c r="AJ860" s="14"/>
      <c r="AK860" s="14"/>
      <c r="AL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18"/>
      <c r="AX860" s="118"/>
      <c r="AY860" s="118"/>
      <c r="AZ860" s="14"/>
      <c r="BA860" s="14"/>
      <c r="BB860" s="14"/>
      <c r="BC860" s="14"/>
      <c r="BD860" s="14"/>
      <c r="BE860" s="14"/>
      <c r="BF860" s="14"/>
      <c r="BG860" s="14"/>
    </row>
    <row r="861" spans="2:59" s="15" customFormat="1" ht="14.25" x14ac:dyDescent="0.2">
      <c r="B861" s="27"/>
      <c r="C861" s="27"/>
      <c r="D861" s="27"/>
      <c r="E861" s="27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9"/>
      <c r="AE861" s="29"/>
      <c r="AF861" s="29"/>
      <c r="AG861" s="14"/>
      <c r="AH861" s="14"/>
      <c r="AI861" s="14"/>
      <c r="AJ861" s="14"/>
      <c r="AK861" s="14"/>
      <c r="AL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18"/>
      <c r="AX861" s="118"/>
      <c r="AY861" s="118"/>
      <c r="AZ861" s="14"/>
      <c r="BA861" s="14"/>
      <c r="BB861" s="14"/>
      <c r="BC861" s="14"/>
      <c r="BD861" s="14"/>
      <c r="BE861" s="14"/>
      <c r="BF861" s="14"/>
      <c r="BG861" s="14"/>
    </row>
    <row r="862" spans="2:59" s="15" customFormat="1" ht="14.25" x14ac:dyDescent="0.2">
      <c r="B862" s="27"/>
      <c r="C862" s="27"/>
      <c r="D862" s="27"/>
      <c r="E862" s="27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9"/>
      <c r="AE862" s="29"/>
      <c r="AF862" s="29"/>
      <c r="AG862" s="14"/>
      <c r="AH862" s="14"/>
      <c r="AI862" s="14"/>
      <c r="AJ862" s="14"/>
      <c r="AK862" s="14"/>
      <c r="AL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18"/>
      <c r="AX862" s="118"/>
      <c r="AY862" s="118"/>
      <c r="AZ862" s="14"/>
      <c r="BA862" s="14"/>
      <c r="BB862" s="14"/>
      <c r="BC862" s="14"/>
      <c r="BD862" s="14"/>
      <c r="BE862" s="14"/>
      <c r="BF862" s="14"/>
      <c r="BG862" s="14"/>
    </row>
    <row r="863" spans="2:59" s="15" customFormat="1" ht="14.25" x14ac:dyDescent="0.2">
      <c r="B863" s="27"/>
      <c r="C863" s="27"/>
      <c r="D863" s="27"/>
      <c r="E863" s="27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9"/>
      <c r="AE863" s="29"/>
      <c r="AF863" s="29"/>
      <c r="AG863" s="14"/>
      <c r="AH863" s="14"/>
      <c r="AI863" s="14"/>
      <c r="AJ863" s="14"/>
      <c r="AK863" s="14"/>
      <c r="AL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18"/>
      <c r="AX863" s="118"/>
      <c r="AY863" s="118"/>
      <c r="AZ863" s="14"/>
      <c r="BA863" s="14"/>
      <c r="BB863" s="14"/>
      <c r="BC863" s="14"/>
      <c r="BD863" s="14"/>
      <c r="BE863" s="14"/>
      <c r="BF863" s="14"/>
      <c r="BG863" s="14"/>
    </row>
    <row r="864" spans="2:59" s="15" customFormat="1" ht="14.25" x14ac:dyDescent="0.2">
      <c r="B864" s="27"/>
      <c r="C864" s="27"/>
      <c r="D864" s="27"/>
      <c r="E864" s="27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9"/>
      <c r="AE864" s="29"/>
      <c r="AF864" s="29"/>
      <c r="AG864" s="14"/>
      <c r="AH864" s="14"/>
      <c r="AI864" s="14"/>
      <c r="AJ864" s="14"/>
      <c r="AK864" s="14"/>
      <c r="AL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18"/>
      <c r="AX864" s="118"/>
      <c r="AY864" s="118"/>
      <c r="AZ864" s="14"/>
      <c r="BA864" s="14"/>
      <c r="BB864" s="14"/>
      <c r="BC864" s="14"/>
      <c r="BD864" s="14"/>
      <c r="BE864" s="14"/>
      <c r="BF864" s="14"/>
      <c r="BG864" s="14"/>
    </row>
    <row r="865" spans="2:59" s="15" customFormat="1" ht="14.25" x14ac:dyDescent="0.2">
      <c r="B865" s="27"/>
      <c r="C865" s="27"/>
      <c r="D865" s="27"/>
      <c r="E865" s="27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9"/>
      <c r="AE865" s="29"/>
      <c r="AF865" s="29"/>
      <c r="AG865" s="14"/>
      <c r="AH865" s="14"/>
      <c r="AI865" s="14"/>
      <c r="AJ865" s="14"/>
      <c r="AK865" s="14"/>
      <c r="AL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18"/>
      <c r="AX865" s="118"/>
      <c r="AY865" s="118"/>
      <c r="AZ865" s="14"/>
      <c r="BA865" s="14"/>
      <c r="BB865" s="14"/>
      <c r="BC865" s="14"/>
      <c r="BD865" s="14"/>
      <c r="BE865" s="14"/>
      <c r="BF865" s="14"/>
      <c r="BG865" s="14"/>
    </row>
    <row r="866" spans="2:59" s="15" customFormat="1" ht="14.25" x14ac:dyDescent="0.2">
      <c r="B866" s="27"/>
      <c r="C866" s="27"/>
      <c r="D866" s="27"/>
      <c r="E866" s="27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9"/>
      <c r="AE866" s="29"/>
      <c r="AF866" s="29"/>
      <c r="AG866" s="14"/>
      <c r="AH866" s="14"/>
      <c r="AI866" s="14"/>
      <c r="AJ866" s="14"/>
      <c r="AK866" s="14"/>
      <c r="AL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18"/>
      <c r="AX866" s="118"/>
      <c r="AY866" s="118"/>
      <c r="AZ866" s="14"/>
      <c r="BA866" s="14"/>
      <c r="BB866" s="14"/>
      <c r="BC866" s="14"/>
      <c r="BD866" s="14"/>
      <c r="BE866" s="14"/>
      <c r="BF866" s="14"/>
      <c r="BG866" s="14"/>
    </row>
    <row r="867" spans="2:59" s="15" customFormat="1" ht="14.25" x14ac:dyDescent="0.2">
      <c r="B867" s="27"/>
      <c r="C867" s="27"/>
      <c r="D867" s="27"/>
      <c r="E867" s="27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9"/>
      <c r="AE867" s="29"/>
      <c r="AF867" s="29"/>
      <c r="AG867" s="14"/>
      <c r="AH867" s="14"/>
      <c r="AI867" s="14"/>
      <c r="AJ867" s="14"/>
      <c r="AK867" s="14"/>
      <c r="AL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18"/>
      <c r="AX867" s="118"/>
      <c r="AY867" s="118"/>
      <c r="AZ867" s="14"/>
      <c r="BA867" s="14"/>
      <c r="BB867" s="14"/>
      <c r="BC867" s="14"/>
      <c r="BD867" s="14"/>
      <c r="BE867" s="14"/>
      <c r="BF867" s="14"/>
      <c r="BG867" s="14"/>
    </row>
    <row r="868" spans="2:59" s="15" customFormat="1" ht="14.25" x14ac:dyDescent="0.2">
      <c r="B868" s="27"/>
      <c r="C868" s="27"/>
      <c r="D868" s="27"/>
      <c r="E868" s="27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9"/>
      <c r="AE868" s="29"/>
      <c r="AF868" s="29"/>
      <c r="AG868" s="14"/>
      <c r="AH868" s="14"/>
      <c r="AI868" s="14"/>
      <c r="AJ868" s="14"/>
      <c r="AK868" s="14"/>
      <c r="AL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18"/>
      <c r="AX868" s="118"/>
      <c r="AY868" s="118"/>
      <c r="AZ868" s="14"/>
      <c r="BA868" s="14"/>
      <c r="BB868" s="14"/>
      <c r="BC868" s="14"/>
      <c r="BD868" s="14"/>
      <c r="BE868" s="14"/>
      <c r="BF868" s="14"/>
      <c r="BG868" s="14"/>
    </row>
    <row r="869" spans="2:59" s="15" customFormat="1" ht="14.25" x14ac:dyDescent="0.2">
      <c r="B869" s="27"/>
      <c r="C869" s="27"/>
      <c r="D869" s="27"/>
      <c r="E869" s="27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9"/>
      <c r="AE869" s="29"/>
      <c r="AF869" s="29"/>
      <c r="AG869" s="14"/>
      <c r="AH869" s="14"/>
      <c r="AI869" s="14"/>
      <c r="AJ869" s="14"/>
      <c r="AK869" s="14"/>
      <c r="AL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18"/>
      <c r="AX869" s="118"/>
      <c r="AY869" s="118"/>
      <c r="AZ869" s="14"/>
      <c r="BA869" s="14"/>
      <c r="BB869" s="14"/>
      <c r="BC869" s="14"/>
      <c r="BD869" s="14"/>
      <c r="BE869" s="14"/>
      <c r="BF869" s="14"/>
      <c r="BG869" s="14"/>
    </row>
    <row r="870" spans="2:59" s="15" customFormat="1" ht="14.25" x14ac:dyDescent="0.2">
      <c r="B870" s="27"/>
      <c r="C870" s="27"/>
      <c r="D870" s="27"/>
      <c r="E870" s="27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9"/>
      <c r="AE870" s="29"/>
      <c r="AF870" s="29"/>
      <c r="AG870" s="14"/>
      <c r="AH870" s="14"/>
      <c r="AI870" s="14"/>
      <c r="AJ870" s="14"/>
      <c r="AK870" s="14"/>
      <c r="AL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18"/>
      <c r="AX870" s="118"/>
      <c r="AY870" s="118"/>
      <c r="AZ870" s="14"/>
      <c r="BA870" s="14"/>
      <c r="BB870" s="14"/>
      <c r="BC870" s="14"/>
      <c r="BD870" s="14"/>
      <c r="BE870" s="14"/>
      <c r="BF870" s="14"/>
      <c r="BG870" s="14"/>
    </row>
    <row r="871" spans="2:59" s="15" customFormat="1" ht="14.25" x14ac:dyDescent="0.2">
      <c r="B871" s="27"/>
      <c r="C871" s="27"/>
      <c r="D871" s="27"/>
      <c r="E871" s="27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9"/>
      <c r="AE871" s="29"/>
      <c r="AF871" s="29"/>
      <c r="AG871" s="14"/>
      <c r="AH871" s="14"/>
      <c r="AI871" s="14"/>
      <c r="AJ871" s="14"/>
      <c r="AK871" s="14"/>
      <c r="AL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18"/>
      <c r="AX871" s="118"/>
      <c r="AY871" s="118"/>
      <c r="AZ871" s="14"/>
      <c r="BA871" s="14"/>
      <c r="BB871" s="14"/>
      <c r="BC871" s="14"/>
      <c r="BD871" s="14"/>
      <c r="BE871" s="14"/>
      <c r="BF871" s="14"/>
      <c r="BG871" s="14"/>
    </row>
    <row r="872" spans="2:59" s="15" customFormat="1" ht="14.25" x14ac:dyDescent="0.2">
      <c r="B872" s="27"/>
      <c r="C872" s="27"/>
      <c r="D872" s="27"/>
      <c r="E872" s="27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9"/>
      <c r="AE872" s="29"/>
      <c r="AF872" s="29"/>
      <c r="AG872" s="14"/>
      <c r="AH872" s="14"/>
      <c r="AI872" s="14"/>
      <c r="AJ872" s="14"/>
      <c r="AK872" s="14"/>
      <c r="AL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18"/>
      <c r="AX872" s="118"/>
      <c r="AY872" s="118"/>
      <c r="AZ872" s="14"/>
      <c r="BA872" s="14"/>
      <c r="BB872" s="14"/>
      <c r="BC872" s="14"/>
      <c r="BD872" s="14"/>
      <c r="BE872" s="14"/>
      <c r="BF872" s="14"/>
      <c r="BG872" s="14"/>
    </row>
    <row r="873" spans="2:59" s="15" customFormat="1" ht="14.25" x14ac:dyDescent="0.2">
      <c r="B873" s="27"/>
      <c r="C873" s="27"/>
      <c r="D873" s="27"/>
      <c r="E873" s="27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9"/>
      <c r="AE873" s="29"/>
      <c r="AF873" s="29"/>
      <c r="AG873" s="14"/>
      <c r="AH873" s="14"/>
      <c r="AI873" s="14"/>
      <c r="AJ873" s="14"/>
      <c r="AK873" s="14"/>
      <c r="AL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18"/>
      <c r="AX873" s="118"/>
      <c r="AY873" s="118"/>
      <c r="AZ873" s="14"/>
      <c r="BA873" s="14"/>
      <c r="BB873" s="14"/>
      <c r="BC873" s="14"/>
      <c r="BD873" s="14"/>
      <c r="BE873" s="14"/>
      <c r="BF873" s="14"/>
      <c r="BG873" s="14"/>
    </row>
    <row r="874" spans="2:59" s="15" customFormat="1" ht="14.25" x14ac:dyDescent="0.2">
      <c r="B874" s="27"/>
      <c r="C874" s="27"/>
      <c r="D874" s="27"/>
      <c r="E874" s="27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9"/>
      <c r="AE874" s="29"/>
      <c r="AF874" s="29"/>
      <c r="AG874" s="14"/>
      <c r="AH874" s="14"/>
      <c r="AI874" s="14"/>
      <c r="AJ874" s="14"/>
      <c r="AK874" s="14"/>
      <c r="AL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18"/>
      <c r="AX874" s="118"/>
      <c r="AY874" s="118"/>
      <c r="AZ874" s="14"/>
      <c r="BA874" s="14"/>
      <c r="BB874" s="14"/>
      <c r="BC874" s="14"/>
      <c r="BD874" s="14"/>
      <c r="BE874" s="14"/>
      <c r="BF874" s="14"/>
      <c r="BG874" s="14"/>
    </row>
    <row r="875" spans="2:59" s="15" customFormat="1" ht="14.25" x14ac:dyDescent="0.2">
      <c r="B875" s="27"/>
      <c r="C875" s="27"/>
      <c r="D875" s="27"/>
      <c r="E875" s="27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9"/>
      <c r="AE875" s="29"/>
      <c r="AF875" s="29"/>
      <c r="AG875" s="14"/>
      <c r="AH875" s="14"/>
      <c r="AI875" s="14"/>
      <c r="AJ875" s="14"/>
      <c r="AK875" s="14"/>
      <c r="AL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18"/>
      <c r="AX875" s="118"/>
      <c r="AY875" s="118"/>
      <c r="AZ875" s="14"/>
      <c r="BA875" s="14"/>
      <c r="BB875" s="14"/>
      <c r="BC875" s="14"/>
      <c r="BD875" s="14"/>
      <c r="BE875" s="14"/>
      <c r="BF875" s="14"/>
      <c r="BG875" s="14"/>
    </row>
    <row r="876" spans="2:59" s="15" customFormat="1" ht="14.25" x14ac:dyDescent="0.2">
      <c r="B876" s="27"/>
      <c r="C876" s="27"/>
      <c r="D876" s="27"/>
      <c r="E876" s="27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9"/>
      <c r="AE876" s="29"/>
      <c r="AF876" s="29"/>
      <c r="AG876" s="14"/>
      <c r="AH876" s="14"/>
      <c r="AI876" s="14"/>
      <c r="AJ876" s="14"/>
      <c r="AK876" s="14"/>
      <c r="AL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18"/>
      <c r="AX876" s="118"/>
      <c r="AY876" s="118"/>
      <c r="AZ876" s="14"/>
      <c r="BA876" s="14"/>
      <c r="BB876" s="14"/>
      <c r="BC876" s="14"/>
      <c r="BD876" s="14"/>
      <c r="BE876" s="14"/>
      <c r="BF876" s="14"/>
      <c r="BG876" s="14"/>
    </row>
    <row r="877" spans="2:59" s="15" customFormat="1" ht="14.25" x14ac:dyDescent="0.2">
      <c r="B877" s="27"/>
      <c r="C877" s="27"/>
      <c r="D877" s="27"/>
      <c r="E877" s="27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9"/>
      <c r="AE877" s="29"/>
      <c r="AF877" s="29"/>
      <c r="AG877" s="14"/>
      <c r="AH877" s="14"/>
      <c r="AI877" s="14"/>
      <c r="AJ877" s="14"/>
      <c r="AK877" s="14"/>
      <c r="AL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18"/>
      <c r="AX877" s="118"/>
      <c r="AY877" s="118"/>
      <c r="AZ877" s="14"/>
      <c r="BA877" s="14"/>
      <c r="BB877" s="14"/>
      <c r="BC877" s="14"/>
      <c r="BD877" s="14"/>
      <c r="BE877" s="14"/>
      <c r="BF877" s="14"/>
      <c r="BG877" s="14"/>
    </row>
    <row r="878" spans="2:59" s="15" customFormat="1" ht="14.25" x14ac:dyDescent="0.2">
      <c r="B878" s="27"/>
      <c r="C878" s="27"/>
      <c r="D878" s="27"/>
      <c r="E878" s="27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9"/>
      <c r="AE878" s="29"/>
      <c r="AF878" s="29"/>
      <c r="AG878" s="14"/>
      <c r="AH878" s="14"/>
      <c r="AI878" s="14"/>
      <c r="AJ878" s="14"/>
      <c r="AK878" s="14"/>
      <c r="AL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18"/>
      <c r="AX878" s="118"/>
      <c r="AY878" s="118"/>
      <c r="AZ878" s="14"/>
      <c r="BA878" s="14"/>
      <c r="BB878" s="14"/>
      <c r="BC878" s="14"/>
      <c r="BD878" s="14"/>
      <c r="BE878" s="14"/>
      <c r="BF878" s="14"/>
      <c r="BG878" s="14"/>
    </row>
    <row r="879" spans="2:59" s="15" customFormat="1" ht="14.25" x14ac:dyDescent="0.2">
      <c r="B879" s="27"/>
      <c r="C879" s="27"/>
      <c r="D879" s="27"/>
      <c r="E879" s="27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9"/>
      <c r="AE879" s="29"/>
      <c r="AF879" s="29"/>
      <c r="AG879" s="14"/>
      <c r="AH879" s="14"/>
      <c r="AI879" s="14"/>
      <c r="AJ879" s="14"/>
      <c r="AK879" s="14"/>
      <c r="AL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18"/>
      <c r="AX879" s="118"/>
      <c r="AY879" s="118"/>
      <c r="AZ879" s="14"/>
      <c r="BA879" s="14"/>
      <c r="BB879" s="14"/>
      <c r="BC879" s="14"/>
      <c r="BD879" s="14"/>
      <c r="BE879" s="14"/>
      <c r="BF879" s="14"/>
      <c r="BG879" s="14"/>
    </row>
    <row r="880" spans="2:59" s="15" customFormat="1" ht="14.25" x14ac:dyDescent="0.2">
      <c r="B880" s="27"/>
      <c r="C880" s="27"/>
      <c r="D880" s="27"/>
      <c r="E880" s="27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9"/>
      <c r="AE880" s="29"/>
      <c r="AF880" s="29"/>
      <c r="AG880" s="14"/>
      <c r="AH880" s="14"/>
      <c r="AI880" s="14"/>
      <c r="AJ880" s="14"/>
      <c r="AK880" s="14"/>
      <c r="AL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18"/>
      <c r="AX880" s="118"/>
      <c r="AY880" s="118"/>
      <c r="AZ880" s="14"/>
      <c r="BA880" s="14"/>
      <c r="BB880" s="14"/>
      <c r="BC880" s="14"/>
      <c r="BD880" s="14"/>
      <c r="BE880" s="14"/>
      <c r="BF880" s="14"/>
      <c r="BG880" s="14"/>
    </row>
    <row r="881" spans="2:59" s="15" customFormat="1" ht="14.25" x14ac:dyDescent="0.2">
      <c r="B881" s="27"/>
      <c r="C881" s="27"/>
      <c r="D881" s="27"/>
      <c r="E881" s="27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9"/>
      <c r="AE881" s="29"/>
      <c r="AF881" s="29"/>
      <c r="AG881" s="14"/>
      <c r="AH881" s="14"/>
      <c r="AI881" s="14"/>
      <c r="AJ881" s="14"/>
      <c r="AK881" s="14"/>
      <c r="AL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18"/>
      <c r="AX881" s="118"/>
      <c r="AY881" s="118"/>
      <c r="AZ881" s="14"/>
      <c r="BA881" s="14"/>
      <c r="BB881" s="14"/>
      <c r="BC881" s="14"/>
      <c r="BD881" s="14"/>
      <c r="BE881" s="14"/>
      <c r="BF881" s="14"/>
      <c r="BG881" s="14"/>
    </row>
    <row r="882" spans="2:59" s="15" customFormat="1" ht="14.25" x14ac:dyDescent="0.2">
      <c r="B882" s="27"/>
      <c r="C882" s="27"/>
      <c r="D882" s="27"/>
      <c r="E882" s="27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9"/>
      <c r="AE882" s="29"/>
      <c r="AF882" s="29"/>
      <c r="AG882" s="14"/>
      <c r="AH882" s="14"/>
      <c r="AI882" s="14"/>
      <c r="AJ882" s="14"/>
      <c r="AK882" s="14"/>
      <c r="AL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18"/>
      <c r="AX882" s="118"/>
      <c r="AY882" s="118"/>
      <c r="AZ882" s="14"/>
      <c r="BA882" s="14"/>
      <c r="BB882" s="14"/>
      <c r="BC882" s="14"/>
      <c r="BD882" s="14"/>
      <c r="BE882" s="14"/>
      <c r="BF882" s="14"/>
      <c r="BG882" s="14"/>
    </row>
    <row r="883" spans="2:59" s="15" customFormat="1" ht="14.25" x14ac:dyDescent="0.2">
      <c r="B883" s="27"/>
      <c r="C883" s="27"/>
      <c r="D883" s="27"/>
      <c r="E883" s="27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9"/>
      <c r="AE883" s="29"/>
      <c r="AF883" s="29"/>
      <c r="AG883" s="14"/>
      <c r="AH883" s="14"/>
      <c r="AI883" s="14"/>
      <c r="AJ883" s="14"/>
      <c r="AK883" s="14"/>
      <c r="AL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18"/>
      <c r="AX883" s="118"/>
      <c r="AY883" s="118"/>
      <c r="AZ883" s="14"/>
      <c r="BA883" s="14"/>
      <c r="BB883" s="14"/>
      <c r="BC883" s="14"/>
      <c r="BD883" s="14"/>
      <c r="BE883" s="14"/>
      <c r="BF883" s="14"/>
      <c r="BG883" s="14"/>
    </row>
    <row r="884" spans="2:59" s="15" customFormat="1" ht="14.25" x14ac:dyDescent="0.2">
      <c r="B884" s="27"/>
      <c r="C884" s="27"/>
      <c r="D884" s="27"/>
      <c r="E884" s="27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9"/>
      <c r="AE884" s="29"/>
      <c r="AF884" s="29"/>
      <c r="AG884" s="14"/>
      <c r="AH884" s="14"/>
      <c r="AI884" s="14"/>
      <c r="AJ884" s="14"/>
      <c r="AK884" s="14"/>
      <c r="AL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18"/>
      <c r="AX884" s="118"/>
      <c r="AY884" s="118"/>
      <c r="AZ884" s="14"/>
      <c r="BA884" s="14"/>
      <c r="BB884" s="14"/>
      <c r="BC884" s="14"/>
      <c r="BD884" s="14"/>
      <c r="BE884" s="14"/>
      <c r="BF884" s="14"/>
      <c r="BG884" s="14"/>
    </row>
    <row r="885" spans="2:59" s="15" customFormat="1" ht="14.25" x14ac:dyDescent="0.2">
      <c r="B885" s="27"/>
      <c r="C885" s="27"/>
      <c r="D885" s="27"/>
      <c r="E885" s="27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9"/>
      <c r="AE885" s="29"/>
      <c r="AF885" s="29"/>
      <c r="AG885" s="14"/>
      <c r="AH885" s="14"/>
      <c r="AI885" s="14"/>
      <c r="AJ885" s="14"/>
      <c r="AK885" s="14"/>
      <c r="AL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18"/>
      <c r="AX885" s="118"/>
      <c r="AY885" s="118"/>
      <c r="AZ885" s="14"/>
      <c r="BA885" s="14"/>
      <c r="BB885" s="14"/>
      <c r="BC885" s="14"/>
      <c r="BD885" s="14"/>
      <c r="BE885" s="14"/>
      <c r="BF885" s="14"/>
      <c r="BG885" s="14"/>
    </row>
    <row r="886" spans="2:59" s="15" customFormat="1" ht="14.25" x14ac:dyDescent="0.2">
      <c r="B886" s="27"/>
      <c r="C886" s="27"/>
      <c r="D886" s="27"/>
      <c r="E886" s="27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9"/>
      <c r="AE886" s="29"/>
      <c r="AF886" s="29"/>
      <c r="AG886" s="14"/>
      <c r="AH886" s="14"/>
      <c r="AI886" s="14"/>
      <c r="AJ886" s="14"/>
      <c r="AK886" s="14"/>
      <c r="AL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18"/>
      <c r="AX886" s="118"/>
      <c r="AY886" s="118"/>
      <c r="AZ886" s="14"/>
      <c r="BA886" s="14"/>
      <c r="BB886" s="14"/>
      <c r="BC886" s="14"/>
      <c r="BD886" s="14"/>
      <c r="BE886" s="14"/>
      <c r="BF886" s="14"/>
      <c r="BG886" s="14"/>
    </row>
    <row r="887" spans="2:59" s="15" customFormat="1" ht="14.25" x14ac:dyDescent="0.2">
      <c r="B887" s="27"/>
      <c r="C887" s="27"/>
      <c r="D887" s="27"/>
      <c r="E887" s="27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9"/>
      <c r="AE887" s="29"/>
      <c r="AF887" s="29"/>
      <c r="AG887" s="14"/>
      <c r="AH887" s="14"/>
      <c r="AI887" s="14"/>
      <c r="AJ887" s="14"/>
      <c r="AK887" s="14"/>
      <c r="AL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18"/>
      <c r="AX887" s="118"/>
      <c r="AY887" s="118"/>
      <c r="AZ887" s="14"/>
      <c r="BA887" s="14"/>
      <c r="BB887" s="14"/>
      <c r="BC887" s="14"/>
      <c r="BD887" s="14"/>
      <c r="BE887" s="14"/>
      <c r="BF887" s="14"/>
      <c r="BG887" s="14"/>
    </row>
    <row r="888" spans="2:59" s="15" customFormat="1" ht="14.25" x14ac:dyDescent="0.2">
      <c r="B888" s="27"/>
      <c r="C888" s="27"/>
      <c r="D888" s="27"/>
      <c r="E888" s="27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9"/>
      <c r="AE888" s="29"/>
      <c r="AF888" s="29"/>
      <c r="AG888" s="14"/>
      <c r="AH888" s="14"/>
      <c r="AI888" s="14"/>
      <c r="AJ888" s="14"/>
      <c r="AK888" s="14"/>
      <c r="AL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18"/>
      <c r="AX888" s="118"/>
      <c r="AY888" s="118"/>
      <c r="AZ888" s="14"/>
      <c r="BA888" s="14"/>
      <c r="BB888" s="14"/>
      <c r="BC888" s="14"/>
      <c r="BD888" s="14"/>
      <c r="BE888" s="14"/>
      <c r="BF888" s="14"/>
      <c r="BG888" s="14"/>
    </row>
    <row r="889" spans="2:59" s="15" customFormat="1" ht="14.25" x14ac:dyDescent="0.2">
      <c r="B889" s="27"/>
      <c r="C889" s="27"/>
      <c r="D889" s="27"/>
      <c r="E889" s="27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9"/>
      <c r="AE889" s="29"/>
      <c r="AF889" s="29"/>
      <c r="AG889" s="14"/>
      <c r="AH889" s="14"/>
      <c r="AI889" s="14"/>
      <c r="AJ889" s="14"/>
      <c r="AK889" s="14"/>
      <c r="AL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18"/>
      <c r="AX889" s="118"/>
      <c r="AY889" s="118"/>
      <c r="AZ889" s="14"/>
      <c r="BA889" s="14"/>
      <c r="BB889" s="14"/>
      <c r="BC889" s="14"/>
      <c r="BD889" s="14"/>
      <c r="BE889" s="14"/>
      <c r="BF889" s="14"/>
      <c r="BG889" s="14"/>
    </row>
    <row r="890" spans="2:59" s="15" customFormat="1" ht="14.25" x14ac:dyDescent="0.2">
      <c r="B890" s="27"/>
      <c r="C890" s="27"/>
      <c r="D890" s="27"/>
      <c r="E890" s="27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9"/>
      <c r="AE890" s="29"/>
      <c r="AF890" s="29"/>
      <c r="AG890" s="14"/>
      <c r="AH890" s="14"/>
      <c r="AI890" s="14"/>
      <c r="AJ890" s="14"/>
      <c r="AK890" s="14"/>
      <c r="AL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18"/>
      <c r="AX890" s="118"/>
      <c r="AY890" s="118"/>
      <c r="AZ890" s="14"/>
      <c r="BA890" s="14"/>
      <c r="BB890" s="14"/>
      <c r="BC890" s="14"/>
      <c r="BD890" s="14"/>
      <c r="BE890" s="14"/>
      <c r="BF890" s="14"/>
      <c r="BG890" s="14"/>
    </row>
    <row r="891" spans="2:59" s="15" customFormat="1" ht="14.25" x14ac:dyDescent="0.2">
      <c r="B891" s="27"/>
      <c r="C891" s="27"/>
      <c r="D891" s="27"/>
      <c r="E891" s="27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9"/>
      <c r="AE891" s="29"/>
      <c r="AF891" s="29"/>
      <c r="AG891" s="14"/>
      <c r="AH891" s="14"/>
      <c r="AI891" s="14"/>
      <c r="AJ891" s="14"/>
      <c r="AK891" s="14"/>
      <c r="AL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18"/>
      <c r="AX891" s="118"/>
      <c r="AY891" s="118"/>
      <c r="AZ891" s="14"/>
      <c r="BA891" s="14"/>
      <c r="BB891" s="14"/>
      <c r="BC891" s="14"/>
      <c r="BD891" s="14"/>
      <c r="BE891" s="14"/>
      <c r="BF891" s="14"/>
      <c r="BG891" s="14"/>
    </row>
    <row r="892" spans="2:59" s="15" customFormat="1" ht="14.25" x14ac:dyDescent="0.2">
      <c r="B892" s="27"/>
      <c r="C892" s="27"/>
      <c r="D892" s="27"/>
      <c r="E892" s="27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9"/>
      <c r="AE892" s="29"/>
      <c r="AF892" s="29"/>
      <c r="AG892" s="14"/>
      <c r="AH892" s="14"/>
      <c r="AI892" s="14"/>
      <c r="AJ892" s="14"/>
      <c r="AK892" s="14"/>
      <c r="AL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18"/>
      <c r="AX892" s="118"/>
      <c r="AY892" s="118"/>
      <c r="AZ892" s="14"/>
      <c r="BA892" s="14"/>
      <c r="BB892" s="14"/>
      <c r="BC892" s="14"/>
      <c r="BD892" s="14"/>
      <c r="BE892" s="14"/>
      <c r="BF892" s="14"/>
      <c r="BG892" s="14"/>
    </row>
    <row r="893" spans="2:59" s="15" customFormat="1" ht="14.25" x14ac:dyDescent="0.2">
      <c r="B893" s="27"/>
      <c r="C893" s="27"/>
      <c r="D893" s="27"/>
      <c r="E893" s="27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9"/>
      <c r="AE893" s="29"/>
      <c r="AF893" s="29"/>
      <c r="AG893" s="14"/>
      <c r="AH893" s="14"/>
      <c r="AI893" s="14"/>
      <c r="AJ893" s="14"/>
      <c r="AK893" s="14"/>
      <c r="AL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18"/>
      <c r="AX893" s="118"/>
      <c r="AY893" s="118"/>
      <c r="AZ893" s="14"/>
      <c r="BA893" s="14"/>
      <c r="BB893" s="14"/>
      <c r="BC893" s="14"/>
      <c r="BD893" s="14"/>
      <c r="BE893" s="14"/>
      <c r="BF893" s="14"/>
      <c r="BG893" s="14"/>
    </row>
    <row r="894" spans="2:59" s="15" customFormat="1" ht="14.25" x14ac:dyDescent="0.2">
      <c r="B894" s="27"/>
      <c r="C894" s="27"/>
      <c r="D894" s="27"/>
      <c r="E894" s="27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9"/>
      <c r="AE894" s="29"/>
      <c r="AF894" s="29"/>
      <c r="AG894" s="14"/>
      <c r="AH894" s="14"/>
      <c r="AI894" s="14"/>
      <c r="AJ894" s="14"/>
      <c r="AK894" s="14"/>
      <c r="AL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18"/>
      <c r="AX894" s="118"/>
      <c r="AY894" s="118"/>
      <c r="AZ894" s="14"/>
      <c r="BA894" s="14"/>
      <c r="BB894" s="14"/>
      <c r="BC894" s="14"/>
      <c r="BD894" s="14"/>
      <c r="BE894" s="14"/>
      <c r="BF894" s="14"/>
      <c r="BG894" s="14"/>
    </row>
    <row r="895" spans="2:59" s="15" customFormat="1" ht="14.25" x14ac:dyDescent="0.2">
      <c r="B895" s="27"/>
      <c r="C895" s="27"/>
      <c r="D895" s="27"/>
      <c r="E895" s="27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9"/>
      <c r="AE895" s="29"/>
      <c r="AF895" s="29"/>
      <c r="AG895" s="14"/>
      <c r="AH895" s="14"/>
      <c r="AI895" s="14"/>
      <c r="AJ895" s="14"/>
      <c r="AK895" s="14"/>
      <c r="AL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18"/>
      <c r="AX895" s="118"/>
      <c r="AY895" s="118"/>
      <c r="AZ895" s="14"/>
      <c r="BA895" s="14"/>
      <c r="BB895" s="14"/>
      <c r="BC895" s="14"/>
      <c r="BD895" s="14"/>
      <c r="BE895" s="14"/>
      <c r="BF895" s="14"/>
      <c r="BG895" s="14"/>
    </row>
    <row r="896" spans="2:59" s="15" customFormat="1" ht="14.25" x14ac:dyDescent="0.2">
      <c r="B896" s="27"/>
      <c r="C896" s="27"/>
      <c r="D896" s="27"/>
      <c r="E896" s="27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9"/>
      <c r="AE896" s="29"/>
      <c r="AF896" s="29"/>
      <c r="AG896" s="14"/>
      <c r="AH896" s="14"/>
      <c r="AI896" s="14"/>
      <c r="AJ896" s="14"/>
      <c r="AK896" s="14"/>
      <c r="AL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18"/>
      <c r="AX896" s="118"/>
      <c r="AY896" s="118"/>
      <c r="AZ896" s="14"/>
      <c r="BA896" s="14"/>
      <c r="BB896" s="14"/>
      <c r="BC896" s="14"/>
      <c r="BD896" s="14"/>
      <c r="BE896" s="14"/>
      <c r="BF896" s="14"/>
      <c r="BG896" s="14"/>
    </row>
    <row r="897" spans="2:59" s="15" customFormat="1" ht="14.25" x14ac:dyDescent="0.2">
      <c r="B897" s="27"/>
      <c r="C897" s="27"/>
      <c r="D897" s="27"/>
      <c r="E897" s="27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9"/>
      <c r="AE897" s="29"/>
      <c r="AF897" s="29"/>
      <c r="AG897" s="14"/>
      <c r="AH897" s="14"/>
      <c r="AI897" s="14"/>
      <c r="AJ897" s="14"/>
      <c r="AK897" s="14"/>
      <c r="AL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18"/>
      <c r="AX897" s="118"/>
      <c r="AY897" s="118"/>
      <c r="AZ897" s="14"/>
      <c r="BA897" s="14"/>
      <c r="BB897" s="14"/>
      <c r="BC897" s="14"/>
      <c r="BD897" s="14"/>
      <c r="BE897" s="14"/>
      <c r="BF897" s="14"/>
      <c r="BG897" s="14"/>
    </row>
    <row r="898" spans="2:59" s="15" customFormat="1" ht="14.25" x14ac:dyDescent="0.2">
      <c r="B898" s="27"/>
      <c r="C898" s="27"/>
      <c r="D898" s="27"/>
      <c r="E898" s="27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9"/>
      <c r="AE898" s="29"/>
      <c r="AF898" s="29"/>
      <c r="AG898" s="14"/>
      <c r="AH898" s="14"/>
      <c r="AI898" s="14"/>
      <c r="AJ898" s="14"/>
      <c r="AK898" s="14"/>
      <c r="AL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18"/>
      <c r="AX898" s="118"/>
      <c r="AY898" s="118"/>
      <c r="AZ898" s="14"/>
      <c r="BA898" s="14"/>
      <c r="BB898" s="14"/>
      <c r="BC898" s="14"/>
      <c r="BD898" s="14"/>
      <c r="BE898" s="14"/>
      <c r="BF898" s="14"/>
      <c r="BG898" s="14"/>
    </row>
    <row r="899" spans="2:59" s="15" customFormat="1" ht="14.25" x14ac:dyDescent="0.2">
      <c r="B899" s="27"/>
      <c r="C899" s="27"/>
      <c r="D899" s="27"/>
      <c r="E899" s="27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9"/>
      <c r="AE899" s="29"/>
      <c r="AF899" s="29"/>
      <c r="AG899" s="14"/>
      <c r="AH899" s="14"/>
      <c r="AI899" s="14"/>
      <c r="AJ899" s="14"/>
      <c r="AK899" s="14"/>
      <c r="AL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18"/>
      <c r="AX899" s="118"/>
      <c r="AY899" s="118"/>
      <c r="AZ899" s="14"/>
      <c r="BA899" s="14"/>
      <c r="BB899" s="14"/>
      <c r="BC899" s="14"/>
      <c r="BD899" s="14"/>
      <c r="BE899" s="14"/>
      <c r="BF899" s="14"/>
      <c r="BG899" s="14"/>
    </row>
    <row r="900" spans="2:59" s="15" customFormat="1" ht="14.25" x14ac:dyDescent="0.2">
      <c r="B900" s="27"/>
      <c r="C900" s="27"/>
      <c r="D900" s="27"/>
      <c r="E900" s="27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9"/>
      <c r="AE900" s="29"/>
      <c r="AF900" s="29"/>
      <c r="AG900" s="14"/>
      <c r="AH900" s="14"/>
      <c r="AI900" s="14"/>
      <c r="AJ900" s="14"/>
      <c r="AK900" s="14"/>
      <c r="AL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18"/>
      <c r="AX900" s="118"/>
      <c r="AY900" s="118"/>
      <c r="AZ900" s="14"/>
      <c r="BA900" s="14"/>
      <c r="BB900" s="14"/>
      <c r="BC900" s="14"/>
      <c r="BD900" s="14"/>
      <c r="BE900" s="14"/>
      <c r="BF900" s="14"/>
      <c r="BG900" s="14"/>
    </row>
    <row r="901" spans="2:59" s="15" customFormat="1" ht="14.25" x14ac:dyDescent="0.2">
      <c r="B901" s="27"/>
      <c r="C901" s="27"/>
      <c r="D901" s="27"/>
      <c r="E901" s="27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9"/>
      <c r="AE901" s="29"/>
      <c r="AF901" s="29"/>
      <c r="AG901" s="14"/>
      <c r="AH901" s="14"/>
      <c r="AI901" s="14"/>
      <c r="AJ901" s="14"/>
      <c r="AK901" s="14"/>
      <c r="AL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18"/>
      <c r="AX901" s="118"/>
      <c r="AY901" s="118"/>
      <c r="AZ901" s="14"/>
      <c r="BA901" s="14"/>
      <c r="BB901" s="14"/>
      <c r="BC901" s="14"/>
      <c r="BD901" s="14"/>
      <c r="BE901" s="14"/>
      <c r="BF901" s="14"/>
      <c r="BG901" s="14"/>
    </row>
    <row r="902" spans="2:59" s="15" customFormat="1" ht="14.25" x14ac:dyDescent="0.2">
      <c r="B902" s="27"/>
      <c r="C902" s="27"/>
      <c r="D902" s="27"/>
      <c r="E902" s="27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9"/>
      <c r="AE902" s="29"/>
      <c r="AF902" s="29"/>
      <c r="AG902" s="14"/>
      <c r="AH902" s="14"/>
      <c r="AI902" s="14"/>
      <c r="AJ902" s="14"/>
      <c r="AK902" s="14"/>
      <c r="AL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18"/>
      <c r="AX902" s="118"/>
      <c r="AY902" s="118"/>
      <c r="AZ902" s="14"/>
      <c r="BA902" s="14"/>
      <c r="BB902" s="14"/>
      <c r="BC902" s="14"/>
      <c r="BD902" s="14"/>
      <c r="BE902" s="14"/>
      <c r="BF902" s="14"/>
      <c r="BG902" s="14"/>
    </row>
    <row r="903" spans="2:59" s="15" customFormat="1" ht="14.25" x14ac:dyDescent="0.2">
      <c r="B903" s="27"/>
      <c r="C903" s="27"/>
      <c r="D903" s="27"/>
      <c r="E903" s="27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9"/>
      <c r="AE903" s="29"/>
      <c r="AF903" s="29"/>
      <c r="AG903" s="14"/>
      <c r="AH903" s="14"/>
      <c r="AI903" s="14"/>
      <c r="AJ903" s="14"/>
      <c r="AK903" s="14"/>
      <c r="AL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18"/>
      <c r="AX903" s="118"/>
      <c r="AY903" s="118"/>
      <c r="AZ903" s="14"/>
      <c r="BA903" s="14"/>
      <c r="BB903" s="14"/>
      <c r="BC903" s="14"/>
      <c r="BD903" s="14"/>
      <c r="BE903" s="14"/>
      <c r="BF903" s="14"/>
      <c r="BG903" s="14"/>
    </row>
    <row r="904" spans="2:59" s="15" customFormat="1" ht="14.25" x14ac:dyDescent="0.2">
      <c r="B904" s="27"/>
      <c r="C904" s="27"/>
      <c r="D904" s="27"/>
      <c r="E904" s="27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9"/>
      <c r="AE904" s="29"/>
      <c r="AF904" s="29"/>
      <c r="AG904" s="14"/>
      <c r="AH904" s="14"/>
      <c r="AI904" s="14"/>
      <c r="AJ904" s="14"/>
      <c r="AK904" s="14"/>
      <c r="AL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18"/>
      <c r="AX904" s="118"/>
      <c r="AY904" s="118"/>
      <c r="AZ904" s="14"/>
      <c r="BA904" s="14"/>
      <c r="BB904" s="14"/>
      <c r="BC904" s="14"/>
      <c r="BD904" s="14"/>
      <c r="BE904" s="14"/>
      <c r="BF904" s="14"/>
      <c r="BG904" s="14"/>
    </row>
    <row r="905" spans="2:59" s="15" customFormat="1" ht="14.25" x14ac:dyDescent="0.2">
      <c r="B905" s="27"/>
      <c r="C905" s="27"/>
      <c r="D905" s="27"/>
      <c r="E905" s="27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9"/>
      <c r="AE905" s="29"/>
      <c r="AF905" s="29"/>
      <c r="AG905" s="14"/>
      <c r="AH905" s="14"/>
      <c r="AI905" s="14"/>
      <c r="AJ905" s="14"/>
      <c r="AK905" s="14"/>
      <c r="AL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18"/>
      <c r="AX905" s="118"/>
      <c r="AY905" s="118"/>
      <c r="AZ905" s="14"/>
      <c r="BA905" s="14"/>
      <c r="BB905" s="14"/>
      <c r="BC905" s="14"/>
      <c r="BD905" s="14"/>
      <c r="BE905" s="14"/>
      <c r="BF905" s="14"/>
      <c r="BG905" s="14"/>
    </row>
    <row r="906" spans="2:59" s="15" customFormat="1" ht="14.25" x14ac:dyDescent="0.2">
      <c r="B906" s="27"/>
      <c r="C906" s="27"/>
      <c r="D906" s="27"/>
      <c r="E906" s="27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9"/>
      <c r="AE906" s="29"/>
      <c r="AF906" s="29"/>
      <c r="AG906" s="14"/>
      <c r="AH906" s="14"/>
      <c r="AI906" s="14"/>
      <c r="AJ906" s="14"/>
      <c r="AK906" s="14"/>
      <c r="AL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18"/>
      <c r="AX906" s="118"/>
      <c r="AY906" s="118"/>
      <c r="AZ906" s="14"/>
      <c r="BA906" s="14"/>
      <c r="BB906" s="14"/>
      <c r="BC906" s="14"/>
      <c r="BD906" s="14"/>
      <c r="BE906" s="14"/>
      <c r="BF906" s="14"/>
      <c r="BG906" s="14"/>
    </row>
    <row r="907" spans="2:59" s="15" customFormat="1" ht="14.25" x14ac:dyDescent="0.2">
      <c r="B907" s="27"/>
      <c r="C907" s="27"/>
      <c r="D907" s="27"/>
      <c r="E907" s="27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9"/>
      <c r="AE907" s="29"/>
      <c r="AF907" s="29"/>
      <c r="AG907" s="14"/>
      <c r="AH907" s="14"/>
      <c r="AI907" s="14"/>
      <c r="AJ907" s="14"/>
      <c r="AK907" s="14"/>
      <c r="AL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18"/>
      <c r="AX907" s="118"/>
      <c r="AY907" s="118"/>
      <c r="AZ907" s="14"/>
      <c r="BA907" s="14"/>
      <c r="BB907" s="14"/>
      <c r="BC907" s="14"/>
      <c r="BD907" s="14"/>
      <c r="BE907" s="14"/>
      <c r="BF907" s="14"/>
      <c r="BG907" s="14"/>
    </row>
    <row r="908" spans="2:59" s="15" customFormat="1" ht="14.25" x14ac:dyDescent="0.2">
      <c r="B908" s="27"/>
      <c r="C908" s="27"/>
      <c r="D908" s="27"/>
      <c r="E908" s="27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9"/>
      <c r="AE908" s="29"/>
      <c r="AF908" s="29"/>
      <c r="AG908" s="14"/>
      <c r="AH908" s="14"/>
      <c r="AI908" s="14"/>
      <c r="AJ908" s="14"/>
      <c r="AK908" s="14"/>
      <c r="AL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18"/>
      <c r="AX908" s="118"/>
      <c r="AY908" s="118"/>
      <c r="AZ908" s="14"/>
      <c r="BA908" s="14"/>
      <c r="BB908" s="14"/>
      <c r="BC908" s="14"/>
      <c r="BD908" s="14"/>
      <c r="BE908" s="14"/>
      <c r="BF908" s="14"/>
      <c r="BG908" s="14"/>
    </row>
    <row r="909" spans="2:59" s="15" customFormat="1" ht="14.25" x14ac:dyDescent="0.2">
      <c r="B909" s="27"/>
      <c r="C909" s="27"/>
      <c r="D909" s="27"/>
      <c r="E909" s="27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9"/>
      <c r="AE909" s="29"/>
      <c r="AF909" s="29"/>
      <c r="AG909" s="14"/>
      <c r="AH909" s="14"/>
      <c r="AI909" s="14"/>
      <c r="AJ909" s="14"/>
      <c r="AK909" s="14"/>
      <c r="AL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18"/>
      <c r="AX909" s="118"/>
      <c r="AY909" s="118"/>
      <c r="AZ909" s="14"/>
      <c r="BA909" s="14"/>
      <c r="BB909" s="14"/>
      <c r="BC909" s="14"/>
      <c r="BD909" s="14"/>
      <c r="BE909" s="14"/>
      <c r="BF909" s="14"/>
      <c r="BG909" s="14"/>
    </row>
    <row r="910" spans="2:59" s="15" customFormat="1" ht="14.25" x14ac:dyDescent="0.2">
      <c r="B910" s="27"/>
      <c r="C910" s="27"/>
      <c r="D910" s="27"/>
      <c r="E910" s="27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9"/>
      <c r="AE910" s="29"/>
      <c r="AF910" s="29"/>
      <c r="AG910" s="14"/>
      <c r="AH910" s="14"/>
      <c r="AI910" s="14"/>
      <c r="AJ910" s="14"/>
      <c r="AK910" s="14"/>
      <c r="AL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18"/>
      <c r="AX910" s="118"/>
      <c r="AY910" s="118"/>
      <c r="AZ910" s="14"/>
      <c r="BA910" s="14"/>
      <c r="BB910" s="14"/>
      <c r="BC910" s="14"/>
      <c r="BD910" s="14"/>
      <c r="BE910" s="14"/>
      <c r="BF910" s="14"/>
      <c r="BG910" s="14"/>
    </row>
    <row r="911" spans="2:59" s="15" customFormat="1" ht="14.25" x14ac:dyDescent="0.2">
      <c r="B911" s="27"/>
      <c r="C911" s="27"/>
      <c r="D911" s="27"/>
      <c r="E911" s="27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9"/>
      <c r="AE911" s="29"/>
      <c r="AF911" s="29"/>
      <c r="AG911" s="14"/>
      <c r="AH911" s="14"/>
      <c r="AI911" s="14"/>
      <c r="AJ911" s="14"/>
      <c r="AK911" s="14"/>
      <c r="AL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18"/>
      <c r="AX911" s="118"/>
      <c r="AY911" s="118"/>
      <c r="AZ911" s="14"/>
      <c r="BA911" s="14"/>
      <c r="BB911" s="14"/>
      <c r="BC911" s="14"/>
      <c r="BD911" s="14"/>
      <c r="BE911" s="14"/>
      <c r="BF911" s="14"/>
      <c r="BG911" s="14"/>
    </row>
    <row r="912" spans="2:59" s="15" customFormat="1" ht="14.25" x14ac:dyDescent="0.2">
      <c r="B912" s="27"/>
      <c r="C912" s="27"/>
      <c r="D912" s="27"/>
      <c r="E912" s="27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9"/>
      <c r="AE912" s="29"/>
      <c r="AF912" s="29"/>
      <c r="AG912" s="14"/>
      <c r="AH912" s="14"/>
      <c r="AI912" s="14"/>
      <c r="AJ912" s="14"/>
      <c r="AK912" s="14"/>
      <c r="AL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18"/>
      <c r="AX912" s="118"/>
      <c r="AY912" s="118"/>
      <c r="AZ912" s="14"/>
      <c r="BA912" s="14"/>
      <c r="BB912" s="14"/>
      <c r="BC912" s="14"/>
      <c r="BD912" s="14"/>
      <c r="BE912" s="14"/>
      <c r="BF912" s="14"/>
      <c r="BG912" s="14"/>
    </row>
    <row r="913" spans="2:59" s="15" customFormat="1" ht="14.25" x14ac:dyDescent="0.2">
      <c r="B913" s="27"/>
      <c r="C913" s="27"/>
      <c r="D913" s="27"/>
      <c r="E913" s="27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9"/>
      <c r="AE913" s="29"/>
      <c r="AF913" s="29"/>
      <c r="AG913" s="14"/>
      <c r="AH913" s="14"/>
      <c r="AI913" s="14"/>
      <c r="AJ913" s="14"/>
      <c r="AK913" s="14"/>
      <c r="AL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18"/>
      <c r="AX913" s="118"/>
      <c r="AY913" s="118"/>
      <c r="AZ913" s="14"/>
      <c r="BA913" s="14"/>
      <c r="BB913" s="14"/>
      <c r="BC913" s="14"/>
      <c r="BD913" s="14"/>
      <c r="BE913" s="14"/>
      <c r="BF913" s="14"/>
      <c r="BG913" s="14"/>
    </row>
    <row r="914" spans="2:59" s="15" customFormat="1" ht="14.25" x14ac:dyDescent="0.2">
      <c r="B914" s="27"/>
      <c r="C914" s="27"/>
      <c r="D914" s="27"/>
      <c r="E914" s="27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9"/>
      <c r="AE914" s="29"/>
      <c r="AF914" s="29"/>
      <c r="AG914" s="14"/>
      <c r="AH914" s="14"/>
      <c r="AI914" s="14"/>
      <c r="AJ914" s="14"/>
      <c r="AK914" s="14"/>
      <c r="AL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18"/>
      <c r="AX914" s="118"/>
      <c r="AY914" s="118"/>
      <c r="AZ914" s="14"/>
      <c r="BA914" s="14"/>
      <c r="BB914" s="14"/>
      <c r="BC914" s="14"/>
      <c r="BD914" s="14"/>
      <c r="BE914" s="14"/>
      <c r="BF914" s="14"/>
      <c r="BG914" s="14"/>
    </row>
    <row r="915" spans="2:59" s="15" customFormat="1" ht="14.25" x14ac:dyDescent="0.2">
      <c r="B915" s="27"/>
      <c r="C915" s="27"/>
      <c r="D915" s="27"/>
      <c r="E915" s="27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9"/>
      <c r="AE915" s="29"/>
      <c r="AF915" s="29"/>
      <c r="AG915" s="14"/>
      <c r="AH915" s="14"/>
      <c r="AI915" s="14"/>
      <c r="AJ915" s="14"/>
      <c r="AK915" s="14"/>
      <c r="AL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18"/>
      <c r="AX915" s="118"/>
      <c r="AY915" s="118"/>
      <c r="AZ915" s="14"/>
      <c r="BA915" s="14"/>
      <c r="BB915" s="14"/>
      <c r="BC915" s="14"/>
      <c r="BD915" s="14"/>
      <c r="BE915" s="14"/>
      <c r="BF915" s="14"/>
      <c r="BG915" s="14"/>
    </row>
    <row r="916" spans="2:59" s="15" customFormat="1" ht="14.25" x14ac:dyDescent="0.2">
      <c r="B916" s="27"/>
      <c r="C916" s="27"/>
      <c r="D916" s="27"/>
      <c r="E916" s="27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9"/>
      <c r="AE916" s="29"/>
      <c r="AF916" s="29"/>
      <c r="AG916" s="14"/>
      <c r="AH916" s="14"/>
      <c r="AI916" s="14"/>
      <c r="AJ916" s="14"/>
      <c r="AK916" s="14"/>
      <c r="AL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18"/>
      <c r="AX916" s="118"/>
      <c r="AY916" s="118"/>
      <c r="AZ916" s="14"/>
      <c r="BA916" s="14"/>
      <c r="BB916" s="14"/>
      <c r="BC916" s="14"/>
      <c r="BD916" s="14"/>
      <c r="BE916" s="14"/>
      <c r="BF916" s="14"/>
      <c r="BG916" s="14"/>
    </row>
    <row r="917" spans="2:59" s="15" customFormat="1" ht="14.25" x14ac:dyDescent="0.2">
      <c r="B917" s="27"/>
      <c r="C917" s="27"/>
      <c r="D917" s="27"/>
      <c r="E917" s="27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9"/>
      <c r="AE917" s="29"/>
      <c r="AF917" s="29"/>
      <c r="AG917" s="14"/>
      <c r="AH917" s="14"/>
      <c r="AI917" s="14"/>
      <c r="AJ917" s="14"/>
      <c r="AK917" s="14"/>
      <c r="AL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18"/>
      <c r="AX917" s="118"/>
      <c r="AY917" s="118"/>
      <c r="AZ917" s="14"/>
      <c r="BA917" s="14"/>
      <c r="BB917" s="14"/>
      <c r="BC917" s="14"/>
      <c r="BD917" s="14"/>
      <c r="BE917" s="14"/>
      <c r="BF917" s="14"/>
      <c r="BG917" s="14"/>
    </row>
    <row r="918" spans="2:59" s="15" customFormat="1" ht="14.25" x14ac:dyDescent="0.2">
      <c r="B918" s="27"/>
      <c r="C918" s="27"/>
      <c r="D918" s="27"/>
      <c r="E918" s="27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9"/>
      <c r="AE918" s="29"/>
      <c r="AF918" s="29"/>
      <c r="AG918" s="14"/>
      <c r="AH918" s="14"/>
      <c r="AI918" s="14"/>
      <c r="AJ918" s="14"/>
      <c r="AK918" s="14"/>
      <c r="AL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18"/>
      <c r="AX918" s="118"/>
      <c r="AY918" s="118"/>
      <c r="AZ918" s="14"/>
      <c r="BA918" s="14"/>
      <c r="BB918" s="14"/>
      <c r="BC918" s="14"/>
      <c r="BD918" s="14"/>
      <c r="BE918" s="14"/>
      <c r="BF918" s="14"/>
      <c r="BG918" s="14"/>
    </row>
    <row r="919" spans="2:59" s="15" customFormat="1" ht="14.25" x14ac:dyDescent="0.2">
      <c r="B919" s="27"/>
      <c r="C919" s="27"/>
      <c r="D919" s="27"/>
      <c r="E919" s="27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9"/>
      <c r="AE919" s="29"/>
      <c r="AF919" s="29"/>
      <c r="AG919" s="14"/>
      <c r="AH919" s="14"/>
      <c r="AI919" s="14"/>
      <c r="AJ919" s="14"/>
      <c r="AK919" s="14"/>
      <c r="AL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18"/>
      <c r="AX919" s="118"/>
      <c r="AY919" s="118"/>
      <c r="AZ919" s="14"/>
      <c r="BA919" s="14"/>
      <c r="BB919" s="14"/>
      <c r="BC919" s="14"/>
      <c r="BD919" s="14"/>
      <c r="BE919" s="14"/>
      <c r="BF919" s="14"/>
      <c r="BG919" s="14"/>
    </row>
    <row r="920" spans="2:59" s="15" customFormat="1" ht="14.25" x14ac:dyDescent="0.2">
      <c r="B920" s="27"/>
      <c r="C920" s="27"/>
      <c r="D920" s="27"/>
      <c r="E920" s="27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9"/>
      <c r="AE920" s="29"/>
      <c r="AF920" s="29"/>
      <c r="AG920" s="14"/>
      <c r="AH920" s="14"/>
      <c r="AI920" s="14"/>
      <c r="AJ920" s="14"/>
      <c r="AK920" s="14"/>
      <c r="AL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18"/>
      <c r="AX920" s="118"/>
      <c r="AY920" s="118"/>
      <c r="AZ920" s="14"/>
      <c r="BA920" s="14"/>
      <c r="BB920" s="14"/>
      <c r="BC920" s="14"/>
      <c r="BD920" s="14"/>
      <c r="BE920" s="14"/>
      <c r="BF920" s="14"/>
      <c r="BG920" s="14"/>
    </row>
    <row r="921" spans="2:59" s="15" customFormat="1" ht="14.25" x14ac:dyDescent="0.2">
      <c r="B921" s="27"/>
      <c r="C921" s="27"/>
      <c r="D921" s="27"/>
      <c r="E921" s="27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9"/>
      <c r="AE921" s="29"/>
      <c r="AF921" s="29"/>
      <c r="AG921" s="14"/>
      <c r="AH921" s="14"/>
      <c r="AI921" s="14"/>
      <c r="AJ921" s="14"/>
      <c r="AK921" s="14"/>
      <c r="AL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18"/>
      <c r="AX921" s="118"/>
      <c r="AY921" s="118"/>
      <c r="AZ921" s="14"/>
      <c r="BA921" s="14"/>
      <c r="BB921" s="14"/>
      <c r="BC921" s="14"/>
      <c r="BD921" s="14"/>
      <c r="BE921" s="14"/>
      <c r="BF921" s="14"/>
      <c r="BG921" s="14"/>
    </row>
    <row r="922" spans="2:59" s="15" customFormat="1" ht="14.25" x14ac:dyDescent="0.2">
      <c r="B922" s="27"/>
      <c r="C922" s="27"/>
      <c r="D922" s="27"/>
      <c r="E922" s="27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9"/>
      <c r="AE922" s="29"/>
      <c r="AF922" s="29"/>
      <c r="AG922" s="14"/>
      <c r="AH922" s="14"/>
      <c r="AI922" s="14"/>
      <c r="AJ922" s="14"/>
      <c r="AK922" s="14"/>
      <c r="AL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18"/>
      <c r="AX922" s="118"/>
      <c r="AY922" s="118"/>
      <c r="AZ922" s="14"/>
      <c r="BA922" s="14"/>
      <c r="BB922" s="14"/>
      <c r="BC922" s="14"/>
      <c r="BD922" s="14"/>
      <c r="BE922" s="14"/>
      <c r="BF922" s="14"/>
      <c r="BG922" s="14"/>
    </row>
    <row r="923" spans="2:59" s="15" customFormat="1" ht="14.25" x14ac:dyDescent="0.2">
      <c r="B923" s="27"/>
      <c r="C923" s="27"/>
      <c r="D923" s="27"/>
      <c r="E923" s="27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9"/>
      <c r="AE923" s="29"/>
      <c r="AF923" s="29"/>
      <c r="AG923" s="14"/>
      <c r="AH923" s="14"/>
      <c r="AI923" s="14"/>
      <c r="AJ923" s="14"/>
      <c r="AK923" s="14"/>
      <c r="AL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18"/>
      <c r="AX923" s="118"/>
      <c r="AY923" s="118"/>
      <c r="AZ923" s="14"/>
      <c r="BA923" s="14"/>
      <c r="BB923" s="14"/>
      <c r="BC923" s="14"/>
      <c r="BD923" s="14"/>
      <c r="BE923" s="14"/>
      <c r="BF923" s="14"/>
      <c r="BG923" s="14"/>
    </row>
    <row r="924" spans="2:59" s="15" customFormat="1" ht="14.25" x14ac:dyDescent="0.2">
      <c r="B924" s="27"/>
      <c r="C924" s="27"/>
      <c r="D924" s="27"/>
      <c r="E924" s="27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9"/>
      <c r="AE924" s="29"/>
      <c r="AF924" s="29"/>
      <c r="AG924" s="14"/>
      <c r="AH924" s="14"/>
      <c r="AI924" s="14"/>
      <c r="AJ924" s="14"/>
      <c r="AK924" s="14"/>
      <c r="AL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18"/>
      <c r="AX924" s="118"/>
      <c r="AY924" s="118"/>
      <c r="AZ924" s="14"/>
      <c r="BA924" s="14"/>
      <c r="BB924" s="14"/>
      <c r="BC924" s="14"/>
      <c r="BD924" s="14"/>
      <c r="BE924" s="14"/>
      <c r="BF924" s="14"/>
      <c r="BG924" s="14"/>
    </row>
    <row r="925" spans="2:59" s="15" customFormat="1" ht="14.25" x14ac:dyDescent="0.2">
      <c r="B925" s="27"/>
      <c r="C925" s="27"/>
      <c r="D925" s="27"/>
      <c r="E925" s="27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9"/>
      <c r="AE925" s="29"/>
      <c r="AF925" s="29"/>
      <c r="AG925" s="14"/>
      <c r="AH925" s="14"/>
      <c r="AI925" s="14"/>
      <c r="AJ925" s="14"/>
      <c r="AK925" s="14"/>
      <c r="AL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18"/>
      <c r="AX925" s="118"/>
      <c r="AY925" s="118"/>
      <c r="AZ925" s="14"/>
      <c r="BA925" s="14"/>
      <c r="BB925" s="14"/>
      <c r="BC925" s="14"/>
      <c r="BD925" s="14"/>
      <c r="BE925" s="14"/>
      <c r="BF925" s="14"/>
      <c r="BG925" s="14"/>
    </row>
    <row r="926" spans="2:59" s="15" customFormat="1" ht="14.25" x14ac:dyDescent="0.2">
      <c r="B926" s="27"/>
      <c r="C926" s="27"/>
      <c r="D926" s="27"/>
      <c r="E926" s="27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9"/>
      <c r="AE926" s="29"/>
      <c r="AF926" s="29"/>
      <c r="AG926" s="14"/>
      <c r="AH926" s="14"/>
      <c r="AI926" s="14"/>
      <c r="AJ926" s="14"/>
      <c r="AK926" s="14"/>
      <c r="AL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18"/>
      <c r="AX926" s="118"/>
      <c r="AY926" s="118"/>
      <c r="AZ926" s="14"/>
      <c r="BA926" s="14"/>
      <c r="BB926" s="14"/>
      <c r="BC926" s="14"/>
      <c r="BD926" s="14"/>
      <c r="BE926" s="14"/>
      <c r="BF926" s="14"/>
      <c r="BG926" s="14"/>
    </row>
    <row r="927" spans="2:59" s="15" customFormat="1" ht="14.25" x14ac:dyDescent="0.2">
      <c r="B927" s="27"/>
      <c r="C927" s="27"/>
      <c r="D927" s="27"/>
      <c r="E927" s="27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9"/>
      <c r="AE927" s="29"/>
      <c r="AF927" s="29"/>
      <c r="AG927" s="14"/>
      <c r="AH927" s="14"/>
      <c r="AI927" s="14"/>
      <c r="AJ927" s="14"/>
      <c r="AK927" s="14"/>
      <c r="AL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18"/>
      <c r="AX927" s="118"/>
      <c r="AY927" s="118"/>
      <c r="AZ927" s="14"/>
      <c r="BA927" s="14"/>
      <c r="BB927" s="14"/>
      <c r="BC927" s="14"/>
      <c r="BD927" s="14"/>
      <c r="BE927" s="14"/>
      <c r="BF927" s="14"/>
      <c r="BG927" s="14"/>
    </row>
    <row r="928" spans="2:59" s="15" customFormat="1" ht="14.25" x14ac:dyDescent="0.2">
      <c r="B928" s="27"/>
      <c r="C928" s="27"/>
      <c r="D928" s="27"/>
      <c r="E928" s="27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9"/>
      <c r="AE928" s="29"/>
      <c r="AF928" s="29"/>
      <c r="AG928" s="14"/>
      <c r="AH928" s="14"/>
      <c r="AI928" s="14"/>
      <c r="AJ928" s="14"/>
      <c r="AK928" s="14"/>
      <c r="AL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18"/>
      <c r="AX928" s="118"/>
      <c r="AY928" s="118"/>
      <c r="AZ928" s="14"/>
      <c r="BA928" s="14"/>
      <c r="BB928" s="14"/>
      <c r="BC928" s="14"/>
      <c r="BD928" s="14"/>
      <c r="BE928" s="14"/>
      <c r="BF928" s="14"/>
      <c r="BG928" s="14"/>
    </row>
    <row r="929" spans="2:59" s="15" customFormat="1" ht="14.25" x14ac:dyDescent="0.2">
      <c r="B929" s="27"/>
      <c r="C929" s="27"/>
      <c r="D929" s="27"/>
      <c r="E929" s="27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9"/>
      <c r="AE929" s="29"/>
      <c r="AF929" s="29"/>
      <c r="AG929" s="14"/>
      <c r="AH929" s="14"/>
      <c r="AI929" s="14"/>
      <c r="AJ929" s="14"/>
      <c r="AK929" s="14"/>
      <c r="AL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18"/>
      <c r="AX929" s="118"/>
      <c r="AY929" s="118"/>
      <c r="AZ929" s="14"/>
      <c r="BA929" s="14"/>
      <c r="BB929" s="14"/>
      <c r="BC929" s="14"/>
      <c r="BD929" s="14"/>
      <c r="BE929" s="14"/>
      <c r="BF929" s="14"/>
      <c r="BG929" s="14"/>
    </row>
    <row r="930" spans="2:59" s="15" customFormat="1" ht="14.25" x14ac:dyDescent="0.2">
      <c r="B930" s="27"/>
      <c r="C930" s="27"/>
      <c r="D930" s="27"/>
      <c r="E930" s="27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9"/>
      <c r="AE930" s="29"/>
      <c r="AF930" s="29"/>
      <c r="AG930" s="14"/>
      <c r="AH930" s="14"/>
      <c r="AI930" s="14"/>
      <c r="AJ930" s="14"/>
      <c r="AK930" s="14"/>
      <c r="AL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18"/>
      <c r="AX930" s="118"/>
      <c r="AY930" s="118"/>
      <c r="AZ930" s="14"/>
      <c r="BA930" s="14"/>
      <c r="BB930" s="14"/>
      <c r="BC930" s="14"/>
      <c r="BD930" s="14"/>
      <c r="BE930" s="14"/>
      <c r="BF930" s="14"/>
      <c r="BG930" s="14"/>
    </row>
    <row r="931" spans="2:59" s="15" customFormat="1" ht="14.25" x14ac:dyDescent="0.2">
      <c r="B931" s="27"/>
      <c r="C931" s="27"/>
      <c r="D931" s="27"/>
      <c r="E931" s="27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9"/>
      <c r="AE931" s="29"/>
      <c r="AF931" s="29"/>
      <c r="AG931" s="14"/>
      <c r="AH931" s="14"/>
      <c r="AI931" s="14"/>
      <c r="AJ931" s="14"/>
      <c r="AK931" s="14"/>
      <c r="AL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18"/>
      <c r="AX931" s="118"/>
      <c r="AY931" s="118"/>
      <c r="AZ931" s="14"/>
      <c r="BA931" s="14"/>
      <c r="BB931" s="14"/>
      <c r="BC931" s="14"/>
      <c r="BD931" s="14"/>
      <c r="BE931" s="14"/>
      <c r="BF931" s="14"/>
      <c r="BG931" s="14"/>
    </row>
    <row r="932" spans="2:59" s="15" customFormat="1" ht="14.25" x14ac:dyDescent="0.2">
      <c r="B932" s="27"/>
      <c r="C932" s="27"/>
      <c r="D932" s="27"/>
      <c r="E932" s="27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9"/>
      <c r="AE932" s="29"/>
      <c r="AF932" s="29"/>
      <c r="AG932" s="14"/>
      <c r="AH932" s="14"/>
      <c r="AI932" s="14"/>
      <c r="AJ932" s="14"/>
      <c r="AK932" s="14"/>
      <c r="AL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18"/>
      <c r="AX932" s="118"/>
      <c r="AY932" s="118"/>
      <c r="AZ932" s="14"/>
      <c r="BA932" s="14"/>
      <c r="BB932" s="14"/>
      <c r="BC932" s="14"/>
      <c r="BD932" s="14"/>
      <c r="BE932" s="14"/>
      <c r="BF932" s="14"/>
      <c r="BG932" s="14"/>
    </row>
    <row r="933" spans="2:59" s="15" customFormat="1" ht="14.25" x14ac:dyDescent="0.2">
      <c r="B933" s="27"/>
      <c r="C933" s="27"/>
      <c r="D933" s="27"/>
      <c r="E933" s="27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9"/>
      <c r="AE933" s="29"/>
      <c r="AF933" s="29"/>
      <c r="AG933" s="14"/>
      <c r="AH933" s="14"/>
      <c r="AI933" s="14"/>
      <c r="AJ933" s="14"/>
      <c r="AK933" s="14"/>
      <c r="AL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18"/>
      <c r="AX933" s="118"/>
      <c r="AY933" s="118"/>
      <c r="AZ933" s="14"/>
      <c r="BA933" s="14"/>
      <c r="BB933" s="14"/>
      <c r="BC933" s="14"/>
      <c r="BD933" s="14"/>
      <c r="BE933" s="14"/>
      <c r="BF933" s="14"/>
      <c r="BG933" s="14"/>
    </row>
    <row r="934" spans="2:59" s="15" customFormat="1" ht="14.25" x14ac:dyDescent="0.2">
      <c r="B934" s="27"/>
      <c r="C934" s="27"/>
      <c r="D934" s="27"/>
      <c r="E934" s="27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9"/>
      <c r="AE934" s="29"/>
      <c r="AF934" s="29"/>
      <c r="AG934" s="14"/>
      <c r="AH934" s="14"/>
      <c r="AI934" s="14"/>
      <c r="AJ934" s="14"/>
      <c r="AK934" s="14"/>
      <c r="AL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18"/>
      <c r="AX934" s="118"/>
      <c r="AY934" s="118"/>
      <c r="AZ934" s="14"/>
      <c r="BA934" s="14"/>
      <c r="BB934" s="14"/>
      <c r="BC934" s="14"/>
      <c r="BD934" s="14"/>
      <c r="BE934" s="14"/>
      <c r="BF934" s="14"/>
      <c r="BG934" s="14"/>
    </row>
    <row r="935" spans="2:59" s="15" customFormat="1" ht="14.25" x14ac:dyDescent="0.2">
      <c r="B935" s="27"/>
      <c r="C935" s="27"/>
      <c r="D935" s="27"/>
      <c r="E935" s="27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9"/>
      <c r="AE935" s="29"/>
      <c r="AF935" s="29"/>
      <c r="AG935" s="14"/>
      <c r="AH935" s="14"/>
      <c r="AI935" s="14"/>
      <c r="AJ935" s="14"/>
      <c r="AK935" s="14"/>
      <c r="AL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18"/>
      <c r="AX935" s="118"/>
      <c r="AY935" s="118"/>
      <c r="AZ935" s="14"/>
      <c r="BA935" s="14"/>
      <c r="BB935" s="14"/>
      <c r="BC935" s="14"/>
      <c r="BD935" s="14"/>
      <c r="BE935" s="14"/>
      <c r="BF935" s="14"/>
      <c r="BG935" s="14"/>
    </row>
    <row r="936" spans="2:59" s="15" customFormat="1" ht="14.25" x14ac:dyDescent="0.2">
      <c r="B936" s="27"/>
      <c r="C936" s="27"/>
      <c r="D936" s="27"/>
      <c r="E936" s="27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9"/>
      <c r="AE936" s="29"/>
      <c r="AF936" s="29"/>
      <c r="AG936" s="14"/>
      <c r="AH936" s="14"/>
      <c r="AI936" s="14"/>
      <c r="AJ936" s="14"/>
      <c r="AK936" s="14"/>
      <c r="AL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18"/>
      <c r="AX936" s="118"/>
      <c r="AY936" s="118"/>
      <c r="AZ936" s="14"/>
      <c r="BA936" s="14"/>
      <c r="BB936" s="14"/>
      <c r="BC936" s="14"/>
      <c r="BD936" s="14"/>
      <c r="BE936" s="14"/>
      <c r="BF936" s="14"/>
      <c r="BG936" s="14"/>
    </row>
    <row r="937" spans="2:59" s="15" customFormat="1" ht="14.25" x14ac:dyDescent="0.2">
      <c r="B937" s="27"/>
      <c r="C937" s="27"/>
      <c r="D937" s="27"/>
      <c r="E937" s="27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9"/>
      <c r="AE937" s="29"/>
      <c r="AF937" s="29"/>
      <c r="AG937" s="14"/>
      <c r="AH937" s="14"/>
      <c r="AI937" s="14"/>
      <c r="AJ937" s="14"/>
      <c r="AK937" s="14"/>
      <c r="AL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18"/>
      <c r="AX937" s="118"/>
      <c r="AY937" s="118"/>
      <c r="AZ937" s="14"/>
      <c r="BA937" s="14"/>
      <c r="BB937" s="14"/>
      <c r="BC937" s="14"/>
      <c r="BD937" s="14"/>
      <c r="BE937" s="14"/>
      <c r="BF937" s="14"/>
      <c r="BG937" s="14"/>
    </row>
    <row r="938" spans="2:59" s="15" customFormat="1" ht="14.25" x14ac:dyDescent="0.2">
      <c r="B938" s="27"/>
      <c r="C938" s="27"/>
      <c r="D938" s="27"/>
      <c r="E938" s="27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9"/>
      <c r="AE938" s="29"/>
      <c r="AF938" s="29"/>
      <c r="AG938" s="14"/>
      <c r="AH938" s="14"/>
      <c r="AI938" s="14"/>
      <c r="AJ938" s="14"/>
      <c r="AK938" s="14"/>
      <c r="AL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18"/>
      <c r="AX938" s="118"/>
      <c r="AY938" s="118"/>
      <c r="AZ938" s="14"/>
      <c r="BA938" s="14"/>
      <c r="BB938" s="14"/>
      <c r="BC938" s="14"/>
      <c r="BD938" s="14"/>
      <c r="BE938" s="14"/>
      <c r="BF938" s="14"/>
      <c r="BG938" s="14"/>
    </row>
    <row r="939" spans="2:59" s="15" customFormat="1" ht="14.25" x14ac:dyDescent="0.2">
      <c r="B939" s="27"/>
      <c r="C939" s="27"/>
      <c r="D939" s="27"/>
      <c r="E939" s="27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9"/>
      <c r="AE939" s="29"/>
      <c r="AF939" s="29"/>
      <c r="AG939" s="14"/>
      <c r="AH939" s="14"/>
      <c r="AI939" s="14"/>
      <c r="AJ939" s="14"/>
      <c r="AK939" s="14"/>
      <c r="AL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18"/>
      <c r="AX939" s="118"/>
      <c r="AY939" s="118"/>
      <c r="AZ939" s="14"/>
      <c r="BA939" s="14"/>
      <c r="BB939" s="14"/>
      <c r="BC939" s="14"/>
      <c r="BD939" s="14"/>
      <c r="BE939" s="14"/>
      <c r="BF939" s="14"/>
      <c r="BG939" s="14"/>
    </row>
    <row r="940" spans="2:59" s="15" customFormat="1" ht="14.25" x14ac:dyDescent="0.2">
      <c r="B940" s="27"/>
      <c r="C940" s="27"/>
      <c r="D940" s="27"/>
      <c r="E940" s="27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9"/>
      <c r="AE940" s="29"/>
      <c r="AF940" s="29"/>
      <c r="AG940" s="14"/>
      <c r="AH940" s="14"/>
      <c r="AI940" s="14"/>
      <c r="AJ940" s="14"/>
      <c r="AK940" s="14"/>
      <c r="AL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18"/>
      <c r="AX940" s="118"/>
      <c r="AY940" s="118"/>
      <c r="AZ940" s="14"/>
      <c r="BA940" s="14"/>
      <c r="BB940" s="14"/>
      <c r="BC940" s="14"/>
      <c r="BD940" s="14"/>
      <c r="BE940" s="14"/>
      <c r="BF940" s="14"/>
      <c r="BG940" s="14"/>
    </row>
    <row r="941" spans="2:59" s="15" customFormat="1" ht="14.25" x14ac:dyDescent="0.2">
      <c r="B941" s="27"/>
      <c r="C941" s="27"/>
      <c r="D941" s="27"/>
      <c r="E941" s="27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9"/>
      <c r="AE941" s="29"/>
      <c r="AF941" s="29"/>
      <c r="AG941" s="14"/>
      <c r="AH941" s="14"/>
      <c r="AI941" s="14"/>
      <c r="AJ941" s="14"/>
      <c r="AK941" s="14"/>
      <c r="AL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18"/>
      <c r="AX941" s="118"/>
      <c r="AY941" s="118"/>
      <c r="AZ941" s="14"/>
      <c r="BA941" s="14"/>
      <c r="BB941" s="14"/>
      <c r="BC941" s="14"/>
      <c r="BD941" s="14"/>
      <c r="BE941" s="14"/>
      <c r="BF941" s="14"/>
      <c r="BG941" s="14"/>
    </row>
    <row r="942" spans="2:59" s="15" customFormat="1" ht="14.25" x14ac:dyDescent="0.2">
      <c r="B942" s="27"/>
      <c r="C942" s="27"/>
      <c r="D942" s="27"/>
      <c r="E942" s="27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9"/>
      <c r="AE942" s="29"/>
      <c r="AF942" s="29"/>
      <c r="AG942" s="14"/>
      <c r="AH942" s="14"/>
      <c r="AI942" s="14"/>
      <c r="AJ942" s="14"/>
      <c r="AK942" s="14"/>
      <c r="AL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18"/>
      <c r="AX942" s="118"/>
      <c r="AY942" s="118"/>
      <c r="AZ942" s="14"/>
      <c r="BA942" s="14"/>
      <c r="BB942" s="14"/>
      <c r="BC942" s="14"/>
      <c r="BD942" s="14"/>
      <c r="BE942" s="14"/>
      <c r="BF942" s="14"/>
      <c r="BG942" s="14"/>
    </row>
    <row r="943" spans="2:59" s="15" customFormat="1" ht="14.25" x14ac:dyDescent="0.2">
      <c r="B943" s="27"/>
      <c r="C943" s="27"/>
      <c r="D943" s="27"/>
      <c r="E943" s="27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9"/>
      <c r="AE943" s="29"/>
      <c r="AF943" s="29"/>
      <c r="AG943" s="14"/>
      <c r="AH943" s="14"/>
      <c r="AI943" s="14"/>
      <c r="AJ943" s="14"/>
      <c r="AK943" s="14"/>
      <c r="AL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18"/>
      <c r="AX943" s="118"/>
      <c r="AY943" s="118"/>
      <c r="AZ943" s="14"/>
      <c r="BA943" s="14"/>
      <c r="BB943" s="14"/>
      <c r="BC943" s="14"/>
      <c r="BD943" s="14"/>
      <c r="BE943" s="14"/>
      <c r="BF943" s="14"/>
      <c r="BG943" s="14"/>
    </row>
    <row r="944" spans="2:59" s="15" customFormat="1" ht="14.25" x14ac:dyDescent="0.2">
      <c r="B944" s="27"/>
      <c r="C944" s="27"/>
      <c r="D944" s="27"/>
      <c r="E944" s="27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9"/>
      <c r="AE944" s="29"/>
      <c r="AF944" s="29"/>
      <c r="AG944" s="14"/>
      <c r="AH944" s="14"/>
      <c r="AI944" s="14"/>
      <c r="AJ944" s="14"/>
      <c r="AK944" s="14"/>
      <c r="AL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18"/>
      <c r="AX944" s="118"/>
      <c r="AY944" s="118"/>
      <c r="AZ944" s="14"/>
      <c r="BA944" s="14"/>
      <c r="BB944" s="14"/>
      <c r="BC944" s="14"/>
      <c r="BD944" s="14"/>
      <c r="BE944" s="14"/>
      <c r="BF944" s="14"/>
      <c r="BG944" s="14"/>
    </row>
    <row r="945" spans="2:59" s="15" customFormat="1" ht="14.25" x14ac:dyDescent="0.2">
      <c r="B945" s="27"/>
      <c r="C945" s="27"/>
      <c r="D945" s="27"/>
      <c r="E945" s="27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9"/>
      <c r="AE945" s="29"/>
      <c r="AF945" s="29"/>
      <c r="AG945" s="14"/>
      <c r="AH945" s="14"/>
      <c r="AI945" s="14"/>
      <c r="AJ945" s="14"/>
      <c r="AK945" s="14"/>
      <c r="AL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18"/>
      <c r="AX945" s="118"/>
      <c r="AY945" s="118"/>
      <c r="AZ945" s="14"/>
      <c r="BA945" s="14"/>
      <c r="BB945" s="14"/>
      <c r="BC945" s="14"/>
      <c r="BD945" s="14"/>
      <c r="BE945" s="14"/>
      <c r="BF945" s="14"/>
      <c r="BG945" s="14"/>
    </row>
    <row r="946" spans="2:59" s="15" customFormat="1" ht="14.25" x14ac:dyDescent="0.2">
      <c r="B946" s="27"/>
      <c r="C946" s="27"/>
      <c r="D946" s="27"/>
      <c r="E946" s="27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9"/>
      <c r="AE946" s="29"/>
      <c r="AF946" s="29"/>
      <c r="AG946" s="14"/>
      <c r="AH946" s="14"/>
      <c r="AI946" s="14"/>
      <c r="AJ946" s="14"/>
      <c r="AK946" s="14"/>
      <c r="AL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18"/>
      <c r="AX946" s="118"/>
      <c r="AY946" s="118"/>
      <c r="AZ946" s="14"/>
      <c r="BA946" s="14"/>
      <c r="BB946" s="14"/>
      <c r="BC946" s="14"/>
      <c r="BD946" s="14"/>
      <c r="BE946" s="14"/>
      <c r="BF946" s="14"/>
      <c r="BG946" s="14"/>
    </row>
    <row r="947" spans="2:59" s="15" customFormat="1" ht="14.25" x14ac:dyDescent="0.2">
      <c r="B947" s="27"/>
      <c r="C947" s="27"/>
      <c r="D947" s="27"/>
      <c r="E947" s="27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9"/>
      <c r="AE947" s="29"/>
      <c r="AF947" s="29"/>
      <c r="AG947" s="14"/>
      <c r="AH947" s="14"/>
      <c r="AI947" s="14"/>
      <c r="AJ947" s="14"/>
      <c r="AK947" s="14"/>
      <c r="AL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18"/>
      <c r="AX947" s="118"/>
      <c r="AY947" s="118"/>
      <c r="AZ947" s="14"/>
      <c r="BA947" s="14"/>
      <c r="BB947" s="14"/>
      <c r="BC947" s="14"/>
      <c r="BD947" s="14"/>
      <c r="BE947" s="14"/>
      <c r="BF947" s="14"/>
      <c r="BG947" s="14"/>
    </row>
    <row r="948" spans="2:59" s="15" customFormat="1" ht="14.25" x14ac:dyDescent="0.2">
      <c r="B948" s="27"/>
      <c r="C948" s="27"/>
      <c r="D948" s="27"/>
      <c r="E948" s="27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9"/>
      <c r="AE948" s="29"/>
      <c r="AF948" s="29"/>
      <c r="AG948" s="14"/>
      <c r="AH948" s="14"/>
      <c r="AI948" s="14"/>
      <c r="AJ948" s="14"/>
      <c r="AK948" s="14"/>
      <c r="AL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18"/>
      <c r="AX948" s="118"/>
      <c r="AY948" s="118"/>
      <c r="AZ948" s="14"/>
      <c r="BA948" s="14"/>
      <c r="BB948" s="14"/>
      <c r="BC948" s="14"/>
      <c r="BD948" s="14"/>
      <c r="BE948" s="14"/>
      <c r="BF948" s="14"/>
      <c r="BG948" s="14"/>
    </row>
    <row r="949" spans="2:59" s="15" customFormat="1" ht="14.25" x14ac:dyDescent="0.2">
      <c r="B949" s="27"/>
      <c r="C949" s="27"/>
      <c r="D949" s="27"/>
      <c r="E949" s="27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9"/>
      <c r="AE949" s="29"/>
      <c r="AF949" s="29"/>
      <c r="AG949" s="14"/>
      <c r="AH949" s="14"/>
      <c r="AI949" s="14"/>
      <c r="AJ949" s="14"/>
      <c r="AK949" s="14"/>
      <c r="AL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18"/>
      <c r="AX949" s="118"/>
      <c r="AY949" s="118"/>
      <c r="AZ949" s="14"/>
      <c r="BA949" s="14"/>
      <c r="BB949" s="14"/>
      <c r="BC949" s="14"/>
      <c r="BD949" s="14"/>
      <c r="BE949" s="14"/>
      <c r="BF949" s="14"/>
      <c r="BG949" s="14"/>
    </row>
    <row r="950" spans="2:59" s="15" customFormat="1" ht="14.25" x14ac:dyDescent="0.2">
      <c r="B950" s="27"/>
      <c r="C950" s="27"/>
      <c r="D950" s="27"/>
      <c r="E950" s="27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9"/>
      <c r="AE950" s="29"/>
      <c r="AF950" s="29"/>
      <c r="AG950" s="14"/>
      <c r="AH950" s="14"/>
      <c r="AI950" s="14"/>
      <c r="AJ950" s="14"/>
      <c r="AK950" s="14"/>
      <c r="AL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18"/>
      <c r="AX950" s="118"/>
      <c r="AY950" s="118"/>
      <c r="AZ950" s="14"/>
      <c r="BA950" s="14"/>
      <c r="BB950" s="14"/>
      <c r="BC950" s="14"/>
      <c r="BD950" s="14"/>
      <c r="BE950" s="14"/>
      <c r="BF950" s="14"/>
      <c r="BG950" s="14"/>
    </row>
    <row r="951" spans="2:59" s="15" customFormat="1" ht="14.25" x14ac:dyDescent="0.2">
      <c r="B951" s="27"/>
      <c r="C951" s="27"/>
      <c r="D951" s="27"/>
      <c r="E951" s="27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9"/>
      <c r="AE951" s="29"/>
      <c r="AF951" s="29"/>
      <c r="AG951" s="14"/>
      <c r="AH951" s="14"/>
      <c r="AI951" s="14"/>
      <c r="AJ951" s="14"/>
      <c r="AK951" s="14"/>
      <c r="AL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18"/>
      <c r="AX951" s="118"/>
      <c r="AY951" s="118"/>
      <c r="AZ951" s="14"/>
      <c r="BA951" s="14"/>
      <c r="BB951" s="14"/>
      <c r="BC951" s="14"/>
      <c r="BD951" s="14"/>
      <c r="BE951" s="14"/>
      <c r="BF951" s="14"/>
      <c r="BG951" s="14"/>
    </row>
    <row r="952" spans="2:59" s="15" customFormat="1" ht="14.25" x14ac:dyDescent="0.2">
      <c r="B952" s="27"/>
      <c r="C952" s="27"/>
      <c r="D952" s="27"/>
      <c r="E952" s="27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9"/>
      <c r="AE952" s="29"/>
      <c r="AF952" s="29"/>
      <c r="AG952" s="14"/>
      <c r="AH952" s="14"/>
      <c r="AI952" s="14"/>
      <c r="AJ952" s="14"/>
      <c r="AK952" s="14"/>
      <c r="AL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18"/>
      <c r="AX952" s="118"/>
      <c r="AY952" s="118"/>
      <c r="AZ952" s="14"/>
      <c r="BA952" s="14"/>
      <c r="BB952" s="14"/>
      <c r="BC952" s="14"/>
      <c r="BD952" s="14"/>
      <c r="BE952" s="14"/>
      <c r="BF952" s="14"/>
      <c r="BG952" s="14"/>
    </row>
    <row r="953" spans="2:59" s="15" customFormat="1" ht="14.25" x14ac:dyDescent="0.2">
      <c r="B953" s="27"/>
      <c r="C953" s="27"/>
      <c r="D953" s="27"/>
      <c r="E953" s="27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9"/>
      <c r="AE953" s="29"/>
      <c r="AF953" s="29"/>
      <c r="AG953" s="14"/>
      <c r="AH953" s="14"/>
      <c r="AI953" s="14"/>
      <c r="AJ953" s="14"/>
      <c r="AK953" s="14"/>
      <c r="AL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18"/>
      <c r="AX953" s="118"/>
      <c r="AY953" s="118"/>
      <c r="AZ953" s="14"/>
      <c r="BA953" s="14"/>
      <c r="BB953" s="14"/>
      <c r="BC953" s="14"/>
      <c r="BD953" s="14"/>
      <c r="BE953" s="14"/>
      <c r="BF953" s="14"/>
      <c r="BG953" s="14"/>
    </row>
    <row r="954" spans="2:59" s="15" customFormat="1" ht="14.25" x14ac:dyDescent="0.2">
      <c r="B954" s="27"/>
      <c r="C954" s="27"/>
      <c r="D954" s="27"/>
      <c r="E954" s="27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9"/>
      <c r="AE954" s="29"/>
      <c r="AF954" s="29"/>
      <c r="AG954" s="14"/>
      <c r="AH954" s="14"/>
      <c r="AI954" s="14"/>
      <c r="AJ954" s="14"/>
      <c r="AK954" s="14"/>
      <c r="AL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18"/>
      <c r="AX954" s="118"/>
      <c r="AY954" s="118"/>
      <c r="AZ954" s="14"/>
      <c r="BA954" s="14"/>
      <c r="BB954" s="14"/>
      <c r="BC954" s="14"/>
      <c r="BD954" s="14"/>
      <c r="BE954" s="14"/>
      <c r="BF954" s="14"/>
      <c r="BG954" s="14"/>
    </row>
    <row r="955" spans="2:59" s="15" customFormat="1" ht="14.25" x14ac:dyDescent="0.2">
      <c r="B955" s="27"/>
      <c r="C955" s="27"/>
      <c r="D955" s="27"/>
      <c r="E955" s="27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9"/>
      <c r="AE955" s="29"/>
      <c r="AF955" s="29"/>
      <c r="AG955" s="14"/>
      <c r="AH955" s="14"/>
      <c r="AI955" s="14"/>
      <c r="AJ955" s="14"/>
      <c r="AK955" s="14"/>
      <c r="AL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18"/>
      <c r="AX955" s="118"/>
      <c r="AY955" s="118"/>
      <c r="AZ955" s="14"/>
      <c r="BA955" s="14"/>
      <c r="BB955" s="14"/>
      <c r="BC955" s="14"/>
      <c r="BD955" s="14"/>
      <c r="BE955" s="14"/>
      <c r="BF955" s="14"/>
      <c r="BG955" s="14"/>
    </row>
    <row r="956" spans="2:59" s="15" customFormat="1" ht="14.25" x14ac:dyDescent="0.2">
      <c r="B956" s="27"/>
      <c r="C956" s="27"/>
      <c r="D956" s="27"/>
      <c r="E956" s="27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9"/>
      <c r="AE956" s="29"/>
      <c r="AF956" s="29"/>
      <c r="AG956" s="14"/>
      <c r="AH956" s="14"/>
      <c r="AI956" s="14"/>
      <c r="AJ956" s="14"/>
      <c r="AK956" s="14"/>
      <c r="AL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18"/>
      <c r="AX956" s="118"/>
      <c r="AY956" s="118"/>
      <c r="AZ956" s="14"/>
      <c r="BA956" s="14"/>
      <c r="BB956" s="14"/>
      <c r="BC956" s="14"/>
      <c r="BD956" s="14"/>
      <c r="BE956" s="14"/>
      <c r="BF956" s="14"/>
      <c r="BG956" s="14"/>
    </row>
    <row r="957" spans="2:59" s="15" customFormat="1" ht="14.25" x14ac:dyDescent="0.2">
      <c r="B957" s="27"/>
      <c r="C957" s="27"/>
      <c r="D957" s="27"/>
      <c r="E957" s="27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9"/>
      <c r="AE957" s="29"/>
      <c r="AF957" s="29"/>
      <c r="AG957" s="14"/>
      <c r="AH957" s="14"/>
      <c r="AI957" s="14"/>
      <c r="AJ957" s="14"/>
      <c r="AK957" s="14"/>
      <c r="AL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18"/>
      <c r="AX957" s="118"/>
      <c r="AY957" s="118"/>
      <c r="AZ957" s="14"/>
      <c r="BA957" s="14"/>
      <c r="BB957" s="14"/>
      <c r="BC957" s="14"/>
      <c r="BD957" s="14"/>
      <c r="BE957" s="14"/>
      <c r="BF957" s="14"/>
      <c r="BG957" s="14"/>
    </row>
    <row r="958" spans="2:59" s="15" customFormat="1" ht="14.25" x14ac:dyDescent="0.2">
      <c r="B958" s="27"/>
      <c r="C958" s="27"/>
      <c r="D958" s="27"/>
      <c r="E958" s="27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9"/>
      <c r="AE958" s="29"/>
      <c r="AF958" s="29"/>
      <c r="AG958" s="14"/>
      <c r="AH958" s="14"/>
      <c r="AI958" s="14"/>
      <c r="AJ958" s="14"/>
      <c r="AK958" s="14"/>
      <c r="AL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18"/>
      <c r="AX958" s="118"/>
      <c r="AY958" s="118"/>
      <c r="AZ958" s="14"/>
      <c r="BA958" s="14"/>
      <c r="BB958" s="14"/>
      <c r="BC958" s="14"/>
      <c r="BD958" s="14"/>
      <c r="BE958" s="14"/>
      <c r="BF958" s="14"/>
      <c r="BG958" s="14"/>
    </row>
    <row r="959" spans="2:59" s="15" customFormat="1" ht="14.25" x14ac:dyDescent="0.2">
      <c r="B959" s="27"/>
      <c r="C959" s="27"/>
      <c r="D959" s="27"/>
      <c r="E959" s="27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9"/>
      <c r="AE959" s="29"/>
      <c r="AF959" s="29"/>
      <c r="AG959" s="14"/>
      <c r="AH959" s="14"/>
      <c r="AI959" s="14"/>
      <c r="AJ959" s="14"/>
      <c r="AK959" s="14"/>
      <c r="AL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18"/>
      <c r="AX959" s="118"/>
      <c r="AY959" s="118"/>
      <c r="AZ959" s="14"/>
      <c r="BA959" s="14"/>
      <c r="BB959" s="14"/>
      <c r="BC959" s="14"/>
      <c r="BD959" s="14"/>
      <c r="BE959" s="14"/>
      <c r="BF959" s="14"/>
      <c r="BG959" s="14"/>
    </row>
    <row r="960" spans="2:59" s="15" customFormat="1" ht="14.25" x14ac:dyDescent="0.2">
      <c r="B960" s="27"/>
      <c r="C960" s="27"/>
      <c r="D960" s="27"/>
      <c r="E960" s="27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9"/>
      <c r="AE960" s="29"/>
      <c r="AF960" s="29"/>
      <c r="AG960" s="14"/>
      <c r="AH960" s="14"/>
      <c r="AI960" s="14"/>
      <c r="AJ960" s="14"/>
      <c r="AK960" s="14"/>
      <c r="AL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18"/>
      <c r="AX960" s="118"/>
      <c r="AY960" s="118"/>
      <c r="AZ960" s="14"/>
      <c r="BA960" s="14"/>
      <c r="BB960" s="14"/>
      <c r="BC960" s="14"/>
      <c r="BD960" s="14"/>
      <c r="BE960" s="14"/>
      <c r="BF960" s="14"/>
      <c r="BG960" s="14"/>
    </row>
    <row r="961" spans="2:59" s="15" customFormat="1" ht="14.25" x14ac:dyDescent="0.2">
      <c r="B961" s="27"/>
      <c r="C961" s="27"/>
      <c r="D961" s="27"/>
      <c r="E961" s="27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9"/>
      <c r="AE961" s="29"/>
      <c r="AF961" s="29"/>
      <c r="AG961" s="14"/>
      <c r="AH961" s="14"/>
      <c r="AI961" s="14"/>
      <c r="AJ961" s="14"/>
      <c r="AK961" s="14"/>
      <c r="AL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18"/>
      <c r="AX961" s="118"/>
      <c r="AY961" s="118"/>
      <c r="AZ961" s="14"/>
      <c r="BA961" s="14"/>
      <c r="BB961" s="14"/>
      <c r="BC961" s="14"/>
      <c r="BD961" s="14"/>
      <c r="BE961" s="14"/>
      <c r="BF961" s="14"/>
      <c r="BG961" s="14"/>
    </row>
    <row r="962" spans="2:59" s="15" customFormat="1" ht="14.25" x14ac:dyDescent="0.2">
      <c r="B962" s="27"/>
      <c r="C962" s="27"/>
      <c r="D962" s="27"/>
      <c r="E962" s="27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9"/>
      <c r="AE962" s="29"/>
      <c r="AF962" s="29"/>
      <c r="AG962" s="14"/>
      <c r="AH962" s="14"/>
      <c r="AI962" s="14"/>
      <c r="AJ962" s="14"/>
      <c r="AK962" s="14"/>
      <c r="AL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18"/>
      <c r="AX962" s="118"/>
      <c r="AY962" s="118"/>
      <c r="AZ962" s="14"/>
      <c r="BA962" s="14"/>
      <c r="BB962" s="14"/>
      <c r="BC962" s="14"/>
      <c r="BD962" s="14"/>
      <c r="BE962" s="14"/>
      <c r="BF962" s="14"/>
      <c r="BG962" s="14"/>
    </row>
    <row r="963" spans="2:59" s="15" customFormat="1" ht="14.25" x14ac:dyDescent="0.2">
      <c r="B963" s="27"/>
      <c r="C963" s="27"/>
      <c r="D963" s="27"/>
      <c r="E963" s="27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9"/>
      <c r="AE963" s="29"/>
      <c r="AF963" s="29"/>
      <c r="AG963" s="14"/>
      <c r="AH963" s="14"/>
      <c r="AI963" s="14"/>
      <c r="AJ963" s="14"/>
      <c r="AK963" s="14"/>
      <c r="AL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18"/>
      <c r="AX963" s="118"/>
      <c r="AY963" s="118"/>
      <c r="AZ963" s="14"/>
      <c r="BA963" s="14"/>
      <c r="BB963" s="14"/>
      <c r="BC963" s="14"/>
      <c r="BD963" s="14"/>
      <c r="BE963" s="14"/>
      <c r="BF963" s="14"/>
      <c r="BG963" s="14"/>
    </row>
    <row r="964" spans="2:59" s="15" customFormat="1" ht="14.25" x14ac:dyDescent="0.2">
      <c r="B964" s="27"/>
      <c r="C964" s="27"/>
      <c r="D964" s="27"/>
      <c r="E964" s="27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9"/>
      <c r="AE964" s="29"/>
      <c r="AF964" s="29"/>
      <c r="AG964" s="14"/>
      <c r="AH964" s="14"/>
      <c r="AI964" s="14"/>
      <c r="AJ964" s="14"/>
      <c r="AK964" s="14"/>
      <c r="AL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18"/>
      <c r="AX964" s="118"/>
      <c r="AY964" s="118"/>
      <c r="AZ964" s="14"/>
      <c r="BA964" s="14"/>
      <c r="BB964" s="14"/>
      <c r="BC964" s="14"/>
      <c r="BD964" s="14"/>
      <c r="BE964" s="14"/>
      <c r="BF964" s="14"/>
      <c r="BG964" s="14"/>
    </row>
    <row r="965" spans="2:59" s="15" customFormat="1" ht="14.25" x14ac:dyDescent="0.2">
      <c r="B965" s="27"/>
      <c r="C965" s="27"/>
      <c r="D965" s="27"/>
      <c r="E965" s="27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9"/>
      <c r="AE965" s="29"/>
      <c r="AF965" s="29"/>
      <c r="AG965" s="14"/>
      <c r="AH965" s="14"/>
      <c r="AI965" s="14"/>
      <c r="AJ965" s="14"/>
      <c r="AK965" s="14"/>
      <c r="AL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18"/>
      <c r="AX965" s="118"/>
      <c r="AY965" s="118"/>
      <c r="AZ965" s="14"/>
      <c r="BA965" s="14"/>
      <c r="BB965" s="14"/>
      <c r="BC965" s="14"/>
      <c r="BD965" s="14"/>
      <c r="BE965" s="14"/>
      <c r="BF965" s="14"/>
      <c r="BG965" s="14"/>
    </row>
    <row r="966" spans="2:59" s="15" customFormat="1" ht="14.25" x14ac:dyDescent="0.2">
      <c r="B966" s="27"/>
      <c r="C966" s="27"/>
      <c r="D966" s="27"/>
      <c r="E966" s="27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9"/>
      <c r="AE966" s="29"/>
      <c r="AF966" s="29"/>
      <c r="AG966" s="14"/>
      <c r="AH966" s="14"/>
      <c r="AI966" s="14"/>
      <c r="AJ966" s="14"/>
      <c r="AK966" s="14"/>
      <c r="AL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18"/>
      <c r="AX966" s="118"/>
      <c r="AY966" s="118"/>
      <c r="AZ966" s="14"/>
      <c r="BA966" s="14"/>
      <c r="BB966" s="14"/>
      <c r="BC966" s="14"/>
      <c r="BD966" s="14"/>
      <c r="BE966" s="14"/>
      <c r="BF966" s="14"/>
      <c r="BG966" s="14"/>
    </row>
    <row r="967" spans="2:59" s="15" customFormat="1" ht="14.25" x14ac:dyDescent="0.2">
      <c r="B967" s="27"/>
      <c r="C967" s="27"/>
      <c r="D967" s="27"/>
      <c r="E967" s="27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9"/>
      <c r="AE967" s="29"/>
      <c r="AF967" s="29"/>
      <c r="AG967" s="14"/>
      <c r="AH967" s="14"/>
      <c r="AI967" s="14"/>
      <c r="AJ967" s="14"/>
      <c r="AK967" s="14"/>
      <c r="AL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18"/>
      <c r="AX967" s="118"/>
      <c r="AY967" s="118"/>
      <c r="AZ967" s="14"/>
      <c r="BA967" s="14"/>
      <c r="BB967" s="14"/>
      <c r="BC967" s="14"/>
      <c r="BD967" s="14"/>
      <c r="BE967" s="14"/>
      <c r="BF967" s="14"/>
      <c r="BG967" s="14"/>
    </row>
    <row r="968" spans="2:59" s="15" customFormat="1" ht="14.25" x14ac:dyDescent="0.2">
      <c r="B968" s="27"/>
      <c r="C968" s="27"/>
      <c r="D968" s="27"/>
      <c r="E968" s="27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9"/>
      <c r="AE968" s="29"/>
      <c r="AF968" s="29"/>
      <c r="AG968" s="14"/>
      <c r="AH968" s="14"/>
      <c r="AI968" s="14"/>
      <c r="AJ968" s="14"/>
      <c r="AK968" s="14"/>
      <c r="AL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18"/>
      <c r="AX968" s="118"/>
      <c r="AY968" s="118"/>
      <c r="AZ968" s="14"/>
      <c r="BA968" s="14"/>
      <c r="BB968" s="14"/>
      <c r="BC968" s="14"/>
      <c r="BD968" s="14"/>
      <c r="BE968" s="14"/>
      <c r="BF968" s="14"/>
      <c r="BG968" s="14"/>
    </row>
    <row r="969" spans="2:59" s="15" customFormat="1" ht="14.25" x14ac:dyDescent="0.2">
      <c r="B969" s="27"/>
      <c r="C969" s="27"/>
      <c r="D969" s="27"/>
      <c r="E969" s="27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9"/>
      <c r="AE969" s="29"/>
      <c r="AF969" s="29"/>
      <c r="AG969" s="14"/>
      <c r="AH969" s="14"/>
      <c r="AI969" s="14"/>
      <c r="AJ969" s="14"/>
      <c r="AK969" s="14"/>
      <c r="AL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18"/>
      <c r="AX969" s="118"/>
      <c r="AY969" s="118"/>
      <c r="AZ969" s="14"/>
      <c r="BA969" s="14"/>
      <c r="BB969" s="14"/>
      <c r="BC969" s="14"/>
      <c r="BD969" s="14"/>
      <c r="BE969" s="14"/>
      <c r="BF969" s="14"/>
      <c r="BG969" s="14"/>
    </row>
    <row r="970" spans="2:59" s="15" customFormat="1" ht="14.25" x14ac:dyDescent="0.2">
      <c r="B970" s="27"/>
      <c r="C970" s="27"/>
      <c r="D970" s="27"/>
      <c r="E970" s="27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9"/>
      <c r="AE970" s="29"/>
      <c r="AF970" s="29"/>
      <c r="AG970" s="14"/>
      <c r="AH970" s="14"/>
      <c r="AI970" s="14"/>
      <c r="AJ970" s="14"/>
      <c r="AK970" s="14"/>
      <c r="AL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18"/>
      <c r="AX970" s="118"/>
      <c r="AY970" s="118"/>
      <c r="AZ970" s="14"/>
      <c r="BA970" s="14"/>
      <c r="BB970" s="14"/>
      <c r="BC970" s="14"/>
      <c r="BD970" s="14"/>
      <c r="BE970" s="14"/>
      <c r="BF970" s="14"/>
      <c r="BG970" s="14"/>
    </row>
    <row r="971" spans="2:59" s="15" customFormat="1" ht="14.25" x14ac:dyDescent="0.2">
      <c r="B971" s="27"/>
      <c r="C971" s="27"/>
      <c r="D971" s="27"/>
      <c r="E971" s="27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9"/>
      <c r="AE971" s="29"/>
      <c r="AF971" s="29"/>
      <c r="AG971" s="14"/>
      <c r="AH971" s="14"/>
      <c r="AI971" s="14"/>
      <c r="AJ971" s="14"/>
      <c r="AK971" s="14"/>
      <c r="AL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18"/>
      <c r="AX971" s="118"/>
      <c r="AY971" s="118"/>
      <c r="AZ971" s="14"/>
      <c r="BA971" s="14"/>
      <c r="BB971" s="14"/>
      <c r="BC971" s="14"/>
      <c r="BD971" s="14"/>
      <c r="BE971" s="14"/>
      <c r="BF971" s="14"/>
      <c r="BG971" s="14"/>
    </row>
    <row r="972" spans="2:59" s="15" customFormat="1" ht="14.25" x14ac:dyDescent="0.2">
      <c r="B972" s="27"/>
      <c r="C972" s="27"/>
      <c r="D972" s="27"/>
      <c r="E972" s="27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9"/>
      <c r="AE972" s="29"/>
      <c r="AF972" s="29"/>
      <c r="AG972" s="14"/>
      <c r="AH972" s="14"/>
      <c r="AI972" s="14"/>
      <c r="AJ972" s="14"/>
      <c r="AK972" s="14"/>
      <c r="AL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18"/>
      <c r="AX972" s="118"/>
      <c r="AY972" s="118"/>
      <c r="AZ972" s="14"/>
      <c r="BA972" s="14"/>
      <c r="BB972" s="14"/>
      <c r="BC972" s="14"/>
      <c r="BD972" s="14"/>
      <c r="BE972" s="14"/>
      <c r="BF972" s="14"/>
      <c r="BG972" s="14"/>
    </row>
    <row r="973" spans="2:59" s="15" customFormat="1" ht="14.25" x14ac:dyDescent="0.2">
      <c r="B973" s="27"/>
      <c r="C973" s="27"/>
      <c r="D973" s="27"/>
      <c r="E973" s="27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9"/>
      <c r="AE973" s="29"/>
      <c r="AF973" s="29"/>
      <c r="AG973" s="14"/>
      <c r="AH973" s="14"/>
      <c r="AI973" s="14"/>
      <c r="AJ973" s="14"/>
      <c r="AK973" s="14"/>
      <c r="AL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18"/>
      <c r="AX973" s="118"/>
      <c r="AY973" s="118"/>
      <c r="AZ973" s="14"/>
      <c r="BA973" s="14"/>
      <c r="BB973" s="14"/>
      <c r="BC973" s="14"/>
      <c r="BD973" s="14"/>
      <c r="BE973" s="14"/>
      <c r="BF973" s="14"/>
      <c r="BG973" s="14"/>
    </row>
    <row r="974" spans="2:59" s="15" customFormat="1" ht="14.25" x14ac:dyDescent="0.2">
      <c r="B974" s="27"/>
      <c r="C974" s="27"/>
      <c r="D974" s="27"/>
      <c r="E974" s="27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9"/>
      <c r="AE974" s="29"/>
      <c r="AF974" s="29"/>
      <c r="AG974" s="14"/>
      <c r="AH974" s="14"/>
      <c r="AI974" s="14"/>
      <c r="AJ974" s="14"/>
      <c r="AK974" s="14"/>
      <c r="AL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18"/>
      <c r="AX974" s="118"/>
      <c r="AY974" s="118"/>
      <c r="AZ974" s="14"/>
      <c r="BA974" s="14"/>
      <c r="BB974" s="14"/>
      <c r="BC974" s="14"/>
      <c r="BD974" s="14"/>
      <c r="BE974" s="14"/>
      <c r="BF974" s="14"/>
      <c r="BG974" s="14"/>
    </row>
    <row r="975" spans="2:59" s="15" customFormat="1" ht="14.25" x14ac:dyDescent="0.2">
      <c r="B975" s="27"/>
      <c r="C975" s="27"/>
      <c r="D975" s="27"/>
      <c r="E975" s="27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9"/>
      <c r="AE975" s="29"/>
      <c r="AF975" s="29"/>
      <c r="AG975" s="14"/>
      <c r="AH975" s="14"/>
      <c r="AI975" s="14"/>
      <c r="AJ975" s="14"/>
      <c r="AK975" s="14"/>
      <c r="AL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18"/>
      <c r="AX975" s="118"/>
      <c r="AY975" s="118"/>
      <c r="AZ975" s="14"/>
      <c r="BA975" s="14"/>
      <c r="BB975" s="14"/>
      <c r="BC975" s="14"/>
      <c r="BD975" s="14"/>
      <c r="BE975" s="14"/>
      <c r="BF975" s="14"/>
      <c r="BG975" s="14"/>
    </row>
    <row r="976" spans="2:59" s="15" customFormat="1" ht="14.25" x14ac:dyDescent="0.2">
      <c r="B976" s="27"/>
      <c r="C976" s="27"/>
      <c r="D976" s="27"/>
      <c r="E976" s="27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9"/>
      <c r="AE976" s="29"/>
      <c r="AF976" s="29"/>
      <c r="AG976" s="14"/>
      <c r="AH976" s="14"/>
      <c r="AI976" s="14"/>
      <c r="AJ976" s="14"/>
      <c r="AK976" s="14"/>
      <c r="AL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18"/>
      <c r="AX976" s="118"/>
      <c r="AY976" s="118"/>
      <c r="AZ976" s="14"/>
      <c r="BA976" s="14"/>
      <c r="BB976" s="14"/>
      <c r="BC976" s="14"/>
      <c r="BD976" s="14"/>
      <c r="BE976" s="14"/>
      <c r="BF976" s="14"/>
      <c r="BG976" s="14"/>
    </row>
    <row r="977" spans="2:59" s="15" customFormat="1" ht="14.25" x14ac:dyDescent="0.2">
      <c r="B977" s="27"/>
      <c r="C977" s="27"/>
      <c r="D977" s="27"/>
      <c r="E977" s="27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9"/>
      <c r="AE977" s="29"/>
      <c r="AF977" s="29"/>
      <c r="AG977" s="14"/>
      <c r="AH977" s="14"/>
      <c r="AI977" s="14"/>
      <c r="AJ977" s="14"/>
      <c r="AK977" s="14"/>
      <c r="AL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18"/>
      <c r="AX977" s="118"/>
      <c r="AY977" s="118"/>
      <c r="AZ977" s="14"/>
      <c r="BA977" s="14"/>
      <c r="BB977" s="14"/>
      <c r="BC977" s="14"/>
      <c r="BD977" s="14"/>
      <c r="BE977" s="14"/>
      <c r="BF977" s="14"/>
      <c r="BG977" s="14"/>
    </row>
    <row r="978" spans="2:59" s="15" customFormat="1" ht="14.25" x14ac:dyDescent="0.2">
      <c r="B978" s="27"/>
      <c r="C978" s="27"/>
      <c r="D978" s="27"/>
      <c r="E978" s="27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9"/>
      <c r="AE978" s="29"/>
      <c r="AF978" s="29"/>
      <c r="AG978" s="14"/>
      <c r="AH978" s="14"/>
      <c r="AI978" s="14"/>
      <c r="AJ978" s="14"/>
      <c r="AK978" s="14"/>
      <c r="AL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18"/>
      <c r="AX978" s="118"/>
      <c r="AY978" s="118"/>
      <c r="AZ978" s="14"/>
      <c r="BA978" s="14"/>
      <c r="BB978" s="14"/>
      <c r="BC978" s="14"/>
      <c r="BD978" s="14"/>
      <c r="BE978" s="14"/>
      <c r="BF978" s="14"/>
      <c r="BG978" s="14"/>
    </row>
    <row r="979" spans="2:59" s="15" customFormat="1" ht="14.25" x14ac:dyDescent="0.2">
      <c r="B979" s="27"/>
      <c r="C979" s="27"/>
      <c r="D979" s="27"/>
      <c r="E979" s="27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9"/>
      <c r="AE979" s="29"/>
      <c r="AF979" s="29"/>
      <c r="AG979" s="14"/>
      <c r="AH979" s="14"/>
      <c r="AI979" s="14"/>
      <c r="AJ979" s="14"/>
      <c r="AK979" s="14"/>
      <c r="AL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18"/>
      <c r="AX979" s="118"/>
      <c r="AY979" s="118"/>
      <c r="AZ979" s="14"/>
      <c r="BA979" s="14"/>
      <c r="BB979" s="14"/>
      <c r="BC979" s="14"/>
      <c r="BD979" s="14"/>
      <c r="BE979" s="14"/>
      <c r="BF979" s="14"/>
      <c r="BG979" s="14"/>
    </row>
    <row r="980" spans="2:59" s="15" customFormat="1" ht="14.25" x14ac:dyDescent="0.2">
      <c r="B980" s="27"/>
      <c r="C980" s="27"/>
      <c r="D980" s="27"/>
      <c r="E980" s="27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9"/>
      <c r="AE980" s="29"/>
      <c r="AF980" s="29"/>
      <c r="AG980" s="14"/>
      <c r="AH980" s="14"/>
      <c r="AI980" s="14"/>
      <c r="AJ980" s="14"/>
      <c r="AK980" s="14"/>
      <c r="AL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18"/>
      <c r="AX980" s="118"/>
      <c r="AY980" s="118"/>
      <c r="AZ980" s="14"/>
      <c r="BA980" s="14"/>
      <c r="BB980" s="14"/>
      <c r="BC980" s="14"/>
      <c r="BD980" s="14"/>
      <c r="BE980" s="14"/>
      <c r="BF980" s="14"/>
      <c r="BG980" s="14"/>
    </row>
    <row r="981" spans="2:59" s="15" customFormat="1" ht="14.25" x14ac:dyDescent="0.2">
      <c r="B981" s="27"/>
      <c r="C981" s="27"/>
      <c r="D981" s="27"/>
      <c r="E981" s="27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9"/>
      <c r="AE981" s="29"/>
      <c r="AF981" s="29"/>
      <c r="AG981" s="14"/>
      <c r="AH981" s="14"/>
      <c r="AI981" s="14"/>
      <c r="AJ981" s="14"/>
      <c r="AK981" s="14"/>
      <c r="AL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18"/>
      <c r="AX981" s="118"/>
      <c r="AY981" s="118"/>
      <c r="AZ981" s="14"/>
      <c r="BA981" s="14"/>
      <c r="BB981" s="14"/>
      <c r="BC981" s="14"/>
      <c r="BD981" s="14"/>
      <c r="BE981" s="14"/>
      <c r="BF981" s="14"/>
      <c r="BG981" s="14"/>
    </row>
    <row r="982" spans="2:59" s="15" customFormat="1" ht="14.25" x14ac:dyDescent="0.2">
      <c r="B982" s="27"/>
      <c r="C982" s="27"/>
      <c r="D982" s="27"/>
      <c r="E982" s="27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9"/>
      <c r="AE982" s="29"/>
      <c r="AF982" s="29"/>
      <c r="AG982" s="14"/>
      <c r="AH982" s="14"/>
      <c r="AI982" s="14"/>
      <c r="AJ982" s="14"/>
      <c r="AK982" s="14"/>
      <c r="AL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18"/>
      <c r="AX982" s="118"/>
      <c r="AY982" s="118"/>
      <c r="AZ982" s="14"/>
      <c r="BA982" s="14"/>
      <c r="BB982" s="14"/>
      <c r="BC982" s="14"/>
      <c r="BD982" s="14"/>
      <c r="BE982" s="14"/>
      <c r="BF982" s="14"/>
      <c r="BG982" s="14"/>
    </row>
    <row r="983" spans="2:59" s="15" customFormat="1" ht="14.25" x14ac:dyDescent="0.2">
      <c r="B983" s="27"/>
      <c r="C983" s="27"/>
      <c r="D983" s="27"/>
      <c r="E983" s="27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9"/>
      <c r="AE983" s="29"/>
      <c r="AF983" s="29"/>
      <c r="AG983" s="14"/>
      <c r="AH983" s="14"/>
      <c r="AI983" s="14"/>
      <c r="AJ983" s="14"/>
      <c r="AK983" s="14"/>
      <c r="AL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18"/>
      <c r="AX983" s="118"/>
      <c r="AY983" s="118"/>
      <c r="AZ983" s="14"/>
      <c r="BA983" s="14"/>
      <c r="BB983" s="14"/>
      <c r="BC983" s="14"/>
      <c r="BD983" s="14"/>
      <c r="BE983" s="14"/>
      <c r="BF983" s="14"/>
      <c r="BG983" s="14"/>
    </row>
    <row r="984" spans="2:59" s="15" customFormat="1" ht="14.25" x14ac:dyDescent="0.2">
      <c r="B984" s="27"/>
      <c r="C984" s="27"/>
      <c r="D984" s="27"/>
      <c r="E984" s="27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9"/>
      <c r="AE984" s="29"/>
      <c r="AF984" s="29"/>
      <c r="AG984" s="14"/>
      <c r="AH984" s="14"/>
      <c r="AI984" s="14"/>
      <c r="AJ984" s="14"/>
      <c r="AK984" s="14"/>
      <c r="AL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18"/>
      <c r="AX984" s="118"/>
      <c r="AY984" s="118"/>
      <c r="AZ984" s="14"/>
      <c r="BA984" s="14"/>
      <c r="BB984" s="14"/>
      <c r="BC984" s="14"/>
      <c r="BD984" s="14"/>
      <c r="BE984" s="14"/>
      <c r="BF984" s="14"/>
      <c r="BG984" s="14"/>
    </row>
    <row r="985" spans="2:59" s="15" customFormat="1" ht="14.25" x14ac:dyDescent="0.2">
      <c r="B985" s="27"/>
      <c r="C985" s="27"/>
      <c r="D985" s="27"/>
      <c r="E985" s="27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9"/>
      <c r="AE985" s="29"/>
      <c r="AF985" s="29"/>
      <c r="AG985" s="14"/>
      <c r="AH985" s="14"/>
      <c r="AI985" s="14"/>
      <c r="AJ985" s="14"/>
      <c r="AK985" s="14"/>
      <c r="AL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18"/>
      <c r="AX985" s="118"/>
      <c r="AY985" s="118"/>
      <c r="AZ985" s="14"/>
      <c r="BA985" s="14"/>
      <c r="BB985" s="14"/>
      <c r="BC985" s="14"/>
      <c r="BD985" s="14"/>
      <c r="BE985" s="14"/>
      <c r="BF985" s="14"/>
      <c r="BG985" s="14"/>
    </row>
    <row r="986" spans="2:59" s="15" customFormat="1" ht="14.25" x14ac:dyDescent="0.2">
      <c r="B986" s="27"/>
      <c r="C986" s="27"/>
      <c r="D986" s="27"/>
      <c r="E986" s="27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9"/>
      <c r="AE986" s="29"/>
      <c r="AF986" s="29"/>
      <c r="AG986" s="14"/>
      <c r="AH986" s="14"/>
      <c r="AI986" s="14"/>
      <c r="AJ986" s="14"/>
      <c r="AK986" s="14"/>
      <c r="AL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18"/>
      <c r="AX986" s="118"/>
      <c r="AY986" s="118"/>
      <c r="AZ986" s="14"/>
      <c r="BA986" s="14"/>
      <c r="BB986" s="14"/>
      <c r="BC986" s="14"/>
      <c r="BD986" s="14"/>
      <c r="BE986" s="14"/>
      <c r="BF986" s="14"/>
      <c r="BG986" s="14"/>
    </row>
    <row r="987" spans="2:59" s="15" customFormat="1" ht="14.25" x14ac:dyDescent="0.2">
      <c r="B987" s="27"/>
      <c r="C987" s="27"/>
      <c r="D987" s="27"/>
      <c r="E987" s="27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9"/>
      <c r="AE987" s="29"/>
      <c r="AF987" s="29"/>
      <c r="AG987" s="14"/>
      <c r="AH987" s="14"/>
      <c r="AI987" s="14"/>
      <c r="AJ987" s="14"/>
      <c r="AK987" s="14"/>
      <c r="AL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18"/>
      <c r="AX987" s="118"/>
      <c r="AY987" s="118"/>
      <c r="AZ987" s="14"/>
      <c r="BA987" s="14"/>
      <c r="BB987" s="14"/>
      <c r="BC987" s="14"/>
      <c r="BD987" s="14"/>
      <c r="BE987" s="14"/>
      <c r="BF987" s="14"/>
      <c r="BG987" s="14"/>
    </row>
    <row r="988" spans="2:59" s="15" customFormat="1" ht="14.25" x14ac:dyDescent="0.2">
      <c r="B988" s="27"/>
      <c r="C988" s="27"/>
      <c r="D988" s="27"/>
      <c r="E988" s="27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9"/>
      <c r="AE988" s="29"/>
      <c r="AF988" s="29"/>
      <c r="AG988" s="14"/>
      <c r="AH988" s="14"/>
      <c r="AI988" s="14"/>
      <c r="AJ988" s="14"/>
      <c r="AK988" s="14"/>
      <c r="AL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18"/>
      <c r="AX988" s="118"/>
      <c r="AY988" s="118"/>
      <c r="AZ988" s="14"/>
      <c r="BA988" s="14"/>
      <c r="BB988" s="14"/>
      <c r="BC988" s="14"/>
      <c r="BD988" s="14"/>
      <c r="BE988" s="14"/>
      <c r="BF988" s="14"/>
      <c r="BG988" s="14"/>
    </row>
    <row r="989" spans="2:59" s="15" customFormat="1" ht="14.25" x14ac:dyDescent="0.2">
      <c r="B989" s="27"/>
      <c r="C989" s="27"/>
      <c r="D989" s="27"/>
      <c r="E989" s="27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9"/>
      <c r="AE989" s="29"/>
      <c r="AF989" s="29"/>
      <c r="AG989" s="14"/>
      <c r="AH989" s="14"/>
      <c r="AI989" s="14"/>
      <c r="AJ989" s="14"/>
      <c r="AK989" s="14"/>
      <c r="AL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18"/>
      <c r="AX989" s="118"/>
      <c r="AY989" s="118"/>
      <c r="AZ989" s="14"/>
      <c r="BA989" s="14"/>
      <c r="BB989" s="14"/>
      <c r="BC989" s="14"/>
      <c r="BD989" s="14"/>
      <c r="BE989" s="14"/>
      <c r="BF989" s="14"/>
      <c r="BG989" s="14"/>
    </row>
    <row r="990" spans="2:59" s="15" customFormat="1" ht="14.25" x14ac:dyDescent="0.2">
      <c r="B990" s="27"/>
      <c r="C990" s="27"/>
      <c r="D990" s="27"/>
      <c r="E990" s="27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9"/>
      <c r="AE990" s="29"/>
      <c r="AF990" s="29"/>
      <c r="AG990" s="14"/>
      <c r="AH990" s="14"/>
      <c r="AI990" s="14"/>
      <c r="AJ990" s="14"/>
      <c r="AK990" s="14"/>
      <c r="AL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18"/>
      <c r="AX990" s="118"/>
      <c r="AY990" s="118"/>
      <c r="AZ990" s="14"/>
      <c r="BA990" s="14"/>
      <c r="BB990" s="14"/>
      <c r="BC990" s="14"/>
      <c r="BD990" s="14"/>
      <c r="BE990" s="14"/>
      <c r="BF990" s="14"/>
      <c r="BG990" s="14"/>
    </row>
    <row r="991" spans="2:59" s="15" customFormat="1" ht="14.25" x14ac:dyDescent="0.2">
      <c r="B991" s="27"/>
      <c r="C991" s="27"/>
      <c r="D991" s="27"/>
      <c r="E991" s="27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9"/>
      <c r="AE991" s="29"/>
      <c r="AF991" s="29"/>
      <c r="AG991" s="14"/>
      <c r="AH991" s="14"/>
      <c r="AI991" s="14"/>
      <c r="AJ991" s="14"/>
      <c r="AK991" s="14"/>
      <c r="AL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18"/>
      <c r="AX991" s="118"/>
      <c r="AY991" s="118"/>
      <c r="AZ991" s="14"/>
      <c r="BA991" s="14"/>
      <c r="BB991" s="14"/>
      <c r="BC991" s="14"/>
      <c r="BD991" s="14"/>
      <c r="BE991" s="14"/>
      <c r="BF991" s="14"/>
      <c r="BG991" s="14"/>
    </row>
    <row r="992" spans="2:59" s="15" customFormat="1" ht="14.25" x14ac:dyDescent="0.2">
      <c r="B992" s="27"/>
      <c r="C992" s="27"/>
      <c r="D992" s="27"/>
      <c r="E992" s="27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9"/>
      <c r="AE992" s="29"/>
      <c r="AF992" s="29"/>
      <c r="AG992" s="14"/>
      <c r="AH992" s="14"/>
      <c r="AI992" s="14"/>
      <c r="AJ992" s="14"/>
      <c r="AK992" s="14"/>
      <c r="AL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18"/>
      <c r="AX992" s="118"/>
      <c r="AY992" s="118"/>
      <c r="AZ992" s="14"/>
      <c r="BA992" s="14"/>
      <c r="BB992" s="14"/>
      <c r="BC992" s="14"/>
      <c r="BD992" s="14"/>
      <c r="BE992" s="14"/>
      <c r="BF992" s="14"/>
      <c r="BG992" s="14"/>
    </row>
    <row r="993" spans="2:72" s="15" customFormat="1" ht="14.25" x14ac:dyDescent="0.2">
      <c r="B993" s="27"/>
      <c r="C993" s="27"/>
      <c r="D993" s="27"/>
      <c r="E993" s="27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9"/>
      <c r="AE993" s="29"/>
      <c r="AF993" s="29"/>
      <c r="AG993" s="14"/>
      <c r="AH993" s="14"/>
      <c r="AI993" s="14"/>
      <c r="AJ993" s="14"/>
      <c r="AK993" s="14"/>
      <c r="AL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18"/>
      <c r="AX993" s="118"/>
      <c r="AY993" s="118"/>
      <c r="AZ993" s="14"/>
      <c r="BA993" s="14"/>
      <c r="BB993" s="14"/>
      <c r="BC993" s="14"/>
      <c r="BD993" s="14"/>
      <c r="BE993" s="14"/>
      <c r="BF993" s="14"/>
      <c r="BG993" s="14"/>
    </row>
    <row r="994" spans="2:72" s="15" customFormat="1" ht="14.25" x14ac:dyDescent="0.2">
      <c r="B994" s="27"/>
      <c r="C994" s="27"/>
      <c r="D994" s="27"/>
      <c r="E994" s="27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9"/>
      <c r="AE994" s="29"/>
      <c r="AF994" s="29"/>
      <c r="AG994" s="14"/>
      <c r="AH994" s="14"/>
      <c r="AI994" s="14"/>
      <c r="AJ994" s="14"/>
      <c r="AK994" s="14"/>
      <c r="AL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18"/>
      <c r="AX994" s="118"/>
      <c r="AY994" s="118"/>
      <c r="AZ994" s="14"/>
      <c r="BA994" s="14"/>
      <c r="BB994" s="14"/>
      <c r="BC994" s="14"/>
      <c r="BD994" s="14"/>
      <c r="BE994" s="14"/>
      <c r="BF994" s="14"/>
      <c r="BG994" s="14"/>
    </row>
    <row r="995" spans="2:72" s="15" customFormat="1" ht="14.25" x14ac:dyDescent="0.2">
      <c r="B995" s="27"/>
      <c r="C995" s="27"/>
      <c r="D995" s="27"/>
      <c r="E995" s="27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9"/>
      <c r="AE995" s="29"/>
      <c r="AF995" s="29"/>
      <c r="AG995" s="14"/>
      <c r="AH995" s="14"/>
      <c r="AI995" s="14"/>
      <c r="AJ995" s="14"/>
      <c r="AK995" s="14"/>
      <c r="AL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18"/>
      <c r="AX995" s="118"/>
      <c r="AY995" s="118"/>
      <c r="AZ995" s="14"/>
      <c r="BA995" s="14"/>
      <c r="BB995" s="14"/>
      <c r="BC995" s="14"/>
      <c r="BD995" s="14"/>
      <c r="BE995" s="14"/>
      <c r="BF995" s="14"/>
      <c r="BG995" s="14"/>
    </row>
    <row r="996" spans="2:72" s="15" customFormat="1" ht="14.25" x14ac:dyDescent="0.2">
      <c r="B996" s="27"/>
      <c r="C996" s="27"/>
      <c r="D996" s="27"/>
      <c r="E996" s="27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9"/>
      <c r="AE996" s="29"/>
      <c r="AF996" s="29"/>
      <c r="AG996" s="14"/>
      <c r="AH996" s="14"/>
      <c r="AI996" s="14"/>
      <c r="AJ996" s="14"/>
      <c r="AK996" s="14"/>
      <c r="AL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18"/>
      <c r="AX996" s="118"/>
      <c r="AY996" s="118"/>
      <c r="AZ996" s="14"/>
      <c r="BA996" s="14"/>
      <c r="BB996" s="14"/>
      <c r="BC996" s="14"/>
      <c r="BD996" s="14"/>
      <c r="BE996" s="14"/>
      <c r="BF996" s="14"/>
      <c r="BG996" s="14"/>
    </row>
    <row r="997" spans="2:72" s="15" customFormat="1" ht="14.25" x14ac:dyDescent="0.2">
      <c r="B997" s="27"/>
      <c r="C997" s="27"/>
      <c r="D997" s="27"/>
      <c r="E997" s="27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9"/>
      <c r="AE997" s="29"/>
      <c r="AF997" s="29"/>
      <c r="AG997" s="14"/>
      <c r="AH997" s="14"/>
      <c r="AI997" s="14"/>
      <c r="AJ997" s="14"/>
      <c r="AK997" s="14"/>
      <c r="AL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18"/>
      <c r="AX997" s="118"/>
      <c r="AY997" s="118"/>
      <c r="AZ997" s="14"/>
      <c r="BA997" s="14"/>
      <c r="BB997" s="14"/>
      <c r="BC997" s="14"/>
      <c r="BD997" s="14"/>
      <c r="BE997" s="14"/>
      <c r="BF997" s="14"/>
      <c r="BG997" s="14"/>
    </row>
    <row r="998" spans="2:72" s="15" customFormat="1" thickBot="1" x14ac:dyDescent="0.25">
      <c r="B998" s="27"/>
      <c r="C998" s="27"/>
      <c r="D998" s="27"/>
      <c r="E998" s="27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9"/>
      <c r="AE998" s="29"/>
      <c r="AF998" s="29"/>
      <c r="AG998" s="14"/>
      <c r="AH998" s="14"/>
      <c r="AI998" s="14"/>
      <c r="AJ998" s="14"/>
      <c r="AK998" s="14"/>
      <c r="AL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18"/>
      <c r="AX998" s="118"/>
      <c r="AY998" s="118"/>
      <c r="AZ998" s="14"/>
      <c r="BA998" s="14"/>
      <c r="BB998" s="14"/>
      <c r="BC998" s="14"/>
      <c r="BD998" s="14"/>
      <c r="BE998" s="14"/>
      <c r="BF998" s="14"/>
      <c r="BG998" s="14"/>
    </row>
    <row r="999" spans="2:72" s="15" customFormat="1" ht="52.5" customHeight="1" x14ac:dyDescent="0.2">
      <c r="AE999" s="17"/>
      <c r="AF999" s="17"/>
      <c r="AG999" s="19"/>
      <c r="AH999" s="14"/>
      <c r="AI999" s="14"/>
      <c r="AJ999" s="14"/>
      <c r="AK999" s="14"/>
      <c r="AL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18"/>
      <c r="AX999" s="118"/>
      <c r="AY999" s="118"/>
      <c r="AZ999" s="14"/>
      <c r="BA999" s="42"/>
      <c r="BB999" s="43"/>
      <c r="BC999" s="43"/>
      <c r="BD999" s="44"/>
      <c r="BE999" s="44"/>
      <c r="BF999" s="283" t="s">
        <v>49</v>
      </c>
      <c r="BG999" s="284"/>
      <c r="BH999" s="284"/>
      <c r="BI999" s="284"/>
      <c r="BJ999" s="284"/>
      <c r="BK999" s="285"/>
    </row>
    <row r="1000" spans="2:72" s="15" customFormat="1" ht="52.5" customHeight="1" thickBot="1" x14ac:dyDescent="0.25">
      <c r="AE1000" s="17"/>
      <c r="AF1000" s="17"/>
      <c r="AG1000" s="19"/>
      <c r="AH1000" s="14"/>
      <c r="AI1000" s="14"/>
      <c r="AJ1000" s="14"/>
      <c r="AK1000" s="14"/>
      <c r="AL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18"/>
      <c r="AX1000" s="118"/>
      <c r="AY1000" s="118"/>
      <c r="AZ1000" s="14"/>
      <c r="BA1000" s="42"/>
      <c r="BB1000" s="43"/>
      <c r="BC1000" s="43"/>
      <c r="BD1000" s="44"/>
      <c r="BE1000" s="44"/>
      <c r="BF1000" s="286"/>
      <c r="BG1000" s="287"/>
      <c r="BH1000" s="287"/>
      <c r="BI1000" s="287"/>
      <c r="BJ1000" s="287"/>
      <c r="BK1000" s="288"/>
    </row>
    <row r="1001" spans="2:72" s="15" customFormat="1" ht="15" customHeight="1" x14ac:dyDescent="0.2">
      <c r="AE1001" s="17"/>
      <c r="AF1001" s="18"/>
      <c r="AG1001" s="14"/>
      <c r="AH1001" s="14"/>
      <c r="AI1001" s="14"/>
      <c r="AJ1001" s="14"/>
      <c r="AK1001" s="14"/>
      <c r="AL1001" s="118"/>
      <c r="AN1001" s="14"/>
      <c r="AO1001" s="14"/>
      <c r="AP1001" s="14"/>
      <c r="AQ1001" s="14"/>
      <c r="AR1001" s="14"/>
      <c r="AS1001" s="14"/>
      <c r="AT1001" s="14"/>
      <c r="AU1001" s="14"/>
      <c r="AV1001" s="14"/>
      <c r="AW1001" s="118"/>
      <c r="AX1001" s="118"/>
      <c r="AY1001" s="118"/>
      <c r="AZ1001" s="14"/>
      <c r="BA1001" s="42"/>
      <c r="BB1001" s="43"/>
      <c r="BC1001" s="43"/>
      <c r="BD1001" s="44"/>
      <c r="BE1001" s="44"/>
      <c r="BF1001" s="98">
        <f>SUMPRODUCT(--($BF$1003:$BF$1233&lt;&gt;""))</f>
        <v>0</v>
      </c>
      <c r="BG1001" s="98">
        <f>SUMPRODUCT(--($BG$1003:$BG$1233&lt;&gt;""))</f>
        <v>0</v>
      </c>
      <c r="BH1001" s="98">
        <f>SUMPRODUCT(--($BH$1003:$BH$1233&lt;&gt;""))</f>
        <v>0</v>
      </c>
      <c r="BI1001" s="98">
        <f>SUMPRODUCT(--($BI$1003:$BI$1233&lt;&gt;""))</f>
        <v>0</v>
      </c>
      <c r="BJ1001" s="98">
        <f>SUMPRODUCT(--($BJ$1003:$BJ$1233&lt;&gt;""))</f>
        <v>0</v>
      </c>
      <c r="BK1001" s="98">
        <f>SUMPRODUCT(--($BK$1003:$BK$1233&lt;&gt;""))</f>
        <v>0</v>
      </c>
    </row>
    <row r="1002" spans="2:72" s="15" customFormat="1" ht="15" customHeight="1" x14ac:dyDescent="0.2">
      <c r="B1002" s="16"/>
      <c r="AE1002" s="17"/>
      <c r="AF1002" s="18"/>
      <c r="AG1002" s="14"/>
      <c r="AH1002" s="14"/>
      <c r="AI1002" s="14"/>
      <c r="AJ1002" s="14"/>
      <c r="AK1002" s="14"/>
      <c r="AL1002" s="118"/>
      <c r="AN1002" s="14"/>
      <c r="AO1002" s="14"/>
      <c r="AP1002" s="14"/>
      <c r="AQ1002" s="14"/>
      <c r="AR1002" s="14"/>
      <c r="AS1002" s="14"/>
      <c r="AT1002" s="14"/>
      <c r="AU1002" s="14"/>
      <c r="AV1002" s="14"/>
      <c r="AW1002" s="118"/>
      <c r="AX1002" s="118"/>
      <c r="AY1002" s="118"/>
      <c r="AZ1002" s="14"/>
      <c r="BA1002" s="42"/>
      <c r="BB1002" s="43"/>
      <c r="BC1002" s="43"/>
      <c r="BD1002" s="44"/>
      <c r="BE1002" s="44"/>
      <c r="BF1002" s="99" t="s">
        <v>50</v>
      </c>
      <c r="BG1002" s="99" t="s">
        <v>14</v>
      </c>
      <c r="BH1002" s="99" t="s">
        <v>46</v>
      </c>
      <c r="BI1002" s="99" t="s">
        <v>36</v>
      </c>
      <c r="BJ1002" s="100" t="s">
        <v>37</v>
      </c>
      <c r="BK1002" s="99" t="s">
        <v>47</v>
      </c>
    </row>
    <row r="1003" spans="2:72" s="15" customFormat="1" ht="15" customHeight="1" x14ac:dyDescent="0.2">
      <c r="B1003" s="16"/>
      <c r="AE1003" s="17"/>
      <c r="AF1003" s="18"/>
      <c r="AG1003" s="14"/>
      <c r="AH1003" s="14"/>
      <c r="AI1003" s="14"/>
      <c r="AJ1003" s="14"/>
      <c r="AK1003" s="14"/>
      <c r="AL1003" s="118"/>
      <c r="AN1003" s="14"/>
      <c r="AO1003" s="14"/>
      <c r="AP1003" s="14"/>
      <c r="AQ1003" s="14"/>
      <c r="AR1003" s="14"/>
      <c r="AS1003" s="14"/>
      <c r="AT1003" s="14"/>
      <c r="AU1003" s="14"/>
      <c r="AV1003" s="14"/>
      <c r="AW1003" s="118"/>
      <c r="AX1003" s="118"/>
      <c r="AY1003" s="144"/>
      <c r="AZ1003" s="14"/>
      <c r="BA1003" s="42"/>
      <c r="BB1003" s="43"/>
      <c r="BC1003" s="43"/>
      <c r="BD1003" s="44"/>
      <c r="BE1003" s="44"/>
      <c r="BF1003" s="101" t="str">
        <f t="shared" ref="BF1003:BF1066" si="16">IF(AND($B3="",$C3=""),"",IF($FB3="I",IF(AND(ISBLANK($F3)=FALSE,ISBLANK($G3)),IF($B3="",$C3,$B3),IF(AND(ISBLANK($L3)=FALSE,ISBLANK($M3)),IF($B3="",$C3,$B3),IF(AND(ISBLANK($R3)=FALSE,ISBLANK($S3)),IF($B3="",$C3,$B3),IF(AND(ISBLANK($V3)=FALSE,ISBLANK($W3)),IF($B3="",$C3,$B3),IF(AND(ISBLANK($Z3)=FALSE,ISBLANK($AA3)),IF($B3="",$C3,$B3),""))))),""))</f>
        <v/>
      </c>
      <c r="BG1003" s="101" t="str">
        <f t="shared" ref="BG1003:BG1066" si="17">IF(AND($B3="",$C3=""),"",IF($FB3="H",IF(AND(ISBLANK($F3)=FALSE,ISBLANK($G3)),IF($B3="",$C3,$B3),IF(AND(ISBLANK($L3)=FALSE,ISBLANK($M3)),IF($B3="",$C3,$B3),IF(AND(ISBLANK($R3)=FALSE,ISBLANK($S3)),IF($B3="",$C3,$B3),IF(AND(ISBLANK($V3)=FALSE,ISBLANK($W3)),IF($B3="",$C3,$B3),IF(AND(ISBLANK($Z3)=FALSE,ISBLANK($AA3)),IF($B3="",$C3,$B3),""))))),""))</f>
        <v/>
      </c>
      <c r="BH1003" s="101" t="str">
        <f t="shared" ref="BH1003:BH1066" si="18">IF(AND(ISBLANK($G3)=FALSE,ISBLANK($H3),ISBLANK($I3),ISBLANK($J3),ISBLANK($K3)),IF(ISBLANK($B3),$C3,$B3),IF(AND(ISBLANK($M3)=FALSE,ISBLANK($N3),ISBLANK($O3),ISBLANK($P3),ISBLANK($Q3)),IF(ISBLANK($B3),$C3,$B3),IF(AND(ISBLANK($S3)=FALSE,ISBLANK($T3),ISBLANK($U3)),IF(ISBLANK($B3),$C3,$B3),IF(AND(ISBLANK($W3)=FALSE,ISBLANK($X3),ISBLANK($Y3)),IF(ISBLANK($B3),$C3,$B3),IF(AND(ISBLANK($AA3)=FALSE,ISBLANK($AB3)),IF(ISBLANK($B3),$C3,$B3),"")))))</f>
        <v/>
      </c>
      <c r="BI1003" s="101" t="str">
        <f t="shared" ref="BI1003:BI1066" si="19">IF(AND(ISBLANK($I3)=FALSE,OR(ISBLANK($J3),ISBLANK($K3),ISBLANK($L3))),IF($J3&gt;=$I3,"",IF(ISBLANK($B3),$C3,$B3)),IF(AND(ISBLANK($O3)=FALSE,OR(ISBLANK($P3),ISBLANK($Q3),ISBLANK($R3))),IF($P3&gt;=$O3,"",IF(ISBLANK($B3),$C3,$B3)),""))</f>
        <v/>
      </c>
      <c r="BJ1003" s="101" t="str">
        <f t="shared" ref="BJ1003:BJ1066" si="20">IF(AND(ISBLANK($J3)=FALSE,OR(ISBLANK($K3),ISBLANK($L3))),IF(AND($I3&lt;=$J3,$K3&lt;$J3),IF(ISBLANK($B3),$C3,$B3),""),IF(AND(ISBLANK($P3)=FALSE,OR(ISBLANK($Q3),ISBLANK($R3),)),IF(AND($O3&lt;=$P3,$Q3&lt;$P3),IF(ISBLANK($B3),$C3,$B3),""),""))</f>
        <v/>
      </c>
      <c r="BK1003" s="101" t="str">
        <f t="shared" ref="BK1003:BK1066" si="21">IF(AND($BF1003="", $BG1003="", $BH1003=""), IF(AND($BI1003="", $BJ1003=""), IF(AND($B3="",$C3=""), "", IF(ISBLANK($B3),$C3,$B3)),""),"")</f>
        <v/>
      </c>
    </row>
    <row r="1004" spans="2:72" s="15" customFormat="1" ht="15" customHeight="1" x14ac:dyDescent="0.2">
      <c r="B1004" s="16"/>
      <c r="AE1004" s="17"/>
      <c r="AF1004" s="18"/>
      <c r="AG1004" s="14"/>
      <c r="AH1004" s="14"/>
      <c r="AI1004" s="14"/>
      <c r="AJ1004" s="14"/>
      <c r="AK1004" s="14"/>
      <c r="AL1004" s="118"/>
      <c r="AN1004" s="14"/>
      <c r="AO1004" s="14"/>
      <c r="AP1004" s="14"/>
      <c r="AQ1004" s="14"/>
      <c r="AR1004" s="14"/>
      <c r="AS1004" s="14"/>
      <c r="AT1004" s="14"/>
      <c r="AU1004" s="14"/>
      <c r="AV1004" s="14"/>
      <c r="AW1004" s="118"/>
      <c r="AX1004" s="118"/>
      <c r="AY1004" s="144"/>
      <c r="AZ1004" s="14"/>
      <c r="BA1004" s="42"/>
      <c r="BB1004" s="43"/>
      <c r="BC1004" s="43"/>
      <c r="BD1004" s="40"/>
      <c r="BE1004" s="40"/>
      <c r="BF1004" s="101" t="str">
        <f t="shared" si="16"/>
        <v/>
      </c>
      <c r="BG1004" s="101" t="str">
        <f t="shared" si="17"/>
        <v/>
      </c>
      <c r="BH1004" s="101" t="str">
        <f t="shared" si="18"/>
        <v/>
      </c>
      <c r="BI1004" s="101" t="str">
        <f t="shared" si="19"/>
        <v/>
      </c>
      <c r="BJ1004" s="101" t="str">
        <f t="shared" si="20"/>
        <v/>
      </c>
      <c r="BK1004" s="101" t="str">
        <f t="shared" si="21"/>
        <v/>
      </c>
    </row>
    <row r="1005" spans="2:72" s="15" customFormat="1" ht="15" customHeight="1" x14ac:dyDescent="0.2">
      <c r="B1005" s="16"/>
      <c r="AE1005" s="17"/>
      <c r="AF1005" s="18"/>
      <c r="AG1005" s="14"/>
      <c r="AH1005" s="14"/>
      <c r="AI1005" s="14"/>
      <c r="AJ1005" s="14"/>
      <c r="AK1005" s="14"/>
      <c r="AL1005" s="118"/>
      <c r="AN1005" s="14"/>
      <c r="AO1005" s="14"/>
      <c r="AP1005" s="14"/>
      <c r="AQ1005" s="14"/>
      <c r="AR1005" s="14"/>
      <c r="AS1005" s="14"/>
      <c r="AT1005" s="14"/>
      <c r="AU1005" s="14"/>
      <c r="AV1005" s="14"/>
      <c r="AW1005" s="118"/>
      <c r="AX1005" s="118"/>
      <c r="AY1005" s="144"/>
      <c r="AZ1005" s="14"/>
      <c r="BA1005" s="40"/>
      <c r="BB1005" s="40"/>
      <c r="BC1005" s="40"/>
      <c r="BD1005" s="40"/>
      <c r="BE1005" s="40"/>
      <c r="BF1005" s="101" t="str">
        <f t="shared" si="16"/>
        <v/>
      </c>
      <c r="BG1005" s="101" t="str">
        <f t="shared" si="17"/>
        <v/>
      </c>
      <c r="BH1005" s="101" t="str">
        <f t="shared" si="18"/>
        <v/>
      </c>
      <c r="BI1005" s="101" t="str">
        <f t="shared" si="19"/>
        <v/>
      </c>
      <c r="BJ1005" s="101" t="str">
        <f t="shared" si="20"/>
        <v/>
      </c>
      <c r="BK1005" s="101" t="str">
        <f t="shared" si="21"/>
        <v/>
      </c>
    </row>
    <row r="1006" spans="2:72" s="15" customFormat="1" ht="15" customHeight="1" x14ac:dyDescent="0.2">
      <c r="B1006" s="16"/>
      <c r="AE1006" s="17"/>
      <c r="AF1006" s="18"/>
      <c r="AG1006" s="14"/>
      <c r="AH1006" s="14"/>
      <c r="AI1006" s="14"/>
      <c r="AJ1006" s="14"/>
      <c r="AK1006" s="14"/>
      <c r="AL1006" s="14"/>
      <c r="AN1006" s="14"/>
      <c r="AO1006" s="14"/>
      <c r="AP1006" s="14"/>
      <c r="AQ1006" s="14"/>
      <c r="AR1006" s="14"/>
      <c r="AS1006" s="14"/>
      <c r="AT1006" s="14"/>
      <c r="AU1006" s="14"/>
      <c r="AV1006" s="14"/>
      <c r="AW1006" s="118"/>
      <c r="AX1006" s="118"/>
      <c r="AY1006" s="144"/>
      <c r="AZ1006" s="14"/>
      <c r="BA1006" s="40"/>
      <c r="BB1006" s="40"/>
      <c r="BC1006" s="40"/>
      <c r="BD1006" s="40"/>
      <c r="BE1006" s="40"/>
      <c r="BF1006" s="101" t="str">
        <f t="shared" si="16"/>
        <v/>
      </c>
      <c r="BG1006" s="101" t="str">
        <f t="shared" si="17"/>
        <v/>
      </c>
      <c r="BH1006" s="101" t="str">
        <f t="shared" si="18"/>
        <v/>
      </c>
      <c r="BI1006" s="101" t="str">
        <f t="shared" si="19"/>
        <v/>
      </c>
      <c r="BJ1006" s="101" t="str">
        <f t="shared" si="20"/>
        <v/>
      </c>
      <c r="BK1006" s="101" t="str">
        <f t="shared" si="21"/>
        <v/>
      </c>
    </row>
    <row r="1007" spans="2:72" s="15" customFormat="1" ht="15" customHeight="1" x14ac:dyDescent="0.2">
      <c r="B1007" s="16"/>
      <c r="AE1007" s="17"/>
      <c r="AF1007" s="18"/>
      <c r="AG1007" s="14"/>
      <c r="AH1007" s="14"/>
      <c r="AI1007" s="14"/>
      <c r="AJ1007" s="14"/>
      <c r="AK1007" s="14"/>
      <c r="AL1007" s="14"/>
      <c r="AN1007" s="14"/>
      <c r="AO1007" s="14"/>
      <c r="AP1007" s="14"/>
      <c r="AQ1007" s="14"/>
      <c r="AR1007" s="14"/>
      <c r="AS1007" s="14"/>
      <c r="AT1007" s="14"/>
      <c r="AU1007" s="14"/>
      <c r="AV1007" s="14"/>
      <c r="AW1007" s="118"/>
      <c r="AX1007" s="118"/>
      <c r="AY1007" s="144"/>
      <c r="AZ1007" s="14"/>
      <c r="BA1007" s="40"/>
      <c r="BB1007" s="40"/>
      <c r="BC1007" s="40"/>
      <c r="BD1007" s="40"/>
      <c r="BE1007" s="40"/>
      <c r="BF1007" s="101" t="str">
        <f t="shared" si="16"/>
        <v/>
      </c>
      <c r="BG1007" s="101" t="str">
        <f t="shared" si="17"/>
        <v/>
      </c>
      <c r="BH1007" s="101" t="str">
        <f t="shared" si="18"/>
        <v/>
      </c>
      <c r="BI1007" s="101" t="str">
        <f t="shared" si="19"/>
        <v/>
      </c>
      <c r="BJ1007" s="101" t="str">
        <f t="shared" si="20"/>
        <v/>
      </c>
      <c r="BK1007" s="101" t="str">
        <f t="shared" si="21"/>
        <v/>
      </c>
      <c r="BL1007" s="40"/>
      <c r="BM1007" s="40"/>
      <c r="BN1007" s="40"/>
      <c r="BO1007" s="40"/>
      <c r="BP1007" s="40"/>
      <c r="BQ1007" s="40"/>
      <c r="BR1007" s="40"/>
      <c r="BS1007" s="40"/>
      <c r="BT1007" s="41"/>
    </row>
    <row r="1008" spans="2:72" s="15" customFormat="1" ht="15" customHeight="1" x14ac:dyDescent="0.2">
      <c r="AE1008" s="17"/>
      <c r="AF1008" s="18"/>
      <c r="AG1008" s="14"/>
      <c r="AH1008" s="14"/>
      <c r="AI1008" s="14"/>
      <c r="AJ1008" s="14"/>
      <c r="AK1008" s="14"/>
      <c r="AL1008" s="14"/>
      <c r="AN1008" s="14"/>
      <c r="AO1008" s="14"/>
      <c r="AP1008" s="14"/>
      <c r="AQ1008" s="14"/>
      <c r="AR1008" s="14"/>
      <c r="AS1008" s="14"/>
      <c r="AT1008" s="14"/>
      <c r="AU1008" s="14"/>
      <c r="AV1008" s="14"/>
      <c r="AW1008" s="118"/>
      <c r="AX1008" s="118"/>
      <c r="AY1008" s="144"/>
      <c r="AZ1008" s="14"/>
      <c r="BA1008" s="40"/>
      <c r="BB1008" s="40"/>
      <c r="BC1008" s="40"/>
      <c r="BD1008" s="53"/>
      <c r="BE1008" s="53"/>
      <c r="BF1008" s="101" t="str">
        <f t="shared" si="16"/>
        <v/>
      </c>
      <c r="BG1008" s="101" t="str">
        <f t="shared" si="17"/>
        <v/>
      </c>
      <c r="BH1008" s="101" t="str">
        <f t="shared" si="18"/>
        <v/>
      </c>
      <c r="BI1008" s="101" t="str">
        <f t="shared" si="19"/>
        <v/>
      </c>
      <c r="BJ1008" s="101" t="str">
        <f t="shared" si="20"/>
        <v/>
      </c>
      <c r="BK1008" s="101" t="str">
        <f t="shared" si="21"/>
        <v/>
      </c>
      <c r="BL1008" s="40"/>
      <c r="BM1008" s="40"/>
      <c r="BN1008" s="40"/>
      <c r="BO1008" s="40"/>
      <c r="BP1008" s="40"/>
      <c r="BQ1008" s="40"/>
      <c r="BR1008" s="40"/>
      <c r="BS1008" s="40"/>
      <c r="BT1008" s="40"/>
    </row>
    <row r="1009" spans="2:72" s="15" customFormat="1" ht="15" customHeight="1" x14ac:dyDescent="0.2">
      <c r="AE1009" s="17"/>
      <c r="AF1009" s="18"/>
      <c r="AG1009" s="14"/>
      <c r="AH1009" s="14"/>
      <c r="AI1009" s="14"/>
      <c r="AJ1009" s="14"/>
      <c r="AK1009" s="14"/>
      <c r="AL1009" s="14"/>
      <c r="AN1009" s="14"/>
      <c r="AO1009" s="14"/>
      <c r="AP1009" s="14"/>
      <c r="AQ1009" s="14"/>
      <c r="AR1009" s="14"/>
      <c r="AS1009" s="14"/>
      <c r="AT1009" s="14"/>
      <c r="AU1009" s="14"/>
      <c r="AV1009" s="14"/>
      <c r="AW1009" s="118"/>
      <c r="AX1009" s="118"/>
      <c r="AY1009" s="144"/>
      <c r="AZ1009" s="14"/>
      <c r="BA1009" s="40"/>
      <c r="BB1009" s="40"/>
      <c r="BC1009" s="40"/>
      <c r="BD1009" s="53"/>
      <c r="BE1009" s="53"/>
      <c r="BF1009" s="101" t="str">
        <f t="shared" si="16"/>
        <v/>
      </c>
      <c r="BG1009" s="101" t="str">
        <f t="shared" si="17"/>
        <v/>
      </c>
      <c r="BH1009" s="101" t="str">
        <f t="shared" si="18"/>
        <v/>
      </c>
      <c r="BI1009" s="101" t="str">
        <f t="shared" si="19"/>
        <v/>
      </c>
      <c r="BJ1009" s="101" t="str">
        <f t="shared" si="20"/>
        <v/>
      </c>
      <c r="BK1009" s="101" t="str">
        <f t="shared" si="21"/>
        <v/>
      </c>
      <c r="BL1009" s="40"/>
      <c r="BM1009" s="40"/>
      <c r="BN1009" s="40"/>
      <c r="BO1009" s="40"/>
      <c r="BP1009" s="40"/>
      <c r="BQ1009" s="40"/>
      <c r="BR1009" s="40"/>
      <c r="BS1009" s="40"/>
      <c r="BT1009" s="40"/>
    </row>
    <row r="1010" spans="2:72" s="15" customFormat="1" ht="15" customHeight="1" x14ac:dyDescent="0.2">
      <c r="AE1010" s="17"/>
      <c r="AF1010" s="18"/>
      <c r="AG1010" s="14"/>
      <c r="AH1010" s="14"/>
      <c r="AI1010" s="14"/>
      <c r="AJ1010" s="14"/>
      <c r="AK1010" s="14"/>
      <c r="AL1010" s="14"/>
      <c r="AN1010" s="14"/>
      <c r="AO1010" s="14"/>
      <c r="AP1010" s="14"/>
      <c r="AQ1010" s="14"/>
      <c r="AR1010" s="14"/>
      <c r="AS1010" s="14"/>
      <c r="AT1010" s="14"/>
      <c r="AU1010" s="14"/>
      <c r="AV1010" s="14"/>
      <c r="AW1010" s="118"/>
      <c r="AX1010" s="118"/>
      <c r="AY1010" s="144"/>
      <c r="AZ1010" s="14"/>
      <c r="BA1010" s="40"/>
      <c r="BB1010" s="40"/>
      <c r="BC1010" s="40"/>
      <c r="BD1010" s="53"/>
      <c r="BE1010" s="53"/>
      <c r="BF1010" s="101" t="str">
        <f t="shared" si="16"/>
        <v/>
      </c>
      <c r="BG1010" s="101" t="str">
        <f t="shared" si="17"/>
        <v/>
      </c>
      <c r="BH1010" s="101" t="str">
        <f t="shared" si="18"/>
        <v/>
      </c>
      <c r="BI1010" s="101" t="str">
        <f t="shared" si="19"/>
        <v/>
      </c>
      <c r="BJ1010" s="101" t="str">
        <f t="shared" si="20"/>
        <v/>
      </c>
      <c r="BK1010" s="101" t="str">
        <f t="shared" si="21"/>
        <v/>
      </c>
      <c r="BL1010" s="40"/>
      <c r="BM1010" s="40"/>
      <c r="BN1010" s="40"/>
      <c r="BO1010" s="40"/>
      <c r="BP1010" s="40"/>
      <c r="BQ1010" s="40"/>
      <c r="BR1010" s="40"/>
      <c r="BS1010" s="40"/>
      <c r="BT1010" s="40"/>
    </row>
    <row r="1011" spans="2:72" s="15" customFormat="1" ht="15" customHeight="1" x14ac:dyDescent="0.2">
      <c r="AE1011" s="17"/>
      <c r="AF1011" s="18"/>
      <c r="AG1011" s="14"/>
      <c r="AH1011" s="14"/>
      <c r="AI1011" s="14"/>
      <c r="AJ1011" s="14"/>
      <c r="AK1011" s="14"/>
      <c r="AL1011" s="14"/>
      <c r="AN1011" s="14"/>
      <c r="AO1011" s="14"/>
      <c r="AP1011" s="14"/>
      <c r="AQ1011" s="14"/>
      <c r="AR1011" s="14"/>
      <c r="AS1011" s="14"/>
      <c r="AT1011" s="14"/>
      <c r="AU1011" s="14"/>
      <c r="AV1011" s="14"/>
      <c r="AW1011" s="118"/>
      <c r="AX1011" s="118"/>
      <c r="AY1011" s="144"/>
      <c r="AZ1011" s="14"/>
      <c r="BA1011" s="40"/>
      <c r="BB1011" s="40"/>
      <c r="BC1011" s="40"/>
      <c r="BD1011" s="53"/>
      <c r="BE1011" s="53"/>
      <c r="BF1011" s="101" t="str">
        <f t="shared" si="16"/>
        <v/>
      </c>
      <c r="BG1011" s="101" t="str">
        <f t="shared" si="17"/>
        <v/>
      </c>
      <c r="BH1011" s="101" t="str">
        <f t="shared" si="18"/>
        <v/>
      </c>
      <c r="BI1011" s="101" t="str">
        <f t="shared" si="19"/>
        <v/>
      </c>
      <c r="BJ1011" s="101" t="str">
        <f t="shared" si="20"/>
        <v/>
      </c>
      <c r="BK1011" s="101" t="str">
        <f t="shared" si="21"/>
        <v/>
      </c>
      <c r="BL1011" s="40"/>
      <c r="BM1011" s="40"/>
      <c r="BN1011" s="40"/>
      <c r="BO1011" s="40"/>
      <c r="BP1011" s="40"/>
      <c r="BQ1011" s="40"/>
      <c r="BR1011" s="40"/>
      <c r="BS1011" s="40"/>
      <c r="BT1011" s="40"/>
    </row>
    <row r="1012" spans="2:72" s="15" customFormat="1" ht="15" customHeight="1" x14ac:dyDescent="0.2">
      <c r="AE1012" s="17"/>
      <c r="AF1012" s="18"/>
      <c r="AG1012" s="14"/>
      <c r="AH1012" s="14"/>
      <c r="AI1012" s="14"/>
      <c r="AJ1012" s="14"/>
      <c r="AK1012" s="14"/>
      <c r="AL1012" s="14"/>
      <c r="AN1012" s="14"/>
      <c r="AO1012" s="14"/>
      <c r="AP1012" s="14"/>
      <c r="AQ1012" s="14"/>
      <c r="AR1012" s="14"/>
      <c r="AS1012" s="14"/>
      <c r="AT1012" s="14"/>
      <c r="AU1012" s="14"/>
      <c r="AV1012" s="14"/>
      <c r="AW1012" s="118"/>
      <c r="AX1012" s="118"/>
      <c r="AY1012" s="144"/>
      <c r="AZ1012" s="14"/>
      <c r="BA1012" s="40"/>
      <c r="BB1012" s="40"/>
      <c r="BC1012" s="40"/>
      <c r="BD1012" s="53"/>
      <c r="BE1012" s="53"/>
      <c r="BF1012" s="101" t="str">
        <f t="shared" si="16"/>
        <v/>
      </c>
      <c r="BG1012" s="101" t="str">
        <f t="shared" si="17"/>
        <v/>
      </c>
      <c r="BH1012" s="101" t="str">
        <f t="shared" si="18"/>
        <v/>
      </c>
      <c r="BI1012" s="101" t="str">
        <f t="shared" si="19"/>
        <v/>
      </c>
      <c r="BJ1012" s="101" t="str">
        <f t="shared" si="20"/>
        <v/>
      </c>
      <c r="BK1012" s="101" t="str">
        <f t="shared" si="21"/>
        <v/>
      </c>
      <c r="BL1012" s="40"/>
      <c r="BM1012" s="40"/>
      <c r="BN1012" s="40"/>
      <c r="BO1012" s="40"/>
      <c r="BP1012" s="40"/>
      <c r="BQ1012" s="40"/>
      <c r="BR1012" s="40"/>
      <c r="BS1012" s="40"/>
      <c r="BT1012" s="40"/>
    </row>
    <row r="1013" spans="2:72" s="15" customFormat="1" ht="15" customHeight="1" x14ac:dyDescent="0.2">
      <c r="AE1013" s="17"/>
      <c r="AF1013" s="18"/>
      <c r="AG1013" s="14"/>
      <c r="AH1013" s="14"/>
      <c r="AI1013" s="14"/>
      <c r="AJ1013" s="14"/>
      <c r="AK1013" s="14"/>
      <c r="AL1013" s="14"/>
      <c r="AN1013" s="14"/>
      <c r="AO1013" s="14"/>
      <c r="AP1013" s="14"/>
      <c r="AQ1013" s="14"/>
      <c r="AR1013" s="14"/>
      <c r="AS1013" s="14"/>
      <c r="AT1013" s="14"/>
      <c r="AU1013" s="14"/>
      <c r="AV1013" s="14"/>
      <c r="AW1013" s="118"/>
      <c r="AX1013" s="118"/>
      <c r="AY1013" s="144"/>
      <c r="AZ1013" s="14"/>
      <c r="BA1013" s="42"/>
      <c r="BB1013" s="43"/>
      <c r="BC1013" s="44"/>
      <c r="BD1013" s="53"/>
      <c r="BE1013" s="53"/>
      <c r="BF1013" s="101" t="str">
        <f t="shared" si="16"/>
        <v/>
      </c>
      <c r="BG1013" s="101" t="str">
        <f t="shared" si="17"/>
        <v/>
      </c>
      <c r="BH1013" s="101" t="str">
        <f t="shared" si="18"/>
        <v/>
      </c>
      <c r="BI1013" s="101" t="str">
        <f t="shared" si="19"/>
        <v/>
      </c>
      <c r="BJ1013" s="101" t="str">
        <f t="shared" si="20"/>
        <v/>
      </c>
      <c r="BK1013" s="101" t="str">
        <f t="shared" si="21"/>
        <v/>
      </c>
      <c r="BL1013" s="40"/>
      <c r="BM1013" s="40"/>
      <c r="BN1013" s="40"/>
      <c r="BO1013" s="41"/>
      <c r="BP1013" s="41"/>
      <c r="BQ1013" s="41"/>
      <c r="BR1013" s="41"/>
      <c r="BS1013" s="41"/>
      <c r="BT1013" s="41"/>
    </row>
    <row r="1014" spans="2:72" s="15" customFormat="1" ht="15" customHeight="1" x14ac:dyDescent="0.2">
      <c r="AE1014" s="17"/>
      <c r="AF1014" s="18"/>
      <c r="AG1014" s="14"/>
      <c r="AH1014" s="14"/>
      <c r="AI1014" s="14"/>
      <c r="AJ1014" s="14"/>
      <c r="AK1014" s="14"/>
      <c r="AL1014" s="14"/>
      <c r="AN1014" s="14"/>
      <c r="AO1014" s="14"/>
      <c r="AP1014" s="14"/>
      <c r="AQ1014" s="14"/>
      <c r="AR1014" s="14"/>
      <c r="AS1014" s="14"/>
      <c r="AT1014" s="14"/>
      <c r="AU1014" s="14"/>
      <c r="AV1014" s="14"/>
      <c r="AW1014" s="118"/>
      <c r="AX1014" s="118"/>
      <c r="AY1014" s="144"/>
      <c r="AZ1014" s="14"/>
      <c r="BA1014" s="42"/>
      <c r="BB1014" s="43"/>
      <c r="BC1014" s="44"/>
      <c r="BD1014" s="53"/>
      <c r="BE1014" s="53"/>
      <c r="BF1014" s="101" t="str">
        <f t="shared" si="16"/>
        <v/>
      </c>
      <c r="BG1014" s="101" t="str">
        <f t="shared" si="17"/>
        <v/>
      </c>
      <c r="BH1014" s="101" t="str">
        <f t="shared" si="18"/>
        <v/>
      </c>
      <c r="BI1014" s="101" t="str">
        <f t="shared" si="19"/>
        <v/>
      </c>
      <c r="BJ1014" s="101" t="str">
        <f t="shared" si="20"/>
        <v/>
      </c>
      <c r="BK1014" s="101" t="str">
        <f t="shared" si="21"/>
        <v/>
      </c>
      <c r="BL1014" s="40"/>
      <c r="BM1014" s="40"/>
      <c r="BN1014" s="40"/>
      <c r="BO1014" s="41"/>
      <c r="BP1014" s="41"/>
      <c r="BQ1014" s="41"/>
      <c r="BR1014" s="41"/>
      <c r="BS1014" s="41"/>
      <c r="BT1014" s="41"/>
    </row>
    <row r="1015" spans="2:72" s="15" customFormat="1" ht="15" customHeight="1" x14ac:dyDescent="0.2">
      <c r="AE1015" s="17"/>
      <c r="AF1015" s="18"/>
      <c r="AG1015" s="14"/>
      <c r="AH1015" s="14"/>
      <c r="AI1015" s="14"/>
      <c r="AJ1015" s="14"/>
      <c r="AK1015" s="14"/>
      <c r="AL1015" s="14"/>
      <c r="AN1015" s="14"/>
      <c r="AO1015" s="14"/>
      <c r="AP1015" s="14"/>
      <c r="AQ1015" s="14"/>
      <c r="AR1015" s="14"/>
      <c r="AS1015" s="14"/>
      <c r="AT1015" s="14"/>
      <c r="AU1015" s="14"/>
      <c r="AV1015" s="14"/>
      <c r="AW1015" s="118"/>
      <c r="AX1015" s="118"/>
      <c r="AY1015" s="144"/>
      <c r="AZ1015" s="14"/>
      <c r="BA1015" s="42"/>
      <c r="BB1015" s="43"/>
      <c r="BC1015" s="44"/>
      <c r="BD1015" s="53"/>
      <c r="BE1015" s="53"/>
      <c r="BF1015" s="101" t="str">
        <f t="shared" si="16"/>
        <v/>
      </c>
      <c r="BG1015" s="101" t="str">
        <f t="shared" si="17"/>
        <v/>
      </c>
      <c r="BH1015" s="101" t="str">
        <f t="shared" si="18"/>
        <v/>
      </c>
      <c r="BI1015" s="101" t="str">
        <f t="shared" si="19"/>
        <v/>
      </c>
      <c r="BJ1015" s="101" t="str">
        <f t="shared" si="20"/>
        <v/>
      </c>
      <c r="BK1015" s="101" t="str">
        <f t="shared" si="21"/>
        <v/>
      </c>
      <c r="BL1015" s="40"/>
      <c r="BM1015" s="40"/>
      <c r="BN1015" s="40"/>
      <c r="BO1015" s="40"/>
      <c r="BP1015" s="40"/>
      <c r="BQ1015" s="40"/>
      <c r="BR1015" s="41"/>
      <c r="BS1015" s="41"/>
      <c r="BT1015" s="41"/>
    </row>
    <row r="1016" spans="2:72" s="15" customFormat="1" ht="15" customHeight="1" x14ac:dyDescent="0.2">
      <c r="B1016" s="16"/>
      <c r="AE1016" s="17"/>
      <c r="AF1016" s="18"/>
      <c r="AG1016" s="14"/>
      <c r="AH1016" s="14"/>
      <c r="AI1016" s="14"/>
      <c r="AJ1016" s="14"/>
      <c r="AK1016" s="14"/>
      <c r="AL1016" s="14"/>
      <c r="AN1016" s="14"/>
      <c r="AO1016" s="14"/>
      <c r="AP1016" s="14"/>
      <c r="AQ1016" s="14"/>
      <c r="AR1016" s="14"/>
      <c r="AS1016" s="14"/>
      <c r="AT1016" s="14"/>
      <c r="AU1016" s="14"/>
      <c r="AV1016" s="14"/>
      <c r="AW1016" s="118"/>
      <c r="AX1016" s="118"/>
      <c r="AY1016" s="144"/>
      <c r="AZ1016" s="14"/>
      <c r="BA1016" s="42"/>
      <c r="BB1016" s="43"/>
      <c r="BC1016" s="44"/>
      <c r="BD1016" s="53"/>
      <c r="BE1016" s="53"/>
      <c r="BF1016" s="101" t="str">
        <f t="shared" si="16"/>
        <v/>
      </c>
      <c r="BG1016" s="101" t="str">
        <f t="shared" si="17"/>
        <v/>
      </c>
      <c r="BH1016" s="101" t="str">
        <f t="shared" si="18"/>
        <v/>
      </c>
      <c r="BI1016" s="101" t="str">
        <f t="shared" si="19"/>
        <v/>
      </c>
      <c r="BJ1016" s="101" t="str">
        <f t="shared" si="20"/>
        <v/>
      </c>
      <c r="BK1016" s="101" t="str">
        <f t="shared" si="21"/>
        <v/>
      </c>
      <c r="BL1016" s="40"/>
      <c r="BM1016" s="40"/>
      <c r="BN1016" s="40"/>
      <c r="BO1016" s="40"/>
      <c r="BP1016" s="40"/>
      <c r="BQ1016" s="40"/>
      <c r="BR1016" s="41"/>
      <c r="BS1016" s="41"/>
      <c r="BT1016" s="41"/>
    </row>
    <row r="1017" spans="2:72" s="15" customFormat="1" ht="15" customHeight="1" x14ac:dyDescent="0.2">
      <c r="B1017" s="16"/>
      <c r="AE1017" s="17"/>
      <c r="AF1017" s="18"/>
      <c r="AG1017" s="14"/>
      <c r="AH1017" s="14"/>
      <c r="AI1017" s="14"/>
      <c r="AJ1017" s="14"/>
      <c r="AK1017" s="14"/>
      <c r="AL1017" s="14"/>
      <c r="AN1017" s="14"/>
      <c r="AO1017" s="14"/>
      <c r="AP1017" s="14"/>
      <c r="AQ1017" s="14"/>
      <c r="AR1017" s="14"/>
      <c r="AS1017" s="14"/>
      <c r="AT1017" s="14"/>
      <c r="AU1017" s="14"/>
      <c r="AV1017" s="14"/>
      <c r="AW1017" s="118"/>
      <c r="AX1017" s="118"/>
      <c r="AY1017" s="144"/>
      <c r="AZ1017" s="14"/>
      <c r="BA1017" s="42"/>
      <c r="BB1017" s="43"/>
      <c r="BC1017" s="44"/>
      <c r="BD1017" s="53"/>
      <c r="BE1017" s="53"/>
      <c r="BF1017" s="101" t="str">
        <f t="shared" si="16"/>
        <v/>
      </c>
      <c r="BG1017" s="101" t="str">
        <f t="shared" si="17"/>
        <v/>
      </c>
      <c r="BH1017" s="101" t="str">
        <f t="shared" si="18"/>
        <v/>
      </c>
      <c r="BI1017" s="101" t="str">
        <f t="shared" si="19"/>
        <v/>
      </c>
      <c r="BJ1017" s="101" t="str">
        <f t="shared" si="20"/>
        <v/>
      </c>
      <c r="BK1017" s="101" t="str">
        <f t="shared" si="21"/>
        <v/>
      </c>
      <c r="BL1017" s="40"/>
      <c r="BM1017" s="40"/>
      <c r="BN1017" s="40"/>
      <c r="BO1017" s="40"/>
      <c r="BP1017" s="40"/>
      <c r="BQ1017" s="40"/>
      <c r="BR1017" s="41"/>
      <c r="BS1017" s="41"/>
      <c r="BT1017" s="41"/>
    </row>
    <row r="1018" spans="2:72" s="30" customFormat="1" ht="15" customHeight="1" x14ac:dyDescent="0.2">
      <c r="B1018" s="16"/>
      <c r="AE1018" s="17"/>
      <c r="AF1018" s="18"/>
      <c r="AG1018" s="31"/>
      <c r="AH1018" s="31"/>
      <c r="AI1018" s="31"/>
      <c r="AJ1018" s="31"/>
      <c r="AK1018" s="31"/>
      <c r="AL1018" s="31"/>
      <c r="AN1018" s="31"/>
      <c r="AO1018" s="31"/>
      <c r="AP1018" s="31"/>
      <c r="AQ1018" s="31"/>
      <c r="AR1018" s="31"/>
      <c r="AS1018" s="31"/>
      <c r="AT1018" s="31"/>
      <c r="AU1018" s="31"/>
      <c r="AV1018" s="31"/>
      <c r="AW1018" s="118"/>
      <c r="AX1018" s="118"/>
      <c r="AY1018" s="144"/>
      <c r="AZ1018" s="31"/>
      <c r="BA1018" s="42"/>
      <c r="BB1018" s="43"/>
      <c r="BC1018" s="44"/>
      <c r="BD1018" s="53"/>
      <c r="BE1018" s="53"/>
      <c r="BF1018" s="101" t="str">
        <f t="shared" si="16"/>
        <v/>
      </c>
      <c r="BG1018" s="101" t="str">
        <f t="shared" si="17"/>
        <v/>
      </c>
      <c r="BH1018" s="101" t="str">
        <f t="shared" si="18"/>
        <v/>
      </c>
      <c r="BI1018" s="101" t="str">
        <f t="shared" si="19"/>
        <v/>
      </c>
      <c r="BJ1018" s="101" t="str">
        <f t="shared" si="20"/>
        <v/>
      </c>
      <c r="BK1018" s="101" t="str">
        <f t="shared" si="21"/>
        <v/>
      </c>
      <c r="BL1018" s="40"/>
      <c r="BM1018" s="40"/>
      <c r="BN1018" s="40"/>
      <c r="BO1018" s="40"/>
      <c r="BP1018" s="40"/>
      <c r="BQ1018" s="40"/>
      <c r="BR1018" s="41"/>
      <c r="BS1018" s="41"/>
      <c r="BT1018" s="41"/>
    </row>
    <row r="1019" spans="2:72" s="30" customFormat="1" ht="15" customHeight="1" x14ac:dyDescent="0.2">
      <c r="B1019" s="16"/>
      <c r="AE1019" s="17"/>
      <c r="AF1019" s="18"/>
      <c r="AG1019" s="31"/>
      <c r="AH1019" s="31"/>
      <c r="AI1019" s="31"/>
      <c r="AJ1019" s="31"/>
      <c r="AK1019" s="31"/>
      <c r="AL1019" s="31"/>
      <c r="AN1019" s="31"/>
      <c r="AO1019" s="31"/>
      <c r="AP1019" s="31"/>
      <c r="AQ1019" s="31"/>
      <c r="AR1019" s="31"/>
      <c r="AS1019" s="31"/>
      <c r="AT1019" s="31"/>
      <c r="AU1019" s="31"/>
      <c r="AV1019" s="31"/>
      <c r="AW1019" s="118"/>
      <c r="AX1019" s="118"/>
      <c r="AY1019" s="144"/>
      <c r="AZ1019" s="31"/>
      <c r="BA1019" s="42"/>
      <c r="BB1019" s="43"/>
      <c r="BC1019" s="44"/>
      <c r="BD1019" s="53"/>
      <c r="BE1019" s="53"/>
      <c r="BF1019" s="101" t="str">
        <f t="shared" si="16"/>
        <v/>
      </c>
      <c r="BG1019" s="101" t="str">
        <f t="shared" si="17"/>
        <v/>
      </c>
      <c r="BH1019" s="101" t="str">
        <f t="shared" si="18"/>
        <v/>
      </c>
      <c r="BI1019" s="101" t="str">
        <f t="shared" si="19"/>
        <v/>
      </c>
      <c r="BJ1019" s="101" t="str">
        <f t="shared" si="20"/>
        <v/>
      </c>
      <c r="BK1019" s="101" t="str">
        <f t="shared" si="21"/>
        <v/>
      </c>
      <c r="BL1019" s="40"/>
      <c r="BM1019" s="40"/>
      <c r="BN1019" s="40"/>
      <c r="BO1019" s="40"/>
      <c r="BP1019" s="54"/>
      <c r="BQ1019" s="40"/>
      <c r="BR1019" s="41"/>
      <c r="BS1019" s="41"/>
      <c r="BT1019" s="41"/>
    </row>
    <row r="1020" spans="2:72" s="30" customFormat="1" ht="15" customHeight="1" x14ac:dyDescent="0.2">
      <c r="B1020" s="16"/>
      <c r="AE1020" s="17"/>
      <c r="AF1020" s="18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31"/>
      <c r="AQ1020" s="31"/>
      <c r="AR1020" s="31"/>
      <c r="AS1020" s="31"/>
      <c r="AT1020" s="31"/>
      <c r="AU1020" s="31"/>
      <c r="AV1020" s="31"/>
      <c r="AW1020" s="118"/>
      <c r="AX1020" s="118"/>
      <c r="AY1020" s="144"/>
      <c r="AZ1020" s="31"/>
      <c r="BA1020" s="42"/>
      <c r="BB1020" s="43"/>
      <c r="BC1020" s="44"/>
      <c r="BD1020" s="53"/>
      <c r="BE1020" s="53"/>
      <c r="BF1020" s="101" t="str">
        <f t="shared" si="16"/>
        <v/>
      </c>
      <c r="BG1020" s="101" t="str">
        <f t="shared" si="17"/>
        <v/>
      </c>
      <c r="BH1020" s="101" t="str">
        <f t="shared" si="18"/>
        <v/>
      </c>
      <c r="BI1020" s="101" t="str">
        <f t="shared" si="19"/>
        <v/>
      </c>
      <c r="BJ1020" s="101" t="str">
        <f t="shared" si="20"/>
        <v/>
      </c>
      <c r="BK1020" s="101" t="str">
        <f t="shared" si="21"/>
        <v/>
      </c>
      <c r="BL1020" s="40"/>
      <c r="BM1020" s="40"/>
      <c r="BN1020" s="40"/>
      <c r="BO1020" s="41"/>
      <c r="BP1020" s="41"/>
      <c r="BQ1020" s="41"/>
      <c r="BR1020" s="41"/>
      <c r="BS1020" s="41"/>
      <c r="BT1020" s="41"/>
    </row>
    <row r="1021" spans="2:72" s="30" customFormat="1" ht="15" customHeight="1" x14ac:dyDescent="0.2">
      <c r="B1021" s="16"/>
      <c r="AE1021" s="17"/>
      <c r="AF1021" s="18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31"/>
      <c r="AQ1021" s="31"/>
      <c r="AR1021" s="31"/>
      <c r="AS1021" s="31"/>
      <c r="AT1021" s="31"/>
      <c r="AU1021" s="31"/>
      <c r="AV1021" s="31"/>
      <c r="AW1021" s="118"/>
      <c r="AX1021" s="118"/>
      <c r="AY1021" s="144"/>
      <c r="AZ1021" s="31"/>
      <c r="BA1021" s="42"/>
      <c r="BB1021" s="43"/>
      <c r="BC1021" s="44"/>
      <c r="BD1021" s="53"/>
      <c r="BE1021" s="53"/>
      <c r="BF1021" s="101" t="str">
        <f t="shared" si="16"/>
        <v/>
      </c>
      <c r="BG1021" s="101" t="str">
        <f t="shared" si="17"/>
        <v/>
      </c>
      <c r="BH1021" s="101" t="str">
        <f t="shared" si="18"/>
        <v/>
      </c>
      <c r="BI1021" s="101" t="str">
        <f t="shared" si="19"/>
        <v/>
      </c>
      <c r="BJ1021" s="101" t="str">
        <f t="shared" si="20"/>
        <v/>
      </c>
      <c r="BK1021" s="101" t="str">
        <f t="shared" si="21"/>
        <v/>
      </c>
      <c r="BL1021" s="40"/>
      <c r="BM1021" s="40"/>
      <c r="BN1021" s="40"/>
      <c r="BO1021" s="40"/>
      <c r="BP1021" s="40"/>
      <c r="BQ1021" s="41"/>
      <c r="BR1021" s="41"/>
      <c r="BS1021" s="41"/>
      <c r="BT1021" s="41"/>
    </row>
    <row r="1022" spans="2:72" s="30" customFormat="1" ht="15" customHeight="1" x14ac:dyDescent="0.2">
      <c r="B1022" s="16"/>
      <c r="AE1022" s="17"/>
      <c r="AF1022" s="18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31"/>
      <c r="AQ1022" s="31"/>
      <c r="AR1022" s="31"/>
      <c r="AS1022" s="31"/>
      <c r="AT1022" s="31"/>
      <c r="AU1022" s="31"/>
      <c r="AV1022" s="31"/>
      <c r="AW1022" s="118"/>
      <c r="AX1022" s="118"/>
      <c r="AY1022" s="144"/>
      <c r="AZ1022" s="31"/>
      <c r="BA1022" s="42"/>
      <c r="BB1022" s="43"/>
      <c r="BC1022" s="44"/>
      <c r="BD1022" s="53"/>
      <c r="BE1022" s="53"/>
      <c r="BF1022" s="101" t="str">
        <f t="shared" si="16"/>
        <v/>
      </c>
      <c r="BG1022" s="101" t="str">
        <f t="shared" si="17"/>
        <v/>
      </c>
      <c r="BH1022" s="101" t="str">
        <f t="shared" si="18"/>
        <v/>
      </c>
      <c r="BI1022" s="101" t="str">
        <f t="shared" si="19"/>
        <v/>
      </c>
      <c r="BJ1022" s="101" t="str">
        <f t="shared" si="20"/>
        <v/>
      </c>
      <c r="BK1022" s="101" t="str">
        <f t="shared" si="21"/>
        <v/>
      </c>
      <c r="BL1022" s="40"/>
      <c r="BM1022" s="40"/>
      <c r="BN1022" s="40"/>
      <c r="BO1022" s="40"/>
      <c r="BP1022" s="40"/>
      <c r="BQ1022" s="41"/>
      <c r="BR1022" s="41"/>
      <c r="BS1022" s="41"/>
      <c r="BT1022" s="41"/>
    </row>
    <row r="1023" spans="2:72" s="30" customFormat="1" ht="15" customHeight="1" x14ac:dyDescent="0.2">
      <c r="B1023" s="16"/>
      <c r="AE1023" s="17"/>
      <c r="AF1023" s="18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31"/>
      <c r="AQ1023" s="31"/>
      <c r="AR1023" s="31"/>
      <c r="AS1023" s="31"/>
      <c r="AT1023" s="31"/>
      <c r="AU1023" s="31"/>
      <c r="AV1023" s="31"/>
      <c r="AW1023" s="118"/>
      <c r="AX1023" s="118"/>
      <c r="AY1023" s="144"/>
      <c r="AZ1023" s="31"/>
      <c r="BA1023" s="42"/>
      <c r="BB1023" s="43"/>
      <c r="BC1023" s="44"/>
      <c r="BD1023" s="53"/>
      <c r="BE1023" s="53"/>
      <c r="BF1023" s="101" t="str">
        <f t="shared" si="16"/>
        <v/>
      </c>
      <c r="BG1023" s="101" t="str">
        <f t="shared" si="17"/>
        <v/>
      </c>
      <c r="BH1023" s="101" t="str">
        <f t="shared" si="18"/>
        <v/>
      </c>
      <c r="BI1023" s="101" t="str">
        <f t="shared" si="19"/>
        <v/>
      </c>
      <c r="BJ1023" s="101" t="str">
        <f t="shared" si="20"/>
        <v/>
      </c>
      <c r="BK1023" s="101" t="str">
        <f t="shared" si="21"/>
        <v/>
      </c>
      <c r="BL1023" s="40"/>
      <c r="BM1023" s="40"/>
      <c r="BN1023" s="40"/>
      <c r="BO1023" s="40"/>
      <c r="BP1023" s="40"/>
      <c r="BQ1023" s="41"/>
      <c r="BR1023" s="41"/>
      <c r="BS1023" s="41"/>
      <c r="BT1023" s="41"/>
    </row>
    <row r="1024" spans="2:72" s="30" customFormat="1" ht="15" customHeight="1" x14ac:dyDescent="0.2">
      <c r="B1024" s="16"/>
      <c r="AE1024" s="17"/>
      <c r="AF1024" s="18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31"/>
      <c r="AQ1024" s="31"/>
      <c r="AR1024" s="31"/>
      <c r="AS1024" s="31"/>
      <c r="AT1024" s="31"/>
      <c r="AU1024" s="31"/>
      <c r="AV1024" s="31"/>
      <c r="AW1024" s="118"/>
      <c r="AX1024" s="118"/>
      <c r="AY1024" s="144"/>
      <c r="AZ1024" s="31"/>
      <c r="BA1024" s="42"/>
      <c r="BB1024" s="43"/>
      <c r="BC1024" s="44"/>
      <c r="BD1024" s="53"/>
      <c r="BE1024" s="53"/>
      <c r="BF1024" s="101" t="str">
        <f t="shared" si="16"/>
        <v/>
      </c>
      <c r="BG1024" s="101" t="str">
        <f t="shared" si="17"/>
        <v/>
      </c>
      <c r="BH1024" s="101" t="str">
        <f t="shared" si="18"/>
        <v/>
      </c>
      <c r="BI1024" s="101" t="str">
        <f t="shared" si="19"/>
        <v/>
      </c>
      <c r="BJ1024" s="101" t="str">
        <f t="shared" si="20"/>
        <v/>
      </c>
      <c r="BK1024" s="101" t="str">
        <f t="shared" si="21"/>
        <v/>
      </c>
      <c r="BL1024" s="40"/>
      <c r="BM1024" s="40"/>
      <c r="BN1024" s="40"/>
      <c r="BO1024" s="40"/>
      <c r="BP1024" s="40"/>
      <c r="BQ1024" s="41"/>
      <c r="BR1024" s="41"/>
      <c r="BS1024" s="41"/>
      <c r="BT1024" s="41"/>
    </row>
    <row r="1025" spans="2:72" s="30" customFormat="1" ht="15" customHeight="1" x14ac:dyDescent="0.2">
      <c r="B1025" s="16"/>
      <c r="AE1025" s="17"/>
      <c r="AF1025" s="18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31"/>
      <c r="AQ1025" s="31"/>
      <c r="AR1025" s="31"/>
      <c r="AS1025" s="31"/>
      <c r="AT1025" s="31"/>
      <c r="AU1025" s="31"/>
      <c r="AV1025" s="31"/>
      <c r="AW1025" s="118"/>
      <c r="AX1025" s="118"/>
      <c r="AY1025" s="144"/>
      <c r="AZ1025" s="31"/>
      <c r="BA1025" s="42"/>
      <c r="BB1025" s="43"/>
      <c r="BC1025" s="44"/>
      <c r="BD1025" s="53"/>
      <c r="BE1025" s="53"/>
      <c r="BF1025" s="101" t="str">
        <f t="shared" si="16"/>
        <v/>
      </c>
      <c r="BG1025" s="101" t="str">
        <f t="shared" si="17"/>
        <v/>
      </c>
      <c r="BH1025" s="101" t="str">
        <f t="shared" si="18"/>
        <v/>
      </c>
      <c r="BI1025" s="101" t="str">
        <f t="shared" si="19"/>
        <v/>
      </c>
      <c r="BJ1025" s="101" t="str">
        <f t="shared" si="20"/>
        <v/>
      </c>
      <c r="BK1025" s="101" t="str">
        <f t="shared" si="21"/>
        <v/>
      </c>
      <c r="BL1025" s="53"/>
      <c r="BM1025" s="53"/>
      <c r="BN1025" s="53"/>
      <c r="BO1025" s="53"/>
      <c r="BP1025" s="53"/>
      <c r="BQ1025" s="41"/>
      <c r="BR1025" s="41"/>
      <c r="BS1025" s="41"/>
      <c r="BT1025" s="41"/>
    </row>
    <row r="1026" spans="2:72" s="30" customFormat="1" ht="15" customHeight="1" x14ac:dyDescent="0.2">
      <c r="B1026" s="16"/>
      <c r="AE1026" s="17"/>
      <c r="AF1026" s="18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31"/>
      <c r="AQ1026" s="31"/>
      <c r="AR1026" s="31"/>
      <c r="AS1026" s="31"/>
      <c r="AT1026" s="31"/>
      <c r="AU1026" s="31"/>
      <c r="AV1026" s="31"/>
      <c r="AW1026" s="118"/>
      <c r="AX1026" s="118"/>
      <c r="AY1026" s="144"/>
      <c r="AZ1026" s="31"/>
      <c r="BA1026" s="42"/>
      <c r="BB1026" s="43"/>
      <c r="BC1026" s="44"/>
      <c r="BD1026" s="53"/>
      <c r="BE1026" s="53"/>
      <c r="BF1026" s="101" t="str">
        <f t="shared" si="16"/>
        <v/>
      </c>
      <c r="BG1026" s="101" t="str">
        <f t="shared" si="17"/>
        <v/>
      </c>
      <c r="BH1026" s="101" t="str">
        <f t="shared" si="18"/>
        <v/>
      </c>
      <c r="BI1026" s="101" t="str">
        <f t="shared" si="19"/>
        <v/>
      </c>
      <c r="BJ1026" s="101" t="str">
        <f t="shared" si="20"/>
        <v/>
      </c>
      <c r="BK1026" s="101" t="str">
        <f t="shared" si="21"/>
        <v/>
      </c>
      <c r="BL1026" s="53"/>
      <c r="BM1026" s="53"/>
      <c r="BN1026" s="53"/>
      <c r="BO1026" s="53"/>
      <c r="BP1026" s="53"/>
      <c r="BQ1026" s="41"/>
      <c r="BR1026" s="41"/>
      <c r="BS1026" s="41"/>
      <c r="BT1026" s="41"/>
    </row>
    <row r="1027" spans="2:72" s="30" customFormat="1" ht="15" customHeight="1" x14ac:dyDescent="0.2">
      <c r="B1027" s="16"/>
      <c r="AE1027" s="17"/>
      <c r="AF1027" s="18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31"/>
      <c r="AQ1027" s="31"/>
      <c r="AR1027" s="31"/>
      <c r="AS1027" s="31"/>
      <c r="AT1027" s="31"/>
      <c r="AU1027" s="31"/>
      <c r="AV1027" s="31"/>
      <c r="AW1027" s="118"/>
      <c r="AX1027" s="118"/>
      <c r="AY1027" s="144"/>
      <c r="AZ1027" s="31"/>
      <c r="BA1027" s="42"/>
      <c r="BB1027" s="43"/>
      <c r="BC1027" s="44"/>
      <c r="BD1027" s="53"/>
      <c r="BE1027" s="53"/>
      <c r="BF1027" s="101" t="str">
        <f t="shared" si="16"/>
        <v/>
      </c>
      <c r="BG1027" s="101" t="str">
        <f t="shared" si="17"/>
        <v/>
      </c>
      <c r="BH1027" s="101" t="str">
        <f t="shared" si="18"/>
        <v/>
      </c>
      <c r="BI1027" s="101" t="str">
        <f t="shared" si="19"/>
        <v/>
      </c>
      <c r="BJ1027" s="101" t="str">
        <f t="shared" si="20"/>
        <v/>
      </c>
      <c r="BK1027" s="101" t="str">
        <f t="shared" si="21"/>
        <v/>
      </c>
      <c r="BL1027" s="53"/>
      <c r="BM1027" s="53"/>
      <c r="BN1027" s="53"/>
      <c r="BO1027" s="53"/>
      <c r="BP1027" s="53"/>
      <c r="BQ1027" s="41"/>
      <c r="BR1027" s="41"/>
      <c r="BS1027" s="41"/>
      <c r="BT1027" s="41"/>
    </row>
    <row r="1028" spans="2:72" s="30" customFormat="1" ht="15" customHeight="1" x14ac:dyDescent="0.2">
      <c r="B1028" s="16"/>
      <c r="AE1028" s="17"/>
      <c r="AF1028" s="18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31"/>
      <c r="AQ1028" s="31"/>
      <c r="AR1028" s="31"/>
      <c r="AS1028" s="31"/>
      <c r="AT1028" s="31"/>
      <c r="AU1028" s="31"/>
      <c r="AV1028" s="31"/>
      <c r="AW1028" s="118"/>
      <c r="AX1028" s="118"/>
      <c r="AY1028" s="144"/>
      <c r="AZ1028" s="31"/>
      <c r="BA1028" s="42"/>
      <c r="BB1028" s="43"/>
      <c r="BC1028" s="44"/>
      <c r="BD1028" s="53"/>
      <c r="BE1028" s="53"/>
      <c r="BF1028" s="101" t="str">
        <f t="shared" si="16"/>
        <v/>
      </c>
      <c r="BG1028" s="101" t="str">
        <f t="shared" si="17"/>
        <v/>
      </c>
      <c r="BH1028" s="101" t="str">
        <f t="shared" si="18"/>
        <v/>
      </c>
      <c r="BI1028" s="101" t="str">
        <f t="shared" si="19"/>
        <v/>
      </c>
      <c r="BJ1028" s="101" t="str">
        <f t="shared" si="20"/>
        <v/>
      </c>
      <c r="BK1028" s="101" t="str">
        <f t="shared" si="21"/>
        <v/>
      </c>
      <c r="BL1028" s="53"/>
      <c r="BM1028" s="53"/>
      <c r="BN1028" s="53"/>
      <c r="BO1028" s="53"/>
      <c r="BP1028" s="53"/>
      <c r="BQ1028" s="41"/>
      <c r="BR1028" s="41"/>
      <c r="BS1028" s="41"/>
      <c r="BT1028" s="41"/>
    </row>
    <row r="1029" spans="2:72" s="30" customFormat="1" ht="15" customHeight="1" x14ac:dyDescent="0.2">
      <c r="B1029" s="16"/>
      <c r="AE1029" s="17"/>
      <c r="AF1029" s="18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31"/>
      <c r="AQ1029" s="31"/>
      <c r="AR1029" s="31"/>
      <c r="AS1029" s="31"/>
      <c r="AT1029" s="31"/>
      <c r="AU1029" s="31"/>
      <c r="AV1029" s="31"/>
      <c r="AW1029" s="118"/>
      <c r="AX1029" s="118"/>
      <c r="AY1029" s="144"/>
      <c r="AZ1029" s="31"/>
      <c r="BA1029" s="42"/>
      <c r="BB1029" s="43"/>
      <c r="BC1029" s="44"/>
      <c r="BD1029" s="53"/>
      <c r="BE1029" s="53"/>
      <c r="BF1029" s="101" t="str">
        <f t="shared" si="16"/>
        <v/>
      </c>
      <c r="BG1029" s="101" t="str">
        <f t="shared" si="17"/>
        <v/>
      </c>
      <c r="BH1029" s="101" t="str">
        <f t="shared" si="18"/>
        <v/>
      </c>
      <c r="BI1029" s="101" t="str">
        <f t="shared" si="19"/>
        <v/>
      </c>
      <c r="BJ1029" s="101" t="str">
        <f t="shared" si="20"/>
        <v/>
      </c>
      <c r="BK1029" s="101" t="str">
        <f t="shared" si="21"/>
        <v/>
      </c>
      <c r="BL1029" s="53"/>
      <c r="BM1029" s="53"/>
      <c r="BN1029" s="53"/>
      <c r="BO1029" s="53"/>
      <c r="BP1029" s="53"/>
      <c r="BQ1029" s="41"/>
      <c r="BR1029" s="41"/>
      <c r="BS1029" s="41"/>
      <c r="BT1029" s="41"/>
    </row>
    <row r="1030" spans="2:72" s="30" customFormat="1" ht="15" customHeight="1" x14ac:dyDescent="0.2">
      <c r="B1030" s="16"/>
      <c r="AE1030" s="17"/>
      <c r="AF1030" s="18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118"/>
      <c r="AX1030" s="118"/>
      <c r="AY1030" s="144"/>
      <c r="AZ1030" s="31"/>
      <c r="BA1030" s="42"/>
      <c r="BB1030" s="43"/>
      <c r="BC1030" s="44"/>
      <c r="BD1030" s="53"/>
      <c r="BE1030" s="53"/>
      <c r="BF1030" s="101" t="str">
        <f t="shared" si="16"/>
        <v/>
      </c>
      <c r="BG1030" s="101" t="str">
        <f t="shared" si="17"/>
        <v/>
      </c>
      <c r="BH1030" s="101" t="str">
        <f t="shared" si="18"/>
        <v/>
      </c>
      <c r="BI1030" s="101" t="str">
        <f t="shared" si="19"/>
        <v/>
      </c>
      <c r="BJ1030" s="101" t="str">
        <f t="shared" si="20"/>
        <v/>
      </c>
      <c r="BK1030" s="101" t="str">
        <f t="shared" si="21"/>
        <v/>
      </c>
      <c r="BL1030" s="53"/>
      <c r="BM1030" s="53"/>
      <c r="BN1030" s="53"/>
      <c r="BO1030" s="53"/>
      <c r="BP1030" s="53"/>
      <c r="BQ1030" s="41"/>
      <c r="BR1030" s="41"/>
      <c r="BS1030" s="41"/>
      <c r="BT1030" s="41"/>
    </row>
    <row r="1031" spans="2:72" s="30" customFormat="1" ht="15" customHeight="1" x14ac:dyDescent="0.2">
      <c r="B1031" s="16"/>
      <c r="AE1031" s="17"/>
      <c r="AF1031" s="18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31"/>
      <c r="AQ1031" s="31"/>
      <c r="AR1031" s="31"/>
      <c r="AS1031" s="31"/>
      <c r="AT1031" s="31"/>
      <c r="AU1031" s="31"/>
      <c r="AV1031" s="31"/>
      <c r="AW1031" s="118"/>
      <c r="AX1031" s="118"/>
      <c r="AY1031" s="144"/>
      <c r="AZ1031" s="31"/>
      <c r="BA1031" s="42"/>
      <c r="BB1031" s="43"/>
      <c r="BC1031" s="44"/>
      <c r="BD1031" s="53"/>
      <c r="BE1031" s="53"/>
      <c r="BF1031" s="101" t="str">
        <f t="shared" si="16"/>
        <v/>
      </c>
      <c r="BG1031" s="101" t="str">
        <f t="shared" si="17"/>
        <v/>
      </c>
      <c r="BH1031" s="101" t="str">
        <f t="shared" si="18"/>
        <v/>
      </c>
      <c r="BI1031" s="101" t="str">
        <f t="shared" si="19"/>
        <v/>
      </c>
      <c r="BJ1031" s="101" t="str">
        <f t="shared" si="20"/>
        <v/>
      </c>
      <c r="BK1031" s="101" t="str">
        <f t="shared" si="21"/>
        <v/>
      </c>
      <c r="BL1031" s="53"/>
      <c r="BM1031" s="53"/>
      <c r="BN1031" s="53"/>
      <c r="BO1031" s="53"/>
      <c r="BP1031" s="53"/>
      <c r="BQ1031" s="41"/>
      <c r="BR1031" s="41"/>
      <c r="BS1031" s="41"/>
      <c r="BT1031" s="41"/>
    </row>
    <row r="1032" spans="2:72" s="30" customFormat="1" ht="15" customHeight="1" x14ac:dyDescent="0.2">
      <c r="B1032" s="16"/>
      <c r="AE1032" s="17"/>
      <c r="AF1032" s="18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31"/>
      <c r="AQ1032" s="31"/>
      <c r="AR1032" s="31"/>
      <c r="AS1032" s="31"/>
      <c r="AT1032" s="31"/>
      <c r="AU1032" s="31"/>
      <c r="AV1032" s="31"/>
      <c r="AW1032" s="118"/>
      <c r="AX1032" s="118"/>
      <c r="AY1032" s="144"/>
      <c r="AZ1032" s="31"/>
      <c r="BA1032" s="42"/>
      <c r="BB1032" s="43"/>
      <c r="BC1032" s="44"/>
      <c r="BD1032" s="53"/>
      <c r="BE1032" s="53"/>
      <c r="BF1032" s="101" t="str">
        <f t="shared" si="16"/>
        <v/>
      </c>
      <c r="BG1032" s="101" t="str">
        <f t="shared" si="17"/>
        <v/>
      </c>
      <c r="BH1032" s="101" t="str">
        <f t="shared" si="18"/>
        <v/>
      </c>
      <c r="BI1032" s="101" t="str">
        <f t="shared" si="19"/>
        <v/>
      </c>
      <c r="BJ1032" s="101" t="str">
        <f t="shared" si="20"/>
        <v/>
      </c>
      <c r="BK1032" s="101" t="str">
        <f t="shared" si="21"/>
        <v/>
      </c>
      <c r="BL1032" s="53"/>
      <c r="BM1032" s="53"/>
      <c r="BN1032" s="53"/>
      <c r="BO1032" s="53"/>
      <c r="BP1032" s="53"/>
      <c r="BQ1032" s="41"/>
      <c r="BR1032" s="41"/>
      <c r="BS1032" s="41"/>
      <c r="BT1032" s="41"/>
    </row>
    <row r="1033" spans="2:72" s="30" customFormat="1" ht="15" customHeight="1" x14ac:dyDescent="0.2">
      <c r="B1033" s="16"/>
      <c r="AE1033" s="17"/>
      <c r="AF1033" s="18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31"/>
      <c r="AQ1033" s="31"/>
      <c r="AR1033" s="31"/>
      <c r="AS1033" s="31"/>
      <c r="AT1033" s="31"/>
      <c r="AU1033" s="31"/>
      <c r="AV1033" s="31"/>
      <c r="AW1033" s="118"/>
      <c r="AX1033" s="118"/>
      <c r="AY1033" s="144"/>
      <c r="AZ1033" s="31"/>
      <c r="BA1033" s="42"/>
      <c r="BB1033" s="43"/>
      <c r="BC1033" s="44"/>
      <c r="BD1033" s="53"/>
      <c r="BE1033" s="53"/>
      <c r="BF1033" s="101" t="str">
        <f t="shared" si="16"/>
        <v/>
      </c>
      <c r="BG1033" s="101" t="str">
        <f t="shared" si="17"/>
        <v/>
      </c>
      <c r="BH1033" s="101" t="str">
        <f t="shared" si="18"/>
        <v/>
      </c>
      <c r="BI1033" s="101" t="str">
        <f t="shared" si="19"/>
        <v/>
      </c>
      <c r="BJ1033" s="101" t="str">
        <f t="shared" si="20"/>
        <v/>
      </c>
      <c r="BK1033" s="101" t="str">
        <f t="shared" si="21"/>
        <v/>
      </c>
      <c r="BL1033" s="53"/>
      <c r="BM1033" s="53"/>
      <c r="BN1033" s="53"/>
      <c r="BO1033" s="53"/>
      <c r="BP1033" s="53"/>
      <c r="BQ1033" s="41"/>
      <c r="BR1033" s="41"/>
      <c r="BS1033" s="41"/>
      <c r="BT1033" s="41"/>
    </row>
    <row r="1034" spans="2:72" s="30" customFormat="1" ht="15" customHeight="1" x14ac:dyDescent="0.2">
      <c r="B1034" s="16"/>
      <c r="AE1034" s="17"/>
      <c r="AF1034" s="18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31"/>
      <c r="AQ1034" s="31"/>
      <c r="AR1034" s="31"/>
      <c r="AS1034" s="31"/>
      <c r="AT1034" s="31"/>
      <c r="AU1034" s="31"/>
      <c r="AV1034" s="31"/>
      <c r="AW1034" s="118"/>
      <c r="AX1034" s="118"/>
      <c r="AY1034" s="144"/>
      <c r="AZ1034" s="31"/>
      <c r="BA1034" s="42"/>
      <c r="BB1034" s="43"/>
      <c r="BC1034" s="44"/>
      <c r="BD1034" s="53"/>
      <c r="BE1034" s="53"/>
      <c r="BF1034" s="101" t="str">
        <f t="shared" si="16"/>
        <v/>
      </c>
      <c r="BG1034" s="101" t="str">
        <f t="shared" si="17"/>
        <v/>
      </c>
      <c r="BH1034" s="101" t="str">
        <f t="shared" si="18"/>
        <v/>
      </c>
      <c r="BI1034" s="101" t="str">
        <f t="shared" si="19"/>
        <v/>
      </c>
      <c r="BJ1034" s="101" t="str">
        <f t="shared" si="20"/>
        <v/>
      </c>
      <c r="BK1034" s="101" t="str">
        <f t="shared" si="21"/>
        <v/>
      </c>
      <c r="BL1034" s="53"/>
      <c r="BM1034" s="53"/>
      <c r="BN1034" s="53"/>
      <c r="BO1034" s="53"/>
      <c r="BP1034" s="53"/>
      <c r="BQ1034" s="41"/>
      <c r="BR1034" s="41"/>
      <c r="BS1034" s="41"/>
      <c r="BT1034" s="41"/>
    </row>
    <row r="1035" spans="2:72" s="30" customFormat="1" ht="15" customHeight="1" x14ac:dyDescent="0.2">
      <c r="B1035" s="16"/>
      <c r="AE1035" s="17"/>
      <c r="AF1035" s="18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31"/>
      <c r="AQ1035" s="31"/>
      <c r="AR1035" s="31"/>
      <c r="AS1035" s="31"/>
      <c r="AT1035" s="31"/>
      <c r="AU1035" s="31"/>
      <c r="AV1035" s="31"/>
      <c r="AW1035" s="118"/>
      <c r="AX1035" s="118"/>
      <c r="AY1035" s="144"/>
      <c r="AZ1035" s="31"/>
      <c r="BA1035" s="42"/>
      <c r="BB1035" s="43"/>
      <c r="BC1035" s="44"/>
      <c r="BD1035" s="44"/>
      <c r="BE1035" s="44"/>
      <c r="BF1035" s="101" t="str">
        <f t="shared" si="16"/>
        <v/>
      </c>
      <c r="BG1035" s="101" t="str">
        <f t="shared" si="17"/>
        <v/>
      </c>
      <c r="BH1035" s="101" t="str">
        <f t="shared" si="18"/>
        <v/>
      </c>
      <c r="BI1035" s="101" t="str">
        <f t="shared" si="19"/>
        <v/>
      </c>
      <c r="BJ1035" s="101" t="str">
        <f t="shared" si="20"/>
        <v/>
      </c>
      <c r="BK1035" s="101" t="str">
        <f t="shared" si="21"/>
        <v/>
      </c>
      <c r="BL1035" s="53"/>
      <c r="BM1035" s="53"/>
      <c r="BN1035" s="53"/>
      <c r="BO1035" s="53"/>
      <c r="BP1035" s="53"/>
      <c r="BQ1035" s="41"/>
      <c r="BR1035" s="41"/>
      <c r="BS1035" s="41"/>
      <c r="BT1035" s="41"/>
    </row>
    <row r="1036" spans="2:72" s="30" customFormat="1" ht="15" customHeight="1" x14ac:dyDescent="0.2">
      <c r="B1036" s="16"/>
      <c r="AE1036" s="17"/>
      <c r="AF1036" s="18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31"/>
      <c r="AQ1036" s="31"/>
      <c r="AR1036" s="31"/>
      <c r="AS1036" s="31"/>
      <c r="AT1036" s="31"/>
      <c r="AU1036" s="31"/>
      <c r="AV1036" s="31"/>
      <c r="AW1036" s="118"/>
      <c r="AX1036" s="118"/>
      <c r="AY1036" s="144"/>
      <c r="AZ1036" s="31"/>
      <c r="BA1036" s="42"/>
      <c r="BB1036" s="43"/>
      <c r="BC1036" s="44"/>
      <c r="BD1036" s="44"/>
      <c r="BE1036" s="44"/>
      <c r="BF1036" s="101" t="str">
        <f t="shared" si="16"/>
        <v/>
      </c>
      <c r="BG1036" s="101" t="str">
        <f t="shared" si="17"/>
        <v/>
      </c>
      <c r="BH1036" s="101" t="str">
        <f t="shared" si="18"/>
        <v/>
      </c>
      <c r="BI1036" s="101" t="str">
        <f t="shared" si="19"/>
        <v/>
      </c>
      <c r="BJ1036" s="101" t="str">
        <f t="shared" si="20"/>
        <v/>
      </c>
      <c r="BK1036" s="101" t="str">
        <f t="shared" si="21"/>
        <v/>
      </c>
      <c r="BL1036" s="53"/>
      <c r="BM1036" s="53"/>
      <c r="BN1036" s="53"/>
      <c r="BO1036" s="53"/>
      <c r="BP1036" s="53"/>
      <c r="BQ1036" s="41"/>
      <c r="BR1036" s="41"/>
      <c r="BS1036" s="41"/>
      <c r="BT1036" s="41"/>
    </row>
    <row r="1037" spans="2:72" s="30" customFormat="1" ht="15" customHeight="1" x14ac:dyDescent="0.2">
      <c r="B1037" s="16"/>
      <c r="AE1037" s="17"/>
      <c r="AF1037" s="18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31"/>
      <c r="AQ1037" s="31"/>
      <c r="AR1037" s="31"/>
      <c r="AS1037" s="31"/>
      <c r="AT1037" s="31"/>
      <c r="AU1037" s="31"/>
      <c r="AV1037" s="31"/>
      <c r="AW1037" s="118"/>
      <c r="AX1037" s="118"/>
      <c r="AY1037" s="144"/>
      <c r="AZ1037" s="31"/>
      <c r="BA1037" s="42"/>
      <c r="BB1037" s="43"/>
      <c r="BC1037" s="44"/>
      <c r="BD1037" s="44"/>
      <c r="BE1037" s="44"/>
      <c r="BF1037" s="101" t="str">
        <f t="shared" si="16"/>
        <v/>
      </c>
      <c r="BG1037" s="101" t="str">
        <f t="shared" si="17"/>
        <v/>
      </c>
      <c r="BH1037" s="101" t="str">
        <f t="shared" si="18"/>
        <v/>
      </c>
      <c r="BI1037" s="101" t="str">
        <f t="shared" si="19"/>
        <v/>
      </c>
      <c r="BJ1037" s="101" t="str">
        <f t="shared" si="20"/>
        <v/>
      </c>
      <c r="BK1037" s="101" t="str">
        <f t="shared" si="21"/>
        <v/>
      </c>
      <c r="BL1037" s="53"/>
      <c r="BM1037" s="53"/>
      <c r="BN1037" s="53"/>
      <c r="BO1037" s="53"/>
      <c r="BP1037" s="53"/>
      <c r="BQ1037" s="41"/>
      <c r="BR1037" s="41"/>
      <c r="BS1037" s="41"/>
      <c r="BT1037" s="41"/>
    </row>
    <row r="1038" spans="2:72" s="30" customFormat="1" ht="15" customHeight="1" x14ac:dyDescent="0.2">
      <c r="B1038" s="16"/>
      <c r="AE1038" s="17"/>
      <c r="AF1038" s="18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31"/>
      <c r="AQ1038" s="31"/>
      <c r="AR1038" s="31"/>
      <c r="AS1038" s="31"/>
      <c r="AT1038" s="31"/>
      <c r="AU1038" s="31"/>
      <c r="AV1038" s="31"/>
      <c r="AW1038" s="118"/>
      <c r="AX1038" s="118"/>
      <c r="AY1038" s="144"/>
      <c r="AZ1038" s="31"/>
      <c r="BA1038" s="42"/>
      <c r="BB1038" s="43"/>
      <c r="BC1038" s="44"/>
      <c r="BD1038" s="44"/>
      <c r="BE1038" s="44"/>
      <c r="BF1038" s="101" t="str">
        <f t="shared" si="16"/>
        <v/>
      </c>
      <c r="BG1038" s="101" t="str">
        <f t="shared" si="17"/>
        <v/>
      </c>
      <c r="BH1038" s="101" t="str">
        <f t="shared" si="18"/>
        <v/>
      </c>
      <c r="BI1038" s="101" t="str">
        <f t="shared" si="19"/>
        <v/>
      </c>
      <c r="BJ1038" s="101" t="str">
        <f t="shared" si="20"/>
        <v/>
      </c>
      <c r="BK1038" s="101" t="str">
        <f t="shared" si="21"/>
        <v/>
      </c>
      <c r="BL1038" s="53"/>
      <c r="BM1038" s="53"/>
      <c r="BN1038" s="53"/>
      <c r="BO1038" s="53"/>
      <c r="BP1038" s="53"/>
      <c r="BQ1038" s="41"/>
      <c r="BR1038" s="41"/>
      <c r="BS1038" s="41"/>
      <c r="BT1038" s="41"/>
    </row>
    <row r="1039" spans="2:72" s="30" customFormat="1" ht="15" customHeight="1" x14ac:dyDescent="0.2">
      <c r="B1039" s="16"/>
      <c r="AE1039" s="17"/>
      <c r="AF1039" s="18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31"/>
      <c r="AQ1039" s="31"/>
      <c r="AR1039" s="31"/>
      <c r="AS1039" s="31"/>
      <c r="AT1039" s="31"/>
      <c r="AU1039" s="31"/>
      <c r="AV1039" s="31"/>
      <c r="AW1039" s="118"/>
      <c r="AX1039" s="118"/>
      <c r="AY1039" s="144"/>
      <c r="AZ1039" s="31"/>
      <c r="BA1039" s="42"/>
      <c r="BB1039" s="43"/>
      <c r="BC1039" s="44"/>
      <c r="BD1039" s="44"/>
      <c r="BE1039" s="44"/>
      <c r="BF1039" s="101" t="str">
        <f t="shared" si="16"/>
        <v/>
      </c>
      <c r="BG1039" s="101" t="str">
        <f t="shared" si="17"/>
        <v/>
      </c>
      <c r="BH1039" s="101" t="str">
        <f t="shared" si="18"/>
        <v/>
      </c>
      <c r="BI1039" s="101" t="str">
        <f t="shared" si="19"/>
        <v/>
      </c>
      <c r="BJ1039" s="101" t="str">
        <f t="shared" si="20"/>
        <v/>
      </c>
      <c r="BK1039" s="101" t="str">
        <f t="shared" si="21"/>
        <v/>
      </c>
      <c r="BL1039" s="53"/>
      <c r="BM1039" s="53"/>
      <c r="BN1039" s="53"/>
      <c r="BO1039" s="53"/>
      <c r="BP1039" s="53"/>
      <c r="BQ1039" s="41"/>
      <c r="BR1039" s="41"/>
      <c r="BS1039" s="41"/>
      <c r="BT1039" s="41"/>
    </row>
    <row r="1040" spans="2:72" s="30" customFormat="1" ht="15" customHeight="1" x14ac:dyDescent="0.2">
      <c r="B1040" s="16"/>
      <c r="AE1040" s="17"/>
      <c r="AF1040" s="18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31"/>
      <c r="AQ1040" s="31"/>
      <c r="AR1040" s="31"/>
      <c r="AS1040" s="31"/>
      <c r="AT1040" s="31"/>
      <c r="AU1040" s="31"/>
      <c r="AV1040" s="31"/>
      <c r="AW1040" s="118"/>
      <c r="AX1040" s="118"/>
      <c r="AY1040" s="144"/>
      <c r="AZ1040" s="31"/>
      <c r="BA1040" s="42"/>
      <c r="BB1040" s="43"/>
      <c r="BC1040" s="44"/>
      <c r="BD1040" s="44"/>
      <c r="BE1040" s="44"/>
      <c r="BF1040" s="101" t="str">
        <f t="shared" si="16"/>
        <v/>
      </c>
      <c r="BG1040" s="101" t="str">
        <f t="shared" si="17"/>
        <v/>
      </c>
      <c r="BH1040" s="101" t="str">
        <f t="shared" si="18"/>
        <v/>
      </c>
      <c r="BI1040" s="101" t="str">
        <f t="shared" si="19"/>
        <v/>
      </c>
      <c r="BJ1040" s="101" t="str">
        <f t="shared" si="20"/>
        <v/>
      </c>
      <c r="BK1040" s="101" t="str">
        <f t="shared" si="21"/>
        <v/>
      </c>
      <c r="BL1040" s="53"/>
      <c r="BM1040" s="53"/>
      <c r="BN1040" s="53"/>
      <c r="BO1040" s="53"/>
      <c r="BP1040" s="53"/>
      <c r="BQ1040" s="41"/>
      <c r="BR1040" s="41"/>
      <c r="BS1040" s="41"/>
      <c r="BT1040" s="41"/>
    </row>
    <row r="1041" spans="2:72" s="30" customFormat="1" ht="15" customHeight="1" x14ac:dyDescent="0.2">
      <c r="B1041" s="16"/>
      <c r="AE1041" s="17"/>
      <c r="AF1041" s="18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31"/>
      <c r="AQ1041" s="31"/>
      <c r="AR1041" s="31"/>
      <c r="AS1041" s="31"/>
      <c r="AT1041" s="31"/>
      <c r="AU1041" s="31"/>
      <c r="AV1041" s="31"/>
      <c r="AW1041" s="118"/>
      <c r="AX1041" s="118"/>
      <c r="AY1041" s="144"/>
      <c r="AZ1041" s="31"/>
      <c r="BA1041" s="42"/>
      <c r="BB1041" s="43"/>
      <c r="BC1041" s="44"/>
      <c r="BD1041" s="44"/>
      <c r="BE1041" s="44"/>
      <c r="BF1041" s="101" t="str">
        <f t="shared" si="16"/>
        <v/>
      </c>
      <c r="BG1041" s="101" t="str">
        <f t="shared" si="17"/>
        <v/>
      </c>
      <c r="BH1041" s="101" t="str">
        <f t="shared" si="18"/>
        <v/>
      </c>
      <c r="BI1041" s="101" t="str">
        <f t="shared" si="19"/>
        <v/>
      </c>
      <c r="BJ1041" s="101" t="str">
        <f t="shared" si="20"/>
        <v/>
      </c>
      <c r="BK1041" s="101" t="str">
        <f t="shared" si="21"/>
        <v/>
      </c>
      <c r="BL1041" s="53"/>
      <c r="BM1041" s="53"/>
      <c r="BN1041" s="53"/>
      <c r="BO1041" s="53"/>
      <c r="BP1041" s="53"/>
      <c r="BQ1041" s="41"/>
      <c r="BR1041" s="41"/>
      <c r="BS1041" s="41"/>
      <c r="BT1041" s="41"/>
    </row>
    <row r="1042" spans="2:72" s="30" customFormat="1" ht="15" customHeight="1" x14ac:dyDescent="0.2">
      <c r="B1042" s="16"/>
      <c r="AE1042" s="17"/>
      <c r="AF1042" s="18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31"/>
      <c r="AQ1042" s="31"/>
      <c r="AR1042" s="31"/>
      <c r="AS1042" s="31"/>
      <c r="AT1042" s="31"/>
      <c r="AU1042" s="31"/>
      <c r="AV1042" s="31"/>
      <c r="AW1042" s="118"/>
      <c r="AX1042" s="118"/>
      <c r="AY1042" s="144"/>
      <c r="AZ1042" s="31"/>
      <c r="BA1042" s="42"/>
      <c r="BB1042" s="43"/>
      <c r="BC1042" s="43"/>
      <c r="BD1042" s="44"/>
      <c r="BE1042" s="44"/>
      <c r="BF1042" s="101" t="str">
        <f t="shared" si="16"/>
        <v/>
      </c>
      <c r="BG1042" s="101" t="str">
        <f t="shared" si="17"/>
        <v/>
      </c>
      <c r="BH1042" s="101" t="str">
        <f t="shared" si="18"/>
        <v/>
      </c>
      <c r="BI1042" s="101" t="str">
        <f t="shared" si="19"/>
        <v/>
      </c>
      <c r="BJ1042" s="101" t="str">
        <f t="shared" si="20"/>
        <v/>
      </c>
      <c r="BK1042" s="101" t="str">
        <f t="shared" si="21"/>
        <v/>
      </c>
      <c r="BL1042" s="53"/>
      <c r="BM1042" s="53"/>
      <c r="BN1042" s="53"/>
      <c r="BO1042" s="53"/>
      <c r="BP1042" s="53"/>
      <c r="BQ1042" s="41"/>
      <c r="BR1042" s="41"/>
      <c r="BS1042" s="41"/>
      <c r="BT1042" s="41"/>
    </row>
    <row r="1043" spans="2:72" s="30" customFormat="1" ht="15" customHeight="1" x14ac:dyDescent="0.2">
      <c r="B1043" s="16"/>
      <c r="AE1043" s="17"/>
      <c r="AF1043" s="18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31"/>
      <c r="AQ1043" s="31"/>
      <c r="AR1043" s="31"/>
      <c r="AS1043" s="31"/>
      <c r="AT1043" s="31"/>
      <c r="AU1043" s="31"/>
      <c r="AV1043" s="31"/>
      <c r="AW1043" s="118"/>
      <c r="AX1043" s="118"/>
      <c r="AY1043" s="144"/>
      <c r="AZ1043" s="31"/>
      <c r="BA1043" s="42"/>
      <c r="BB1043" s="43"/>
      <c r="BC1043" s="43"/>
      <c r="BD1043" s="44"/>
      <c r="BE1043" s="44"/>
      <c r="BF1043" s="101" t="str">
        <f t="shared" si="16"/>
        <v/>
      </c>
      <c r="BG1043" s="101" t="str">
        <f t="shared" si="17"/>
        <v/>
      </c>
      <c r="BH1043" s="101" t="str">
        <f t="shared" si="18"/>
        <v/>
      </c>
      <c r="BI1043" s="101" t="str">
        <f t="shared" si="19"/>
        <v/>
      </c>
      <c r="BJ1043" s="101" t="str">
        <f t="shared" si="20"/>
        <v/>
      </c>
      <c r="BK1043" s="101" t="str">
        <f t="shared" si="21"/>
        <v/>
      </c>
      <c r="BL1043" s="53"/>
      <c r="BM1043" s="53"/>
      <c r="BN1043" s="53"/>
      <c r="BO1043" s="53"/>
      <c r="BP1043" s="53"/>
      <c r="BQ1043" s="41"/>
      <c r="BR1043" s="41"/>
      <c r="BS1043" s="41"/>
      <c r="BT1043" s="41"/>
    </row>
    <row r="1044" spans="2:72" s="30" customFormat="1" ht="15" customHeight="1" x14ac:dyDescent="0.2">
      <c r="B1044" s="16"/>
      <c r="AE1044" s="17"/>
      <c r="AF1044" s="18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31"/>
      <c r="AQ1044" s="31"/>
      <c r="AR1044" s="31"/>
      <c r="AS1044" s="31"/>
      <c r="AT1044" s="31"/>
      <c r="AU1044" s="31"/>
      <c r="AV1044" s="31"/>
      <c r="AW1044" s="118"/>
      <c r="AX1044" s="118"/>
      <c r="AY1044" s="144"/>
      <c r="AZ1044" s="31"/>
      <c r="BA1044" s="42"/>
      <c r="BB1044" s="43"/>
      <c r="BC1044" s="43"/>
      <c r="BD1044" s="44"/>
      <c r="BE1044" s="44"/>
      <c r="BF1044" s="101" t="str">
        <f t="shared" si="16"/>
        <v/>
      </c>
      <c r="BG1044" s="101" t="str">
        <f t="shared" si="17"/>
        <v/>
      </c>
      <c r="BH1044" s="101" t="str">
        <f t="shared" si="18"/>
        <v/>
      </c>
      <c r="BI1044" s="101" t="str">
        <f t="shared" si="19"/>
        <v/>
      </c>
      <c r="BJ1044" s="101" t="str">
        <f t="shared" si="20"/>
        <v/>
      </c>
      <c r="BK1044" s="101" t="str">
        <f t="shared" si="21"/>
        <v/>
      </c>
      <c r="BL1044" s="53"/>
      <c r="BM1044" s="53"/>
      <c r="BN1044" s="53"/>
      <c r="BO1044" s="53"/>
      <c r="BP1044" s="53"/>
      <c r="BQ1044" s="41"/>
      <c r="BR1044" s="41"/>
      <c r="BS1044" s="41"/>
      <c r="BT1044" s="41"/>
    </row>
    <row r="1045" spans="2:72" s="30" customFormat="1" ht="15" customHeight="1" x14ac:dyDescent="0.2">
      <c r="B1045" s="16"/>
      <c r="AE1045" s="17"/>
      <c r="AF1045" s="18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31"/>
      <c r="AQ1045" s="31"/>
      <c r="AR1045" s="31"/>
      <c r="AS1045" s="31"/>
      <c r="AT1045" s="31"/>
      <c r="AU1045" s="31"/>
      <c r="AV1045" s="31"/>
      <c r="AW1045" s="118"/>
      <c r="AX1045" s="118"/>
      <c r="AY1045" s="144"/>
      <c r="AZ1045" s="31"/>
      <c r="BA1045" s="42"/>
      <c r="BB1045" s="43"/>
      <c r="BC1045" s="43"/>
      <c r="BD1045" s="44"/>
      <c r="BE1045" s="44"/>
      <c r="BF1045" s="101" t="str">
        <f t="shared" si="16"/>
        <v/>
      </c>
      <c r="BG1045" s="101" t="str">
        <f t="shared" si="17"/>
        <v/>
      </c>
      <c r="BH1045" s="101" t="str">
        <f t="shared" si="18"/>
        <v/>
      </c>
      <c r="BI1045" s="101" t="str">
        <f t="shared" si="19"/>
        <v/>
      </c>
      <c r="BJ1045" s="101" t="str">
        <f t="shared" si="20"/>
        <v/>
      </c>
      <c r="BK1045" s="101" t="str">
        <f t="shared" si="21"/>
        <v/>
      </c>
      <c r="BL1045" s="53"/>
      <c r="BM1045" s="53"/>
      <c r="BN1045" s="53"/>
      <c r="BO1045" s="53"/>
      <c r="BP1045" s="53"/>
      <c r="BQ1045" s="41"/>
      <c r="BR1045" s="41"/>
      <c r="BS1045" s="41"/>
      <c r="BT1045" s="41"/>
    </row>
    <row r="1046" spans="2:72" s="30" customFormat="1" ht="15" customHeight="1" x14ac:dyDescent="0.2">
      <c r="B1046" s="16"/>
      <c r="AE1046" s="17"/>
      <c r="AF1046" s="18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31"/>
      <c r="AQ1046" s="31"/>
      <c r="AR1046" s="31"/>
      <c r="AS1046" s="31"/>
      <c r="AT1046" s="31"/>
      <c r="AU1046" s="31"/>
      <c r="AV1046" s="31"/>
      <c r="AW1046" s="118"/>
      <c r="AX1046" s="118"/>
      <c r="AY1046" s="144"/>
      <c r="AZ1046" s="31"/>
      <c r="BA1046" s="42"/>
      <c r="BB1046" s="43"/>
      <c r="BC1046" s="43"/>
      <c r="BD1046" s="44"/>
      <c r="BE1046" s="44"/>
      <c r="BF1046" s="101" t="str">
        <f t="shared" si="16"/>
        <v/>
      </c>
      <c r="BG1046" s="101" t="str">
        <f t="shared" si="17"/>
        <v/>
      </c>
      <c r="BH1046" s="101" t="str">
        <f t="shared" si="18"/>
        <v/>
      </c>
      <c r="BI1046" s="101" t="str">
        <f t="shared" si="19"/>
        <v/>
      </c>
      <c r="BJ1046" s="101" t="str">
        <f t="shared" si="20"/>
        <v/>
      </c>
      <c r="BK1046" s="101" t="str">
        <f t="shared" si="21"/>
        <v/>
      </c>
      <c r="BL1046" s="53"/>
      <c r="BM1046" s="53"/>
      <c r="BN1046" s="53"/>
      <c r="BO1046" s="53"/>
      <c r="BP1046" s="53"/>
      <c r="BQ1046" s="41"/>
      <c r="BR1046" s="41"/>
      <c r="BS1046" s="41"/>
      <c r="BT1046" s="41"/>
    </row>
    <row r="1047" spans="2:72" s="30" customFormat="1" ht="15" customHeight="1" x14ac:dyDescent="0.2">
      <c r="B1047" s="16"/>
      <c r="AE1047" s="17"/>
      <c r="AF1047" s="18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31"/>
      <c r="AQ1047" s="31"/>
      <c r="AR1047" s="31"/>
      <c r="AS1047" s="31"/>
      <c r="AT1047" s="31"/>
      <c r="AU1047" s="31"/>
      <c r="AV1047" s="31"/>
      <c r="AW1047" s="118"/>
      <c r="AX1047" s="118"/>
      <c r="AY1047" s="144"/>
      <c r="AZ1047" s="31"/>
      <c r="BA1047" s="42"/>
      <c r="BB1047" s="43"/>
      <c r="BC1047" s="43"/>
      <c r="BD1047" s="44"/>
      <c r="BE1047" s="44"/>
      <c r="BF1047" s="101" t="str">
        <f t="shared" si="16"/>
        <v/>
      </c>
      <c r="BG1047" s="101" t="str">
        <f t="shared" si="17"/>
        <v/>
      </c>
      <c r="BH1047" s="101" t="str">
        <f t="shared" si="18"/>
        <v/>
      </c>
      <c r="BI1047" s="101" t="str">
        <f t="shared" si="19"/>
        <v/>
      </c>
      <c r="BJ1047" s="101" t="str">
        <f t="shared" si="20"/>
        <v/>
      </c>
      <c r="BK1047" s="101" t="str">
        <f t="shared" si="21"/>
        <v/>
      </c>
      <c r="BL1047" s="53"/>
      <c r="BM1047" s="53"/>
      <c r="BN1047" s="53"/>
      <c r="BO1047" s="53"/>
      <c r="BP1047" s="53"/>
      <c r="BQ1047" s="41"/>
      <c r="BR1047" s="41"/>
      <c r="BS1047" s="41"/>
      <c r="BT1047" s="41"/>
    </row>
    <row r="1048" spans="2:72" s="30" customFormat="1" ht="15" customHeight="1" x14ac:dyDescent="0.2">
      <c r="B1048" s="16"/>
      <c r="AE1048" s="17"/>
      <c r="AF1048" s="18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31"/>
      <c r="AQ1048" s="31"/>
      <c r="AR1048" s="31"/>
      <c r="AS1048" s="31"/>
      <c r="AT1048" s="31"/>
      <c r="AU1048" s="31"/>
      <c r="AV1048" s="31"/>
      <c r="AW1048" s="118"/>
      <c r="AX1048" s="118"/>
      <c r="AY1048" s="144"/>
      <c r="AZ1048" s="31"/>
      <c r="BA1048" s="42"/>
      <c r="BB1048" s="43"/>
      <c r="BC1048" s="43"/>
      <c r="BD1048" s="44"/>
      <c r="BE1048" s="44"/>
      <c r="BF1048" s="101" t="str">
        <f t="shared" si="16"/>
        <v/>
      </c>
      <c r="BG1048" s="101" t="str">
        <f t="shared" si="17"/>
        <v/>
      </c>
      <c r="BH1048" s="101" t="str">
        <f t="shared" si="18"/>
        <v/>
      </c>
      <c r="BI1048" s="101" t="str">
        <f t="shared" si="19"/>
        <v/>
      </c>
      <c r="BJ1048" s="101" t="str">
        <f t="shared" si="20"/>
        <v/>
      </c>
      <c r="BK1048" s="101" t="str">
        <f t="shared" si="21"/>
        <v/>
      </c>
      <c r="BL1048" s="53"/>
      <c r="BM1048" s="53"/>
      <c r="BN1048" s="53"/>
      <c r="BO1048" s="53"/>
      <c r="BP1048" s="53"/>
      <c r="BQ1048" s="41"/>
      <c r="BR1048" s="41"/>
      <c r="BS1048" s="41"/>
      <c r="BT1048" s="41"/>
    </row>
    <row r="1049" spans="2:72" s="30" customFormat="1" ht="15" customHeight="1" x14ac:dyDescent="0.2">
      <c r="B1049" s="16"/>
      <c r="AE1049" s="17"/>
      <c r="AF1049" s="18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31"/>
      <c r="AQ1049" s="31"/>
      <c r="AR1049" s="31"/>
      <c r="AS1049" s="31"/>
      <c r="AT1049" s="31"/>
      <c r="AU1049" s="31"/>
      <c r="AV1049" s="31"/>
      <c r="AW1049" s="118"/>
      <c r="AX1049" s="118"/>
      <c r="AY1049" s="144"/>
      <c r="AZ1049" s="31"/>
      <c r="BA1049" s="42"/>
      <c r="BB1049" s="43"/>
      <c r="BC1049" s="43"/>
      <c r="BD1049" s="55"/>
      <c r="BE1049" s="55"/>
      <c r="BF1049" s="101" t="str">
        <f t="shared" si="16"/>
        <v/>
      </c>
      <c r="BG1049" s="101" t="str">
        <f t="shared" si="17"/>
        <v/>
      </c>
      <c r="BH1049" s="101" t="str">
        <f t="shared" si="18"/>
        <v/>
      </c>
      <c r="BI1049" s="101" t="str">
        <f t="shared" si="19"/>
        <v/>
      </c>
      <c r="BJ1049" s="101" t="str">
        <f t="shared" si="20"/>
        <v/>
      </c>
      <c r="BK1049" s="101" t="str">
        <f t="shared" si="21"/>
        <v/>
      </c>
      <c r="BL1049" s="53"/>
      <c r="BM1049" s="53"/>
      <c r="BN1049" s="53"/>
      <c r="BO1049" s="53"/>
      <c r="BP1049" s="53"/>
      <c r="BQ1049" s="41"/>
      <c r="BR1049" s="41"/>
      <c r="BS1049" s="41"/>
      <c r="BT1049" s="41"/>
    </row>
    <row r="1050" spans="2:72" s="30" customFormat="1" ht="15" customHeight="1" x14ac:dyDescent="0.2">
      <c r="B1050" s="16"/>
      <c r="AE1050" s="17"/>
      <c r="AF1050" s="18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31"/>
      <c r="AQ1050" s="31"/>
      <c r="AR1050" s="31"/>
      <c r="AS1050" s="31"/>
      <c r="AT1050" s="31"/>
      <c r="AU1050" s="31"/>
      <c r="AV1050" s="31"/>
      <c r="AW1050" s="118"/>
      <c r="AX1050" s="118"/>
      <c r="AY1050" s="144"/>
      <c r="AZ1050" s="31"/>
      <c r="BA1050" s="42"/>
      <c r="BB1050" s="43"/>
      <c r="BC1050" s="43"/>
      <c r="BD1050" s="55"/>
      <c r="BE1050" s="55"/>
      <c r="BF1050" s="101" t="str">
        <f t="shared" si="16"/>
        <v/>
      </c>
      <c r="BG1050" s="101" t="str">
        <f t="shared" si="17"/>
        <v/>
      </c>
      <c r="BH1050" s="101" t="str">
        <f t="shared" si="18"/>
        <v/>
      </c>
      <c r="BI1050" s="101" t="str">
        <f t="shared" si="19"/>
        <v/>
      </c>
      <c r="BJ1050" s="101" t="str">
        <f t="shared" si="20"/>
        <v/>
      </c>
      <c r="BK1050" s="101" t="str">
        <f t="shared" si="21"/>
        <v/>
      </c>
      <c r="BL1050" s="53"/>
      <c r="BM1050" s="53"/>
      <c r="BN1050" s="53"/>
      <c r="BO1050" s="53"/>
      <c r="BP1050" s="53"/>
      <c r="BQ1050" s="41"/>
      <c r="BR1050" s="41"/>
      <c r="BS1050" s="41"/>
      <c r="BT1050" s="41"/>
    </row>
    <row r="1051" spans="2:72" s="30" customFormat="1" ht="15" customHeight="1" x14ac:dyDescent="0.2">
      <c r="B1051" s="16"/>
      <c r="AE1051" s="17"/>
      <c r="AF1051" s="18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31"/>
      <c r="AQ1051" s="31"/>
      <c r="AR1051" s="31"/>
      <c r="AS1051" s="31"/>
      <c r="AT1051" s="31"/>
      <c r="AU1051" s="31"/>
      <c r="AV1051" s="31"/>
      <c r="AW1051" s="118"/>
      <c r="AX1051" s="118"/>
      <c r="AY1051" s="144"/>
      <c r="AZ1051" s="31"/>
      <c r="BA1051" s="42"/>
      <c r="BB1051" s="43"/>
      <c r="BC1051" s="43"/>
      <c r="BD1051" s="55"/>
      <c r="BE1051" s="55"/>
      <c r="BF1051" s="101" t="str">
        <f t="shared" si="16"/>
        <v/>
      </c>
      <c r="BG1051" s="101" t="str">
        <f t="shared" si="17"/>
        <v/>
      </c>
      <c r="BH1051" s="101" t="str">
        <f t="shared" si="18"/>
        <v/>
      </c>
      <c r="BI1051" s="101" t="str">
        <f t="shared" si="19"/>
        <v/>
      </c>
      <c r="BJ1051" s="101" t="str">
        <f t="shared" si="20"/>
        <v/>
      </c>
      <c r="BK1051" s="101" t="str">
        <f t="shared" si="21"/>
        <v/>
      </c>
      <c r="BL1051" s="53"/>
      <c r="BM1051" s="53"/>
      <c r="BN1051" s="53"/>
      <c r="BO1051" s="53"/>
      <c r="BP1051" s="53"/>
      <c r="BQ1051" s="41"/>
      <c r="BR1051" s="41"/>
      <c r="BS1051" s="41"/>
      <c r="BT1051" s="41"/>
    </row>
    <row r="1052" spans="2:72" s="30" customFormat="1" ht="15" customHeight="1" x14ac:dyDescent="0.2">
      <c r="B1052" s="16"/>
      <c r="AE1052" s="17"/>
      <c r="AF1052" s="18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31"/>
      <c r="AQ1052" s="31"/>
      <c r="AR1052" s="31"/>
      <c r="AS1052" s="31"/>
      <c r="AT1052" s="31"/>
      <c r="AU1052" s="31"/>
      <c r="AV1052" s="31"/>
      <c r="AW1052" s="118"/>
      <c r="AX1052" s="118"/>
      <c r="AY1052" s="144"/>
      <c r="AZ1052" s="31"/>
      <c r="BA1052" s="42"/>
      <c r="BB1052" s="43"/>
      <c r="BC1052" s="43"/>
      <c r="BD1052" s="55"/>
      <c r="BE1052" s="55"/>
      <c r="BF1052" s="101" t="str">
        <f t="shared" si="16"/>
        <v/>
      </c>
      <c r="BG1052" s="101" t="str">
        <f t="shared" si="17"/>
        <v/>
      </c>
      <c r="BH1052" s="101" t="str">
        <f t="shared" si="18"/>
        <v/>
      </c>
      <c r="BI1052" s="101" t="str">
        <f t="shared" si="19"/>
        <v/>
      </c>
      <c r="BJ1052" s="101" t="str">
        <f t="shared" si="20"/>
        <v/>
      </c>
      <c r="BK1052" s="101" t="str">
        <f t="shared" si="21"/>
        <v/>
      </c>
      <c r="BL1052" s="53"/>
      <c r="BM1052" s="53"/>
      <c r="BN1052" s="53"/>
      <c r="BO1052" s="53"/>
      <c r="BP1052" s="53"/>
      <c r="BQ1052" s="41"/>
      <c r="BR1052" s="41"/>
      <c r="BS1052" s="41"/>
      <c r="BT1052" s="41"/>
    </row>
    <row r="1053" spans="2:72" s="30" customFormat="1" ht="15" customHeight="1" x14ac:dyDescent="0.2">
      <c r="B1053" s="16"/>
      <c r="AE1053" s="17"/>
      <c r="AF1053" s="18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31"/>
      <c r="AQ1053" s="31"/>
      <c r="AR1053" s="31"/>
      <c r="AS1053" s="31"/>
      <c r="AT1053" s="31"/>
      <c r="AU1053" s="31"/>
      <c r="AV1053" s="31"/>
      <c r="AW1053" s="118"/>
      <c r="AX1053" s="118"/>
      <c r="AY1053" s="144"/>
      <c r="AZ1053" s="31"/>
      <c r="BA1053" s="42"/>
      <c r="BB1053" s="43"/>
      <c r="BC1053" s="43"/>
      <c r="BD1053" s="55"/>
      <c r="BE1053" s="55"/>
      <c r="BF1053" s="101" t="str">
        <f t="shared" si="16"/>
        <v/>
      </c>
      <c r="BG1053" s="101" t="str">
        <f t="shared" si="17"/>
        <v/>
      </c>
      <c r="BH1053" s="101" t="str">
        <f t="shared" si="18"/>
        <v/>
      </c>
      <c r="BI1053" s="101" t="str">
        <f t="shared" si="19"/>
        <v/>
      </c>
      <c r="BJ1053" s="101" t="str">
        <f t="shared" si="20"/>
        <v/>
      </c>
      <c r="BK1053" s="101" t="str">
        <f t="shared" si="21"/>
        <v/>
      </c>
      <c r="BL1053" s="53"/>
      <c r="BM1053" s="53"/>
      <c r="BN1053" s="53"/>
      <c r="BO1053" s="53"/>
      <c r="BP1053" s="53"/>
      <c r="BQ1053" s="41"/>
      <c r="BR1053" s="41"/>
      <c r="BS1053" s="41"/>
      <c r="BT1053" s="41"/>
    </row>
    <row r="1054" spans="2:72" s="30" customFormat="1" ht="15" customHeight="1" x14ac:dyDescent="0.2">
      <c r="B1054" s="16"/>
      <c r="AE1054" s="17"/>
      <c r="AF1054" s="18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31"/>
      <c r="AQ1054" s="31"/>
      <c r="AR1054" s="31"/>
      <c r="AS1054" s="31"/>
      <c r="AT1054" s="31"/>
      <c r="AU1054" s="31"/>
      <c r="AV1054" s="31"/>
      <c r="AW1054" s="118"/>
      <c r="AX1054" s="118"/>
      <c r="AY1054" s="144"/>
      <c r="AZ1054" s="31"/>
      <c r="BA1054" s="42"/>
      <c r="BB1054" s="43"/>
      <c r="BC1054" s="43"/>
      <c r="BD1054" s="55"/>
      <c r="BE1054" s="55"/>
      <c r="BF1054" s="101" t="str">
        <f t="shared" si="16"/>
        <v/>
      </c>
      <c r="BG1054" s="101" t="str">
        <f t="shared" si="17"/>
        <v/>
      </c>
      <c r="BH1054" s="101" t="str">
        <f t="shared" si="18"/>
        <v/>
      </c>
      <c r="BI1054" s="101" t="str">
        <f t="shared" si="19"/>
        <v/>
      </c>
      <c r="BJ1054" s="101" t="str">
        <f t="shared" si="20"/>
        <v/>
      </c>
      <c r="BK1054" s="101" t="str">
        <f t="shared" si="21"/>
        <v/>
      </c>
      <c r="BL1054" s="53"/>
      <c r="BM1054" s="53"/>
      <c r="BN1054" s="53"/>
      <c r="BO1054" s="53"/>
      <c r="BP1054" s="53"/>
      <c r="BQ1054" s="41"/>
      <c r="BR1054" s="41"/>
      <c r="BS1054" s="41"/>
      <c r="BT1054" s="41"/>
    </row>
    <row r="1055" spans="2:72" s="30" customFormat="1" ht="15" customHeight="1" x14ac:dyDescent="0.2">
      <c r="B1055" s="16"/>
      <c r="AE1055" s="17"/>
      <c r="AF1055" s="18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  <c r="AS1055" s="31"/>
      <c r="AT1055" s="31"/>
      <c r="AU1055" s="31"/>
      <c r="AV1055" s="31"/>
      <c r="AW1055" s="118"/>
      <c r="AX1055" s="118"/>
      <c r="AY1055" s="144"/>
      <c r="AZ1055" s="31"/>
      <c r="BA1055" s="42"/>
      <c r="BB1055" s="43"/>
      <c r="BC1055" s="43"/>
      <c r="BD1055" s="55"/>
      <c r="BE1055" s="55"/>
      <c r="BF1055" s="101" t="str">
        <f t="shared" si="16"/>
        <v/>
      </c>
      <c r="BG1055" s="101" t="str">
        <f t="shared" si="17"/>
        <v/>
      </c>
      <c r="BH1055" s="101" t="str">
        <f t="shared" si="18"/>
        <v/>
      </c>
      <c r="BI1055" s="101" t="str">
        <f t="shared" si="19"/>
        <v/>
      </c>
      <c r="BJ1055" s="101" t="str">
        <f t="shared" si="20"/>
        <v/>
      </c>
      <c r="BK1055" s="101" t="str">
        <f t="shared" si="21"/>
        <v/>
      </c>
      <c r="BL1055" s="53"/>
      <c r="BM1055" s="53"/>
      <c r="BN1055" s="53"/>
      <c r="BO1055" s="53"/>
      <c r="BP1055" s="53"/>
      <c r="BQ1055" s="41"/>
      <c r="BR1055" s="41"/>
      <c r="BS1055" s="41"/>
      <c r="BT1055" s="41"/>
    </row>
    <row r="1056" spans="2:72" s="30" customFormat="1" ht="15" customHeight="1" x14ac:dyDescent="0.2">
      <c r="B1056" s="16"/>
      <c r="AE1056" s="17"/>
      <c r="AF1056" s="18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31"/>
      <c r="AQ1056" s="31"/>
      <c r="AR1056" s="31"/>
      <c r="AS1056" s="31"/>
      <c r="AT1056" s="31"/>
      <c r="AU1056" s="31"/>
      <c r="AV1056" s="31"/>
      <c r="AW1056" s="118"/>
      <c r="AX1056" s="118"/>
      <c r="AY1056" s="144"/>
      <c r="AZ1056" s="31"/>
      <c r="BA1056" s="45"/>
      <c r="BB1056" s="46"/>
      <c r="BC1056" s="46"/>
      <c r="BD1056" s="55"/>
      <c r="BE1056" s="55"/>
      <c r="BF1056" s="101" t="str">
        <f t="shared" si="16"/>
        <v/>
      </c>
      <c r="BG1056" s="101" t="str">
        <f t="shared" si="17"/>
        <v/>
      </c>
      <c r="BH1056" s="101" t="str">
        <f t="shared" si="18"/>
        <v/>
      </c>
      <c r="BI1056" s="101" t="str">
        <f t="shared" si="19"/>
        <v/>
      </c>
      <c r="BJ1056" s="101" t="str">
        <f t="shared" si="20"/>
        <v/>
      </c>
      <c r="BK1056" s="101" t="str">
        <f t="shared" si="21"/>
        <v/>
      </c>
      <c r="BL1056" s="53"/>
      <c r="BM1056" s="53"/>
      <c r="BN1056" s="53"/>
      <c r="BO1056" s="53"/>
      <c r="BP1056" s="53"/>
      <c r="BQ1056" s="41"/>
      <c r="BR1056" s="41"/>
      <c r="BS1056" s="41"/>
      <c r="BT1056" s="41"/>
    </row>
    <row r="1057" spans="2:72" s="30" customFormat="1" ht="15" customHeight="1" x14ac:dyDescent="0.2">
      <c r="B1057" s="16"/>
      <c r="AE1057" s="17"/>
      <c r="AF1057" s="18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31"/>
      <c r="AQ1057" s="31"/>
      <c r="AR1057" s="31"/>
      <c r="AS1057" s="31"/>
      <c r="AT1057" s="31"/>
      <c r="AU1057" s="31"/>
      <c r="AV1057" s="31"/>
      <c r="AW1057" s="118"/>
      <c r="AX1057" s="118"/>
      <c r="AY1057" s="144"/>
      <c r="AZ1057" s="31"/>
      <c r="BA1057" s="45"/>
      <c r="BB1057" s="46"/>
      <c r="BC1057" s="46"/>
      <c r="BD1057" s="55"/>
      <c r="BE1057" s="55"/>
      <c r="BF1057" s="101" t="str">
        <f t="shared" si="16"/>
        <v/>
      </c>
      <c r="BG1057" s="101" t="str">
        <f t="shared" si="17"/>
        <v/>
      </c>
      <c r="BH1057" s="101" t="str">
        <f t="shared" si="18"/>
        <v/>
      </c>
      <c r="BI1057" s="101" t="str">
        <f t="shared" si="19"/>
        <v/>
      </c>
      <c r="BJ1057" s="101" t="str">
        <f t="shared" si="20"/>
        <v/>
      </c>
      <c r="BK1057" s="101" t="str">
        <f t="shared" si="21"/>
        <v/>
      </c>
      <c r="BL1057" s="53"/>
      <c r="BM1057" s="53"/>
      <c r="BN1057" s="53"/>
      <c r="BO1057" s="53"/>
      <c r="BP1057" s="53"/>
      <c r="BQ1057" s="41"/>
      <c r="BR1057" s="41"/>
      <c r="BS1057" s="41"/>
      <c r="BT1057" s="41"/>
    </row>
    <row r="1058" spans="2:72" s="30" customFormat="1" ht="15" customHeight="1" x14ac:dyDescent="0.2">
      <c r="B1058" s="16"/>
      <c r="AE1058" s="17"/>
      <c r="AF1058" s="18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31"/>
      <c r="AQ1058" s="31"/>
      <c r="AR1058" s="31"/>
      <c r="AS1058" s="31"/>
      <c r="AT1058" s="31"/>
      <c r="AU1058" s="31"/>
      <c r="AV1058" s="31"/>
      <c r="AW1058" s="118"/>
      <c r="AX1058" s="118"/>
      <c r="AY1058" s="144"/>
      <c r="AZ1058" s="31"/>
      <c r="BA1058" s="45"/>
      <c r="BB1058" s="46"/>
      <c r="BC1058" s="46"/>
      <c r="BD1058" s="55"/>
      <c r="BE1058" s="55"/>
      <c r="BF1058" s="101" t="str">
        <f t="shared" si="16"/>
        <v/>
      </c>
      <c r="BG1058" s="101" t="str">
        <f t="shared" si="17"/>
        <v/>
      </c>
      <c r="BH1058" s="101" t="str">
        <f t="shared" si="18"/>
        <v/>
      </c>
      <c r="BI1058" s="101" t="str">
        <f t="shared" si="19"/>
        <v/>
      </c>
      <c r="BJ1058" s="101" t="str">
        <f t="shared" si="20"/>
        <v/>
      </c>
      <c r="BK1058" s="101" t="str">
        <f t="shared" si="21"/>
        <v/>
      </c>
      <c r="BL1058" s="53"/>
      <c r="BM1058" s="53"/>
      <c r="BN1058" s="53"/>
      <c r="BO1058" s="53"/>
      <c r="BP1058" s="53"/>
      <c r="BQ1058" s="41"/>
      <c r="BR1058" s="41"/>
      <c r="BS1058" s="41"/>
      <c r="BT1058" s="41"/>
    </row>
    <row r="1059" spans="2:72" ht="15" customHeight="1" x14ac:dyDescent="0.2">
      <c r="AW1059" s="118"/>
      <c r="AX1059" s="118"/>
      <c r="AY1059" s="144"/>
      <c r="BA1059" s="45"/>
      <c r="BB1059" s="46"/>
      <c r="BC1059" s="46"/>
      <c r="BD1059" s="55"/>
      <c r="BE1059" s="55"/>
      <c r="BF1059" s="101" t="str">
        <f t="shared" si="16"/>
        <v/>
      </c>
      <c r="BG1059" s="101" t="str">
        <f t="shared" si="17"/>
        <v/>
      </c>
      <c r="BH1059" s="101" t="str">
        <f t="shared" si="18"/>
        <v/>
      </c>
      <c r="BI1059" s="101" t="str">
        <f t="shared" si="19"/>
        <v/>
      </c>
      <c r="BJ1059" s="101" t="str">
        <f t="shared" si="20"/>
        <v/>
      </c>
      <c r="BK1059" s="101" t="str">
        <f t="shared" si="21"/>
        <v/>
      </c>
      <c r="BL1059" s="53"/>
      <c r="BM1059" s="53"/>
      <c r="BN1059" s="53"/>
      <c r="BO1059" s="53"/>
      <c r="BP1059" s="53"/>
      <c r="BQ1059" s="41"/>
      <c r="BR1059" s="41"/>
      <c r="BS1059" s="41"/>
      <c r="BT1059" s="41"/>
    </row>
    <row r="1060" spans="2:72" ht="15" customHeight="1" x14ac:dyDescent="0.2">
      <c r="AW1060" s="118"/>
      <c r="AX1060" s="118"/>
      <c r="AY1060" s="144"/>
      <c r="BA1060" s="45"/>
      <c r="BB1060" s="46"/>
      <c r="BC1060" s="46"/>
      <c r="BD1060" s="55"/>
      <c r="BE1060" s="55"/>
      <c r="BF1060" s="101" t="str">
        <f t="shared" si="16"/>
        <v/>
      </c>
      <c r="BG1060" s="101" t="str">
        <f t="shared" si="17"/>
        <v/>
      </c>
      <c r="BH1060" s="101" t="str">
        <f t="shared" si="18"/>
        <v/>
      </c>
      <c r="BI1060" s="101" t="str">
        <f t="shared" si="19"/>
        <v/>
      </c>
      <c r="BJ1060" s="101" t="str">
        <f t="shared" si="20"/>
        <v/>
      </c>
      <c r="BK1060" s="101" t="str">
        <f t="shared" si="21"/>
        <v/>
      </c>
      <c r="BL1060" s="53"/>
      <c r="BM1060" s="53"/>
      <c r="BN1060" s="53"/>
      <c r="BO1060" s="53"/>
      <c r="BP1060" s="53"/>
      <c r="BQ1060" s="41"/>
      <c r="BR1060" s="41"/>
      <c r="BS1060" s="41"/>
      <c r="BT1060" s="41"/>
    </row>
    <row r="1061" spans="2:72" ht="15" customHeight="1" x14ac:dyDescent="0.2">
      <c r="AW1061" s="118"/>
      <c r="AX1061" s="118"/>
      <c r="AY1061" s="144"/>
      <c r="BA1061" s="45"/>
      <c r="BB1061" s="46"/>
      <c r="BC1061" s="46"/>
      <c r="BD1061" s="55"/>
      <c r="BE1061" s="55"/>
      <c r="BF1061" s="101" t="str">
        <f t="shared" si="16"/>
        <v/>
      </c>
      <c r="BG1061" s="101" t="str">
        <f t="shared" si="17"/>
        <v/>
      </c>
      <c r="BH1061" s="101" t="str">
        <f t="shared" si="18"/>
        <v/>
      </c>
      <c r="BI1061" s="101" t="str">
        <f t="shared" si="19"/>
        <v/>
      </c>
      <c r="BJ1061" s="101" t="str">
        <f t="shared" si="20"/>
        <v/>
      </c>
      <c r="BK1061" s="101" t="str">
        <f t="shared" si="21"/>
        <v/>
      </c>
      <c r="BL1061" s="53"/>
      <c r="BM1061" s="53"/>
      <c r="BN1061" s="53"/>
      <c r="BO1061" s="53"/>
      <c r="BP1061" s="53"/>
      <c r="BQ1061" s="41"/>
      <c r="BR1061" s="41"/>
      <c r="BS1061" s="41"/>
      <c r="BT1061" s="41"/>
    </row>
    <row r="1062" spans="2:72" ht="15" customHeight="1" x14ac:dyDescent="0.2">
      <c r="AW1062" s="118"/>
      <c r="AX1062" s="118"/>
      <c r="AY1062" s="144"/>
      <c r="BA1062" s="45"/>
      <c r="BB1062" s="46"/>
      <c r="BC1062" s="46"/>
      <c r="BD1062" s="55"/>
      <c r="BE1062" s="55"/>
      <c r="BF1062" s="101" t="str">
        <f t="shared" si="16"/>
        <v/>
      </c>
      <c r="BG1062" s="101" t="str">
        <f t="shared" si="17"/>
        <v/>
      </c>
      <c r="BH1062" s="101" t="str">
        <f t="shared" si="18"/>
        <v/>
      </c>
      <c r="BI1062" s="101" t="str">
        <f t="shared" si="19"/>
        <v/>
      </c>
      <c r="BJ1062" s="101" t="str">
        <f t="shared" si="20"/>
        <v/>
      </c>
      <c r="BK1062" s="101" t="str">
        <f t="shared" si="21"/>
        <v/>
      </c>
      <c r="BL1062" s="53"/>
      <c r="BM1062" s="53"/>
      <c r="BN1062" s="53"/>
      <c r="BO1062" s="53"/>
      <c r="BP1062" s="53"/>
      <c r="BQ1062" s="41"/>
      <c r="BR1062" s="41"/>
      <c r="BS1062" s="41"/>
      <c r="BT1062" s="41"/>
    </row>
    <row r="1063" spans="2:72" ht="15" customHeight="1" x14ac:dyDescent="0.2">
      <c r="AW1063" s="118"/>
      <c r="AX1063" s="118"/>
      <c r="AY1063" s="144"/>
      <c r="BA1063" s="45"/>
      <c r="BB1063" s="46"/>
      <c r="BC1063" s="46"/>
      <c r="BD1063" s="55"/>
      <c r="BE1063" s="55"/>
      <c r="BF1063" s="101" t="str">
        <f t="shared" si="16"/>
        <v/>
      </c>
      <c r="BG1063" s="101" t="str">
        <f t="shared" si="17"/>
        <v/>
      </c>
      <c r="BH1063" s="101" t="str">
        <f t="shared" si="18"/>
        <v/>
      </c>
      <c r="BI1063" s="101" t="str">
        <f t="shared" si="19"/>
        <v/>
      </c>
      <c r="BJ1063" s="101" t="str">
        <f t="shared" si="20"/>
        <v/>
      </c>
      <c r="BK1063" s="101" t="str">
        <f t="shared" si="21"/>
        <v/>
      </c>
      <c r="BL1063" s="53"/>
      <c r="BM1063" s="53"/>
      <c r="BN1063" s="53"/>
      <c r="BO1063" s="53"/>
      <c r="BP1063" s="53"/>
      <c r="BQ1063" s="41"/>
      <c r="BR1063" s="41"/>
      <c r="BS1063" s="41"/>
      <c r="BT1063" s="41"/>
    </row>
    <row r="1064" spans="2:72" ht="15" customHeight="1" x14ac:dyDescent="0.2">
      <c r="AW1064" s="118"/>
      <c r="AX1064" s="118"/>
      <c r="AY1064" s="144"/>
      <c r="BA1064" s="45"/>
      <c r="BB1064" s="46"/>
      <c r="BC1064" s="46"/>
      <c r="BD1064" s="55"/>
      <c r="BE1064" s="55"/>
      <c r="BF1064" s="101" t="str">
        <f t="shared" si="16"/>
        <v/>
      </c>
      <c r="BG1064" s="101" t="str">
        <f t="shared" si="17"/>
        <v/>
      </c>
      <c r="BH1064" s="101" t="str">
        <f t="shared" si="18"/>
        <v/>
      </c>
      <c r="BI1064" s="101" t="str">
        <f t="shared" si="19"/>
        <v/>
      </c>
      <c r="BJ1064" s="101" t="str">
        <f t="shared" si="20"/>
        <v/>
      </c>
      <c r="BK1064" s="101" t="str">
        <f t="shared" si="21"/>
        <v/>
      </c>
      <c r="BL1064" s="53"/>
      <c r="BM1064" s="53"/>
      <c r="BN1064" s="53"/>
      <c r="BO1064" s="53"/>
      <c r="BP1064" s="53"/>
      <c r="BQ1064" s="41"/>
      <c r="BR1064" s="41"/>
      <c r="BS1064" s="41"/>
      <c r="BT1064" s="41"/>
    </row>
    <row r="1065" spans="2:72" ht="15" customHeight="1" x14ac:dyDescent="0.2">
      <c r="AW1065" s="118"/>
      <c r="AX1065" s="118"/>
      <c r="AY1065" s="144"/>
      <c r="BA1065" s="45"/>
      <c r="BB1065" s="46"/>
      <c r="BC1065" s="46"/>
      <c r="BD1065" s="55"/>
      <c r="BE1065" s="55"/>
      <c r="BF1065" s="101" t="str">
        <f t="shared" si="16"/>
        <v/>
      </c>
      <c r="BG1065" s="101" t="str">
        <f t="shared" si="17"/>
        <v/>
      </c>
      <c r="BH1065" s="101" t="str">
        <f t="shared" si="18"/>
        <v/>
      </c>
      <c r="BI1065" s="101" t="str">
        <f t="shared" si="19"/>
        <v/>
      </c>
      <c r="BJ1065" s="101" t="str">
        <f t="shared" si="20"/>
        <v/>
      </c>
      <c r="BK1065" s="101" t="str">
        <f t="shared" si="21"/>
        <v/>
      </c>
      <c r="BL1065" s="53"/>
      <c r="BM1065" s="53"/>
      <c r="BN1065" s="53"/>
      <c r="BO1065" s="53"/>
      <c r="BP1065" s="53"/>
      <c r="BQ1065" s="41"/>
      <c r="BR1065" s="41"/>
      <c r="BS1065" s="41"/>
      <c r="BT1065" s="41"/>
    </row>
    <row r="1066" spans="2:72" ht="15" customHeight="1" x14ac:dyDescent="0.2">
      <c r="AW1066" s="118"/>
      <c r="AX1066" s="118"/>
      <c r="AY1066" s="144"/>
      <c r="BA1066" s="45"/>
      <c r="BB1066" s="46"/>
      <c r="BC1066" s="46"/>
      <c r="BD1066" s="55"/>
      <c r="BE1066" s="55"/>
      <c r="BF1066" s="101" t="str">
        <f t="shared" si="16"/>
        <v/>
      </c>
      <c r="BG1066" s="101" t="str">
        <f t="shared" si="17"/>
        <v/>
      </c>
      <c r="BH1066" s="101" t="str">
        <f t="shared" si="18"/>
        <v/>
      </c>
      <c r="BI1066" s="101" t="str">
        <f t="shared" si="19"/>
        <v/>
      </c>
      <c r="BJ1066" s="101" t="str">
        <f t="shared" si="20"/>
        <v/>
      </c>
      <c r="BK1066" s="101" t="str">
        <f t="shared" si="21"/>
        <v/>
      </c>
      <c r="BL1066" s="48"/>
      <c r="BM1066" s="48"/>
      <c r="BN1066" s="48"/>
      <c r="BO1066" s="47"/>
      <c r="BP1066" s="47"/>
      <c r="BQ1066" s="47"/>
      <c r="BR1066" s="47"/>
      <c r="BS1066" s="47"/>
      <c r="BT1066" s="47"/>
    </row>
    <row r="1067" spans="2:72" ht="15" customHeight="1" x14ac:dyDescent="0.2">
      <c r="AW1067" s="118"/>
      <c r="AX1067" s="118"/>
      <c r="AY1067" s="144"/>
      <c r="BA1067" s="45"/>
      <c r="BB1067" s="46"/>
      <c r="BC1067" s="46"/>
      <c r="BD1067" s="55"/>
      <c r="BE1067" s="55"/>
      <c r="BF1067" s="101" t="str">
        <f t="shared" ref="BF1067:BF1130" si="22">IF(AND($B67="",$C67=""),"",IF($FB67="I",IF(AND(ISBLANK($F67)=FALSE,ISBLANK($G67)),IF($B67="",$C67,$B67),IF(AND(ISBLANK($L67)=FALSE,ISBLANK($M67)),IF($B67="",$C67,$B67),IF(AND(ISBLANK($R67)=FALSE,ISBLANK($S67)),IF($B67="",$C67,$B67),IF(AND(ISBLANK($V67)=FALSE,ISBLANK($W67)),IF($B67="",$C67,$B67),IF(AND(ISBLANK($Z67)=FALSE,ISBLANK($AA67)),IF($B67="",$C67,$B67),""))))),""))</f>
        <v/>
      </c>
      <c r="BG1067" s="101" t="str">
        <f t="shared" ref="BG1067:BG1130" si="23">IF(AND($B67="",$C67=""),"",IF($FB67="H",IF(AND(ISBLANK($F67)=FALSE,ISBLANK($G67)),IF($B67="",$C67,$B67),IF(AND(ISBLANK($L67)=FALSE,ISBLANK($M67)),IF($B67="",$C67,$B67),IF(AND(ISBLANK($R67)=FALSE,ISBLANK($S67)),IF($B67="",$C67,$B67),IF(AND(ISBLANK($V67)=FALSE,ISBLANK($W67)),IF($B67="",$C67,$B67),IF(AND(ISBLANK($Z67)=FALSE,ISBLANK($AA67)),IF($B67="",$C67,$B67),""))))),""))</f>
        <v/>
      </c>
      <c r="BH1067" s="101" t="str">
        <f t="shared" ref="BH1067:BH1130" si="24">IF(AND(ISBLANK($G67)=FALSE,ISBLANK($H67),ISBLANK($I67),ISBLANK($J67),ISBLANK($K67)),IF(ISBLANK($B67),$C67,$B67),IF(AND(ISBLANK($M67)=FALSE,ISBLANK($N67),ISBLANK($O67),ISBLANK($P67),ISBLANK($Q67)),IF(ISBLANK($B67),$C67,$B67),IF(AND(ISBLANK($S67)=FALSE,ISBLANK($T67),ISBLANK($U67)),IF(ISBLANK($B67),$C67,$B67),IF(AND(ISBLANK($W67)=FALSE,ISBLANK($X67),ISBLANK($Y67)),IF(ISBLANK($B67),$C67,$B67),IF(AND(ISBLANK($AA67)=FALSE,ISBLANK($AB67)),IF(ISBLANK($B67),$C67,$B67),"")))))</f>
        <v/>
      </c>
      <c r="BI1067" s="101" t="str">
        <f t="shared" ref="BI1067:BI1130" si="25">IF(AND(ISBLANK($I67)=FALSE,OR(ISBLANK($J67),ISBLANK($K67),ISBLANK($L67))),IF($J67&gt;=$I67,"",IF(ISBLANK($B67),$C67,$B67)),IF(AND(ISBLANK($O67)=FALSE,OR(ISBLANK($P67),ISBLANK($Q67),ISBLANK($R67))),IF($P67&gt;=$O67,"",IF(ISBLANK($B67),$C67,$B67)),""))</f>
        <v/>
      </c>
      <c r="BJ1067" s="101" t="str">
        <f t="shared" ref="BJ1067:BJ1130" si="26">IF(AND(ISBLANK($J67)=FALSE,OR(ISBLANK($K67),ISBLANK($L67))),IF(AND($I67&lt;=$J67,$K67&lt;$J67),IF(ISBLANK($B67),$C67,$B67),""),IF(AND(ISBLANK($P67)=FALSE,OR(ISBLANK($Q67),ISBLANK($R67),)),IF(AND($O67&lt;=$P67,$Q67&lt;$P67),IF(ISBLANK($B67),$C67,$B67),""),""))</f>
        <v/>
      </c>
      <c r="BK1067" s="101" t="str">
        <f t="shared" ref="BK1067:BK1130" si="27">IF(AND($BF1067="", $BG1067="", $BH1067=""), IF(AND($BI1067="", $BJ1067=""), IF(AND($B67="",$C67=""), "", IF(ISBLANK($B67),$C67,$B67)),""),"")</f>
        <v/>
      </c>
      <c r="BL1067" s="48"/>
      <c r="BM1067" s="48"/>
      <c r="BN1067" s="48"/>
      <c r="BO1067" s="47"/>
      <c r="BP1067" s="47"/>
      <c r="BQ1067" s="47"/>
      <c r="BR1067" s="47"/>
      <c r="BS1067" s="47"/>
      <c r="BT1067" s="47"/>
    </row>
    <row r="1068" spans="2:72" x14ac:dyDescent="0.2">
      <c r="AW1068" s="118"/>
      <c r="AX1068" s="118"/>
      <c r="AY1068" s="144"/>
      <c r="BA1068" s="45"/>
      <c r="BB1068" s="46"/>
      <c r="BC1068" s="46"/>
      <c r="BD1068" s="55"/>
      <c r="BE1068" s="55"/>
      <c r="BF1068" s="101" t="str">
        <f t="shared" si="22"/>
        <v/>
      </c>
      <c r="BG1068" s="101" t="str">
        <f t="shared" si="23"/>
        <v/>
      </c>
      <c r="BH1068" s="101" t="str">
        <f t="shared" si="24"/>
        <v/>
      </c>
      <c r="BI1068" s="101" t="str">
        <f t="shared" si="25"/>
        <v/>
      </c>
      <c r="BJ1068" s="101" t="str">
        <f t="shared" si="26"/>
        <v/>
      </c>
      <c r="BK1068" s="101" t="str">
        <f t="shared" si="27"/>
        <v/>
      </c>
      <c r="BL1068" s="48"/>
      <c r="BM1068" s="48"/>
      <c r="BN1068" s="48"/>
      <c r="BO1068" s="47"/>
      <c r="BP1068" s="47"/>
      <c r="BQ1068" s="47"/>
      <c r="BR1068" s="47"/>
      <c r="BS1068" s="47"/>
      <c r="BT1068" s="47"/>
    </row>
    <row r="1069" spans="2:72" x14ac:dyDescent="0.2">
      <c r="AW1069" s="118"/>
      <c r="AX1069" s="118"/>
      <c r="AY1069" s="144"/>
      <c r="BA1069" s="45"/>
      <c r="BB1069" s="46"/>
      <c r="BC1069" s="46"/>
      <c r="BD1069" s="55"/>
      <c r="BE1069" s="55"/>
      <c r="BF1069" s="101" t="str">
        <f t="shared" si="22"/>
        <v/>
      </c>
      <c r="BG1069" s="101" t="str">
        <f t="shared" si="23"/>
        <v/>
      </c>
      <c r="BH1069" s="101" t="str">
        <f t="shared" si="24"/>
        <v/>
      </c>
      <c r="BI1069" s="101" t="str">
        <f t="shared" si="25"/>
        <v/>
      </c>
      <c r="BJ1069" s="101" t="str">
        <f t="shared" si="26"/>
        <v/>
      </c>
      <c r="BK1069" s="101" t="str">
        <f t="shared" si="27"/>
        <v/>
      </c>
      <c r="BL1069" s="48"/>
      <c r="BM1069" s="48"/>
      <c r="BN1069" s="48"/>
      <c r="BO1069" s="47"/>
      <c r="BP1069" s="47"/>
      <c r="BQ1069" s="47"/>
      <c r="BR1069" s="47"/>
      <c r="BS1069" s="47"/>
      <c r="BT1069" s="47"/>
    </row>
    <row r="1070" spans="2:72" x14ac:dyDescent="0.2">
      <c r="AW1070" s="118"/>
      <c r="AX1070" s="118"/>
      <c r="AY1070" s="144"/>
      <c r="BA1070" s="45"/>
      <c r="BB1070" s="46"/>
      <c r="BC1070" s="46"/>
      <c r="BD1070" s="55"/>
      <c r="BE1070" s="55"/>
      <c r="BF1070" s="101" t="str">
        <f t="shared" si="22"/>
        <v/>
      </c>
      <c r="BG1070" s="101" t="str">
        <f t="shared" si="23"/>
        <v/>
      </c>
      <c r="BH1070" s="101" t="str">
        <f t="shared" si="24"/>
        <v/>
      </c>
      <c r="BI1070" s="101" t="str">
        <f t="shared" si="25"/>
        <v/>
      </c>
      <c r="BJ1070" s="101" t="str">
        <f t="shared" si="26"/>
        <v/>
      </c>
      <c r="BK1070" s="101" t="str">
        <f t="shared" si="27"/>
        <v/>
      </c>
      <c r="BL1070" s="48"/>
      <c r="BM1070" s="48"/>
      <c r="BN1070" s="48"/>
      <c r="BO1070" s="47"/>
      <c r="BP1070" s="47"/>
      <c r="BQ1070" s="47"/>
      <c r="BR1070" s="47"/>
      <c r="BS1070" s="47"/>
      <c r="BT1070" s="47"/>
    </row>
    <row r="1071" spans="2:72" x14ac:dyDescent="0.2">
      <c r="AW1071" s="118"/>
      <c r="AX1071" s="118"/>
      <c r="AY1071" s="144"/>
      <c r="BA1071" s="45"/>
      <c r="BB1071" s="46"/>
      <c r="BC1071" s="46"/>
      <c r="BD1071" s="55"/>
      <c r="BE1071" s="55"/>
      <c r="BF1071" s="101" t="str">
        <f t="shared" si="22"/>
        <v/>
      </c>
      <c r="BG1071" s="101" t="str">
        <f t="shared" si="23"/>
        <v/>
      </c>
      <c r="BH1071" s="101" t="str">
        <f t="shared" si="24"/>
        <v/>
      </c>
      <c r="BI1071" s="101" t="str">
        <f t="shared" si="25"/>
        <v/>
      </c>
      <c r="BJ1071" s="101" t="str">
        <f t="shared" si="26"/>
        <v/>
      </c>
      <c r="BK1071" s="101" t="str">
        <f t="shared" si="27"/>
        <v/>
      </c>
      <c r="BL1071" s="48"/>
      <c r="BM1071" s="48"/>
      <c r="BN1071" s="48"/>
      <c r="BO1071" s="47"/>
      <c r="BP1071" s="47"/>
      <c r="BQ1071" s="47"/>
      <c r="BR1071" s="47"/>
      <c r="BS1071" s="47"/>
      <c r="BT1071" s="47"/>
    </row>
    <row r="1072" spans="2:72" x14ac:dyDescent="0.2">
      <c r="AW1072" s="118"/>
      <c r="AX1072" s="118"/>
      <c r="AY1072" s="144"/>
      <c r="BA1072" s="45"/>
      <c r="BB1072" s="46"/>
      <c r="BC1072" s="46"/>
      <c r="BD1072" s="55"/>
      <c r="BE1072" s="55"/>
      <c r="BF1072" s="101" t="str">
        <f t="shared" si="22"/>
        <v/>
      </c>
      <c r="BG1072" s="101" t="str">
        <f t="shared" si="23"/>
        <v/>
      </c>
      <c r="BH1072" s="101" t="str">
        <f t="shared" si="24"/>
        <v/>
      </c>
      <c r="BI1072" s="101" t="str">
        <f t="shared" si="25"/>
        <v/>
      </c>
      <c r="BJ1072" s="101" t="str">
        <f t="shared" si="26"/>
        <v/>
      </c>
      <c r="BK1072" s="101" t="str">
        <f t="shared" si="27"/>
        <v/>
      </c>
      <c r="BL1072" s="48"/>
      <c r="BM1072" s="48"/>
      <c r="BN1072" s="48"/>
      <c r="BO1072" s="47"/>
      <c r="BP1072" s="47"/>
      <c r="BQ1072" s="47"/>
      <c r="BR1072" s="47"/>
      <c r="BS1072" s="47"/>
      <c r="BT1072" s="47"/>
    </row>
    <row r="1073" spans="49:72" x14ac:dyDescent="0.2">
      <c r="AW1073" s="118"/>
      <c r="AX1073" s="118"/>
      <c r="AY1073" s="144"/>
      <c r="BA1073" s="45"/>
      <c r="BB1073" s="46"/>
      <c r="BC1073" s="46"/>
      <c r="BD1073" s="55"/>
      <c r="BE1073" s="55"/>
      <c r="BF1073" s="101" t="str">
        <f t="shared" si="22"/>
        <v/>
      </c>
      <c r="BG1073" s="101" t="str">
        <f t="shared" si="23"/>
        <v/>
      </c>
      <c r="BH1073" s="101" t="str">
        <f t="shared" si="24"/>
        <v/>
      </c>
      <c r="BI1073" s="101" t="str">
        <f t="shared" si="25"/>
        <v/>
      </c>
      <c r="BJ1073" s="101" t="str">
        <f t="shared" si="26"/>
        <v/>
      </c>
      <c r="BK1073" s="101" t="str">
        <f t="shared" si="27"/>
        <v/>
      </c>
      <c r="BL1073" s="48"/>
      <c r="BM1073" s="48"/>
      <c r="BN1073" s="48"/>
      <c r="BO1073" s="47"/>
      <c r="BP1073" s="47"/>
      <c r="BQ1073" s="47"/>
      <c r="BR1073" s="47"/>
      <c r="BS1073" s="47"/>
      <c r="BT1073" s="47"/>
    </row>
    <row r="1074" spans="49:72" x14ac:dyDescent="0.2">
      <c r="AW1074" s="118"/>
      <c r="AX1074" s="118"/>
      <c r="AY1074" s="144"/>
      <c r="BA1074" s="45"/>
      <c r="BB1074" s="46"/>
      <c r="BC1074" s="46"/>
      <c r="BD1074" s="55"/>
      <c r="BE1074" s="55"/>
      <c r="BF1074" s="101" t="str">
        <f t="shared" si="22"/>
        <v/>
      </c>
      <c r="BG1074" s="101" t="str">
        <f t="shared" si="23"/>
        <v/>
      </c>
      <c r="BH1074" s="101" t="str">
        <f t="shared" si="24"/>
        <v/>
      </c>
      <c r="BI1074" s="101" t="str">
        <f t="shared" si="25"/>
        <v/>
      </c>
      <c r="BJ1074" s="101" t="str">
        <f t="shared" si="26"/>
        <v/>
      </c>
      <c r="BK1074" s="101" t="str">
        <f t="shared" si="27"/>
        <v/>
      </c>
      <c r="BL1074" s="48"/>
      <c r="BM1074" s="48"/>
      <c r="BN1074" s="48"/>
      <c r="BO1074" s="47"/>
      <c r="BP1074" s="47"/>
      <c r="BQ1074" s="47"/>
      <c r="BR1074" s="47"/>
      <c r="BS1074" s="47"/>
      <c r="BT1074" s="47"/>
    </row>
    <row r="1075" spans="49:72" x14ac:dyDescent="0.2">
      <c r="AW1075" s="118"/>
      <c r="AX1075" s="118"/>
      <c r="AY1075" s="144"/>
      <c r="BA1075" s="45"/>
      <c r="BB1075" s="46"/>
      <c r="BC1075" s="46"/>
      <c r="BD1075" s="55"/>
      <c r="BE1075" s="55"/>
      <c r="BF1075" s="101" t="str">
        <f t="shared" si="22"/>
        <v/>
      </c>
      <c r="BG1075" s="101" t="str">
        <f t="shared" si="23"/>
        <v/>
      </c>
      <c r="BH1075" s="101" t="str">
        <f t="shared" si="24"/>
        <v/>
      </c>
      <c r="BI1075" s="101" t="str">
        <f t="shared" si="25"/>
        <v/>
      </c>
      <c r="BJ1075" s="101" t="str">
        <f t="shared" si="26"/>
        <v/>
      </c>
      <c r="BK1075" s="101" t="str">
        <f t="shared" si="27"/>
        <v/>
      </c>
      <c r="BL1075" s="48"/>
      <c r="BM1075" s="48"/>
      <c r="BN1075" s="48"/>
      <c r="BO1075" s="47"/>
      <c r="BP1075" s="47"/>
      <c r="BQ1075" s="47"/>
      <c r="BR1075" s="47"/>
      <c r="BS1075" s="47"/>
      <c r="BT1075" s="47"/>
    </row>
    <row r="1076" spans="49:72" x14ac:dyDescent="0.2">
      <c r="AW1076" s="118"/>
      <c r="AX1076" s="118"/>
      <c r="AY1076" s="144"/>
      <c r="BA1076" s="45"/>
      <c r="BB1076" s="46"/>
      <c r="BC1076" s="46"/>
      <c r="BD1076" s="55"/>
      <c r="BE1076" s="55"/>
      <c r="BF1076" s="101" t="str">
        <f t="shared" si="22"/>
        <v/>
      </c>
      <c r="BG1076" s="101" t="str">
        <f t="shared" si="23"/>
        <v/>
      </c>
      <c r="BH1076" s="101" t="str">
        <f t="shared" si="24"/>
        <v/>
      </c>
      <c r="BI1076" s="101" t="str">
        <f t="shared" si="25"/>
        <v/>
      </c>
      <c r="BJ1076" s="101" t="str">
        <f t="shared" si="26"/>
        <v/>
      </c>
      <c r="BK1076" s="101" t="str">
        <f t="shared" si="27"/>
        <v/>
      </c>
      <c r="BL1076" s="48"/>
      <c r="BM1076" s="48"/>
      <c r="BN1076" s="48"/>
      <c r="BO1076" s="47"/>
      <c r="BP1076" s="47"/>
      <c r="BQ1076" s="47"/>
      <c r="BR1076" s="47"/>
      <c r="BS1076" s="47"/>
      <c r="BT1076" s="47"/>
    </row>
    <row r="1077" spans="49:72" x14ac:dyDescent="0.2">
      <c r="AW1077" s="118"/>
      <c r="AX1077" s="118"/>
      <c r="AY1077" s="144"/>
      <c r="BA1077" s="45"/>
      <c r="BB1077" s="46"/>
      <c r="BC1077" s="46"/>
      <c r="BD1077" s="55"/>
      <c r="BE1077" s="55"/>
      <c r="BF1077" s="101" t="str">
        <f t="shared" si="22"/>
        <v/>
      </c>
      <c r="BG1077" s="101" t="str">
        <f t="shared" si="23"/>
        <v/>
      </c>
      <c r="BH1077" s="101" t="str">
        <f t="shared" si="24"/>
        <v/>
      </c>
      <c r="BI1077" s="101" t="str">
        <f t="shared" si="25"/>
        <v/>
      </c>
      <c r="BJ1077" s="101" t="str">
        <f t="shared" si="26"/>
        <v/>
      </c>
      <c r="BK1077" s="101" t="str">
        <f t="shared" si="27"/>
        <v/>
      </c>
      <c r="BL1077" s="48"/>
      <c r="BM1077" s="48"/>
      <c r="BN1077" s="48"/>
      <c r="BO1077" s="47"/>
      <c r="BP1077" s="47"/>
      <c r="BQ1077" s="47"/>
      <c r="BR1077" s="47"/>
      <c r="BS1077" s="47"/>
      <c r="BT1077" s="47"/>
    </row>
    <row r="1078" spans="49:72" x14ac:dyDescent="0.2">
      <c r="AW1078" s="118"/>
      <c r="AX1078" s="118"/>
      <c r="AY1078" s="144"/>
      <c r="BA1078" s="45"/>
      <c r="BB1078" s="46"/>
      <c r="BC1078" s="46"/>
      <c r="BD1078" s="55"/>
      <c r="BE1078" s="55"/>
      <c r="BF1078" s="101" t="str">
        <f t="shared" si="22"/>
        <v/>
      </c>
      <c r="BG1078" s="101" t="str">
        <f t="shared" si="23"/>
        <v/>
      </c>
      <c r="BH1078" s="101" t="str">
        <f t="shared" si="24"/>
        <v/>
      </c>
      <c r="BI1078" s="101" t="str">
        <f t="shared" si="25"/>
        <v/>
      </c>
      <c r="BJ1078" s="101" t="str">
        <f t="shared" si="26"/>
        <v/>
      </c>
      <c r="BK1078" s="101" t="str">
        <f t="shared" si="27"/>
        <v/>
      </c>
      <c r="BL1078" s="48"/>
      <c r="BM1078" s="48"/>
      <c r="BN1078" s="48"/>
      <c r="BO1078" s="47"/>
      <c r="BP1078" s="47"/>
      <c r="BQ1078" s="47"/>
      <c r="BR1078" s="47"/>
      <c r="BS1078" s="47"/>
      <c r="BT1078" s="47"/>
    </row>
    <row r="1079" spans="49:72" x14ac:dyDescent="0.2">
      <c r="AW1079" s="118"/>
      <c r="AX1079" s="118"/>
      <c r="AY1079" s="144"/>
      <c r="BA1079" s="45"/>
      <c r="BB1079" s="46"/>
      <c r="BC1079" s="46"/>
      <c r="BD1079" s="55"/>
      <c r="BE1079" s="55"/>
      <c r="BF1079" s="101" t="str">
        <f t="shared" si="22"/>
        <v/>
      </c>
      <c r="BG1079" s="101" t="str">
        <f t="shared" si="23"/>
        <v/>
      </c>
      <c r="BH1079" s="101" t="str">
        <f t="shared" si="24"/>
        <v/>
      </c>
      <c r="BI1079" s="101" t="str">
        <f t="shared" si="25"/>
        <v/>
      </c>
      <c r="BJ1079" s="101" t="str">
        <f t="shared" si="26"/>
        <v/>
      </c>
      <c r="BK1079" s="101" t="str">
        <f t="shared" si="27"/>
        <v/>
      </c>
      <c r="BL1079" s="48"/>
      <c r="BM1079" s="48"/>
      <c r="BN1079" s="48"/>
      <c r="BO1079" s="47"/>
      <c r="BP1079" s="47"/>
      <c r="BQ1079" s="47"/>
      <c r="BR1079" s="47"/>
      <c r="BS1079" s="47"/>
      <c r="BT1079" s="47"/>
    </row>
    <row r="1080" spans="49:72" x14ac:dyDescent="0.2">
      <c r="AW1080" s="118"/>
      <c r="AX1080" s="118"/>
      <c r="AY1080" s="144"/>
      <c r="BA1080" s="45"/>
      <c r="BB1080" s="46"/>
      <c r="BC1080" s="46"/>
      <c r="BD1080" s="55"/>
      <c r="BE1080" s="55"/>
      <c r="BF1080" s="101" t="str">
        <f t="shared" si="22"/>
        <v/>
      </c>
      <c r="BG1080" s="101" t="str">
        <f t="shared" si="23"/>
        <v/>
      </c>
      <c r="BH1080" s="101" t="str">
        <f t="shared" si="24"/>
        <v/>
      </c>
      <c r="BI1080" s="101" t="str">
        <f t="shared" si="25"/>
        <v/>
      </c>
      <c r="BJ1080" s="101" t="str">
        <f t="shared" si="26"/>
        <v/>
      </c>
      <c r="BK1080" s="101" t="str">
        <f t="shared" si="27"/>
        <v/>
      </c>
      <c r="BL1080" s="48"/>
      <c r="BM1080" s="48"/>
      <c r="BN1080" s="48"/>
      <c r="BO1080" s="47"/>
      <c r="BP1080" s="47"/>
      <c r="BQ1080" s="47"/>
      <c r="BR1080" s="47"/>
      <c r="BS1080" s="47"/>
      <c r="BT1080" s="47"/>
    </row>
    <row r="1081" spans="49:72" x14ac:dyDescent="0.2">
      <c r="AW1081" s="118"/>
      <c r="AX1081" s="118"/>
      <c r="AY1081" s="144"/>
      <c r="BA1081" s="45"/>
      <c r="BB1081" s="46"/>
      <c r="BC1081" s="46"/>
      <c r="BD1081" s="55"/>
      <c r="BE1081" s="55"/>
      <c r="BF1081" s="101" t="str">
        <f t="shared" si="22"/>
        <v/>
      </c>
      <c r="BG1081" s="101" t="str">
        <f t="shared" si="23"/>
        <v/>
      </c>
      <c r="BH1081" s="101" t="str">
        <f t="shared" si="24"/>
        <v/>
      </c>
      <c r="BI1081" s="101" t="str">
        <f t="shared" si="25"/>
        <v/>
      </c>
      <c r="BJ1081" s="101" t="str">
        <f t="shared" si="26"/>
        <v/>
      </c>
      <c r="BK1081" s="101" t="str">
        <f t="shared" si="27"/>
        <v/>
      </c>
      <c r="BL1081" s="48"/>
      <c r="BM1081" s="48"/>
      <c r="BN1081" s="48"/>
      <c r="BO1081" s="47"/>
      <c r="BP1081" s="47"/>
      <c r="BQ1081" s="47"/>
      <c r="BR1081" s="47"/>
      <c r="BS1081" s="47"/>
      <c r="BT1081" s="47"/>
    </row>
    <row r="1082" spans="49:72" x14ac:dyDescent="0.2">
      <c r="AW1082" s="118"/>
      <c r="AX1082" s="118"/>
      <c r="AY1082" s="144"/>
      <c r="BA1082" s="45"/>
      <c r="BB1082" s="46"/>
      <c r="BC1082" s="46"/>
      <c r="BD1082" s="55"/>
      <c r="BE1082" s="55"/>
      <c r="BF1082" s="101" t="str">
        <f t="shared" si="22"/>
        <v/>
      </c>
      <c r="BG1082" s="101" t="str">
        <f t="shared" si="23"/>
        <v/>
      </c>
      <c r="BH1082" s="101" t="str">
        <f t="shared" si="24"/>
        <v/>
      </c>
      <c r="BI1082" s="101" t="str">
        <f t="shared" si="25"/>
        <v/>
      </c>
      <c r="BJ1082" s="101" t="str">
        <f t="shared" si="26"/>
        <v/>
      </c>
      <c r="BK1082" s="101" t="str">
        <f t="shared" si="27"/>
        <v/>
      </c>
      <c r="BL1082" s="48"/>
      <c r="BM1082" s="48"/>
      <c r="BN1082" s="48"/>
      <c r="BO1082" s="47"/>
      <c r="BP1082" s="47"/>
      <c r="BQ1082" s="47"/>
      <c r="BR1082" s="47"/>
      <c r="BS1082" s="47"/>
      <c r="BT1082" s="47"/>
    </row>
    <row r="1083" spans="49:72" x14ac:dyDescent="0.2">
      <c r="AW1083" s="118"/>
      <c r="AX1083" s="118"/>
      <c r="AY1083" s="144"/>
      <c r="BA1083" s="45"/>
      <c r="BB1083" s="46"/>
      <c r="BC1083" s="46"/>
      <c r="BD1083" s="55"/>
      <c r="BE1083" s="55"/>
      <c r="BF1083" s="101" t="str">
        <f t="shared" si="22"/>
        <v/>
      </c>
      <c r="BG1083" s="101" t="str">
        <f t="shared" si="23"/>
        <v/>
      </c>
      <c r="BH1083" s="101" t="str">
        <f t="shared" si="24"/>
        <v/>
      </c>
      <c r="BI1083" s="101" t="str">
        <f t="shared" si="25"/>
        <v/>
      </c>
      <c r="BJ1083" s="101" t="str">
        <f t="shared" si="26"/>
        <v/>
      </c>
      <c r="BK1083" s="101" t="str">
        <f t="shared" si="27"/>
        <v/>
      </c>
      <c r="BL1083" s="48"/>
      <c r="BM1083" s="48"/>
      <c r="BN1083" s="48"/>
      <c r="BO1083" s="47"/>
      <c r="BP1083" s="47"/>
      <c r="BQ1083" s="47"/>
      <c r="BR1083" s="47"/>
      <c r="BS1083" s="47"/>
      <c r="BT1083" s="47"/>
    </row>
    <row r="1084" spans="49:72" x14ac:dyDescent="0.2">
      <c r="AW1084" s="118"/>
      <c r="AX1084" s="118"/>
      <c r="AY1084" s="144"/>
      <c r="BA1084" s="45"/>
      <c r="BB1084" s="46"/>
      <c r="BC1084" s="46"/>
      <c r="BD1084" s="55"/>
      <c r="BE1084" s="55"/>
      <c r="BF1084" s="101" t="str">
        <f t="shared" si="22"/>
        <v/>
      </c>
      <c r="BG1084" s="101" t="str">
        <f t="shared" si="23"/>
        <v/>
      </c>
      <c r="BH1084" s="101" t="str">
        <f t="shared" si="24"/>
        <v/>
      </c>
      <c r="BI1084" s="101" t="str">
        <f t="shared" si="25"/>
        <v/>
      </c>
      <c r="BJ1084" s="101" t="str">
        <f t="shared" si="26"/>
        <v/>
      </c>
      <c r="BK1084" s="101" t="str">
        <f t="shared" si="27"/>
        <v/>
      </c>
      <c r="BL1084" s="48"/>
      <c r="BM1084" s="48"/>
      <c r="BN1084" s="48"/>
      <c r="BO1084" s="47"/>
      <c r="BP1084" s="47"/>
      <c r="BQ1084" s="47"/>
      <c r="BR1084" s="47"/>
      <c r="BS1084" s="47"/>
      <c r="BT1084" s="47"/>
    </row>
    <row r="1085" spans="49:72" x14ac:dyDescent="0.2">
      <c r="AW1085" s="118"/>
      <c r="AX1085" s="118"/>
      <c r="AY1085" s="144"/>
      <c r="BA1085" s="45"/>
      <c r="BB1085" s="46"/>
      <c r="BC1085" s="46"/>
      <c r="BD1085" s="55"/>
      <c r="BE1085" s="55"/>
      <c r="BF1085" s="101" t="str">
        <f t="shared" si="22"/>
        <v/>
      </c>
      <c r="BG1085" s="101" t="str">
        <f t="shared" si="23"/>
        <v/>
      </c>
      <c r="BH1085" s="101" t="str">
        <f t="shared" si="24"/>
        <v/>
      </c>
      <c r="BI1085" s="101" t="str">
        <f t="shared" si="25"/>
        <v/>
      </c>
      <c r="BJ1085" s="101" t="str">
        <f t="shared" si="26"/>
        <v/>
      </c>
      <c r="BK1085" s="101" t="str">
        <f t="shared" si="27"/>
        <v/>
      </c>
      <c r="BL1085" s="48"/>
      <c r="BM1085" s="48"/>
      <c r="BN1085" s="48"/>
      <c r="BO1085" s="47"/>
      <c r="BP1085" s="47"/>
      <c r="BQ1085" s="47"/>
      <c r="BR1085" s="47"/>
      <c r="BS1085" s="47"/>
      <c r="BT1085" s="47"/>
    </row>
    <row r="1086" spans="49:72" x14ac:dyDescent="0.2">
      <c r="AW1086" s="118"/>
      <c r="AX1086" s="118"/>
      <c r="AY1086" s="144"/>
      <c r="BA1086" s="45"/>
      <c r="BB1086" s="46"/>
      <c r="BC1086" s="46"/>
      <c r="BD1086" s="55"/>
      <c r="BE1086" s="55"/>
      <c r="BF1086" s="101" t="str">
        <f t="shared" si="22"/>
        <v/>
      </c>
      <c r="BG1086" s="101" t="str">
        <f t="shared" si="23"/>
        <v/>
      </c>
      <c r="BH1086" s="101" t="str">
        <f t="shared" si="24"/>
        <v/>
      </c>
      <c r="BI1086" s="101" t="str">
        <f t="shared" si="25"/>
        <v/>
      </c>
      <c r="BJ1086" s="101" t="str">
        <f t="shared" si="26"/>
        <v/>
      </c>
      <c r="BK1086" s="101" t="str">
        <f t="shared" si="27"/>
        <v/>
      </c>
      <c r="BL1086" s="48"/>
      <c r="BM1086" s="48"/>
      <c r="BN1086" s="48"/>
      <c r="BO1086" s="47"/>
      <c r="BP1086" s="47"/>
      <c r="BQ1086" s="47"/>
      <c r="BR1086" s="47"/>
      <c r="BS1086" s="47"/>
      <c r="BT1086" s="47"/>
    </row>
    <row r="1087" spans="49:72" x14ac:dyDescent="0.2">
      <c r="AW1087" s="118"/>
      <c r="AX1087" s="118"/>
      <c r="AY1087" s="144"/>
      <c r="BA1087" s="45"/>
      <c r="BB1087" s="46"/>
      <c r="BC1087" s="46"/>
      <c r="BD1087" s="55"/>
      <c r="BE1087" s="55"/>
      <c r="BF1087" s="101" t="str">
        <f t="shared" si="22"/>
        <v/>
      </c>
      <c r="BG1087" s="101" t="str">
        <f t="shared" si="23"/>
        <v/>
      </c>
      <c r="BH1087" s="101" t="str">
        <f t="shared" si="24"/>
        <v/>
      </c>
      <c r="BI1087" s="101" t="str">
        <f t="shared" si="25"/>
        <v/>
      </c>
      <c r="BJ1087" s="101" t="str">
        <f t="shared" si="26"/>
        <v/>
      </c>
      <c r="BK1087" s="101" t="str">
        <f t="shared" si="27"/>
        <v/>
      </c>
      <c r="BL1087" s="48"/>
      <c r="BM1087" s="48"/>
      <c r="BN1087" s="48"/>
      <c r="BO1087" s="47"/>
      <c r="BP1087" s="47"/>
      <c r="BQ1087" s="47"/>
      <c r="BR1087" s="47"/>
      <c r="BS1087" s="47"/>
      <c r="BT1087" s="47"/>
    </row>
    <row r="1088" spans="49:72" x14ac:dyDescent="0.2">
      <c r="AW1088" s="118"/>
      <c r="AX1088" s="118"/>
      <c r="AY1088" s="144"/>
      <c r="BA1088" s="45"/>
      <c r="BB1088" s="46"/>
      <c r="BC1088" s="46"/>
      <c r="BD1088" s="55"/>
      <c r="BE1088" s="55"/>
      <c r="BF1088" s="101" t="str">
        <f t="shared" si="22"/>
        <v/>
      </c>
      <c r="BG1088" s="101" t="str">
        <f t="shared" si="23"/>
        <v/>
      </c>
      <c r="BH1088" s="101" t="str">
        <f t="shared" si="24"/>
        <v/>
      </c>
      <c r="BI1088" s="101" t="str">
        <f t="shared" si="25"/>
        <v/>
      </c>
      <c r="BJ1088" s="101" t="str">
        <f t="shared" si="26"/>
        <v/>
      </c>
      <c r="BK1088" s="101" t="str">
        <f t="shared" si="27"/>
        <v/>
      </c>
      <c r="BL1088" s="48"/>
      <c r="BM1088" s="48"/>
      <c r="BN1088" s="48"/>
      <c r="BO1088" s="47"/>
      <c r="BP1088" s="47"/>
      <c r="BQ1088" s="47"/>
      <c r="BR1088" s="47"/>
      <c r="BS1088" s="47"/>
      <c r="BT1088" s="47"/>
    </row>
    <row r="1089" spans="49:72" x14ac:dyDescent="0.2">
      <c r="AW1089" s="118"/>
      <c r="AX1089" s="118"/>
      <c r="AY1089" s="144"/>
      <c r="BA1089" s="45"/>
      <c r="BB1089" s="46"/>
      <c r="BC1089" s="46"/>
      <c r="BD1089" s="55"/>
      <c r="BE1089" s="55"/>
      <c r="BF1089" s="101" t="str">
        <f t="shared" si="22"/>
        <v/>
      </c>
      <c r="BG1089" s="101" t="str">
        <f t="shared" si="23"/>
        <v/>
      </c>
      <c r="BH1089" s="101" t="str">
        <f t="shared" si="24"/>
        <v/>
      </c>
      <c r="BI1089" s="101" t="str">
        <f t="shared" si="25"/>
        <v/>
      </c>
      <c r="BJ1089" s="101" t="str">
        <f t="shared" si="26"/>
        <v/>
      </c>
      <c r="BK1089" s="101" t="str">
        <f t="shared" si="27"/>
        <v/>
      </c>
      <c r="BL1089" s="48"/>
      <c r="BM1089" s="48"/>
      <c r="BN1089" s="48"/>
      <c r="BO1089" s="47"/>
      <c r="BP1089" s="47"/>
      <c r="BQ1089" s="47"/>
      <c r="BR1089" s="47"/>
      <c r="BS1089" s="47"/>
      <c r="BT1089" s="47"/>
    </row>
    <row r="1090" spans="49:72" x14ac:dyDescent="0.2">
      <c r="AW1090" s="118"/>
      <c r="AX1090" s="118"/>
      <c r="AY1090" s="144"/>
      <c r="BA1090" s="45"/>
      <c r="BB1090" s="46"/>
      <c r="BC1090" s="46"/>
      <c r="BD1090" s="55"/>
      <c r="BE1090" s="55"/>
      <c r="BF1090" s="101" t="str">
        <f t="shared" si="22"/>
        <v/>
      </c>
      <c r="BG1090" s="101" t="str">
        <f t="shared" si="23"/>
        <v/>
      </c>
      <c r="BH1090" s="101" t="str">
        <f t="shared" si="24"/>
        <v/>
      </c>
      <c r="BI1090" s="101" t="str">
        <f t="shared" si="25"/>
        <v/>
      </c>
      <c r="BJ1090" s="101" t="str">
        <f t="shared" si="26"/>
        <v/>
      </c>
      <c r="BK1090" s="101" t="str">
        <f t="shared" si="27"/>
        <v/>
      </c>
      <c r="BL1090" s="48"/>
      <c r="BM1090" s="48"/>
      <c r="BN1090" s="48"/>
      <c r="BO1090" s="47"/>
      <c r="BP1090" s="47"/>
      <c r="BQ1090" s="47"/>
      <c r="BR1090" s="47"/>
      <c r="BS1090" s="47"/>
      <c r="BT1090" s="47"/>
    </row>
    <row r="1091" spans="49:72" x14ac:dyDescent="0.2">
      <c r="AW1091" s="118"/>
      <c r="AX1091" s="118"/>
      <c r="AY1091" s="144"/>
      <c r="BA1091" s="45"/>
      <c r="BB1091" s="46"/>
      <c r="BC1091" s="46"/>
      <c r="BD1091" s="55"/>
      <c r="BE1091" s="55"/>
      <c r="BF1091" s="101" t="str">
        <f t="shared" si="22"/>
        <v/>
      </c>
      <c r="BG1091" s="101" t="str">
        <f t="shared" si="23"/>
        <v/>
      </c>
      <c r="BH1091" s="101" t="str">
        <f t="shared" si="24"/>
        <v/>
      </c>
      <c r="BI1091" s="101" t="str">
        <f t="shared" si="25"/>
        <v/>
      </c>
      <c r="BJ1091" s="101" t="str">
        <f t="shared" si="26"/>
        <v/>
      </c>
      <c r="BK1091" s="101" t="str">
        <f t="shared" si="27"/>
        <v/>
      </c>
      <c r="BL1091" s="48"/>
      <c r="BM1091" s="48"/>
      <c r="BN1091" s="48"/>
      <c r="BO1091" s="47"/>
      <c r="BP1091" s="47"/>
      <c r="BQ1091" s="47"/>
      <c r="BR1091" s="47"/>
      <c r="BS1091" s="47"/>
      <c r="BT1091" s="47"/>
    </row>
    <row r="1092" spans="49:72" x14ac:dyDescent="0.2">
      <c r="AW1092" s="118"/>
      <c r="AX1092" s="118"/>
      <c r="AY1092" s="144"/>
      <c r="BA1092" s="45"/>
      <c r="BB1092" s="46"/>
      <c r="BC1092" s="46"/>
      <c r="BD1092" s="55"/>
      <c r="BE1092" s="55"/>
      <c r="BF1092" s="101" t="str">
        <f t="shared" si="22"/>
        <v/>
      </c>
      <c r="BG1092" s="101" t="str">
        <f t="shared" si="23"/>
        <v/>
      </c>
      <c r="BH1092" s="101" t="str">
        <f t="shared" si="24"/>
        <v/>
      </c>
      <c r="BI1092" s="101" t="str">
        <f t="shared" si="25"/>
        <v/>
      </c>
      <c r="BJ1092" s="101" t="str">
        <f t="shared" si="26"/>
        <v/>
      </c>
      <c r="BK1092" s="101" t="str">
        <f t="shared" si="27"/>
        <v/>
      </c>
      <c r="BL1092" s="48"/>
      <c r="BM1092" s="48"/>
      <c r="BN1092" s="48"/>
      <c r="BO1092" s="47"/>
      <c r="BP1092" s="47"/>
      <c r="BQ1092" s="47"/>
      <c r="BR1092" s="47"/>
      <c r="BS1092" s="47"/>
      <c r="BT1092" s="47"/>
    </row>
    <row r="1093" spans="49:72" x14ac:dyDescent="0.2">
      <c r="AW1093" s="118"/>
      <c r="AX1093" s="118"/>
      <c r="AY1093" s="144"/>
      <c r="BA1093" s="45"/>
      <c r="BB1093" s="46"/>
      <c r="BC1093" s="46"/>
      <c r="BD1093" s="55"/>
      <c r="BE1093" s="55"/>
      <c r="BF1093" s="101" t="str">
        <f t="shared" si="22"/>
        <v/>
      </c>
      <c r="BG1093" s="101" t="str">
        <f t="shared" si="23"/>
        <v/>
      </c>
      <c r="BH1093" s="101" t="str">
        <f t="shared" si="24"/>
        <v/>
      </c>
      <c r="BI1093" s="101" t="str">
        <f t="shared" si="25"/>
        <v/>
      </c>
      <c r="BJ1093" s="101" t="str">
        <f t="shared" si="26"/>
        <v/>
      </c>
      <c r="BK1093" s="101" t="str">
        <f t="shared" si="27"/>
        <v/>
      </c>
      <c r="BL1093" s="48"/>
      <c r="BM1093" s="48"/>
      <c r="BN1093" s="48"/>
      <c r="BO1093" s="47"/>
      <c r="BP1093" s="47"/>
      <c r="BQ1093" s="47"/>
      <c r="BR1093" s="47"/>
      <c r="BS1093" s="47"/>
      <c r="BT1093" s="47"/>
    </row>
    <row r="1094" spans="49:72" x14ac:dyDescent="0.2">
      <c r="AW1094" s="118"/>
      <c r="AX1094" s="118"/>
      <c r="AY1094" s="144"/>
      <c r="BA1094" s="45"/>
      <c r="BB1094" s="46"/>
      <c r="BC1094" s="46"/>
      <c r="BD1094" s="55"/>
      <c r="BE1094" s="55"/>
      <c r="BF1094" s="101" t="str">
        <f t="shared" si="22"/>
        <v/>
      </c>
      <c r="BG1094" s="101" t="str">
        <f t="shared" si="23"/>
        <v/>
      </c>
      <c r="BH1094" s="101" t="str">
        <f t="shared" si="24"/>
        <v/>
      </c>
      <c r="BI1094" s="101" t="str">
        <f t="shared" si="25"/>
        <v/>
      </c>
      <c r="BJ1094" s="101" t="str">
        <f t="shared" si="26"/>
        <v/>
      </c>
      <c r="BK1094" s="101" t="str">
        <f t="shared" si="27"/>
        <v/>
      </c>
      <c r="BL1094" s="48"/>
      <c r="BM1094" s="48"/>
      <c r="BN1094" s="48"/>
      <c r="BO1094" s="47"/>
      <c r="BP1094" s="47"/>
      <c r="BQ1094" s="47"/>
      <c r="BR1094" s="47"/>
      <c r="BS1094" s="47"/>
      <c r="BT1094" s="47"/>
    </row>
    <row r="1095" spans="49:72" x14ac:dyDescent="0.2">
      <c r="AW1095" s="118"/>
      <c r="AX1095" s="118"/>
      <c r="AY1095" s="144"/>
      <c r="BA1095" s="45"/>
      <c r="BB1095" s="46"/>
      <c r="BC1095" s="46"/>
      <c r="BD1095" s="55"/>
      <c r="BE1095" s="55"/>
      <c r="BF1095" s="101" t="str">
        <f t="shared" si="22"/>
        <v/>
      </c>
      <c r="BG1095" s="101" t="str">
        <f t="shared" si="23"/>
        <v/>
      </c>
      <c r="BH1095" s="101" t="str">
        <f t="shared" si="24"/>
        <v/>
      </c>
      <c r="BI1095" s="101" t="str">
        <f t="shared" si="25"/>
        <v/>
      </c>
      <c r="BJ1095" s="101" t="str">
        <f t="shared" si="26"/>
        <v/>
      </c>
      <c r="BK1095" s="101" t="str">
        <f t="shared" si="27"/>
        <v/>
      </c>
      <c r="BL1095" s="48"/>
      <c r="BM1095" s="48"/>
      <c r="BN1095" s="48"/>
      <c r="BO1095" s="47"/>
      <c r="BP1095" s="47"/>
      <c r="BQ1095" s="47"/>
      <c r="BR1095" s="47"/>
      <c r="BS1095" s="47"/>
      <c r="BT1095" s="47"/>
    </row>
    <row r="1096" spans="49:72" x14ac:dyDescent="0.2">
      <c r="AW1096" s="118"/>
      <c r="AX1096" s="118"/>
      <c r="AY1096" s="144"/>
      <c r="BA1096" s="45"/>
      <c r="BB1096" s="46"/>
      <c r="BC1096" s="46"/>
      <c r="BD1096" s="55"/>
      <c r="BE1096" s="55"/>
      <c r="BF1096" s="101" t="str">
        <f t="shared" si="22"/>
        <v/>
      </c>
      <c r="BG1096" s="101" t="str">
        <f t="shared" si="23"/>
        <v/>
      </c>
      <c r="BH1096" s="101" t="str">
        <f t="shared" si="24"/>
        <v/>
      </c>
      <c r="BI1096" s="101" t="str">
        <f t="shared" si="25"/>
        <v/>
      </c>
      <c r="BJ1096" s="101" t="str">
        <f t="shared" si="26"/>
        <v/>
      </c>
      <c r="BK1096" s="101" t="str">
        <f t="shared" si="27"/>
        <v/>
      </c>
      <c r="BL1096" s="48"/>
      <c r="BM1096" s="48"/>
      <c r="BN1096" s="48"/>
      <c r="BO1096" s="47"/>
      <c r="BP1096" s="47"/>
      <c r="BQ1096" s="47"/>
      <c r="BR1096" s="47"/>
      <c r="BS1096" s="47"/>
      <c r="BT1096" s="47"/>
    </row>
    <row r="1097" spans="49:72" x14ac:dyDescent="0.2">
      <c r="AW1097" s="118"/>
      <c r="AX1097" s="118"/>
      <c r="AY1097" s="144"/>
      <c r="BA1097" s="45"/>
      <c r="BB1097" s="46"/>
      <c r="BC1097" s="46"/>
      <c r="BD1097" s="55"/>
      <c r="BE1097" s="55"/>
      <c r="BF1097" s="101" t="str">
        <f t="shared" si="22"/>
        <v/>
      </c>
      <c r="BG1097" s="101" t="str">
        <f t="shared" si="23"/>
        <v/>
      </c>
      <c r="BH1097" s="101" t="str">
        <f t="shared" si="24"/>
        <v/>
      </c>
      <c r="BI1097" s="101" t="str">
        <f t="shared" si="25"/>
        <v/>
      </c>
      <c r="BJ1097" s="101" t="str">
        <f t="shared" si="26"/>
        <v/>
      </c>
      <c r="BK1097" s="101" t="str">
        <f t="shared" si="27"/>
        <v/>
      </c>
      <c r="BL1097" s="48"/>
      <c r="BM1097" s="48"/>
      <c r="BN1097" s="48"/>
      <c r="BO1097" s="47"/>
      <c r="BP1097" s="47"/>
      <c r="BQ1097" s="47"/>
      <c r="BR1097" s="47"/>
      <c r="BS1097" s="47"/>
      <c r="BT1097" s="47"/>
    </row>
    <row r="1098" spans="49:72" x14ac:dyDescent="0.2">
      <c r="AW1098" s="118"/>
      <c r="AX1098" s="118"/>
      <c r="AY1098" s="144"/>
      <c r="BA1098" s="45"/>
      <c r="BB1098" s="46"/>
      <c r="BC1098" s="46"/>
      <c r="BD1098" s="55"/>
      <c r="BE1098" s="55"/>
      <c r="BF1098" s="101" t="str">
        <f t="shared" si="22"/>
        <v/>
      </c>
      <c r="BG1098" s="101" t="str">
        <f t="shared" si="23"/>
        <v/>
      </c>
      <c r="BH1098" s="101" t="str">
        <f t="shared" si="24"/>
        <v/>
      </c>
      <c r="BI1098" s="101" t="str">
        <f t="shared" si="25"/>
        <v/>
      </c>
      <c r="BJ1098" s="101" t="str">
        <f t="shared" si="26"/>
        <v/>
      </c>
      <c r="BK1098" s="101" t="str">
        <f t="shared" si="27"/>
        <v/>
      </c>
      <c r="BL1098" s="48"/>
      <c r="BM1098" s="48"/>
      <c r="BN1098" s="48"/>
      <c r="BO1098" s="47"/>
      <c r="BP1098" s="47"/>
      <c r="BQ1098" s="47"/>
      <c r="BR1098" s="47"/>
      <c r="BS1098" s="47"/>
      <c r="BT1098" s="47"/>
    </row>
    <row r="1099" spans="49:72" x14ac:dyDescent="0.2">
      <c r="AW1099" s="118"/>
      <c r="AX1099" s="118"/>
      <c r="AY1099" s="144"/>
      <c r="BA1099" s="45"/>
      <c r="BB1099" s="46"/>
      <c r="BC1099" s="46"/>
      <c r="BD1099" s="55"/>
      <c r="BE1099" s="55"/>
      <c r="BF1099" s="101" t="str">
        <f t="shared" si="22"/>
        <v/>
      </c>
      <c r="BG1099" s="101" t="str">
        <f t="shared" si="23"/>
        <v/>
      </c>
      <c r="BH1099" s="101" t="str">
        <f t="shared" si="24"/>
        <v/>
      </c>
      <c r="BI1099" s="101" t="str">
        <f t="shared" si="25"/>
        <v/>
      </c>
      <c r="BJ1099" s="101" t="str">
        <f t="shared" si="26"/>
        <v/>
      </c>
      <c r="BK1099" s="101" t="str">
        <f t="shared" si="27"/>
        <v/>
      </c>
      <c r="BL1099" s="48"/>
      <c r="BM1099" s="48"/>
      <c r="BN1099" s="48"/>
      <c r="BO1099" s="47"/>
      <c r="BP1099" s="47"/>
      <c r="BQ1099" s="47"/>
      <c r="BR1099" s="47"/>
      <c r="BS1099" s="47"/>
      <c r="BT1099" s="47"/>
    </row>
    <row r="1100" spans="49:72" x14ac:dyDescent="0.2">
      <c r="AW1100" s="118"/>
      <c r="AX1100" s="118"/>
      <c r="AY1100" s="144"/>
      <c r="BA1100" s="45"/>
      <c r="BB1100" s="46"/>
      <c r="BC1100" s="46"/>
      <c r="BD1100" s="55"/>
      <c r="BE1100" s="55"/>
      <c r="BF1100" s="101" t="str">
        <f t="shared" si="22"/>
        <v/>
      </c>
      <c r="BG1100" s="101" t="str">
        <f t="shared" si="23"/>
        <v/>
      </c>
      <c r="BH1100" s="101" t="str">
        <f t="shared" si="24"/>
        <v/>
      </c>
      <c r="BI1100" s="101" t="str">
        <f t="shared" si="25"/>
        <v/>
      </c>
      <c r="BJ1100" s="101" t="str">
        <f t="shared" si="26"/>
        <v/>
      </c>
      <c r="BK1100" s="101" t="str">
        <f t="shared" si="27"/>
        <v/>
      </c>
      <c r="BL1100" s="48"/>
      <c r="BM1100" s="48"/>
      <c r="BN1100" s="48"/>
      <c r="BO1100" s="47"/>
      <c r="BP1100" s="47"/>
      <c r="BQ1100" s="47"/>
      <c r="BR1100" s="47"/>
      <c r="BS1100" s="47"/>
      <c r="BT1100" s="47"/>
    </row>
    <row r="1101" spans="49:72" x14ac:dyDescent="0.2">
      <c r="AW1101" s="118"/>
      <c r="AX1101" s="118"/>
      <c r="AY1101" s="144"/>
      <c r="BA1101" s="45"/>
      <c r="BB1101" s="46"/>
      <c r="BC1101" s="46"/>
      <c r="BD1101" s="55"/>
      <c r="BE1101" s="55"/>
      <c r="BF1101" s="101" t="str">
        <f t="shared" si="22"/>
        <v/>
      </c>
      <c r="BG1101" s="101" t="str">
        <f t="shared" si="23"/>
        <v/>
      </c>
      <c r="BH1101" s="101" t="str">
        <f t="shared" si="24"/>
        <v/>
      </c>
      <c r="BI1101" s="101" t="str">
        <f t="shared" si="25"/>
        <v/>
      </c>
      <c r="BJ1101" s="101" t="str">
        <f t="shared" si="26"/>
        <v/>
      </c>
      <c r="BK1101" s="101" t="str">
        <f t="shared" si="27"/>
        <v/>
      </c>
      <c r="BL1101" s="48"/>
      <c r="BM1101" s="48"/>
      <c r="BN1101" s="48"/>
      <c r="BO1101" s="47"/>
      <c r="BP1101" s="47"/>
      <c r="BQ1101" s="47"/>
      <c r="BR1101" s="47"/>
      <c r="BS1101" s="47"/>
      <c r="BT1101" s="47"/>
    </row>
    <row r="1102" spans="49:72" x14ac:dyDescent="0.2">
      <c r="AW1102" s="118"/>
      <c r="AX1102" s="118"/>
      <c r="AY1102" s="144"/>
      <c r="BA1102" s="45"/>
      <c r="BB1102" s="46"/>
      <c r="BC1102" s="46"/>
      <c r="BD1102" s="55"/>
      <c r="BE1102" s="55"/>
      <c r="BF1102" s="101" t="str">
        <f t="shared" si="22"/>
        <v/>
      </c>
      <c r="BG1102" s="101" t="str">
        <f t="shared" si="23"/>
        <v/>
      </c>
      <c r="BH1102" s="101" t="str">
        <f t="shared" si="24"/>
        <v/>
      </c>
      <c r="BI1102" s="101" t="str">
        <f t="shared" si="25"/>
        <v/>
      </c>
      <c r="BJ1102" s="101" t="str">
        <f t="shared" si="26"/>
        <v/>
      </c>
      <c r="BK1102" s="101" t="str">
        <f t="shared" si="27"/>
        <v/>
      </c>
      <c r="BL1102" s="48"/>
      <c r="BM1102" s="48"/>
      <c r="BN1102" s="48"/>
      <c r="BO1102" s="47"/>
      <c r="BP1102" s="47"/>
      <c r="BQ1102" s="47"/>
      <c r="BR1102" s="47"/>
      <c r="BS1102" s="47"/>
      <c r="BT1102" s="47"/>
    </row>
    <row r="1103" spans="49:72" x14ac:dyDescent="0.2">
      <c r="AW1103" s="118"/>
      <c r="AX1103" s="118"/>
      <c r="AY1103" s="144"/>
      <c r="BA1103" s="45"/>
      <c r="BB1103" s="46"/>
      <c r="BC1103" s="46"/>
      <c r="BD1103" s="55"/>
      <c r="BE1103" s="55"/>
      <c r="BF1103" s="101" t="str">
        <f t="shared" si="22"/>
        <v/>
      </c>
      <c r="BG1103" s="101" t="str">
        <f t="shared" si="23"/>
        <v/>
      </c>
      <c r="BH1103" s="101" t="str">
        <f t="shared" si="24"/>
        <v/>
      </c>
      <c r="BI1103" s="101" t="str">
        <f t="shared" si="25"/>
        <v/>
      </c>
      <c r="BJ1103" s="101" t="str">
        <f t="shared" si="26"/>
        <v/>
      </c>
      <c r="BK1103" s="101" t="str">
        <f t="shared" si="27"/>
        <v/>
      </c>
      <c r="BL1103" s="48"/>
      <c r="BM1103" s="48"/>
      <c r="BN1103" s="48"/>
      <c r="BO1103" s="47"/>
      <c r="BP1103" s="47"/>
      <c r="BQ1103" s="47"/>
      <c r="BR1103" s="47"/>
      <c r="BS1103" s="47"/>
      <c r="BT1103" s="47"/>
    </row>
    <row r="1104" spans="49:72" x14ac:dyDescent="0.2">
      <c r="AW1104" s="118"/>
      <c r="AX1104" s="118"/>
      <c r="AY1104" s="144"/>
      <c r="BA1104" s="45"/>
      <c r="BB1104" s="46"/>
      <c r="BC1104" s="46"/>
      <c r="BD1104" s="55"/>
      <c r="BE1104" s="55"/>
      <c r="BF1104" s="101" t="str">
        <f t="shared" si="22"/>
        <v/>
      </c>
      <c r="BG1104" s="101" t="str">
        <f t="shared" si="23"/>
        <v/>
      </c>
      <c r="BH1104" s="101" t="str">
        <f t="shared" si="24"/>
        <v/>
      </c>
      <c r="BI1104" s="101" t="str">
        <f t="shared" si="25"/>
        <v/>
      </c>
      <c r="BJ1104" s="101" t="str">
        <f t="shared" si="26"/>
        <v/>
      </c>
      <c r="BK1104" s="101" t="str">
        <f t="shared" si="27"/>
        <v/>
      </c>
      <c r="BL1104" s="48"/>
      <c r="BM1104" s="48"/>
      <c r="BN1104" s="48"/>
      <c r="BO1104" s="47"/>
      <c r="BP1104" s="47"/>
      <c r="BQ1104" s="47"/>
      <c r="BR1104" s="47"/>
      <c r="BS1104" s="47"/>
      <c r="BT1104" s="47"/>
    </row>
    <row r="1105" spans="49:72" x14ac:dyDescent="0.2">
      <c r="AW1105" s="118"/>
      <c r="AX1105" s="118"/>
      <c r="AY1105" s="144"/>
      <c r="BA1105" s="45"/>
      <c r="BB1105" s="46"/>
      <c r="BC1105" s="46"/>
      <c r="BD1105" s="55"/>
      <c r="BE1105" s="55"/>
      <c r="BF1105" s="101" t="str">
        <f t="shared" si="22"/>
        <v/>
      </c>
      <c r="BG1105" s="101" t="str">
        <f t="shared" si="23"/>
        <v/>
      </c>
      <c r="BH1105" s="101" t="str">
        <f t="shared" si="24"/>
        <v/>
      </c>
      <c r="BI1105" s="101" t="str">
        <f t="shared" si="25"/>
        <v/>
      </c>
      <c r="BJ1105" s="101" t="str">
        <f t="shared" si="26"/>
        <v/>
      </c>
      <c r="BK1105" s="101" t="str">
        <f t="shared" si="27"/>
        <v/>
      </c>
      <c r="BL1105" s="48"/>
      <c r="BM1105" s="48"/>
      <c r="BN1105" s="48"/>
      <c r="BO1105" s="47"/>
      <c r="BP1105" s="47"/>
      <c r="BQ1105" s="47"/>
      <c r="BR1105" s="47"/>
      <c r="BS1105" s="47"/>
      <c r="BT1105" s="47"/>
    </row>
    <row r="1106" spans="49:72" x14ac:dyDescent="0.2">
      <c r="AW1106" s="118"/>
      <c r="AX1106" s="118"/>
      <c r="AY1106" s="144"/>
      <c r="BA1106" s="45"/>
      <c r="BB1106" s="46"/>
      <c r="BC1106" s="46"/>
      <c r="BD1106" s="55"/>
      <c r="BE1106" s="55"/>
      <c r="BF1106" s="101" t="str">
        <f t="shared" si="22"/>
        <v/>
      </c>
      <c r="BG1106" s="101" t="str">
        <f t="shared" si="23"/>
        <v/>
      </c>
      <c r="BH1106" s="101" t="str">
        <f t="shared" si="24"/>
        <v/>
      </c>
      <c r="BI1106" s="101" t="str">
        <f t="shared" si="25"/>
        <v/>
      </c>
      <c r="BJ1106" s="101" t="str">
        <f t="shared" si="26"/>
        <v/>
      </c>
      <c r="BK1106" s="101" t="str">
        <f t="shared" si="27"/>
        <v/>
      </c>
      <c r="BL1106" s="48"/>
      <c r="BM1106" s="48"/>
      <c r="BN1106" s="48"/>
      <c r="BO1106" s="47"/>
      <c r="BP1106" s="47"/>
      <c r="BQ1106" s="47"/>
      <c r="BR1106" s="47"/>
      <c r="BS1106" s="47"/>
      <c r="BT1106" s="47"/>
    </row>
    <row r="1107" spans="49:72" x14ac:dyDescent="0.2">
      <c r="AW1107" s="118"/>
      <c r="AX1107" s="118"/>
      <c r="AY1107" s="144"/>
      <c r="BA1107" s="45"/>
      <c r="BB1107" s="46"/>
      <c r="BC1107" s="46"/>
      <c r="BD1107" s="55"/>
      <c r="BE1107" s="55"/>
      <c r="BF1107" s="101" t="str">
        <f t="shared" si="22"/>
        <v/>
      </c>
      <c r="BG1107" s="101" t="str">
        <f t="shared" si="23"/>
        <v/>
      </c>
      <c r="BH1107" s="101" t="str">
        <f t="shared" si="24"/>
        <v/>
      </c>
      <c r="BI1107" s="101" t="str">
        <f t="shared" si="25"/>
        <v/>
      </c>
      <c r="BJ1107" s="101" t="str">
        <f t="shared" si="26"/>
        <v/>
      </c>
      <c r="BK1107" s="101" t="str">
        <f t="shared" si="27"/>
        <v/>
      </c>
      <c r="BL1107" s="48"/>
      <c r="BM1107" s="48"/>
      <c r="BN1107" s="48"/>
      <c r="BO1107" s="47"/>
      <c r="BP1107" s="47"/>
      <c r="BQ1107" s="47"/>
      <c r="BR1107" s="47"/>
      <c r="BS1107" s="47"/>
      <c r="BT1107" s="47"/>
    </row>
    <row r="1108" spans="49:72" x14ac:dyDescent="0.2">
      <c r="AW1108" s="118"/>
      <c r="AX1108" s="118"/>
      <c r="AY1108" s="144"/>
      <c r="BA1108" s="45"/>
      <c r="BB1108" s="46"/>
      <c r="BC1108" s="46"/>
      <c r="BD1108" s="55"/>
      <c r="BE1108" s="55"/>
      <c r="BF1108" s="101" t="str">
        <f t="shared" si="22"/>
        <v/>
      </c>
      <c r="BG1108" s="101" t="str">
        <f t="shared" si="23"/>
        <v/>
      </c>
      <c r="BH1108" s="101" t="str">
        <f t="shared" si="24"/>
        <v/>
      </c>
      <c r="BI1108" s="101" t="str">
        <f t="shared" si="25"/>
        <v/>
      </c>
      <c r="BJ1108" s="101" t="str">
        <f t="shared" si="26"/>
        <v/>
      </c>
      <c r="BK1108" s="101" t="str">
        <f t="shared" si="27"/>
        <v/>
      </c>
      <c r="BL1108" s="48"/>
      <c r="BM1108" s="48"/>
      <c r="BN1108" s="48"/>
      <c r="BO1108" s="47"/>
      <c r="BP1108" s="47"/>
      <c r="BQ1108" s="47"/>
      <c r="BR1108" s="47"/>
      <c r="BS1108" s="47"/>
      <c r="BT1108" s="47"/>
    </row>
    <row r="1109" spans="49:72" x14ac:dyDescent="0.2">
      <c r="AW1109" s="118"/>
      <c r="AX1109" s="118"/>
      <c r="AY1109" s="144"/>
      <c r="BA1109" s="45"/>
      <c r="BB1109" s="46"/>
      <c r="BC1109" s="46"/>
      <c r="BD1109" s="55"/>
      <c r="BE1109" s="55"/>
      <c r="BF1109" s="101" t="str">
        <f t="shared" si="22"/>
        <v/>
      </c>
      <c r="BG1109" s="101" t="str">
        <f t="shared" si="23"/>
        <v/>
      </c>
      <c r="BH1109" s="101" t="str">
        <f t="shared" si="24"/>
        <v/>
      </c>
      <c r="BI1109" s="101" t="str">
        <f t="shared" si="25"/>
        <v/>
      </c>
      <c r="BJ1109" s="101" t="str">
        <f t="shared" si="26"/>
        <v/>
      </c>
      <c r="BK1109" s="101" t="str">
        <f t="shared" si="27"/>
        <v/>
      </c>
      <c r="BL1109" s="48"/>
      <c r="BM1109" s="48"/>
      <c r="BN1109" s="48"/>
      <c r="BO1109" s="47"/>
      <c r="BP1109" s="47"/>
      <c r="BQ1109" s="47"/>
      <c r="BR1109" s="47"/>
      <c r="BS1109" s="47"/>
      <c r="BT1109" s="47"/>
    </row>
    <row r="1110" spans="49:72" x14ac:dyDescent="0.2">
      <c r="AW1110" s="118"/>
      <c r="AX1110" s="118"/>
      <c r="AY1110" s="144"/>
      <c r="BA1110" s="45"/>
      <c r="BB1110" s="46"/>
      <c r="BC1110" s="46"/>
      <c r="BD1110" s="55"/>
      <c r="BE1110" s="55"/>
      <c r="BF1110" s="101" t="str">
        <f t="shared" si="22"/>
        <v/>
      </c>
      <c r="BG1110" s="101" t="str">
        <f t="shared" si="23"/>
        <v/>
      </c>
      <c r="BH1110" s="101" t="str">
        <f t="shared" si="24"/>
        <v/>
      </c>
      <c r="BI1110" s="101" t="str">
        <f t="shared" si="25"/>
        <v/>
      </c>
      <c r="BJ1110" s="101" t="str">
        <f t="shared" si="26"/>
        <v/>
      </c>
      <c r="BK1110" s="101" t="str">
        <f t="shared" si="27"/>
        <v/>
      </c>
      <c r="BL1110" s="48"/>
      <c r="BM1110" s="48"/>
      <c r="BN1110" s="48"/>
      <c r="BO1110" s="47"/>
      <c r="BP1110" s="47"/>
      <c r="BQ1110" s="47"/>
      <c r="BR1110" s="47"/>
      <c r="BS1110" s="47"/>
      <c r="BT1110" s="47"/>
    </row>
    <row r="1111" spans="49:72" x14ac:dyDescent="0.2">
      <c r="AW1111" s="118"/>
      <c r="AX1111" s="118"/>
      <c r="AY1111" s="144"/>
      <c r="BA1111" s="45"/>
      <c r="BB1111" s="46"/>
      <c r="BC1111" s="46"/>
      <c r="BD1111" s="55"/>
      <c r="BE1111" s="55"/>
      <c r="BF1111" s="101" t="str">
        <f t="shared" si="22"/>
        <v/>
      </c>
      <c r="BG1111" s="101" t="str">
        <f t="shared" si="23"/>
        <v/>
      </c>
      <c r="BH1111" s="101" t="str">
        <f t="shared" si="24"/>
        <v/>
      </c>
      <c r="BI1111" s="101" t="str">
        <f t="shared" si="25"/>
        <v/>
      </c>
      <c r="BJ1111" s="101" t="str">
        <f t="shared" si="26"/>
        <v/>
      </c>
      <c r="BK1111" s="101" t="str">
        <f t="shared" si="27"/>
        <v/>
      </c>
      <c r="BL1111" s="48"/>
      <c r="BM1111" s="48"/>
      <c r="BN1111" s="48"/>
      <c r="BO1111" s="47"/>
      <c r="BP1111" s="47"/>
      <c r="BQ1111" s="47"/>
      <c r="BR1111" s="47"/>
      <c r="BS1111" s="47"/>
      <c r="BT1111" s="47"/>
    </row>
    <row r="1112" spans="49:72" x14ac:dyDescent="0.2">
      <c r="AW1112" s="118"/>
      <c r="AX1112" s="118"/>
      <c r="AY1112" s="144"/>
      <c r="BA1112" s="45"/>
      <c r="BB1112" s="46"/>
      <c r="BC1112" s="46"/>
      <c r="BD1112" s="55"/>
      <c r="BE1112" s="55"/>
      <c r="BF1112" s="101" t="str">
        <f t="shared" si="22"/>
        <v/>
      </c>
      <c r="BG1112" s="101" t="str">
        <f t="shared" si="23"/>
        <v/>
      </c>
      <c r="BH1112" s="101" t="str">
        <f t="shared" si="24"/>
        <v/>
      </c>
      <c r="BI1112" s="101" t="str">
        <f t="shared" si="25"/>
        <v/>
      </c>
      <c r="BJ1112" s="101" t="str">
        <f t="shared" si="26"/>
        <v/>
      </c>
      <c r="BK1112" s="101" t="str">
        <f t="shared" si="27"/>
        <v/>
      </c>
      <c r="BL1112" s="48"/>
      <c r="BM1112" s="48"/>
      <c r="BN1112" s="48"/>
      <c r="BO1112" s="47"/>
      <c r="BP1112" s="47"/>
      <c r="BQ1112" s="47"/>
      <c r="BR1112" s="47"/>
      <c r="BS1112" s="47"/>
      <c r="BT1112" s="47"/>
    </row>
    <row r="1113" spans="49:72" x14ac:dyDescent="0.2">
      <c r="AW1113" s="118"/>
      <c r="AX1113" s="118"/>
      <c r="AY1113" s="144"/>
      <c r="BA1113" s="45"/>
      <c r="BB1113" s="46"/>
      <c r="BC1113" s="46"/>
      <c r="BD1113" s="55"/>
      <c r="BE1113" s="55"/>
      <c r="BF1113" s="101" t="str">
        <f t="shared" si="22"/>
        <v/>
      </c>
      <c r="BG1113" s="101" t="str">
        <f t="shared" si="23"/>
        <v/>
      </c>
      <c r="BH1113" s="101" t="str">
        <f t="shared" si="24"/>
        <v/>
      </c>
      <c r="BI1113" s="101" t="str">
        <f t="shared" si="25"/>
        <v/>
      </c>
      <c r="BJ1113" s="101" t="str">
        <f t="shared" si="26"/>
        <v/>
      </c>
      <c r="BK1113" s="101" t="str">
        <f t="shared" si="27"/>
        <v/>
      </c>
      <c r="BL1113" s="48"/>
      <c r="BM1113" s="48"/>
      <c r="BN1113" s="48"/>
      <c r="BO1113" s="47"/>
      <c r="BP1113" s="47"/>
      <c r="BQ1113" s="47"/>
      <c r="BR1113" s="47"/>
      <c r="BS1113" s="47"/>
      <c r="BT1113" s="47"/>
    </row>
    <row r="1114" spans="49:72" x14ac:dyDescent="0.2">
      <c r="AW1114" s="118"/>
      <c r="AX1114" s="118"/>
      <c r="AY1114" s="144"/>
      <c r="BA1114" s="45"/>
      <c r="BB1114" s="46"/>
      <c r="BC1114" s="46"/>
      <c r="BD1114" s="55"/>
      <c r="BE1114" s="55"/>
      <c r="BF1114" s="101" t="str">
        <f t="shared" si="22"/>
        <v/>
      </c>
      <c r="BG1114" s="101" t="str">
        <f t="shared" si="23"/>
        <v/>
      </c>
      <c r="BH1114" s="101" t="str">
        <f t="shared" si="24"/>
        <v/>
      </c>
      <c r="BI1114" s="101" t="str">
        <f t="shared" si="25"/>
        <v/>
      </c>
      <c r="BJ1114" s="101" t="str">
        <f t="shared" si="26"/>
        <v/>
      </c>
      <c r="BK1114" s="101" t="str">
        <f t="shared" si="27"/>
        <v/>
      </c>
      <c r="BL1114" s="48"/>
      <c r="BM1114" s="48"/>
      <c r="BN1114" s="48"/>
      <c r="BO1114" s="47"/>
      <c r="BP1114" s="47"/>
      <c r="BQ1114" s="47"/>
      <c r="BR1114" s="47"/>
      <c r="BS1114" s="47"/>
      <c r="BT1114" s="47"/>
    </row>
    <row r="1115" spans="49:72" x14ac:dyDescent="0.2">
      <c r="AW1115" s="118"/>
      <c r="AX1115" s="118"/>
      <c r="AY1115" s="144"/>
      <c r="BA1115" s="45"/>
      <c r="BB1115" s="46"/>
      <c r="BC1115" s="46"/>
      <c r="BD1115" s="55"/>
      <c r="BE1115" s="55"/>
      <c r="BF1115" s="101" t="str">
        <f t="shared" si="22"/>
        <v/>
      </c>
      <c r="BG1115" s="101" t="str">
        <f t="shared" si="23"/>
        <v/>
      </c>
      <c r="BH1115" s="101" t="str">
        <f t="shared" si="24"/>
        <v/>
      </c>
      <c r="BI1115" s="101" t="str">
        <f t="shared" si="25"/>
        <v/>
      </c>
      <c r="BJ1115" s="101" t="str">
        <f t="shared" si="26"/>
        <v/>
      </c>
      <c r="BK1115" s="101" t="str">
        <f t="shared" si="27"/>
        <v/>
      </c>
      <c r="BL1115" s="48"/>
      <c r="BM1115" s="48"/>
      <c r="BN1115" s="48"/>
      <c r="BO1115" s="47"/>
      <c r="BP1115" s="47"/>
      <c r="BQ1115" s="47"/>
      <c r="BR1115" s="47"/>
      <c r="BS1115" s="47"/>
      <c r="BT1115" s="47"/>
    </row>
    <row r="1116" spans="49:72" x14ac:dyDescent="0.2">
      <c r="AW1116" s="118"/>
      <c r="AX1116" s="118"/>
      <c r="AY1116" s="144"/>
      <c r="BA1116" s="45"/>
      <c r="BB1116" s="46"/>
      <c r="BC1116" s="46"/>
      <c r="BD1116" s="55"/>
      <c r="BE1116" s="55"/>
      <c r="BF1116" s="101" t="str">
        <f t="shared" si="22"/>
        <v/>
      </c>
      <c r="BG1116" s="101" t="str">
        <f t="shared" si="23"/>
        <v/>
      </c>
      <c r="BH1116" s="101" t="str">
        <f t="shared" si="24"/>
        <v/>
      </c>
      <c r="BI1116" s="101" t="str">
        <f t="shared" si="25"/>
        <v/>
      </c>
      <c r="BJ1116" s="101" t="str">
        <f t="shared" si="26"/>
        <v/>
      </c>
      <c r="BK1116" s="101" t="str">
        <f t="shared" si="27"/>
        <v/>
      </c>
      <c r="BL1116" s="48"/>
      <c r="BM1116" s="48"/>
      <c r="BN1116" s="48"/>
      <c r="BO1116" s="47"/>
      <c r="BP1116" s="47"/>
      <c r="BQ1116" s="47"/>
      <c r="BR1116" s="47"/>
      <c r="BS1116" s="47"/>
      <c r="BT1116" s="47"/>
    </row>
    <row r="1117" spans="49:72" x14ac:dyDescent="0.2">
      <c r="AW1117" s="118"/>
      <c r="AX1117" s="118"/>
      <c r="AY1117" s="144"/>
      <c r="BA1117" s="45"/>
      <c r="BB1117" s="46"/>
      <c r="BC1117" s="46"/>
      <c r="BD1117" s="55"/>
      <c r="BE1117" s="55"/>
      <c r="BF1117" s="101" t="str">
        <f t="shared" si="22"/>
        <v/>
      </c>
      <c r="BG1117" s="101" t="str">
        <f t="shared" si="23"/>
        <v/>
      </c>
      <c r="BH1117" s="101" t="str">
        <f t="shared" si="24"/>
        <v/>
      </c>
      <c r="BI1117" s="101" t="str">
        <f t="shared" si="25"/>
        <v/>
      </c>
      <c r="BJ1117" s="101" t="str">
        <f t="shared" si="26"/>
        <v/>
      </c>
      <c r="BK1117" s="101" t="str">
        <f t="shared" si="27"/>
        <v/>
      </c>
      <c r="BL1117" s="48"/>
      <c r="BM1117" s="48"/>
      <c r="BN1117" s="48"/>
      <c r="BO1117" s="47"/>
      <c r="BP1117" s="47"/>
      <c r="BQ1117" s="47"/>
      <c r="BR1117" s="47"/>
      <c r="BS1117" s="47"/>
      <c r="BT1117" s="47"/>
    </row>
    <row r="1118" spans="49:72" x14ac:dyDescent="0.2">
      <c r="AW1118" s="118"/>
      <c r="AX1118" s="118"/>
      <c r="AY1118" s="144"/>
      <c r="BA1118" s="45"/>
      <c r="BB1118" s="46"/>
      <c r="BC1118" s="46"/>
      <c r="BD1118" s="55"/>
      <c r="BE1118" s="55"/>
      <c r="BF1118" s="101" t="str">
        <f t="shared" si="22"/>
        <v/>
      </c>
      <c r="BG1118" s="101" t="str">
        <f t="shared" si="23"/>
        <v/>
      </c>
      <c r="BH1118" s="101" t="str">
        <f t="shared" si="24"/>
        <v/>
      </c>
      <c r="BI1118" s="101" t="str">
        <f t="shared" si="25"/>
        <v/>
      </c>
      <c r="BJ1118" s="101" t="str">
        <f t="shared" si="26"/>
        <v/>
      </c>
      <c r="BK1118" s="101" t="str">
        <f t="shared" si="27"/>
        <v/>
      </c>
      <c r="BL1118" s="48"/>
      <c r="BM1118" s="48"/>
      <c r="BN1118" s="48"/>
      <c r="BO1118" s="47"/>
      <c r="BP1118" s="47"/>
      <c r="BQ1118" s="47"/>
      <c r="BR1118" s="47"/>
      <c r="BS1118" s="47"/>
      <c r="BT1118" s="47"/>
    </row>
    <row r="1119" spans="49:72" x14ac:dyDescent="0.2">
      <c r="AW1119" s="118"/>
      <c r="AX1119" s="118"/>
      <c r="AY1119" s="144"/>
      <c r="BA1119" s="45"/>
      <c r="BB1119" s="46"/>
      <c r="BC1119" s="46"/>
      <c r="BD1119" s="55"/>
      <c r="BE1119" s="55"/>
      <c r="BF1119" s="101" t="str">
        <f t="shared" si="22"/>
        <v/>
      </c>
      <c r="BG1119" s="101" t="str">
        <f t="shared" si="23"/>
        <v/>
      </c>
      <c r="BH1119" s="101" t="str">
        <f t="shared" si="24"/>
        <v/>
      </c>
      <c r="BI1119" s="101" t="str">
        <f t="shared" si="25"/>
        <v/>
      </c>
      <c r="BJ1119" s="101" t="str">
        <f t="shared" si="26"/>
        <v/>
      </c>
      <c r="BK1119" s="101" t="str">
        <f t="shared" si="27"/>
        <v/>
      </c>
      <c r="BL1119" s="48"/>
      <c r="BM1119" s="48"/>
      <c r="BN1119" s="48"/>
      <c r="BO1119" s="47"/>
      <c r="BP1119" s="47"/>
      <c r="BQ1119" s="47"/>
      <c r="BR1119" s="47"/>
      <c r="BS1119" s="47"/>
      <c r="BT1119" s="47"/>
    </row>
    <row r="1120" spans="49:72" x14ac:dyDescent="0.2">
      <c r="AW1120" s="118"/>
      <c r="AX1120" s="118"/>
      <c r="AY1120" s="144"/>
      <c r="BA1120" s="45"/>
      <c r="BB1120" s="46"/>
      <c r="BC1120" s="46"/>
      <c r="BD1120" s="55"/>
      <c r="BE1120" s="55"/>
      <c r="BF1120" s="101" t="str">
        <f t="shared" si="22"/>
        <v/>
      </c>
      <c r="BG1120" s="101" t="str">
        <f t="shared" si="23"/>
        <v/>
      </c>
      <c r="BH1120" s="101" t="str">
        <f t="shared" si="24"/>
        <v/>
      </c>
      <c r="BI1120" s="101" t="str">
        <f t="shared" si="25"/>
        <v/>
      </c>
      <c r="BJ1120" s="101" t="str">
        <f t="shared" si="26"/>
        <v/>
      </c>
      <c r="BK1120" s="101" t="str">
        <f t="shared" si="27"/>
        <v/>
      </c>
      <c r="BL1120" s="48"/>
      <c r="BM1120" s="48"/>
      <c r="BN1120" s="48"/>
      <c r="BO1120" s="47"/>
      <c r="BP1120" s="47"/>
      <c r="BQ1120" s="47"/>
      <c r="BR1120" s="47"/>
      <c r="BS1120" s="47"/>
      <c r="BT1120" s="47"/>
    </row>
    <row r="1121" spans="49:72" x14ac:dyDescent="0.2">
      <c r="AW1121" s="118"/>
      <c r="AX1121" s="118"/>
      <c r="AY1121" s="144"/>
      <c r="BA1121" s="45"/>
      <c r="BB1121" s="46"/>
      <c r="BC1121" s="46"/>
      <c r="BD1121" s="55"/>
      <c r="BE1121" s="55"/>
      <c r="BF1121" s="101" t="str">
        <f t="shared" si="22"/>
        <v/>
      </c>
      <c r="BG1121" s="101" t="str">
        <f t="shared" si="23"/>
        <v/>
      </c>
      <c r="BH1121" s="101" t="str">
        <f t="shared" si="24"/>
        <v/>
      </c>
      <c r="BI1121" s="101" t="str">
        <f t="shared" si="25"/>
        <v/>
      </c>
      <c r="BJ1121" s="101" t="str">
        <f t="shared" si="26"/>
        <v/>
      </c>
      <c r="BK1121" s="101" t="str">
        <f t="shared" si="27"/>
        <v/>
      </c>
      <c r="BL1121" s="48"/>
      <c r="BM1121" s="48"/>
      <c r="BN1121" s="48"/>
      <c r="BO1121" s="47"/>
      <c r="BP1121" s="47"/>
      <c r="BQ1121" s="47"/>
      <c r="BR1121" s="47"/>
      <c r="BS1121" s="47"/>
      <c r="BT1121" s="47"/>
    </row>
    <row r="1122" spans="49:72" x14ac:dyDescent="0.2">
      <c r="AW1122" s="118"/>
      <c r="AX1122" s="118"/>
      <c r="AY1122" s="144"/>
      <c r="BA1122" s="45"/>
      <c r="BB1122" s="46"/>
      <c r="BC1122" s="46"/>
      <c r="BD1122" s="55"/>
      <c r="BE1122" s="55"/>
      <c r="BF1122" s="101" t="str">
        <f t="shared" si="22"/>
        <v/>
      </c>
      <c r="BG1122" s="101" t="str">
        <f t="shared" si="23"/>
        <v/>
      </c>
      <c r="BH1122" s="101" t="str">
        <f t="shared" si="24"/>
        <v/>
      </c>
      <c r="BI1122" s="101" t="str">
        <f t="shared" si="25"/>
        <v/>
      </c>
      <c r="BJ1122" s="101" t="str">
        <f t="shared" si="26"/>
        <v/>
      </c>
      <c r="BK1122" s="101" t="str">
        <f t="shared" si="27"/>
        <v/>
      </c>
      <c r="BL1122" s="48"/>
      <c r="BM1122" s="48"/>
      <c r="BN1122" s="48"/>
      <c r="BO1122" s="47"/>
      <c r="BP1122" s="47"/>
      <c r="BQ1122" s="47"/>
      <c r="BR1122" s="47"/>
      <c r="BS1122" s="47"/>
      <c r="BT1122" s="47"/>
    </row>
    <row r="1123" spans="49:72" x14ac:dyDescent="0.2">
      <c r="AW1123" s="118"/>
      <c r="AX1123" s="118"/>
      <c r="AY1123" s="144"/>
      <c r="BA1123" s="45"/>
      <c r="BB1123" s="46"/>
      <c r="BC1123" s="46"/>
      <c r="BD1123" s="55"/>
      <c r="BE1123" s="55"/>
      <c r="BF1123" s="101" t="str">
        <f t="shared" si="22"/>
        <v/>
      </c>
      <c r="BG1123" s="101" t="str">
        <f t="shared" si="23"/>
        <v/>
      </c>
      <c r="BH1123" s="101" t="str">
        <f t="shared" si="24"/>
        <v/>
      </c>
      <c r="BI1123" s="101" t="str">
        <f t="shared" si="25"/>
        <v/>
      </c>
      <c r="BJ1123" s="101" t="str">
        <f t="shared" si="26"/>
        <v/>
      </c>
      <c r="BK1123" s="101" t="str">
        <f t="shared" si="27"/>
        <v/>
      </c>
      <c r="BL1123" s="48"/>
      <c r="BM1123" s="48"/>
      <c r="BN1123" s="48"/>
      <c r="BO1123" s="47"/>
      <c r="BP1123" s="47"/>
      <c r="BQ1123" s="47"/>
      <c r="BR1123" s="47"/>
      <c r="BS1123" s="47"/>
      <c r="BT1123" s="47"/>
    </row>
    <row r="1124" spans="49:72" x14ac:dyDescent="0.2">
      <c r="AW1124" s="118"/>
      <c r="AX1124" s="118"/>
      <c r="AY1124" s="144"/>
      <c r="BA1124" s="45"/>
      <c r="BB1124" s="46"/>
      <c r="BC1124" s="46"/>
      <c r="BD1124" s="55"/>
      <c r="BE1124" s="55"/>
      <c r="BF1124" s="101" t="str">
        <f t="shared" si="22"/>
        <v/>
      </c>
      <c r="BG1124" s="101" t="str">
        <f t="shared" si="23"/>
        <v/>
      </c>
      <c r="BH1124" s="101" t="str">
        <f t="shared" si="24"/>
        <v/>
      </c>
      <c r="BI1124" s="101" t="str">
        <f t="shared" si="25"/>
        <v/>
      </c>
      <c r="BJ1124" s="101" t="str">
        <f t="shared" si="26"/>
        <v/>
      </c>
      <c r="BK1124" s="101" t="str">
        <f t="shared" si="27"/>
        <v/>
      </c>
      <c r="BL1124" s="48"/>
      <c r="BM1124" s="48"/>
      <c r="BN1124" s="48"/>
      <c r="BO1124" s="47"/>
      <c r="BP1124" s="47"/>
      <c r="BQ1124" s="47"/>
      <c r="BR1124" s="47"/>
      <c r="BS1124" s="47"/>
      <c r="BT1124" s="47"/>
    </row>
    <row r="1125" spans="49:72" x14ac:dyDescent="0.2">
      <c r="AW1125" s="118"/>
      <c r="AX1125" s="118"/>
      <c r="AY1125" s="144"/>
      <c r="BA1125" s="45"/>
      <c r="BB1125" s="46"/>
      <c r="BC1125" s="46"/>
      <c r="BD1125" s="55"/>
      <c r="BE1125" s="55"/>
      <c r="BF1125" s="101" t="str">
        <f t="shared" si="22"/>
        <v/>
      </c>
      <c r="BG1125" s="101" t="str">
        <f t="shared" si="23"/>
        <v/>
      </c>
      <c r="BH1125" s="101" t="str">
        <f t="shared" si="24"/>
        <v/>
      </c>
      <c r="BI1125" s="101" t="str">
        <f t="shared" si="25"/>
        <v/>
      </c>
      <c r="BJ1125" s="101" t="str">
        <f t="shared" si="26"/>
        <v/>
      </c>
      <c r="BK1125" s="101" t="str">
        <f t="shared" si="27"/>
        <v/>
      </c>
      <c r="BL1125" s="48"/>
      <c r="BM1125" s="48"/>
      <c r="BN1125" s="48"/>
      <c r="BO1125" s="47"/>
      <c r="BP1125" s="47"/>
      <c r="BQ1125" s="47"/>
      <c r="BR1125" s="47"/>
      <c r="BS1125" s="47"/>
      <c r="BT1125" s="47"/>
    </row>
    <row r="1126" spans="49:72" x14ac:dyDescent="0.2">
      <c r="AW1126" s="118"/>
      <c r="AX1126" s="118"/>
      <c r="AY1126" s="144"/>
      <c r="BA1126" s="45"/>
      <c r="BB1126" s="46"/>
      <c r="BC1126" s="46"/>
      <c r="BD1126" s="55"/>
      <c r="BE1126" s="55"/>
      <c r="BF1126" s="101" t="str">
        <f t="shared" si="22"/>
        <v/>
      </c>
      <c r="BG1126" s="101" t="str">
        <f t="shared" si="23"/>
        <v/>
      </c>
      <c r="BH1126" s="101" t="str">
        <f t="shared" si="24"/>
        <v/>
      </c>
      <c r="BI1126" s="101" t="str">
        <f t="shared" si="25"/>
        <v/>
      </c>
      <c r="BJ1126" s="101" t="str">
        <f t="shared" si="26"/>
        <v/>
      </c>
      <c r="BK1126" s="101" t="str">
        <f t="shared" si="27"/>
        <v/>
      </c>
      <c r="BL1126" s="48"/>
      <c r="BM1126" s="48"/>
      <c r="BN1126" s="48"/>
      <c r="BO1126" s="47"/>
      <c r="BP1126" s="47"/>
      <c r="BQ1126" s="47"/>
      <c r="BR1126" s="47"/>
      <c r="BS1126" s="47"/>
      <c r="BT1126" s="47"/>
    </row>
    <row r="1127" spans="49:72" x14ac:dyDescent="0.2">
      <c r="AW1127" s="118"/>
      <c r="AX1127" s="118"/>
      <c r="AY1127" s="144"/>
      <c r="BA1127" s="45"/>
      <c r="BB1127" s="46"/>
      <c r="BC1127" s="46"/>
      <c r="BD1127" s="55"/>
      <c r="BE1127" s="55"/>
      <c r="BF1127" s="101" t="str">
        <f t="shared" si="22"/>
        <v/>
      </c>
      <c r="BG1127" s="101" t="str">
        <f t="shared" si="23"/>
        <v/>
      </c>
      <c r="BH1127" s="101" t="str">
        <f t="shared" si="24"/>
        <v/>
      </c>
      <c r="BI1127" s="101" t="str">
        <f t="shared" si="25"/>
        <v/>
      </c>
      <c r="BJ1127" s="101" t="str">
        <f t="shared" si="26"/>
        <v/>
      </c>
      <c r="BK1127" s="101" t="str">
        <f t="shared" si="27"/>
        <v/>
      </c>
      <c r="BL1127" s="48"/>
      <c r="BM1127" s="48"/>
      <c r="BN1127" s="48"/>
      <c r="BO1127" s="47"/>
      <c r="BP1127" s="47"/>
      <c r="BQ1127" s="47"/>
      <c r="BR1127" s="47"/>
      <c r="BS1127" s="47"/>
      <c r="BT1127" s="47"/>
    </row>
    <row r="1128" spans="49:72" x14ac:dyDescent="0.2">
      <c r="AW1128" s="118"/>
      <c r="AX1128" s="118"/>
      <c r="AY1128" s="144"/>
      <c r="BA1128" s="45"/>
      <c r="BB1128" s="46"/>
      <c r="BC1128" s="46"/>
      <c r="BD1128" s="55"/>
      <c r="BE1128" s="55"/>
      <c r="BF1128" s="101" t="str">
        <f t="shared" si="22"/>
        <v/>
      </c>
      <c r="BG1128" s="101" t="str">
        <f t="shared" si="23"/>
        <v/>
      </c>
      <c r="BH1128" s="101" t="str">
        <f t="shared" si="24"/>
        <v/>
      </c>
      <c r="BI1128" s="101" t="str">
        <f t="shared" si="25"/>
        <v/>
      </c>
      <c r="BJ1128" s="101" t="str">
        <f t="shared" si="26"/>
        <v/>
      </c>
      <c r="BK1128" s="101" t="str">
        <f t="shared" si="27"/>
        <v/>
      </c>
      <c r="BL1128" s="48"/>
      <c r="BM1128" s="48"/>
      <c r="BN1128" s="48"/>
      <c r="BO1128" s="47"/>
      <c r="BP1128" s="47"/>
      <c r="BQ1128" s="47"/>
      <c r="BR1128" s="47"/>
      <c r="BS1128" s="47"/>
      <c r="BT1128" s="47"/>
    </row>
    <row r="1129" spans="49:72" x14ac:dyDescent="0.2">
      <c r="AW1129" s="118"/>
      <c r="AX1129" s="118"/>
      <c r="AY1129" s="144"/>
      <c r="BA1129" s="45"/>
      <c r="BB1129" s="46"/>
      <c r="BC1129" s="46"/>
      <c r="BD1129" s="55"/>
      <c r="BE1129" s="55"/>
      <c r="BF1129" s="101" t="str">
        <f t="shared" si="22"/>
        <v/>
      </c>
      <c r="BG1129" s="101" t="str">
        <f t="shared" si="23"/>
        <v/>
      </c>
      <c r="BH1129" s="101" t="str">
        <f t="shared" si="24"/>
        <v/>
      </c>
      <c r="BI1129" s="101" t="str">
        <f t="shared" si="25"/>
        <v/>
      </c>
      <c r="BJ1129" s="101" t="str">
        <f t="shared" si="26"/>
        <v/>
      </c>
      <c r="BK1129" s="101" t="str">
        <f t="shared" si="27"/>
        <v/>
      </c>
      <c r="BL1129" s="48"/>
      <c r="BM1129" s="48"/>
      <c r="BN1129" s="48"/>
      <c r="BO1129" s="47"/>
      <c r="BP1129" s="47"/>
      <c r="BQ1129" s="47"/>
      <c r="BR1129" s="47"/>
      <c r="BS1129" s="47"/>
      <c r="BT1129" s="47"/>
    </row>
    <row r="1130" spans="49:72" x14ac:dyDescent="0.2">
      <c r="AW1130" s="118"/>
      <c r="AX1130" s="118"/>
      <c r="AY1130" s="144"/>
      <c r="BA1130" s="45"/>
      <c r="BB1130" s="46"/>
      <c r="BC1130" s="46"/>
      <c r="BD1130" s="55"/>
      <c r="BE1130" s="55"/>
      <c r="BF1130" s="101" t="str">
        <f t="shared" si="22"/>
        <v/>
      </c>
      <c r="BG1130" s="101" t="str">
        <f t="shared" si="23"/>
        <v/>
      </c>
      <c r="BH1130" s="101" t="str">
        <f t="shared" si="24"/>
        <v/>
      </c>
      <c r="BI1130" s="101" t="str">
        <f t="shared" si="25"/>
        <v/>
      </c>
      <c r="BJ1130" s="101" t="str">
        <f t="shared" si="26"/>
        <v/>
      </c>
      <c r="BK1130" s="101" t="str">
        <f t="shared" si="27"/>
        <v/>
      </c>
      <c r="BL1130" s="48"/>
      <c r="BM1130" s="48"/>
      <c r="BN1130" s="48"/>
      <c r="BO1130" s="47"/>
      <c r="BP1130" s="47"/>
      <c r="BQ1130" s="47"/>
      <c r="BR1130" s="47"/>
      <c r="BS1130" s="47"/>
      <c r="BT1130" s="47"/>
    </row>
    <row r="1131" spans="49:72" x14ac:dyDescent="0.2">
      <c r="AW1131" s="118"/>
      <c r="AX1131" s="118"/>
      <c r="AY1131" s="144"/>
      <c r="BA1131" s="45"/>
      <c r="BB1131" s="46"/>
      <c r="BC1131" s="46"/>
      <c r="BD1131" s="55"/>
      <c r="BE1131" s="55"/>
      <c r="BF1131" s="101" t="str">
        <f t="shared" ref="BF1131:BF1194" si="28">IF(AND($B131="",$C131=""),"",IF($FB131="I",IF(AND(ISBLANK($F131)=FALSE,ISBLANK($G131)),IF($B131="",$C131,$B131),IF(AND(ISBLANK($L131)=FALSE,ISBLANK($M131)),IF($B131="",$C131,$B131),IF(AND(ISBLANK($R131)=FALSE,ISBLANK($S131)),IF($B131="",$C131,$B131),IF(AND(ISBLANK($V131)=FALSE,ISBLANK($W131)),IF($B131="",$C131,$B131),IF(AND(ISBLANK($Z131)=FALSE,ISBLANK($AA131)),IF($B131="",$C131,$B131),""))))),""))</f>
        <v/>
      </c>
      <c r="BG1131" s="101" t="str">
        <f t="shared" ref="BG1131:BG1194" si="29">IF(AND($B131="",$C131=""),"",IF($FB131="H",IF(AND(ISBLANK($F131)=FALSE,ISBLANK($G131)),IF($B131="",$C131,$B131),IF(AND(ISBLANK($L131)=FALSE,ISBLANK($M131)),IF($B131="",$C131,$B131),IF(AND(ISBLANK($R131)=FALSE,ISBLANK($S131)),IF($B131="",$C131,$B131),IF(AND(ISBLANK($V131)=FALSE,ISBLANK($W131)),IF($B131="",$C131,$B131),IF(AND(ISBLANK($Z131)=FALSE,ISBLANK($AA131)),IF($B131="",$C131,$B131),""))))),""))</f>
        <v/>
      </c>
      <c r="BH1131" s="101" t="str">
        <f t="shared" ref="BH1131:BH1194" si="30">IF(AND(ISBLANK($G131)=FALSE,ISBLANK($H131),ISBLANK($I131),ISBLANK($J131),ISBLANK($K131)),IF(ISBLANK($B131),$C131,$B131),IF(AND(ISBLANK($M131)=FALSE,ISBLANK($N131),ISBLANK($O131),ISBLANK($P131),ISBLANK($Q131)),IF(ISBLANK($B131),$C131,$B131),IF(AND(ISBLANK($S131)=FALSE,ISBLANK($T131),ISBLANK($U131)),IF(ISBLANK($B131),$C131,$B131),IF(AND(ISBLANK($W131)=FALSE,ISBLANK($X131),ISBLANK($Y131)),IF(ISBLANK($B131),$C131,$B131),IF(AND(ISBLANK($AA131)=FALSE,ISBLANK($AB131)),IF(ISBLANK($B131),$C131,$B131),"")))))</f>
        <v/>
      </c>
      <c r="BI1131" s="101" t="str">
        <f t="shared" ref="BI1131:BI1194" si="31">IF(AND(ISBLANK($I131)=FALSE,OR(ISBLANK($J131),ISBLANK($K131),ISBLANK($L131))),IF($J131&gt;=$I131,"",IF(ISBLANK($B131),$C131,$B131)),IF(AND(ISBLANK($O131)=FALSE,OR(ISBLANK($P131),ISBLANK($Q131),ISBLANK($R131))),IF($P131&gt;=$O131,"",IF(ISBLANK($B131),$C131,$B131)),""))</f>
        <v/>
      </c>
      <c r="BJ1131" s="101" t="str">
        <f t="shared" ref="BJ1131:BJ1194" si="32">IF(AND(ISBLANK($J131)=FALSE,OR(ISBLANK($K131),ISBLANK($L131))),IF(AND($I131&lt;=$J131,$K131&lt;$J131),IF(ISBLANK($B131),$C131,$B131),""),IF(AND(ISBLANK($P131)=FALSE,OR(ISBLANK($Q131),ISBLANK($R131),)),IF(AND($O131&lt;=$P131,$Q131&lt;$P131),IF(ISBLANK($B131),$C131,$B131),""),""))</f>
        <v/>
      </c>
      <c r="BK1131" s="101" t="str">
        <f t="shared" ref="BK1131:BK1194" si="33">IF(AND($BF1131="", $BG1131="", $BH1131=""), IF(AND($BI1131="", $BJ1131=""), IF(AND($B131="",$C131=""), "", IF(ISBLANK($B131),$C131,$B131)),""),"")</f>
        <v/>
      </c>
      <c r="BL1131" s="48"/>
      <c r="BM1131" s="48"/>
      <c r="BN1131" s="48"/>
      <c r="BO1131" s="47"/>
      <c r="BP1131" s="47"/>
      <c r="BQ1131" s="47"/>
      <c r="BR1131" s="47"/>
      <c r="BS1131" s="47"/>
      <c r="BT1131" s="47"/>
    </row>
    <row r="1132" spans="49:72" x14ac:dyDescent="0.2">
      <c r="AW1132" s="118"/>
      <c r="AX1132" s="118"/>
      <c r="AY1132" s="144"/>
      <c r="BA1132" s="45"/>
      <c r="BB1132" s="46"/>
      <c r="BC1132" s="46"/>
      <c r="BD1132" s="55"/>
      <c r="BE1132" s="55"/>
      <c r="BF1132" s="101" t="str">
        <f t="shared" si="28"/>
        <v/>
      </c>
      <c r="BG1132" s="101" t="str">
        <f t="shared" si="29"/>
        <v/>
      </c>
      <c r="BH1132" s="101" t="str">
        <f t="shared" si="30"/>
        <v/>
      </c>
      <c r="BI1132" s="101" t="str">
        <f t="shared" si="31"/>
        <v/>
      </c>
      <c r="BJ1132" s="101" t="str">
        <f t="shared" si="32"/>
        <v/>
      </c>
      <c r="BK1132" s="101" t="str">
        <f t="shared" si="33"/>
        <v/>
      </c>
      <c r="BL1132" s="48"/>
      <c r="BM1132" s="48"/>
      <c r="BN1132" s="48"/>
      <c r="BO1132" s="47"/>
      <c r="BP1132" s="47"/>
      <c r="BQ1132" s="47"/>
      <c r="BR1132" s="47"/>
      <c r="BS1132" s="47"/>
      <c r="BT1132" s="47"/>
    </row>
    <row r="1133" spans="49:72" x14ac:dyDescent="0.2">
      <c r="AW1133" s="118"/>
      <c r="AX1133" s="118"/>
      <c r="AY1133" s="144"/>
      <c r="BA1133" s="45"/>
      <c r="BB1133" s="46"/>
      <c r="BC1133" s="46"/>
      <c r="BD1133" s="55"/>
      <c r="BE1133" s="55"/>
      <c r="BF1133" s="101" t="str">
        <f t="shared" si="28"/>
        <v/>
      </c>
      <c r="BG1133" s="101" t="str">
        <f t="shared" si="29"/>
        <v/>
      </c>
      <c r="BH1133" s="101" t="str">
        <f t="shared" si="30"/>
        <v/>
      </c>
      <c r="BI1133" s="101" t="str">
        <f t="shared" si="31"/>
        <v/>
      </c>
      <c r="BJ1133" s="101" t="str">
        <f t="shared" si="32"/>
        <v/>
      </c>
      <c r="BK1133" s="101" t="str">
        <f t="shared" si="33"/>
        <v/>
      </c>
      <c r="BL1133" s="48"/>
      <c r="BM1133" s="48"/>
      <c r="BN1133" s="48"/>
      <c r="BO1133" s="47"/>
      <c r="BP1133" s="47"/>
      <c r="BQ1133" s="47"/>
      <c r="BR1133" s="47"/>
      <c r="BS1133" s="47"/>
      <c r="BT1133" s="47"/>
    </row>
    <row r="1134" spans="49:72" x14ac:dyDescent="0.2">
      <c r="AW1134" s="118"/>
      <c r="AX1134" s="118"/>
      <c r="AY1134" s="144"/>
      <c r="BA1134" s="45"/>
      <c r="BB1134" s="46"/>
      <c r="BC1134" s="46"/>
      <c r="BD1134" s="55"/>
      <c r="BE1134" s="55"/>
      <c r="BF1134" s="101" t="str">
        <f t="shared" si="28"/>
        <v/>
      </c>
      <c r="BG1134" s="101" t="str">
        <f t="shared" si="29"/>
        <v/>
      </c>
      <c r="BH1134" s="101" t="str">
        <f t="shared" si="30"/>
        <v/>
      </c>
      <c r="BI1134" s="101" t="str">
        <f t="shared" si="31"/>
        <v/>
      </c>
      <c r="BJ1134" s="101" t="str">
        <f t="shared" si="32"/>
        <v/>
      </c>
      <c r="BK1134" s="101" t="str">
        <f t="shared" si="33"/>
        <v/>
      </c>
      <c r="BL1134" s="48"/>
      <c r="BM1134" s="48"/>
      <c r="BN1134" s="48"/>
      <c r="BO1134" s="47"/>
      <c r="BP1134" s="47"/>
      <c r="BQ1134" s="47"/>
      <c r="BR1134" s="47"/>
      <c r="BS1134" s="47"/>
      <c r="BT1134" s="47"/>
    </row>
    <row r="1135" spans="49:72" x14ac:dyDescent="0.2">
      <c r="AW1135" s="118"/>
      <c r="AX1135" s="118"/>
      <c r="AY1135" s="144"/>
      <c r="BA1135" s="45"/>
      <c r="BB1135" s="46"/>
      <c r="BC1135" s="46"/>
      <c r="BD1135" s="55"/>
      <c r="BE1135" s="55"/>
      <c r="BF1135" s="101" t="str">
        <f t="shared" si="28"/>
        <v/>
      </c>
      <c r="BG1135" s="101" t="str">
        <f t="shared" si="29"/>
        <v/>
      </c>
      <c r="BH1135" s="101" t="str">
        <f t="shared" si="30"/>
        <v/>
      </c>
      <c r="BI1135" s="101" t="str">
        <f t="shared" si="31"/>
        <v/>
      </c>
      <c r="BJ1135" s="101" t="str">
        <f t="shared" si="32"/>
        <v/>
      </c>
      <c r="BK1135" s="101" t="str">
        <f t="shared" si="33"/>
        <v/>
      </c>
      <c r="BL1135" s="48"/>
      <c r="BM1135" s="48"/>
      <c r="BN1135" s="48"/>
      <c r="BO1135" s="47"/>
      <c r="BP1135" s="47"/>
      <c r="BQ1135" s="47"/>
      <c r="BR1135" s="47"/>
      <c r="BS1135" s="47"/>
      <c r="BT1135" s="47"/>
    </row>
    <row r="1136" spans="49:72" x14ac:dyDescent="0.2">
      <c r="AW1136" s="118"/>
      <c r="AX1136" s="118"/>
      <c r="AY1136" s="144"/>
      <c r="BA1136" s="45"/>
      <c r="BB1136" s="46"/>
      <c r="BC1136" s="46"/>
      <c r="BD1136" s="55"/>
      <c r="BE1136" s="55"/>
      <c r="BF1136" s="101" t="str">
        <f t="shared" si="28"/>
        <v/>
      </c>
      <c r="BG1136" s="101" t="str">
        <f t="shared" si="29"/>
        <v/>
      </c>
      <c r="BH1136" s="101" t="str">
        <f t="shared" si="30"/>
        <v/>
      </c>
      <c r="BI1136" s="101" t="str">
        <f t="shared" si="31"/>
        <v/>
      </c>
      <c r="BJ1136" s="101" t="str">
        <f t="shared" si="32"/>
        <v/>
      </c>
      <c r="BK1136" s="101" t="str">
        <f t="shared" si="33"/>
        <v/>
      </c>
      <c r="BL1136" s="48"/>
      <c r="BM1136" s="48"/>
      <c r="BN1136" s="48"/>
      <c r="BO1136" s="47"/>
      <c r="BP1136" s="47"/>
      <c r="BQ1136" s="47"/>
      <c r="BR1136" s="47"/>
      <c r="BS1136" s="47"/>
      <c r="BT1136" s="47"/>
    </row>
    <row r="1137" spans="49:72" x14ac:dyDescent="0.2">
      <c r="AW1137" s="118"/>
      <c r="AX1137" s="118"/>
      <c r="AY1137" s="144"/>
      <c r="BA1137" s="45"/>
      <c r="BB1137" s="46"/>
      <c r="BC1137" s="46"/>
      <c r="BD1137" s="55"/>
      <c r="BE1137" s="55"/>
      <c r="BF1137" s="101" t="str">
        <f t="shared" si="28"/>
        <v/>
      </c>
      <c r="BG1137" s="101" t="str">
        <f t="shared" si="29"/>
        <v/>
      </c>
      <c r="BH1137" s="101" t="str">
        <f t="shared" si="30"/>
        <v/>
      </c>
      <c r="BI1137" s="101" t="str">
        <f t="shared" si="31"/>
        <v/>
      </c>
      <c r="BJ1137" s="101" t="str">
        <f t="shared" si="32"/>
        <v/>
      </c>
      <c r="BK1137" s="101" t="str">
        <f t="shared" si="33"/>
        <v/>
      </c>
      <c r="BL1137" s="48"/>
      <c r="BM1137" s="48"/>
      <c r="BN1137" s="48"/>
      <c r="BO1137" s="47"/>
      <c r="BP1137" s="47"/>
      <c r="BQ1137" s="47"/>
      <c r="BR1137" s="47"/>
      <c r="BS1137" s="47"/>
      <c r="BT1137" s="47"/>
    </row>
    <row r="1138" spans="49:72" x14ac:dyDescent="0.2">
      <c r="AW1138" s="118"/>
      <c r="AX1138" s="118"/>
      <c r="AY1138" s="144"/>
      <c r="BA1138" s="45"/>
      <c r="BB1138" s="46"/>
      <c r="BC1138" s="46"/>
      <c r="BD1138" s="55"/>
      <c r="BE1138" s="55"/>
      <c r="BF1138" s="101" t="str">
        <f t="shared" si="28"/>
        <v/>
      </c>
      <c r="BG1138" s="101" t="str">
        <f t="shared" si="29"/>
        <v/>
      </c>
      <c r="BH1138" s="101" t="str">
        <f t="shared" si="30"/>
        <v/>
      </c>
      <c r="BI1138" s="101" t="str">
        <f t="shared" si="31"/>
        <v/>
      </c>
      <c r="BJ1138" s="101" t="str">
        <f t="shared" si="32"/>
        <v/>
      </c>
      <c r="BK1138" s="101" t="str">
        <f t="shared" si="33"/>
        <v/>
      </c>
      <c r="BL1138" s="48"/>
      <c r="BM1138" s="48"/>
      <c r="BN1138" s="48"/>
      <c r="BO1138" s="47"/>
      <c r="BP1138" s="47"/>
      <c r="BQ1138" s="47"/>
      <c r="BR1138" s="47"/>
      <c r="BS1138" s="47"/>
      <c r="BT1138" s="47"/>
    </row>
    <row r="1139" spans="49:72" x14ac:dyDescent="0.2">
      <c r="AW1139" s="118"/>
      <c r="AX1139" s="118"/>
      <c r="AY1139" s="144"/>
      <c r="BA1139" s="45"/>
      <c r="BB1139" s="46"/>
      <c r="BC1139" s="46"/>
      <c r="BD1139" s="55"/>
      <c r="BE1139" s="55"/>
      <c r="BF1139" s="101" t="str">
        <f t="shared" si="28"/>
        <v/>
      </c>
      <c r="BG1139" s="101" t="str">
        <f t="shared" si="29"/>
        <v/>
      </c>
      <c r="BH1139" s="101" t="str">
        <f t="shared" si="30"/>
        <v/>
      </c>
      <c r="BI1139" s="101" t="str">
        <f t="shared" si="31"/>
        <v/>
      </c>
      <c r="BJ1139" s="101" t="str">
        <f t="shared" si="32"/>
        <v/>
      </c>
      <c r="BK1139" s="101" t="str">
        <f t="shared" si="33"/>
        <v/>
      </c>
      <c r="BL1139" s="48"/>
      <c r="BM1139" s="48"/>
      <c r="BN1139" s="48"/>
      <c r="BO1139" s="47"/>
      <c r="BP1139" s="47"/>
      <c r="BQ1139" s="47"/>
      <c r="BR1139" s="47"/>
      <c r="BS1139" s="47"/>
      <c r="BT1139" s="47"/>
    </row>
    <row r="1140" spans="49:72" x14ac:dyDescent="0.2">
      <c r="AW1140" s="118"/>
      <c r="AX1140" s="118"/>
      <c r="AY1140" s="144"/>
      <c r="BA1140" s="45"/>
      <c r="BB1140" s="46"/>
      <c r="BC1140" s="46"/>
      <c r="BD1140" s="55"/>
      <c r="BE1140" s="55"/>
      <c r="BF1140" s="101" t="str">
        <f t="shared" si="28"/>
        <v/>
      </c>
      <c r="BG1140" s="101" t="str">
        <f t="shared" si="29"/>
        <v/>
      </c>
      <c r="BH1140" s="101" t="str">
        <f t="shared" si="30"/>
        <v/>
      </c>
      <c r="BI1140" s="101" t="str">
        <f t="shared" si="31"/>
        <v/>
      </c>
      <c r="BJ1140" s="101" t="str">
        <f t="shared" si="32"/>
        <v/>
      </c>
      <c r="BK1140" s="101" t="str">
        <f t="shared" si="33"/>
        <v/>
      </c>
      <c r="BL1140" s="48"/>
      <c r="BM1140" s="48"/>
      <c r="BN1140" s="48"/>
      <c r="BO1140" s="47"/>
      <c r="BP1140" s="47"/>
      <c r="BQ1140" s="47"/>
      <c r="BR1140" s="47"/>
      <c r="BS1140" s="47"/>
      <c r="BT1140" s="47"/>
    </row>
    <row r="1141" spans="49:72" x14ac:dyDescent="0.2">
      <c r="AW1141" s="118"/>
      <c r="AX1141" s="118"/>
      <c r="AY1141" s="144"/>
      <c r="BA1141" s="45"/>
      <c r="BB1141" s="46"/>
      <c r="BC1141" s="46"/>
      <c r="BD1141" s="55"/>
      <c r="BE1141" s="55"/>
      <c r="BF1141" s="101" t="str">
        <f t="shared" si="28"/>
        <v/>
      </c>
      <c r="BG1141" s="101" t="str">
        <f t="shared" si="29"/>
        <v/>
      </c>
      <c r="BH1141" s="101" t="str">
        <f t="shared" si="30"/>
        <v/>
      </c>
      <c r="BI1141" s="101" t="str">
        <f t="shared" si="31"/>
        <v/>
      </c>
      <c r="BJ1141" s="101" t="str">
        <f t="shared" si="32"/>
        <v/>
      </c>
      <c r="BK1141" s="101" t="str">
        <f t="shared" si="33"/>
        <v/>
      </c>
      <c r="BL1141" s="48"/>
      <c r="BM1141" s="48"/>
      <c r="BN1141" s="48"/>
      <c r="BO1141" s="47"/>
      <c r="BP1141" s="47"/>
      <c r="BQ1141" s="47"/>
      <c r="BR1141" s="47"/>
      <c r="BS1141" s="47"/>
      <c r="BT1141" s="47"/>
    </row>
    <row r="1142" spans="49:72" x14ac:dyDescent="0.2">
      <c r="AW1142" s="118"/>
      <c r="AX1142" s="118"/>
      <c r="AY1142" s="144"/>
      <c r="BA1142" s="45"/>
      <c r="BB1142" s="46"/>
      <c r="BC1142" s="46"/>
      <c r="BD1142" s="55"/>
      <c r="BE1142" s="55"/>
      <c r="BF1142" s="101" t="str">
        <f t="shared" si="28"/>
        <v/>
      </c>
      <c r="BG1142" s="101" t="str">
        <f t="shared" si="29"/>
        <v/>
      </c>
      <c r="BH1142" s="101" t="str">
        <f t="shared" si="30"/>
        <v/>
      </c>
      <c r="BI1142" s="101" t="str">
        <f t="shared" si="31"/>
        <v/>
      </c>
      <c r="BJ1142" s="101" t="str">
        <f t="shared" si="32"/>
        <v/>
      </c>
      <c r="BK1142" s="101" t="str">
        <f t="shared" si="33"/>
        <v/>
      </c>
      <c r="BL1142" s="48"/>
      <c r="BM1142" s="48"/>
      <c r="BN1142" s="48"/>
      <c r="BO1142" s="47"/>
      <c r="BP1142" s="47"/>
      <c r="BQ1142" s="47"/>
      <c r="BR1142" s="47"/>
      <c r="BS1142" s="47"/>
      <c r="BT1142" s="47"/>
    </row>
    <row r="1143" spans="49:72" x14ac:dyDescent="0.2">
      <c r="AW1143" s="118"/>
      <c r="AX1143" s="118"/>
      <c r="AY1143" s="144"/>
      <c r="BA1143" s="45"/>
      <c r="BB1143" s="46"/>
      <c r="BC1143" s="46"/>
      <c r="BD1143" s="55"/>
      <c r="BE1143" s="55"/>
      <c r="BF1143" s="101" t="str">
        <f t="shared" si="28"/>
        <v/>
      </c>
      <c r="BG1143" s="101" t="str">
        <f t="shared" si="29"/>
        <v/>
      </c>
      <c r="BH1143" s="101" t="str">
        <f t="shared" si="30"/>
        <v/>
      </c>
      <c r="BI1143" s="101" t="str">
        <f t="shared" si="31"/>
        <v/>
      </c>
      <c r="BJ1143" s="101" t="str">
        <f t="shared" si="32"/>
        <v/>
      </c>
      <c r="BK1143" s="101" t="str">
        <f t="shared" si="33"/>
        <v/>
      </c>
      <c r="BL1143" s="48"/>
      <c r="BM1143" s="48"/>
      <c r="BN1143" s="48"/>
      <c r="BO1143" s="47"/>
      <c r="BP1143" s="47"/>
      <c r="BQ1143" s="47"/>
      <c r="BR1143" s="47"/>
      <c r="BS1143" s="47"/>
      <c r="BT1143" s="47"/>
    </row>
    <row r="1144" spans="49:72" x14ac:dyDescent="0.2">
      <c r="AW1144" s="118"/>
      <c r="AX1144" s="118"/>
      <c r="AY1144" s="144"/>
      <c r="BA1144" s="45"/>
      <c r="BB1144" s="46"/>
      <c r="BC1144" s="46"/>
      <c r="BD1144" s="55"/>
      <c r="BE1144" s="55"/>
      <c r="BF1144" s="101" t="str">
        <f t="shared" si="28"/>
        <v/>
      </c>
      <c r="BG1144" s="101" t="str">
        <f t="shared" si="29"/>
        <v/>
      </c>
      <c r="BH1144" s="101" t="str">
        <f t="shared" si="30"/>
        <v/>
      </c>
      <c r="BI1144" s="101" t="str">
        <f t="shared" si="31"/>
        <v/>
      </c>
      <c r="BJ1144" s="101" t="str">
        <f t="shared" si="32"/>
        <v/>
      </c>
      <c r="BK1144" s="101" t="str">
        <f t="shared" si="33"/>
        <v/>
      </c>
      <c r="BL1144" s="48"/>
      <c r="BM1144" s="48"/>
      <c r="BN1144" s="48"/>
      <c r="BO1144" s="47"/>
      <c r="BP1144" s="47"/>
      <c r="BQ1144" s="47"/>
      <c r="BR1144" s="47"/>
      <c r="BS1144" s="47"/>
      <c r="BT1144" s="47"/>
    </row>
    <row r="1145" spans="49:72" x14ac:dyDescent="0.2">
      <c r="AW1145" s="118"/>
      <c r="AX1145" s="118"/>
      <c r="AY1145" s="144"/>
      <c r="BA1145" s="45"/>
      <c r="BB1145" s="46"/>
      <c r="BC1145" s="46"/>
      <c r="BD1145" s="55"/>
      <c r="BE1145" s="55"/>
      <c r="BF1145" s="101" t="str">
        <f t="shared" si="28"/>
        <v/>
      </c>
      <c r="BG1145" s="101" t="str">
        <f t="shared" si="29"/>
        <v/>
      </c>
      <c r="BH1145" s="101" t="str">
        <f t="shared" si="30"/>
        <v/>
      </c>
      <c r="BI1145" s="101" t="str">
        <f t="shared" si="31"/>
        <v/>
      </c>
      <c r="BJ1145" s="101" t="str">
        <f t="shared" si="32"/>
        <v/>
      </c>
      <c r="BK1145" s="101" t="str">
        <f t="shared" si="33"/>
        <v/>
      </c>
      <c r="BL1145" s="48"/>
      <c r="BM1145" s="48"/>
      <c r="BN1145" s="48"/>
      <c r="BO1145" s="47"/>
      <c r="BP1145" s="47"/>
      <c r="BQ1145" s="47"/>
      <c r="BR1145" s="47"/>
      <c r="BS1145" s="47"/>
      <c r="BT1145" s="47"/>
    </row>
    <row r="1146" spans="49:72" x14ac:dyDescent="0.2">
      <c r="AW1146" s="118"/>
      <c r="AX1146" s="118"/>
      <c r="AY1146" s="144"/>
      <c r="BA1146" s="45"/>
      <c r="BB1146" s="46"/>
      <c r="BC1146" s="46"/>
      <c r="BD1146" s="55"/>
      <c r="BE1146" s="55"/>
      <c r="BF1146" s="101" t="str">
        <f t="shared" si="28"/>
        <v/>
      </c>
      <c r="BG1146" s="101" t="str">
        <f t="shared" si="29"/>
        <v/>
      </c>
      <c r="BH1146" s="101" t="str">
        <f t="shared" si="30"/>
        <v/>
      </c>
      <c r="BI1146" s="101" t="str">
        <f t="shared" si="31"/>
        <v/>
      </c>
      <c r="BJ1146" s="101" t="str">
        <f t="shared" si="32"/>
        <v/>
      </c>
      <c r="BK1146" s="101" t="str">
        <f t="shared" si="33"/>
        <v/>
      </c>
      <c r="BL1146" s="48"/>
      <c r="BM1146" s="48"/>
      <c r="BN1146" s="48"/>
      <c r="BO1146" s="47"/>
      <c r="BP1146" s="47"/>
      <c r="BQ1146" s="47"/>
      <c r="BR1146" s="47"/>
      <c r="BS1146" s="47"/>
      <c r="BT1146" s="47"/>
    </row>
    <row r="1147" spans="49:72" x14ac:dyDescent="0.2">
      <c r="AW1147" s="118"/>
      <c r="AX1147" s="118"/>
      <c r="AY1147" s="144"/>
      <c r="BA1147" s="45"/>
      <c r="BB1147" s="46"/>
      <c r="BC1147" s="46"/>
      <c r="BD1147" s="55"/>
      <c r="BE1147" s="55"/>
      <c r="BF1147" s="101" t="str">
        <f t="shared" si="28"/>
        <v/>
      </c>
      <c r="BG1147" s="101" t="str">
        <f t="shared" si="29"/>
        <v/>
      </c>
      <c r="BH1147" s="101" t="str">
        <f t="shared" si="30"/>
        <v/>
      </c>
      <c r="BI1147" s="101" t="str">
        <f t="shared" si="31"/>
        <v/>
      </c>
      <c r="BJ1147" s="101" t="str">
        <f t="shared" si="32"/>
        <v/>
      </c>
      <c r="BK1147" s="101" t="str">
        <f t="shared" si="33"/>
        <v/>
      </c>
      <c r="BL1147" s="48"/>
      <c r="BM1147" s="48"/>
      <c r="BN1147" s="48"/>
      <c r="BO1147" s="47"/>
      <c r="BP1147" s="47"/>
      <c r="BQ1147" s="47"/>
      <c r="BR1147" s="47"/>
      <c r="BS1147" s="47"/>
      <c r="BT1147" s="47"/>
    </row>
    <row r="1148" spans="49:72" x14ac:dyDescent="0.2">
      <c r="AW1148" s="118"/>
      <c r="AX1148" s="118"/>
      <c r="AY1148" s="144"/>
      <c r="BA1148" s="45"/>
      <c r="BB1148" s="46"/>
      <c r="BC1148" s="46"/>
      <c r="BD1148" s="55"/>
      <c r="BE1148" s="55"/>
      <c r="BF1148" s="101" t="str">
        <f t="shared" si="28"/>
        <v/>
      </c>
      <c r="BG1148" s="101" t="str">
        <f t="shared" si="29"/>
        <v/>
      </c>
      <c r="BH1148" s="101" t="str">
        <f t="shared" si="30"/>
        <v/>
      </c>
      <c r="BI1148" s="101" t="str">
        <f t="shared" si="31"/>
        <v/>
      </c>
      <c r="BJ1148" s="101" t="str">
        <f t="shared" si="32"/>
        <v/>
      </c>
      <c r="BK1148" s="101" t="str">
        <f t="shared" si="33"/>
        <v/>
      </c>
      <c r="BL1148" s="48"/>
      <c r="BM1148" s="48"/>
      <c r="BN1148" s="48"/>
      <c r="BO1148" s="47"/>
      <c r="BP1148" s="47"/>
      <c r="BQ1148" s="47"/>
      <c r="BR1148" s="47"/>
      <c r="BS1148" s="47"/>
      <c r="BT1148" s="47"/>
    </row>
    <row r="1149" spans="49:72" x14ac:dyDescent="0.2">
      <c r="AW1149" s="118"/>
      <c r="AX1149" s="118"/>
      <c r="AY1149" s="144"/>
      <c r="BA1149" s="45"/>
      <c r="BB1149" s="46"/>
      <c r="BC1149" s="46"/>
      <c r="BD1149" s="55"/>
      <c r="BE1149" s="55"/>
      <c r="BF1149" s="101" t="str">
        <f t="shared" si="28"/>
        <v/>
      </c>
      <c r="BG1149" s="101" t="str">
        <f t="shared" si="29"/>
        <v/>
      </c>
      <c r="BH1149" s="101" t="str">
        <f t="shared" si="30"/>
        <v/>
      </c>
      <c r="BI1149" s="101" t="str">
        <f t="shared" si="31"/>
        <v/>
      </c>
      <c r="BJ1149" s="101" t="str">
        <f t="shared" si="32"/>
        <v/>
      </c>
      <c r="BK1149" s="101" t="str">
        <f t="shared" si="33"/>
        <v/>
      </c>
      <c r="BL1149" s="48"/>
      <c r="BM1149" s="48"/>
      <c r="BN1149" s="48"/>
      <c r="BO1149" s="47"/>
      <c r="BP1149" s="47"/>
      <c r="BQ1149" s="47"/>
      <c r="BR1149" s="47"/>
      <c r="BS1149" s="47"/>
      <c r="BT1149" s="47"/>
    </row>
    <row r="1150" spans="49:72" x14ac:dyDescent="0.2">
      <c r="AW1150" s="118"/>
      <c r="AX1150" s="118"/>
      <c r="AY1150" s="144"/>
      <c r="BA1150" s="45"/>
      <c r="BB1150" s="46"/>
      <c r="BC1150" s="46"/>
      <c r="BD1150" s="55"/>
      <c r="BE1150" s="55"/>
      <c r="BF1150" s="101" t="str">
        <f t="shared" si="28"/>
        <v/>
      </c>
      <c r="BG1150" s="101" t="str">
        <f t="shared" si="29"/>
        <v/>
      </c>
      <c r="BH1150" s="101" t="str">
        <f t="shared" si="30"/>
        <v/>
      </c>
      <c r="BI1150" s="101" t="str">
        <f t="shared" si="31"/>
        <v/>
      </c>
      <c r="BJ1150" s="101" t="str">
        <f t="shared" si="32"/>
        <v/>
      </c>
      <c r="BK1150" s="101" t="str">
        <f t="shared" si="33"/>
        <v/>
      </c>
      <c r="BL1150" s="48"/>
      <c r="BM1150" s="48"/>
      <c r="BN1150" s="48"/>
      <c r="BO1150" s="47"/>
      <c r="BP1150" s="47"/>
      <c r="BQ1150" s="47"/>
      <c r="BR1150" s="47"/>
      <c r="BS1150" s="47"/>
      <c r="BT1150" s="47"/>
    </row>
    <row r="1151" spans="49:72" x14ac:dyDescent="0.2">
      <c r="AW1151" s="118"/>
      <c r="AX1151" s="118"/>
      <c r="AY1151" s="144"/>
      <c r="BA1151" s="45"/>
      <c r="BB1151" s="46"/>
      <c r="BC1151" s="46"/>
      <c r="BD1151" s="55"/>
      <c r="BE1151" s="55"/>
      <c r="BF1151" s="101" t="str">
        <f t="shared" si="28"/>
        <v/>
      </c>
      <c r="BG1151" s="101" t="str">
        <f t="shared" si="29"/>
        <v/>
      </c>
      <c r="BH1151" s="101" t="str">
        <f t="shared" si="30"/>
        <v/>
      </c>
      <c r="BI1151" s="101" t="str">
        <f t="shared" si="31"/>
        <v/>
      </c>
      <c r="BJ1151" s="101" t="str">
        <f t="shared" si="32"/>
        <v/>
      </c>
      <c r="BK1151" s="101" t="str">
        <f t="shared" si="33"/>
        <v/>
      </c>
      <c r="BL1151" s="48"/>
      <c r="BM1151" s="48"/>
      <c r="BN1151" s="48"/>
      <c r="BO1151" s="47"/>
      <c r="BP1151" s="47"/>
      <c r="BQ1151" s="47"/>
      <c r="BR1151" s="47"/>
      <c r="BS1151" s="47"/>
      <c r="BT1151" s="47"/>
    </row>
    <row r="1152" spans="49:72" x14ac:dyDescent="0.2">
      <c r="AW1152" s="118"/>
      <c r="AX1152" s="118"/>
      <c r="AY1152" s="144"/>
      <c r="BA1152" s="45"/>
      <c r="BB1152" s="46"/>
      <c r="BC1152" s="46"/>
      <c r="BD1152" s="55"/>
      <c r="BE1152" s="55"/>
      <c r="BF1152" s="101" t="str">
        <f t="shared" si="28"/>
        <v/>
      </c>
      <c r="BG1152" s="101" t="str">
        <f t="shared" si="29"/>
        <v/>
      </c>
      <c r="BH1152" s="101" t="str">
        <f t="shared" si="30"/>
        <v/>
      </c>
      <c r="BI1152" s="101" t="str">
        <f t="shared" si="31"/>
        <v/>
      </c>
      <c r="BJ1152" s="101" t="str">
        <f t="shared" si="32"/>
        <v/>
      </c>
      <c r="BK1152" s="101" t="str">
        <f t="shared" si="33"/>
        <v/>
      </c>
      <c r="BL1152" s="48"/>
      <c r="BM1152" s="48"/>
      <c r="BN1152" s="48"/>
      <c r="BO1152" s="47"/>
      <c r="BP1152" s="47"/>
      <c r="BQ1152" s="47"/>
      <c r="BR1152" s="47"/>
      <c r="BS1152" s="47"/>
      <c r="BT1152" s="47"/>
    </row>
    <row r="1153" spans="49:72" x14ac:dyDescent="0.2">
      <c r="AW1153" s="118"/>
      <c r="AX1153" s="118"/>
      <c r="AY1153" s="144"/>
      <c r="BA1153" s="45"/>
      <c r="BB1153" s="46"/>
      <c r="BC1153" s="46"/>
      <c r="BD1153" s="55"/>
      <c r="BE1153" s="55"/>
      <c r="BF1153" s="101" t="str">
        <f t="shared" si="28"/>
        <v/>
      </c>
      <c r="BG1153" s="101" t="str">
        <f t="shared" si="29"/>
        <v/>
      </c>
      <c r="BH1153" s="101" t="str">
        <f t="shared" si="30"/>
        <v/>
      </c>
      <c r="BI1153" s="101" t="str">
        <f t="shared" si="31"/>
        <v/>
      </c>
      <c r="BJ1153" s="101" t="str">
        <f t="shared" si="32"/>
        <v/>
      </c>
      <c r="BK1153" s="101" t="str">
        <f t="shared" si="33"/>
        <v/>
      </c>
      <c r="BL1153" s="48"/>
      <c r="BM1153" s="48"/>
      <c r="BN1153" s="48"/>
      <c r="BO1153" s="47"/>
      <c r="BP1153" s="47"/>
      <c r="BQ1153" s="47"/>
      <c r="BR1153" s="47"/>
      <c r="BS1153" s="47"/>
      <c r="BT1153" s="47"/>
    </row>
    <row r="1154" spans="49:72" x14ac:dyDescent="0.2">
      <c r="AW1154" s="118"/>
      <c r="AX1154" s="118"/>
      <c r="AY1154" s="144"/>
      <c r="BA1154" s="45"/>
      <c r="BB1154" s="46"/>
      <c r="BC1154" s="46"/>
      <c r="BD1154" s="55"/>
      <c r="BE1154" s="55"/>
      <c r="BF1154" s="101" t="str">
        <f t="shared" si="28"/>
        <v/>
      </c>
      <c r="BG1154" s="101" t="str">
        <f t="shared" si="29"/>
        <v/>
      </c>
      <c r="BH1154" s="101" t="str">
        <f t="shared" si="30"/>
        <v/>
      </c>
      <c r="BI1154" s="101" t="str">
        <f t="shared" si="31"/>
        <v/>
      </c>
      <c r="BJ1154" s="101" t="str">
        <f t="shared" si="32"/>
        <v/>
      </c>
      <c r="BK1154" s="101" t="str">
        <f t="shared" si="33"/>
        <v/>
      </c>
      <c r="BL1154" s="48"/>
      <c r="BM1154" s="48"/>
      <c r="BN1154" s="48"/>
      <c r="BO1154" s="47"/>
      <c r="BP1154" s="47"/>
      <c r="BQ1154" s="47"/>
      <c r="BR1154" s="47"/>
      <c r="BS1154" s="47"/>
      <c r="BT1154" s="47"/>
    </row>
    <row r="1155" spans="49:72" x14ac:dyDescent="0.2">
      <c r="AW1155" s="118"/>
      <c r="AX1155" s="118"/>
      <c r="AY1155" s="144"/>
      <c r="BA1155" s="45"/>
      <c r="BB1155" s="46"/>
      <c r="BC1155" s="46"/>
      <c r="BD1155" s="55"/>
      <c r="BE1155" s="55"/>
      <c r="BF1155" s="101" t="str">
        <f t="shared" si="28"/>
        <v/>
      </c>
      <c r="BG1155" s="101" t="str">
        <f t="shared" si="29"/>
        <v/>
      </c>
      <c r="BH1155" s="101" t="str">
        <f t="shared" si="30"/>
        <v/>
      </c>
      <c r="BI1155" s="101" t="str">
        <f t="shared" si="31"/>
        <v/>
      </c>
      <c r="BJ1155" s="101" t="str">
        <f t="shared" si="32"/>
        <v/>
      </c>
      <c r="BK1155" s="101" t="str">
        <f t="shared" si="33"/>
        <v/>
      </c>
      <c r="BL1155" s="48"/>
      <c r="BM1155" s="48"/>
      <c r="BN1155" s="48"/>
      <c r="BO1155" s="47"/>
      <c r="BP1155" s="47"/>
      <c r="BQ1155" s="47"/>
      <c r="BR1155" s="47"/>
      <c r="BS1155" s="47"/>
      <c r="BT1155" s="47"/>
    </row>
    <row r="1156" spans="49:72" x14ac:dyDescent="0.2">
      <c r="AW1156" s="118"/>
      <c r="AX1156" s="118"/>
      <c r="AY1156" s="144"/>
      <c r="BA1156" s="45"/>
      <c r="BB1156" s="46"/>
      <c r="BC1156" s="46"/>
      <c r="BD1156" s="55"/>
      <c r="BE1156" s="55"/>
      <c r="BF1156" s="101" t="str">
        <f t="shared" si="28"/>
        <v/>
      </c>
      <c r="BG1156" s="101" t="str">
        <f t="shared" si="29"/>
        <v/>
      </c>
      <c r="BH1156" s="101" t="str">
        <f t="shared" si="30"/>
        <v/>
      </c>
      <c r="BI1156" s="101" t="str">
        <f t="shared" si="31"/>
        <v/>
      </c>
      <c r="BJ1156" s="101" t="str">
        <f t="shared" si="32"/>
        <v/>
      </c>
      <c r="BK1156" s="101" t="str">
        <f t="shared" si="33"/>
        <v/>
      </c>
      <c r="BL1156" s="48"/>
      <c r="BM1156" s="48"/>
      <c r="BN1156" s="48"/>
      <c r="BO1156" s="47"/>
      <c r="BP1156" s="47"/>
      <c r="BQ1156" s="47"/>
      <c r="BR1156" s="47"/>
      <c r="BS1156" s="47"/>
      <c r="BT1156" s="47"/>
    </row>
    <row r="1157" spans="49:72" x14ac:dyDescent="0.2">
      <c r="AW1157" s="118"/>
      <c r="AX1157" s="118"/>
      <c r="AY1157" s="144"/>
      <c r="BA1157" s="45"/>
      <c r="BB1157" s="46"/>
      <c r="BC1157" s="46"/>
      <c r="BD1157" s="55"/>
      <c r="BE1157" s="55"/>
      <c r="BF1157" s="101" t="str">
        <f t="shared" si="28"/>
        <v/>
      </c>
      <c r="BG1157" s="101" t="str">
        <f t="shared" si="29"/>
        <v/>
      </c>
      <c r="BH1157" s="101" t="str">
        <f t="shared" si="30"/>
        <v/>
      </c>
      <c r="BI1157" s="101" t="str">
        <f t="shared" si="31"/>
        <v/>
      </c>
      <c r="BJ1157" s="101" t="str">
        <f t="shared" si="32"/>
        <v/>
      </c>
      <c r="BK1157" s="101" t="str">
        <f t="shared" si="33"/>
        <v/>
      </c>
      <c r="BL1157" s="48"/>
      <c r="BM1157" s="48"/>
      <c r="BN1157" s="48"/>
      <c r="BO1157" s="47"/>
      <c r="BP1157" s="47"/>
      <c r="BQ1157" s="47"/>
      <c r="BR1157" s="47"/>
      <c r="BS1157" s="47"/>
      <c r="BT1157" s="47"/>
    </row>
    <row r="1158" spans="49:72" x14ac:dyDescent="0.2">
      <c r="AW1158" s="118"/>
      <c r="AX1158" s="118"/>
      <c r="AY1158" s="144"/>
      <c r="BA1158" s="45"/>
      <c r="BB1158" s="46"/>
      <c r="BC1158" s="46"/>
      <c r="BD1158" s="55"/>
      <c r="BE1158" s="55"/>
      <c r="BF1158" s="101" t="str">
        <f t="shared" si="28"/>
        <v/>
      </c>
      <c r="BG1158" s="101" t="str">
        <f t="shared" si="29"/>
        <v/>
      </c>
      <c r="BH1158" s="101" t="str">
        <f t="shared" si="30"/>
        <v/>
      </c>
      <c r="BI1158" s="101" t="str">
        <f t="shared" si="31"/>
        <v/>
      </c>
      <c r="BJ1158" s="101" t="str">
        <f t="shared" si="32"/>
        <v/>
      </c>
      <c r="BK1158" s="101" t="str">
        <f t="shared" si="33"/>
        <v/>
      </c>
      <c r="BL1158" s="48"/>
      <c r="BM1158" s="48"/>
      <c r="BN1158" s="48"/>
      <c r="BO1158" s="47"/>
      <c r="BP1158" s="47"/>
      <c r="BQ1158" s="47"/>
      <c r="BR1158" s="47"/>
      <c r="BS1158" s="47"/>
      <c r="BT1158" s="47"/>
    </row>
    <row r="1159" spans="49:72" x14ac:dyDescent="0.2">
      <c r="AW1159" s="118"/>
      <c r="AX1159" s="118"/>
      <c r="AY1159" s="144"/>
      <c r="BA1159" s="45"/>
      <c r="BB1159" s="46"/>
      <c r="BC1159" s="46"/>
      <c r="BD1159" s="55"/>
      <c r="BE1159" s="55"/>
      <c r="BF1159" s="101" t="str">
        <f t="shared" si="28"/>
        <v/>
      </c>
      <c r="BG1159" s="101" t="str">
        <f t="shared" si="29"/>
        <v/>
      </c>
      <c r="BH1159" s="101" t="str">
        <f t="shared" si="30"/>
        <v/>
      </c>
      <c r="BI1159" s="101" t="str">
        <f t="shared" si="31"/>
        <v/>
      </c>
      <c r="BJ1159" s="101" t="str">
        <f t="shared" si="32"/>
        <v/>
      </c>
      <c r="BK1159" s="101" t="str">
        <f t="shared" si="33"/>
        <v/>
      </c>
      <c r="BL1159" s="48"/>
      <c r="BM1159" s="48"/>
      <c r="BN1159" s="48"/>
      <c r="BO1159" s="47"/>
      <c r="BP1159" s="47"/>
      <c r="BQ1159" s="47"/>
      <c r="BR1159" s="47"/>
      <c r="BS1159" s="47"/>
      <c r="BT1159" s="47"/>
    </row>
    <row r="1160" spans="49:72" x14ac:dyDescent="0.2">
      <c r="AW1160" s="118"/>
      <c r="AX1160" s="118"/>
      <c r="AY1160" s="144"/>
      <c r="BA1160" s="45"/>
      <c r="BB1160" s="46"/>
      <c r="BC1160" s="46"/>
      <c r="BD1160" s="55"/>
      <c r="BE1160" s="55"/>
      <c r="BF1160" s="101" t="str">
        <f t="shared" si="28"/>
        <v/>
      </c>
      <c r="BG1160" s="101" t="str">
        <f t="shared" si="29"/>
        <v/>
      </c>
      <c r="BH1160" s="101" t="str">
        <f t="shared" si="30"/>
        <v/>
      </c>
      <c r="BI1160" s="101" t="str">
        <f t="shared" si="31"/>
        <v/>
      </c>
      <c r="BJ1160" s="101" t="str">
        <f t="shared" si="32"/>
        <v/>
      </c>
      <c r="BK1160" s="101" t="str">
        <f t="shared" si="33"/>
        <v/>
      </c>
      <c r="BL1160" s="48"/>
      <c r="BM1160" s="48"/>
      <c r="BN1160" s="48"/>
      <c r="BO1160" s="47"/>
      <c r="BP1160" s="47"/>
      <c r="BQ1160" s="47"/>
      <c r="BR1160" s="47"/>
      <c r="BS1160" s="47"/>
      <c r="BT1160" s="47"/>
    </row>
    <row r="1161" spans="49:72" x14ac:dyDescent="0.2">
      <c r="AW1161" s="118"/>
      <c r="AX1161" s="118"/>
      <c r="AY1161" s="144"/>
      <c r="BA1161" s="45"/>
      <c r="BB1161" s="46"/>
      <c r="BC1161" s="46"/>
      <c r="BD1161" s="55"/>
      <c r="BE1161" s="55"/>
      <c r="BF1161" s="101" t="str">
        <f t="shared" si="28"/>
        <v/>
      </c>
      <c r="BG1161" s="101" t="str">
        <f t="shared" si="29"/>
        <v/>
      </c>
      <c r="BH1161" s="101" t="str">
        <f t="shared" si="30"/>
        <v/>
      </c>
      <c r="BI1161" s="101" t="str">
        <f t="shared" si="31"/>
        <v/>
      </c>
      <c r="BJ1161" s="101" t="str">
        <f t="shared" si="32"/>
        <v/>
      </c>
      <c r="BK1161" s="101" t="str">
        <f t="shared" si="33"/>
        <v/>
      </c>
      <c r="BL1161" s="48"/>
      <c r="BM1161" s="48"/>
      <c r="BN1161" s="48"/>
      <c r="BO1161" s="47"/>
      <c r="BP1161" s="47"/>
      <c r="BQ1161" s="47"/>
      <c r="BR1161" s="47"/>
      <c r="BS1161" s="47"/>
      <c r="BT1161" s="47"/>
    </row>
    <row r="1162" spans="49:72" x14ac:dyDescent="0.2">
      <c r="AW1162" s="118"/>
      <c r="AX1162" s="118"/>
      <c r="AY1162" s="144"/>
      <c r="BA1162" s="45"/>
      <c r="BB1162" s="46"/>
      <c r="BC1162" s="46"/>
      <c r="BD1162" s="55"/>
      <c r="BE1162" s="55"/>
      <c r="BF1162" s="101" t="str">
        <f t="shared" si="28"/>
        <v/>
      </c>
      <c r="BG1162" s="101" t="str">
        <f t="shared" si="29"/>
        <v/>
      </c>
      <c r="BH1162" s="101" t="str">
        <f t="shared" si="30"/>
        <v/>
      </c>
      <c r="BI1162" s="101" t="str">
        <f t="shared" si="31"/>
        <v/>
      </c>
      <c r="BJ1162" s="101" t="str">
        <f t="shared" si="32"/>
        <v/>
      </c>
      <c r="BK1162" s="101" t="str">
        <f t="shared" si="33"/>
        <v/>
      </c>
      <c r="BL1162" s="48"/>
      <c r="BM1162" s="48"/>
      <c r="BN1162" s="48"/>
      <c r="BO1162" s="47"/>
      <c r="BP1162" s="47"/>
      <c r="BQ1162" s="47"/>
      <c r="BR1162" s="47"/>
      <c r="BS1162" s="47"/>
      <c r="BT1162" s="47"/>
    </row>
    <row r="1163" spans="49:72" x14ac:dyDescent="0.2">
      <c r="AW1163" s="118"/>
      <c r="AX1163" s="118"/>
      <c r="AY1163" s="144"/>
      <c r="BA1163" s="45"/>
      <c r="BB1163" s="46"/>
      <c r="BC1163" s="46"/>
      <c r="BD1163" s="55"/>
      <c r="BE1163" s="55"/>
      <c r="BF1163" s="101" t="str">
        <f t="shared" si="28"/>
        <v/>
      </c>
      <c r="BG1163" s="101" t="str">
        <f t="shared" si="29"/>
        <v/>
      </c>
      <c r="BH1163" s="101" t="str">
        <f t="shared" si="30"/>
        <v/>
      </c>
      <c r="BI1163" s="101" t="str">
        <f t="shared" si="31"/>
        <v/>
      </c>
      <c r="BJ1163" s="101" t="str">
        <f t="shared" si="32"/>
        <v/>
      </c>
      <c r="BK1163" s="101" t="str">
        <f t="shared" si="33"/>
        <v/>
      </c>
      <c r="BL1163" s="48"/>
      <c r="BM1163" s="48"/>
      <c r="BN1163" s="48"/>
      <c r="BO1163" s="47"/>
      <c r="BP1163" s="47"/>
      <c r="BQ1163" s="47"/>
      <c r="BR1163" s="47"/>
      <c r="BS1163" s="47"/>
      <c r="BT1163" s="47"/>
    </row>
    <row r="1164" spans="49:72" x14ac:dyDescent="0.2">
      <c r="AW1164" s="118"/>
      <c r="AX1164" s="118"/>
      <c r="AY1164" s="144"/>
      <c r="BA1164" s="45"/>
      <c r="BB1164" s="46"/>
      <c r="BC1164" s="46"/>
      <c r="BD1164" s="55"/>
      <c r="BE1164" s="55"/>
      <c r="BF1164" s="101" t="str">
        <f t="shared" si="28"/>
        <v/>
      </c>
      <c r="BG1164" s="101" t="str">
        <f t="shared" si="29"/>
        <v/>
      </c>
      <c r="BH1164" s="101" t="str">
        <f t="shared" si="30"/>
        <v/>
      </c>
      <c r="BI1164" s="101" t="str">
        <f t="shared" si="31"/>
        <v/>
      </c>
      <c r="BJ1164" s="101" t="str">
        <f t="shared" si="32"/>
        <v/>
      </c>
      <c r="BK1164" s="101" t="str">
        <f t="shared" si="33"/>
        <v/>
      </c>
      <c r="BL1164" s="48"/>
      <c r="BM1164" s="48"/>
      <c r="BN1164" s="48"/>
      <c r="BO1164" s="47"/>
      <c r="BP1164" s="47"/>
      <c r="BQ1164" s="47"/>
      <c r="BR1164" s="47"/>
      <c r="BS1164" s="47"/>
      <c r="BT1164" s="47"/>
    </row>
    <row r="1165" spans="49:72" x14ac:dyDescent="0.2">
      <c r="AW1165" s="118"/>
      <c r="AX1165" s="118"/>
      <c r="AY1165" s="144"/>
      <c r="BA1165" s="45"/>
      <c r="BB1165" s="46"/>
      <c r="BC1165" s="46"/>
      <c r="BD1165" s="55"/>
      <c r="BE1165" s="55"/>
      <c r="BF1165" s="101" t="str">
        <f t="shared" si="28"/>
        <v/>
      </c>
      <c r="BG1165" s="101" t="str">
        <f t="shared" si="29"/>
        <v/>
      </c>
      <c r="BH1165" s="101" t="str">
        <f t="shared" si="30"/>
        <v/>
      </c>
      <c r="BI1165" s="101" t="str">
        <f t="shared" si="31"/>
        <v/>
      </c>
      <c r="BJ1165" s="101" t="str">
        <f t="shared" si="32"/>
        <v/>
      </c>
      <c r="BK1165" s="101" t="str">
        <f t="shared" si="33"/>
        <v/>
      </c>
      <c r="BL1165" s="48"/>
      <c r="BM1165" s="48"/>
      <c r="BN1165" s="48"/>
      <c r="BO1165" s="47"/>
      <c r="BP1165" s="47"/>
      <c r="BQ1165" s="47"/>
      <c r="BR1165" s="47"/>
      <c r="BS1165" s="47"/>
      <c r="BT1165" s="47"/>
    </row>
    <row r="1166" spans="49:72" x14ac:dyDescent="0.2">
      <c r="AW1166" s="118"/>
      <c r="AX1166" s="118"/>
      <c r="AY1166" s="144"/>
      <c r="BA1166" s="45"/>
      <c r="BB1166" s="46"/>
      <c r="BC1166" s="46"/>
      <c r="BD1166" s="55"/>
      <c r="BE1166" s="55"/>
      <c r="BF1166" s="101" t="str">
        <f t="shared" si="28"/>
        <v/>
      </c>
      <c r="BG1166" s="101" t="str">
        <f t="shared" si="29"/>
        <v/>
      </c>
      <c r="BH1166" s="101" t="str">
        <f t="shared" si="30"/>
        <v/>
      </c>
      <c r="BI1166" s="101" t="str">
        <f t="shared" si="31"/>
        <v/>
      </c>
      <c r="BJ1166" s="101" t="str">
        <f t="shared" si="32"/>
        <v/>
      </c>
      <c r="BK1166" s="101" t="str">
        <f t="shared" si="33"/>
        <v/>
      </c>
      <c r="BL1166" s="48"/>
      <c r="BM1166" s="48"/>
      <c r="BN1166" s="48"/>
      <c r="BO1166" s="47"/>
      <c r="BP1166" s="47"/>
      <c r="BQ1166" s="47"/>
      <c r="BR1166" s="47"/>
      <c r="BS1166" s="47"/>
      <c r="BT1166" s="47"/>
    </row>
    <row r="1167" spans="49:72" x14ac:dyDescent="0.2">
      <c r="AW1167" s="118"/>
      <c r="AX1167" s="118"/>
      <c r="AY1167" s="144"/>
      <c r="BA1167" s="45"/>
      <c r="BB1167" s="46"/>
      <c r="BC1167" s="46"/>
      <c r="BD1167" s="55"/>
      <c r="BE1167" s="55"/>
      <c r="BF1167" s="101" t="str">
        <f t="shared" si="28"/>
        <v/>
      </c>
      <c r="BG1167" s="101" t="str">
        <f t="shared" si="29"/>
        <v/>
      </c>
      <c r="BH1167" s="101" t="str">
        <f t="shared" si="30"/>
        <v/>
      </c>
      <c r="BI1167" s="101" t="str">
        <f t="shared" si="31"/>
        <v/>
      </c>
      <c r="BJ1167" s="101" t="str">
        <f t="shared" si="32"/>
        <v/>
      </c>
      <c r="BK1167" s="101" t="str">
        <f t="shared" si="33"/>
        <v/>
      </c>
      <c r="BL1167" s="48"/>
      <c r="BM1167" s="48"/>
      <c r="BN1167" s="48"/>
      <c r="BO1167" s="47"/>
      <c r="BP1167" s="47"/>
      <c r="BQ1167" s="47"/>
      <c r="BR1167" s="47"/>
      <c r="BS1167" s="47"/>
      <c r="BT1167" s="47"/>
    </row>
    <row r="1168" spans="49:72" x14ac:dyDescent="0.2">
      <c r="AW1168" s="118"/>
      <c r="AX1168" s="118"/>
      <c r="AY1168" s="144"/>
      <c r="BA1168" s="45"/>
      <c r="BB1168" s="46"/>
      <c r="BC1168" s="46"/>
      <c r="BD1168" s="55"/>
      <c r="BE1168" s="55"/>
      <c r="BF1168" s="101" t="str">
        <f t="shared" si="28"/>
        <v/>
      </c>
      <c r="BG1168" s="101" t="str">
        <f t="shared" si="29"/>
        <v/>
      </c>
      <c r="BH1168" s="101" t="str">
        <f t="shared" si="30"/>
        <v/>
      </c>
      <c r="BI1168" s="101" t="str">
        <f t="shared" si="31"/>
        <v/>
      </c>
      <c r="BJ1168" s="101" t="str">
        <f t="shared" si="32"/>
        <v/>
      </c>
      <c r="BK1168" s="101" t="str">
        <f t="shared" si="33"/>
        <v/>
      </c>
      <c r="BL1168" s="48"/>
      <c r="BM1168" s="48"/>
      <c r="BN1168" s="48"/>
      <c r="BO1168" s="47"/>
      <c r="BP1168" s="47"/>
      <c r="BQ1168" s="47"/>
      <c r="BR1168" s="47"/>
      <c r="BS1168" s="47"/>
      <c r="BT1168" s="47"/>
    </row>
    <row r="1169" spans="49:72" x14ac:dyDescent="0.2">
      <c r="AW1169" s="118"/>
      <c r="AX1169" s="118"/>
      <c r="AY1169" s="144"/>
      <c r="BA1169" s="45"/>
      <c r="BB1169" s="46"/>
      <c r="BC1169" s="46"/>
      <c r="BD1169" s="55"/>
      <c r="BE1169" s="55"/>
      <c r="BF1169" s="101" t="str">
        <f t="shared" si="28"/>
        <v/>
      </c>
      <c r="BG1169" s="101" t="str">
        <f t="shared" si="29"/>
        <v/>
      </c>
      <c r="BH1169" s="101" t="str">
        <f t="shared" si="30"/>
        <v/>
      </c>
      <c r="BI1169" s="101" t="str">
        <f t="shared" si="31"/>
        <v/>
      </c>
      <c r="BJ1169" s="101" t="str">
        <f t="shared" si="32"/>
        <v/>
      </c>
      <c r="BK1169" s="101" t="str">
        <f t="shared" si="33"/>
        <v/>
      </c>
      <c r="BL1169" s="48"/>
      <c r="BM1169" s="48"/>
      <c r="BN1169" s="48"/>
      <c r="BO1169" s="47"/>
      <c r="BP1169" s="47"/>
      <c r="BQ1169" s="47"/>
      <c r="BR1169" s="47"/>
      <c r="BS1169" s="47"/>
      <c r="BT1169" s="47"/>
    </row>
    <row r="1170" spans="49:72" x14ac:dyDescent="0.2">
      <c r="AW1170" s="118"/>
      <c r="AX1170" s="118"/>
      <c r="AY1170" s="144"/>
      <c r="BA1170" s="45"/>
      <c r="BB1170" s="46"/>
      <c r="BC1170" s="46"/>
      <c r="BD1170" s="55"/>
      <c r="BE1170" s="55"/>
      <c r="BF1170" s="101" t="str">
        <f t="shared" si="28"/>
        <v/>
      </c>
      <c r="BG1170" s="101" t="str">
        <f t="shared" si="29"/>
        <v/>
      </c>
      <c r="BH1170" s="101" t="str">
        <f t="shared" si="30"/>
        <v/>
      </c>
      <c r="BI1170" s="101" t="str">
        <f t="shared" si="31"/>
        <v/>
      </c>
      <c r="BJ1170" s="101" t="str">
        <f t="shared" si="32"/>
        <v/>
      </c>
      <c r="BK1170" s="101" t="str">
        <f t="shared" si="33"/>
        <v/>
      </c>
      <c r="BL1170" s="48"/>
      <c r="BM1170" s="48"/>
      <c r="BN1170" s="48"/>
      <c r="BO1170" s="47"/>
      <c r="BP1170" s="47"/>
      <c r="BQ1170" s="47"/>
      <c r="BR1170" s="47"/>
      <c r="BS1170" s="47"/>
      <c r="BT1170" s="47"/>
    </row>
    <row r="1171" spans="49:72" x14ac:dyDescent="0.2">
      <c r="AW1171" s="118"/>
      <c r="AX1171" s="118"/>
      <c r="AY1171" s="144"/>
      <c r="BA1171" s="45"/>
      <c r="BB1171" s="46"/>
      <c r="BC1171" s="46"/>
      <c r="BD1171" s="55"/>
      <c r="BE1171" s="55"/>
      <c r="BF1171" s="101" t="str">
        <f t="shared" si="28"/>
        <v/>
      </c>
      <c r="BG1171" s="101" t="str">
        <f t="shared" si="29"/>
        <v/>
      </c>
      <c r="BH1171" s="101" t="str">
        <f t="shared" si="30"/>
        <v/>
      </c>
      <c r="BI1171" s="101" t="str">
        <f t="shared" si="31"/>
        <v/>
      </c>
      <c r="BJ1171" s="101" t="str">
        <f t="shared" si="32"/>
        <v/>
      </c>
      <c r="BK1171" s="101" t="str">
        <f t="shared" si="33"/>
        <v/>
      </c>
      <c r="BL1171" s="48"/>
      <c r="BM1171" s="48"/>
      <c r="BN1171" s="48"/>
      <c r="BO1171" s="47"/>
      <c r="BP1171" s="47"/>
      <c r="BQ1171" s="47"/>
      <c r="BR1171" s="47"/>
      <c r="BS1171" s="47"/>
      <c r="BT1171" s="47"/>
    </row>
    <row r="1172" spans="49:72" x14ac:dyDescent="0.2">
      <c r="AW1172" s="118"/>
      <c r="AX1172" s="118"/>
      <c r="AY1172" s="144"/>
      <c r="BA1172" s="45"/>
      <c r="BB1172" s="46"/>
      <c r="BC1172" s="46"/>
      <c r="BD1172" s="55"/>
      <c r="BE1172" s="55"/>
      <c r="BF1172" s="101" t="str">
        <f t="shared" si="28"/>
        <v/>
      </c>
      <c r="BG1172" s="101" t="str">
        <f t="shared" si="29"/>
        <v/>
      </c>
      <c r="BH1172" s="101" t="str">
        <f t="shared" si="30"/>
        <v/>
      </c>
      <c r="BI1172" s="101" t="str">
        <f t="shared" si="31"/>
        <v/>
      </c>
      <c r="BJ1172" s="101" t="str">
        <f t="shared" si="32"/>
        <v/>
      </c>
      <c r="BK1172" s="101" t="str">
        <f t="shared" si="33"/>
        <v/>
      </c>
      <c r="BL1172" s="48"/>
      <c r="BM1172" s="48"/>
      <c r="BN1172" s="48"/>
      <c r="BO1172" s="47"/>
      <c r="BP1172" s="47"/>
      <c r="BQ1172" s="47"/>
      <c r="BR1172" s="47"/>
      <c r="BS1172" s="47"/>
      <c r="BT1172" s="47"/>
    </row>
    <row r="1173" spans="49:72" x14ac:dyDescent="0.2">
      <c r="AW1173" s="118"/>
      <c r="AX1173" s="118"/>
      <c r="AY1173" s="144"/>
      <c r="BA1173" s="45"/>
      <c r="BB1173" s="46"/>
      <c r="BC1173" s="46"/>
      <c r="BD1173" s="55"/>
      <c r="BE1173" s="55"/>
      <c r="BF1173" s="101" t="str">
        <f t="shared" si="28"/>
        <v/>
      </c>
      <c r="BG1173" s="101" t="str">
        <f t="shared" si="29"/>
        <v/>
      </c>
      <c r="BH1173" s="101" t="str">
        <f t="shared" si="30"/>
        <v/>
      </c>
      <c r="BI1173" s="101" t="str">
        <f t="shared" si="31"/>
        <v/>
      </c>
      <c r="BJ1173" s="101" t="str">
        <f t="shared" si="32"/>
        <v/>
      </c>
      <c r="BK1173" s="101" t="str">
        <f t="shared" si="33"/>
        <v/>
      </c>
      <c r="BL1173" s="48"/>
      <c r="BM1173" s="48"/>
      <c r="BN1173" s="48"/>
      <c r="BO1173" s="47"/>
      <c r="BP1173" s="47"/>
      <c r="BQ1173" s="47"/>
      <c r="BR1173" s="47"/>
      <c r="BS1173" s="47"/>
      <c r="BT1173" s="47"/>
    </row>
    <row r="1174" spans="49:72" x14ac:dyDescent="0.2">
      <c r="AW1174" s="118"/>
      <c r="AX1174" s="118"/>
      <c r="AY1174" s="144"/>
      <c r="BA1174" s="45"/>
      <c r="BB1174" s="46"/>
      <c r="BC1174" s="46"/>
      <c r="BD1174" s="55"/>
      <c r="BE1174" s="55"/>
      <c r="BF1174" s="101" t="str">
        <f t="shared" si="28"/>
        <v/>
      </c>
      <c r="BG1174" s="101" t="str">
        <f t="shared" si="29"/>
        <v/>
      </c>
      <c r="BH1174" s="101" t="str">
        <f t="shared" si="30"/>
        <v/>
      </c>
      <c r="BI1174" s="101" t="str">
        <f t="shared" si="31"/>
        <v/>
      </c>
      <c r="BJ1174" s="101" t="str">
        <f t="shared" si="32"/>
        <v/>
      </c>
      <c r="BK1174" s="101" t="str">
        <f t="shared" si="33"/>
        <v/>
      </c>
      <c r="BL1174" s="48"/>
      <c r="BM1174" s="48"/>
      <c r="BN1174" s="48"/>
      <c r="BO1174" s="47"/>
      <c r="BP1174" s="47"/>
      <c r="BQ1174" s="47"/>
      <c r="BR1174" s="47"/>
      <c r="BS1174" s="47"/>
      <c r="BT1174" s="47"/>
    </row>
    <row r="1175" spans="49:72" x14ac:dyDescent="0.2">
      <c r="AW1175" s="118"/>
      <c r="AX1175" s="118"/>
      <c r="AY1175" s="144"/>
      <c r="BA1175" s="45"/>
      <c r="BB1175" s="46"/>
      <c r="BC1175" s="46"/>
      <c r="BD1175" s="55"/>
      <c r="BE1175" s="55"/>
      <c r="BF1175" s="101" t="str">
        <f t="shared" si="28"/>
        <v/>
      </c>
      <c r="BG1175" s="101" t="str">
        <f t="shared" si="29"/>
        <v/>
      </c>
      <c r="BH1175" s="101" t="str">
        <f t="shared" si="30"/>
        <v/>
      </c>
      <c r="BI1175" s="101" t="str">
        <f t="shared" si="31"/>
        <v/>
      </c>
      <c r="BJ1175" s="101" t="str">
        <f t="shared" si="32"/>
        <v/>
      </c>
      <c r="BK1175" s="101" t="str">
        <f t="shared" si="33"/>
        <v/>
      </c>
      <c r="BL1175" s="48"/>
      <c r="BM1175" s="48"/>
      <c r="BN1175" s="48"/>
      <c r="BO1175" s="47"/>
      <c r="BP1175" s="47"/>
      <c r="BQ1175" s="47"/>
      <c r="BR1175" s="47"/>
      <c r="BS1175" s="47"/>
      <c r="BT1175" s="47"/>
    </row>
    <row r="1176" spans="49:72" x14ac:dyDescent="0.2">
      <c r="AW1176" s="118"/>
      <c r="AX1176" s="118"/>
      <c r="AY1176" s="144"/>
      <c r="BA1176" s="45"/>
      <c r="BB1176" s="46"/>
      <c r="BC1176" s="46"/>
      <c r="BD1176" s="55"/>
      <c r="BE1176" s="55"/>
      <c r="BF1176" s="101" t="str">
        <f t="shared" si="28"/>
        <v/>
      </c>
      <c r="BG1176" s="101" t="str">
        <f t="shared" si="29"/>
        <v/>
      </c>
      <c r="BH1176" s="101" t="str">
        <f t="shared" si="30"/>
        <v/>
      </c>
      <c r="BI1176" s="101" t="str">
        <f t="shared" si="31"/>
        <v/>
      </c>
      <c r="BJ1176" s="101" t="str">
        <f t="shared" si="32"/>
        <v/>
      </c>
      <c r="BK1176" s="101" t="str">
        <f t="shared" si="33"/>
        <v/>
      </c>
      <c r="BL1176" s="48"/>
      <c r="BM1176" s="48"/>
      <c r="BN1176" s="48"/>
      <c r="BO1176" s="47"/>
      <c r="BP1176" s="47"/>
      <c r="BQ1176" s="47"/>
      <c r="BR1176" s="47"/>
      <c r="BS1176" s="47"/>
      <c r="BT1176" s="47"/>
    </row>
    <row r="1177" spans="49:72" x14ac:dyDescent="0.2">
      <c r="AW1177" s="118"/>
      <c r="AX1177" s="118"/>
      <c r="AY1177" s="144"/>
      <c r="BA1177" s="45"/>
      <c r="BB1177" s="46"/>
      <c r="BC1177" s="46"/>
      <c r="BD1177" s="55"/>
      <c r="BE1177" s="55"/>
      <c r="BF1177" s="101" t="str">
        <f t="shared" si="28"/>
        <v/>
      </c>
      <c r="BG1177" s="101" t="str">
        <f t="shared" si="29"/>
        <v/>
      </c>
      <c r="BH1177" s="101" t="str">
        <f t="shared" si="30"/>
        <v/>
      </c>
      <c r="BI1177" s="101" t="str">
        <f t="shared" si="31"/>
        <v/>
      </c>
      <c r="BJ1177" s="101" t="str">
        <f t="shared" si="32"/>
        <v/>
      </c>
      <c r="BK1177" s="101" t="str">
        <f t="shared" si="33"/>
        <v/>
      </c>
      <c r="BL1177" s="48"/>
      <c r="BM1177" s="48"/>
      <c r="BN1177" s="48"/>
      <c r="BO1177" s="47"/>
      <c r="BP1177" s="47"/>
      <c r="BQ1177" s="47"/>
      <c r="BR1177" s="47"/>
      <c r="BS1177" s="47"/>
      <c r="BT1177" s="47"/>
    </row>
    <row r="1178" spans="49:72" x14ac:dyDescent="0.2">
      <c r="AW1178" s="118"/>
      <c r="AX1178" s="118"/>
      <c r="AY1178" s="144"/>
      <c r="BA1178" s="45"/>
      <c r="BB1178" s="46"/>
      <c r="BC1178" s="46"/>
      <c r="BD1178" s="55"/>
      <c r="BE1178" s="55"/>
      <c r="BF1178" s="101" t="str">
        <f t="shared" si="28"/>
        <v/>
      </c>
      <c r="BG1178" s="101" t="str">
        <f t="shared" si="29"/>
        <v/>
      </c>
      <c r="BH1178" s="101" t="str">
        <f t="shared" si="30"/>
        <v/>
      </c>
      <c r="BI1178" s="101" t="str">
        <f t="shared" si="31"/>
        <v/>
      </c>
      <c r="BJ1178" s="101" t="str">
        <f t="shared" si="32"/>
        <v/>
      </c>
      <c r="BK1178" s="101" t="str">
        <f t="shared" si="33"/>
        <v/>
      </c>
      <c r="BL1178" s="48"/>
      <c r="BM1178" s="48"/>
      <c r="BN1178" s="48"/>
      <c r="BO1178" s="47"/>
      <c r="BP1178" s="47"/>
      <c r="BQ1178" s="47"/>
      <c r="BR1178" s="47"/>
      <c r="BS1178" s="47"/>
      <c r="BT1178" s="47"/>
    </row>
    <row r="1179" spans="49:72" x14ac:dyDescent="0.2">
      <c r="AW1179" s="118"/>
      <c r="AX1179" s="118"/>
      <c r="AY1179" s="144"/>
      <c r="BA1179" s="45"/>
      <c r="BB1179" s="46"/>
      <c r="BC1179" s="46"/>
      <c r="BD1179" s="55"/>
      <c r="BE1179" s="55"/>
      <c r="BF1179" s="101" t="str">
        <f t="shared" si="28"/>
        <v/>
      </c>
      <c r="BG1179" s="101" t="str">
        <f t="shared" si="29"/>
        <v/>
      </c>
      <c r="BH1179" s="101" t="str">
        <f t="shared" si="30"/>
        <v/>
      </c>
      <c r="BI1179" s="101" t="str">
        <f t="shared" si="31"/>
        <v/>
      </c>
      <c r="BJ1179" s="101" t="str">
        <f t="shared" si="32"/>
        <v/>
      </c>
      <c r="BK1179" s="101" t="str">
        <f t="shared" si="33"/>
        <v/>
      </c>
      <c r="BL1179" s="48"/>
      <c r="BM1179" s="48"/>
      <c r="BN1179" s="48"/>
      <c r="BO1179" s="47"/>
      <c r="BP1179" s="47"/>
      <c r="BQ1179" s="47"/>
      <c r="BR1179" s="47"/>
      <c r="BS1179" s="47"/>
      <c r="BT1179" s="47"/>
    </row>
    <row r="1180" spans="49:72" x14ac:dyDescent="0.2">
      <c r="AW1180" s="118"/>
      <c r="AX1180" s="118"/>
      <c r="AY1180" s="144"/>
      <c r="BA1180" s="45"/>
      <c r="BB1180" s="46"/>
      <c r="BC1180" s="46"/>
      <c r="BD1180" s="55"/>
      <c r="BE1180" s="55"/>
      <c r="BF1180" s="101" t="str">
        <f t="shared" si="28"/>
        <v/>
      </c>
      <c r="BG1180" s="101" t="str">
        <f t="shared" si="29"/>
        <v/>
      </c>
      <c r="BH1180" s="101" t="str">
        <f t="shared" si="30"/>
        <v/>
      </c>
      <c r="BI1180" s="101" t="str">
        <f t="shared" si="31"/>
        <v/>
      </c>
      <c r="BJ1180" s="101" t="str">
        <f t="shared" si="32"/>
        <v/>
      </c>
      <c r="BK1180" s="101" t="str">
        <f t="shared" si="33"/>
        <v/>
      </c>
      <c r="BL1180" s="48"/>
      <c r="BM1180" s="48"/>
      <c r="BN1180" s="48"/>
      <c r="BO1180" s="47"/>
      <c r="BP1180" s="47"/>
      <c r="BQ1180" s="47"/>
      <c r="BR1180" s="47"/>
      <c r="BS1180" s="47"/>
      <c r="BT1180" s="47"/>
    </row>
    <row r="1181" spans="49:72" x14ac:dyDescent="0.2">
      <c r="AW1181" s="118"/>
      <c r="AX1181" s="118"/>
      <c r="AY1181" s="144"/>
      <c r="BA1181" s="45"/>
      <c r="BB1181" s="46"/>
      <c r="BC1181" s="46"/>
      <c r="BD1181" s="55"/>
      <c r="BE1181" s="55"/>
      <c r="BF1181" s="101" t="str">
        <f t="shared" si="28"/>
        <v/>
      </c>
      <c r="BG1181" s="101" t="str">
        <f t="shared" si="29"/>
        <v/>
      </c>
      <c r="BH1181" s="101" t="str">
        <f t="shared" si="30"/>
        <v/>
      </c>
      <c r="BI1181" s="101" t="str">
        <f t="shared" si="31"/>
        <v/>
      </c>
      <c r="BJ1181" s="101" t="str">
        <f t="shared" si="32"/>
        <v/>
      </c>
      <c r="BK1181" s="101" t="str">
        <f t="shared" si="33"/>
        <v/>
      </c>
      <c r="BL1181" s="48"/>
      <c r="BM1181" s="48"/>
      <c r="BN1181" s="48"/>
      <c r="BO1181" s="47"/>
      <c r="BP1181" s="47"/>
      <c r="BQ1181" s="47"/>
      <c r="BR1181" s="47"/>
      <c r="BS1181" s="47"/>
      <c r="BT1181" s="47"/>
    </row>
    <row r="1182" spans="49:72" x14ac:dyDescent="0.2">
      <c r="AW1182" s="118"/>
      <c r="AX1182" s="118"/>
      <c r="AY1182" s="144"/>
      <c r="BA1182" s="45"/>
      <c r="BB1182" s="46"/>
      <c r="BC1182" s="46"/>
      <c r="BD1182" s="55"/>
      <c r="BE1182" s="55"/>
      <c r="BF1182" s="101" t="str">
        <f t="shared" si="28"/>
        <v/>
      </c>
      <c r="BG1182" s="101" t="str">
        <f t="shared" si="29"/>
        <v/>
      </c>
      <c r="BH1182" s="101" t="str">
        <f t="shared" si="30"/>
        <v/>
      </c>
      <c r="BI1182" s="101" t="str">
        <f t="shared" si="31"/>
        <v/>
      </c>
      <c r="BJ1182" s="101" t="str">
        <f t="shared" si="32"/>
        <v/>
      </c>
      <c r="BK1182" s="101" t="str">
        <f t="shared" si="33"/>
        <v/>
      </c>
      <c r="BL1182" s="48"/>
      <c r="BM1182" s="48"/>
      <c r="BN1182" s="48"/>
      <c r="BO1182" s="47"/>
      <c r="BP1182" s="47"/>
      <c r="BQ1182" s="47"/>
      <c r="BR1182" s="47"/>
      <c r="BS1182" s="47"/>
      <c r="BT1182" s="47"/>
    </row>
    <row r="1183" spans="49:72" x14ac:dyDescent="0.2">
      <c r="AW1183" s="118"/>
      <c r="AX1183" s="118"/>
      <c r="AY1183" s="144"/>
      <c r="BA1183" s="45"/>
      <c r="BB1183" s="46"/>
      <c r="BC1183" s="46"/>
      <c r="BD1183" s="55"/>
      <c r="BE1183" s="55"/>
      <c r="BF1183" s="101" t="str">
        <f t="shared" si="28"/>
        <v/>
      </c>
      <c r="BG1183" s="101" t="str">
        <f t="shared" si="29"/>
        <v/>
      </c>
      <c r="BH1183" s="101" t="str">
        <f t="shared" si="30"/>
        <v/>
      </c>
      <c r="BI1183" s="101" t="str">
        <f t="shared" si="31"/>
        <v/>
      </c>
      <c r="BJ1183" s="101" t="str">
        <f t="shared" si="32"/>
        <v/>
      </c>
      <c r="BK1183" s="101" t="str">
        <f t="shared" si="33"/>
        <v/>
      </c>
      <c r="BL1183" s="48"/>
      <c r="BM1183" s="48"/>
      <c r="BN1183" s="48"/>
      <c r="BO1183" s="47"/>
      <c r="BP1183" s="47"/>
      <c r="BQ1183" s="47"/>
      <c r="BR1183" s="47"/>
      <c r="BS1183" s="47"/>
      <c r="BT1183" s="47"/>
    </row>
    <row r="1184" spans="49:72" x14ac:dyDescent="0.2">
      <c r="AW1184" s="118"/>
      <c r="AX1184" s="118"/>
      <c r="AY1184" s="144"/>
      <c r="BA1184" s="45"/>
      <c r="BB1184" s="46"/>
      <c r="BC1184" s="46"/>
      <c r="BD1184" s="55"/>
      <c r="BE1184" s="55"/>
      <c r="BF1184" s="101" t="str">
        <f t="shared" si="28"/>
        <v/>
      </c>
      <c r="BG1184" s="101" t="str">
        <f t="shared" si="29"/>
        <v/>
      </c>
      <c r="BH1184" s="101" t="str">
        <f t="shared" si="30"/>
        <v/>
      </c>
      <c r="BI1184" s="101" t="str">
        <f t="shared" si="31"/>
        <v/>
      </c>
      <c r="BJ1184" s="101" t="str">
        <f t="shared" si="32"/>
        <v/>
      </c>
      <c r="BK1184" s="101" t="str">
        <f t="shared" si="33"/>
        <v/>
      </c>
      <c r="BL1184" s="48"/>
      <c r="BM1184" s="48"/>
      <c r="BN1184" s="48"/>
      <c r="BO1184" s="47"/>
      <c r="BP1184" s="47"/>
      <c r="BQ1184" s="47"/>
      <c r="BR1184" s="47"/>
      <c r="BS1184" s="47"/>
      <c r="BT1184" s="47"/>
    </row>
    <row r="1185" spans="49:72" x14ac:dyDescent="0.2">
      <c r="AW1185" s="118"/>
      <c r="AX1185" s="118"/>
      <c r="AY1185" s="144"/>
      <c r="BA1185" s="45"/>
      <c r="BB1185" s="46"/>
      <c r="BC1185" s="46"/>
      <c r="BD1185" s="55"/>
      <c r="BE1185" s="55"/>
      <c r="BF1185" s="101" t="str">
        <f t="shared" si="28"/>
        <v/>
      </c>
      <c r="BG1185" s="101" t="str">
        <f t="shared" si="29"/>
        <v/>
      </c>
      <c r="BH1185" s="101" t="str">
        <f t="shared" si="30"/>
        <v/>
      </c>
      <c r="BI1185" s="101" t="str">
        <f t="shared" si="31"/>
        <v/>
      </c>
      <c r="BJ1185" s="101" t="str">
        <f t="shared" si="32"/>
        <v/>
      </c>
      <c r="BK1185" s="101" t="str">
        <f t="shared" si="33"/>
        <v/>
      </c>
      <c r="BL1185" s="48"/>
      <c r="BM1185" s="48"/>
      <c r="BN1185" s="48"/>
      <c r="BO1185" s="47"/>
      <c r="BP1185" s="47"/>
      <c r="BQ1185" s="47"/>
      <c r="BR1185" s="47"/>
      <c r="BS1185" s="47"/>
      <c r="BT1185" s="47"/>
    </row>
    <row r="1186" spans="49:72" x14ac:dyDescent="0.2">
      <c r="AW1186" s="118"/>
      <c r="AX1186" s="118"/>
      <c r="AY1186" s="144"/>
      <c r="BA1186" s="45"/>
      <c r="BB1186" s="46"/>
      <c r="BC1186" s="46"/>
      <c r="BD1186" s="55"/>
      <c r="BE1186" s="55"/>
      <c r="BF1186" s="101" t="str">
        <f t="shared" si="28"/>
        <v/>
      </c>
      <c r="BG1186" s="101" t="str">
        <f t="shared" si="29"/>
        <v/>
      </c>
      <c r="BH1186" s="101" t="str">
        <f t="shared" si="30"/>
        <v/>
      </c>
      <c r="BI1186" s="101" t="str">
        <f t="shared" si="31"/>
        <v/>
      </c>
      <c r="BJ1186" s="101" t="str">
        <f t="shared" si="32"/>
        <v/>
      </c>
      <c r="BK1186" s="101" t="str">
        <f t="shared" si="33"/>
        <v/>
      </c>
      <c r="BL1186" s="48"/>
      <c r="BM1186" s="48"/>
      <c r="BN1186" s="48"/>
      <c r="BO1186" s="47"/>
      <c r="BP1186" s="47"/>
      <c r="BQ1186" s="47"/>
      <c r="BR1186" s="47"/>
      <c r="BS1186" s="47"/>
      <c r="BT1186" s="47"/>
    </row>
    <row r="1187" spans="49:72" x14ac:dyDescent="0.2">
      <c r="AW1187" s="118"/>
      <c r="AX1187" s="118"/>
      <c r="AY1187" s="144"/>
      <c r="BA1187" s="45"/>
      <c r="BB1187" s="46"/>
      <c r="BC1187" s="46"/>
      <c r="BD1187" s="55"/>
      <c r="BE1187" s="55"/>
      <c r="BF1187" s="101" t="str">
        <f t="shared" si="28"/>
        <v/>
      </c>
      <c r="BG1187" s="101" t="str">
        <f t="shared" si="29"/>
        <v/>
      </c>
      <c r="BH1187" s="101" t="str">
        <f t="shared" si="30"/>
        <v/>
      </c>
      <c r="BI1187" s="101" t="str">
        <f t="shared" si="31"/>
        <v/>
      </c>
      <c r="BJ1187" s="101" t="str">
        <f t="shared" si="32"/>
        <v/>
      </c>
      <c r="BK1187" s="101" t="str">
        <f t="shared" si="33"/>
        <v/>
      </c>
      <c r="BL1187" s="48"/>
      <c r="BM1187" s="48"/>
      <c r="BN1187" s="48"/>
      <c r="BO1187" s="47"/>
      <c r="BP1187" s="47"/>
      <c r="BQ1187" s="47"/>
      <c r="BR1187" s="47"/>
      <c r="BS1187" s="47"/>
      <c r="BT1187" s="47"/>
    </row>
    <row r="1188" spans="49:72" x14ac:dyDescent="0.2">
      <c r="AW1188" s="118"/>
      <c r="AX1188" s="118"/>
      <c r="AY1188" s="144"/>
      <c r="BA1188" s="45"/>
      <c r="BB1188" s="46"/>
      <c r="BC1188" s="46"/>
      <c r="BD1188" s="55"/>
      <c r="BE1188" s="55"/>
      <c r="BF1188" s="101" t="str">
        <f t="shared" si="28"/>
        <v/>
      </c>
      <c r="BG1188" s="101" t="str">
        <f t="shared" si="29"/>
        <v/>
      </c>
      <c r="BH1188" s="101" t="str">
        <f t="shared" si="30"/>
        <v/>
      </c>
      <c r="BI1188" s="101" t="str">
        <f t="shared" si="31"/>
        <v/>
      </c>
      <c r="BJ1188" s="101" t="str">
        <f t="shared" si="32"/>
        <v/>
      </c>
      <c r="BK1188" s="101" t="str">
        <f t="shared" si="33"/>
        <v/>
      </c>
      <c r="BL1188" s="48"/>
      <c r="BM1188" s="48"/>
      <c r="BN1188" s="48"/>
      <c r="BO1188" s="47"/>
      <c r="BP1188" s="47"/>
      <c r="BQ1188" s="47"/>
      <c r="BR1188" s="47"/>
      <c r="BS1188" s="47"/>
      <c r="BT1188" s="47"/>
    </row>
    <row r="1189" spans="49:72" x14ac:dyDescent="0.2">
      <c r="AW1189" s="118"/>
      <c r="AX1189" s="118"/>
      <c r="AY1189" s="144"/>
      <c r="BA1189" s="45"/>
      <c r="BB1189" s="46"/>
      <c r="BC1189" s="46"/>
      <c r="BD1189" s="55"/>
      <c r="BE1189" s="55"/>
      <c r="BF1189" s="101" t="str">
        <f t="shared" si="28"/>
        <v/>
      </c>
      <c r="BG1189" s="101" t="str">
        <f t="shared" si="29"/>
        <v/>
      </c>
      <c r="BH1189" s="101" t="str">
        <f t="shared" si="30"/>
        <v/>
      </c>
      <c r="BI1189" s="101" t="str">
        <f t="shared" si="31"/>
        <v/>
      </c>
      <c r="BJ1189" s="101" t="str">
        <f t="shared" si="32"/>
        <v/>
      </c>
      <c r="BK1189" s="101" t="str">
        <f t="shared" si="33"/>
        <v/>
      </c>
      <c r="BL1189" s="48"/>
      <c r="BM1189" s="48"/>
      <c r="BN1189" s="48"/>
      <c r="BO1189" s="47"/>
      <c r="BP1189" s="47"/>
      <c r="BQ1189" s="47"/>
      <c r="BR1189" s="47"/>
      <c r="BS1189" s="47"/>
      <c r="BT1189" s="47"/>
    </row>
    <row r="1190" spans="49:72" x14ac:dyDescent="0.2">
      <c r="AW1190" s="118"/>
      <c r="AX1190" s="118"/>
      <c r="AY1190" s="144"/>
      <c r="BA1190" s="45"/>
      <c r="BB1190" s="46"/>
      <c r="BC1190" s="46"/>
      <c r="BD1190" s="55"/>
      <c r="BE1190" s="55"/>
      <c r="BF1190" s="101" t="str">
        <f t="shared" si="28"/>
        <v/>
      </c>
      <c r="BG1190" s="101" t="str">
        <f t="shared" si="29"/>
        <v/>
      </c>
      <c r="BH1190" s="101" t="str">
        <f t="shared" si="30"/>
        <v/>
      </c>
      <c r="BI1190" s="101" t="str">
        <f t="shared" si="31"/>
        <v/>
      </c>
      <c r="BJ1190" s="101" t="str">
        <f t="shared" si="32"/>
        <v/>
      </c>
      <c r="BK1190" s="101" t="str">
        <f t="shared" si="33"/>
        <v/>
      </c>
      <c r="BL1190" s="48"/>
      <c r="BM1190" s="48"/>
      <c r="BN1190" s="48"/>
      <c r="BO1190" s="47"/>
      <c r="BP1190" s="47"/>
      <c r="BQ1190" s="47"/>
      <c r="BR1190" s="47"/>
      <c r="BS1190" s="47"/>
      <c r="BT1190" s="47"/>
    </row>
    <row r="1191" spans="49:72" x14ac:dyDescent="0.2">
      <c r="AW1191" s="118"/>
      <c r="AX1191" s="118"/>
      <c r="AY1191" s="144"/>
      <c r="BA1191" s="45"/>
      <c r="BB1191" s="46"/>
      <c r="BC1191" s="46"/>
      <c r="BD1191" s="55"/>
      <c r="BE1191" s="55"/>
      <c r="BF1191" s="101" t="str">
        <f t="shared" si="28"/>
        <v/>
      </c>
      <c r="BG1191" s="101" t="str">
        <f t="shared" si="29"/>
        <v/>
      </c>
      <c r="BH1191" s="101" t="str">
        <f t="shared" si="30"/>
        <v/>
      </c>
      <c r="BI1191" s="101" t="str">
        <f t="shared" si="31"/>
        <v/>
      </c>
      <c r="BJ1191" s="101" t="str">
        <f t="shared" si="32"/>
        <v/>
      </c>
      <c r="BK1191" s="101" t="str">
        <f t="shared" si="33"/>
        <v/>
      </c>
      <c r="BL1191" s="48"/>
      <c r="BM1191" s="48"/>
      <c r="BN1191" s="48"/>
      <c r="BO1191" s="47"/>
      <c r="BP1191" s="47"/>
      <c r="BQ1191" s="47"/>
      <c r="BR1191" s="47"/>
      <c r="BS1191" s="47"/>
      <c r="BT1191" s="47"/>
    </row>
    <row r="1192" spans="49:72" x14ac:dyDescent="0.2">
      <c r="AW1192" s="118"/>
      <c r="AX1192" s="118"/>
      <c r="AY1192" s="144"/>
      <c r="BA1192" s="45"/>
      <c r="BB1192" s="46"/>
      <c r="BC1192" s="46"/>
      <c r="BD1192" s="55"/>
      <c r="BE1192" s="55"/>
      <c r="BF1192" s="101" t="str">
        <f t="shared" si="28"/>
        <v/>
      </c>
      <c r="BG1192" s="101" t="str">
        <f t="shared" si="29"/>
        <v/>
      </c>
      <c r="BH1192" s="101" t="str">
        <f t="shared" si="30"/>
        <v/>
      </c>
      <c r="BI1192" s="101" t="str">
        <f t="shared" si="31"/>
        <v/>
      </c>
      <c r="BJ1192" s="101" t="str">
        <f t="shared" si="32"/>
        <v/>
      </c>
      <c r="BK1192" s="101" t="str">
        <f t="shared" si="33"/>
        <v/>
      </c>
      <c r="BL1192" s="48"/>
      <c r="BM1192" s="48"/>
      <c r="BN1192" s="48"/>
      <c r="BO1192" s="47"/>
      <c r="BP1192" s="47"/>
      <c r="BQ1192" s="47"/>
      <c r="BR1192" s="47"/>
      <c r="BS1192" s="47"/>
      <c r="BT1192" s="47"/>
    </row>
    <row r="1193" spans="49:72" x14ac:dyDescent="0.2">
      <c r="AW1193" s="118"/>
      <c r="AX1193" s="118"/>
      <c r="AY1193" s="144"/>
      <c r="BA1193" s="45"/>
      <c r="BB1193" s="46"/>
      <c r="BC1193" s="46"/>
      <c r="BD1193" s="55"/>
      <c r="BE1193" s="55"/>
      <c r="BF1193" s="101" t="str">
        <f t="shared" si="28"/>
        <v/>
      </c>
      <c r="BG1193" s="101" t="str">
        <f t="shared" si="29"/>
        <v/>
      </c>
      <c r="BH1193" s="101" t="str">
        <f t="shared" si="30"/>
        <v/>
      </c>
      <c r="BI1193" s="101" t="str">
        <f t="shared" si="31"/>
        <v/>
      </c>
      <c r="BJ1193" s="101" t="str">
        <f t="shared" si="32"/>
        <v/>
      </c>
      <c r="BK1193" s="101" t="str">
        <f t="shared" si="33"/>
        <v/>
      </c>
      <c r="BL1193" s="48"/>
      <c r="BM1193" s="48"/>
      <c r="BN1193" s="48"/>
      <c r="BO1193" s="47"/>
      <c r="BP1193" s="47"/>
      <c r="BQ1193" s="47"/>
      <c r="BR1193" s="47"/>
      <c r="BS1193" s="47"/>
      <c r="BT1193" s="47"/>
    </row>
    <row r="1194" spans="49:72" x14ac:dyDescent="0.2">
      <c r="AW1194" s="118"/>
      <c r="AX1194" s="118"/>
      <c r="AY1194" s="144"/>
      <c r="BA1194" s="45"/>
      <c r="BB1194" s="46"/>
      <c r="BC1194" s="46"/>
      <c r="BD1194" s="55"/>
      <c r="BE1194" s="55"/>
      <c r="BF1194" s="101" t="str">
        <f t="shared" si="28"/>
        <v/>
      </c>
      <c r="BG1194" s="101" t="str">
        <f t="shared" si="29"/>
        <v/>
      </c>
      <c r="BH1194" s="101" t="str">
        <f t="shared" si="30"/>
        <v/>
      </c>
      <c r="BI1194" s="101" t="str">
        <f t="shared" si="31"/>
        <v/>
      </c>
      <c r="BJ1194" s="101" t="str">
        <f t="shared" si="32"/>
        <v/>
      </c>
      <c r="BK1194" s="101" t="str">
        <f t="shared" si="33"/>
        <v/>
      </c>
      <c r="BL1194" s="48"/>
      <c r="BM1194" s="48"/>
      <c r="BN1194" s="48"/>
      <c r="BO1194" s="47"/>
      <c r="BP1194" s="47"/>
      <c r="BQ1194" s="47"/>
      <c r="BR1194" s="47"/>
      <c r="BS1194" s="47"/>
      <c r="BT1194" s="47"/>
    </row>
    <row r="1195" spans="49:72" x14ac:dyDescent="0.2">
      <c r="AW1195" s="118"/>
      <c r="AX1195" s="118"/>
      <c r="AY1195" s="144"/>
      <c r="BA1195" s="45"/>
      <c r="BB1195" s="46"/>
      <c r="BC1195" s="46"/>
      <c r="BD1195" s="55"/>
      <c r="BE1195" s="55"/>
      <c r="BF1195" s="101" t="str">
        <f t="shared" ref="BF1195:BF1233" si="34">IF(AND($B195="",$C195=""),"",IF($FB195="I",IF(AND(ISBLANK($F195)=FALSE,ISBLANK($G195)),IF($B195="",$C195,$B195),IF(AND(ISBLANK($L195)=FALSE,ISBLANK($M195)),IF($B195="",$C195,$B195),IF(AND(ISBLANK($R195)=FALSE,ISBLANK($S195)),IF($B195="",$C195,$B195),IF(AND(ISBLANK($V195)=FALSE,ISBLANK($W195)),IF($B195="",$C195,$B195),IF(AND(ISBLANK($Z195)=FALSE,ISBLANK($AA195)),IF($B195="",$C195,$B195),""))))),""))</f>
        <v/>
      </c>
      <c r="BG1195" s="101" t="str">
        <f t="shared" ref="BG1195:BG1233" si="35">IF(AND($B195="",$C195=""),"",IF($FB195="H",IF(AND(ISBLANK($F195)=FALSE,ISBLANK($G195)),IF($B195="",$C195,$B195),IF(AND(ISBLANK($L195)=FALSE,ISBLANK($M195)),IF($B195="",$C195,$B195),IF(AND(ISBLANK($R195)=FALSE,ISBLANK($S195)),IF($B195="",$C195,$B195),IF(AND(ISBLANK($V195)=FALSE,ISBLANK($W195)),IF($B195="",$C195,$B195),IF(AND(ISBLANK($Z195)=FALSE,ISBLANK($AA195)),IF($B195="",$C195,$B195),""))))),""))</f>
        <v/>
      </c>
      <c r="BH1195" s="101" t="str">
        <f t="shared" ref="BH1195:BH1233" si="36">IF(AND(ISBLANK($G195)=FALSE,ISBLANK($H195),ISBLANK($I195),ISBLANK($J195),ISBLANK($K195)),IF(ISBLANK($B195),$C195,$B195),IF(AND(ISBLANK($M195)=FALSE,ISBLANK($N195),ISBLANK($O195),ISBLANK($P195),ISBLANK($Q195)),IF(ISBLANK($B195),$C195,$B195),IF(AND(ISBLANK($S195)=FALSE,ISBLANK($T195),ISBLANK($U195)),IF(ISBLANK($B195),$C195,$B195),IF(AND(ISBLANK($W195)=FALSE,ISBLANK($X195),ISBLANK($Y195)),IF(ISBLANK($B195),$C195,$B195),IF(AND(ISBLANK($AA195)=FALSE,ISBLANK($AB195)),IF(ISBLANK($B195),$C195,$B195),"")))))</f>
        <v/>
      </c>
      <c r="BI1195" s="101" t="str">
        <f t="shared" ref="BI1195:BI1233" si="37">IF(AND(ISBLANK($I195)=FALSE,OR(ISBLANK($J195),ISBLANK($K195),ISBLANK($L195))),IF($J195&gt;=$I195,"",IF(ISBLANK($B195),$C195,$B195)),IF(AND(ISBLANK($O195)=FALSE,OR(ISBLANK($P195),ISBLANK($Q195),ISBLANK($R195))),IF($P195&gt;=$O195,"",IF(ISBLANK($B195),$C195,$B195)),""))</f>
        <v/>
      </c>
      <c r="BJ1195" s="101" t="str">
        <f t="shared" ref="BJ1195:BJ1233" si="38">IF(AND(ISBLANK($J195)=FALSE,OR(ISBLANK($K195),ISBLANK($L195))),IF(AND($I195&lt;=$J195,$K195&lt;$J195),IF(ISBLANK($B195),$C195,$B195),""),IF(AND(ISBLANK($P195)=FALSE,OR(ISBLANK($Q195),ISBLANK($R195),)),IF(AND($O195&lt;=$P195,$Q195&lt;$P195),IF(ISBLANK($B195),$C195,$B195),""),""))</f>
        <v/>
      </c>
      <c r="BK1195" s="101" t="str">
        <f t="shared" ref="BK1195:BK1233" si="39">IF(AND($BF1195="", $BG1195="", $BH1195=""), IF(AND($BI1195="", $BJ1195=""), IF(AND($B195="",$C195=""), "", IF(ISBLANK($B195),$C195,$B195)),""),"")</f>
        <v/>
      </c>
      <c r="BL1195" s="48"/>
      <c r="BM1195" s="48"/>
      <c r="BN1195" s="48"/>
      <c r="BO1195" s="47"/>
      <c r="BP1195" s="47"/>
      <c r="BQ1195" s="47"/>
      <c r="BR1195" s="47"/>
      <c r="BS1195" s="47"/>
      <c r="BT1195" s="47"/>
    </row>
    <row r="1196" spans="49:72" x14ac:dyDescent="0.2">
      <c r="AW1196" s="118"/>
      <c r="AX1196" s="118"/>
      <c r="AY1196" s="144"/>
      <c r="BA1196" s="45"/>
      <c r="BB1196" s="46"/>
      <c r="BC1196" s="46"/>
      <c r="BD1196" s="55"/>
      <c r="BE1196" s="55"/>
      <c r="BF1196" s="101" t="str">
        <f t="shared" si="34"/>
        <v/>
      </c>
      <c r="BG1196" s="101" t="str">
        <f t="shared" si="35"/>
        <v/>
      </c>
      <c r="BH1196" s="101" t="str">
        <f t="shared" si="36"/>
        <v/>
      </c>
      <c r="BI1196" s="101" t="str">
        <f t="shared" si="37"/>
        <v/>
      </c>
      <c r="BJ1196" s="101" t="str">
        <f t="shared" si="38"/>
        <v/>
      </c>
      <c r="BK1196" s="101" t="str">
        <f t="shared" si="39"/>
        <v/>
      </c>
      <c r="BL1196" s="48"/>
      <c r="BM1196" s="48"/>
      <c r="BN1196" s="48"/>
      <c r="BO1196" s="47"/>
      <c r="BP1196" s="47"/>
      <c r="BQ1196" s="47"/>
      <c r="BR1196" s="47"/>
      <c r="BS1196" s="47"/>
      <c r="BT1196" s="47"/>
    </row>
    <row r="1197" spans="49:72" x14ac:dyDescent="0.2">
      <c r="AW1197" s="118"/>
      <c r="AX1197" s="118"/>
      <c r="AY1197" s="144"/>
      <c r="BA1197" s="45"/>
      <c r="BB1197" s="46"/>
      <c r="BC1197" s="46"/>
      <c r="BD1197" s="55"/>
      <c r="BE1197" s="55"/>
      <c r="BF1197" s="101" t="str">
        <f t="shared" si="34"/>
        <v/>
      </c>
      <c r="BG1197" s="101" t="str">
        <f t="shared" si="35"/>
        <v/>
      </c>
      <c r="BH1197" s="101" t="str">
        <f t="shared" si="36"/>
        <v/>
      </c>
      <c r="BI1197" s="101" t="str">
        <f t="shared" si="37"/>
        <v/>
      </c>
      <c r="BJ1197" s="101" t="str">
        <f t="shared" si="38"/>
        <v/>
      </c>
      <c r="BK1197" s="101" t="str">
        <f t="shared" si="39"/>
        <v/>
      </c>
      <c r="BL1197" s="48"/>
      <c r="BM1197" s="48"/>
      <c r="BN1197" s="48"/>
      <c r="BO1197" s="47"/>
      <c r="BP1197" s="47"/>
      <c r="BQ1197" s="47"/>
      <c r="BR1197" s="47"/>
      <c r="BS1197" s="47"/>
      <c r="BT1197" s="47"/>
    </row>
    <row r="1198" spans="49:72" x14ac:dyDescent="0.2">
      <c r="AW1198" s="118"/>
      <c r="AX1198" s="118"/>
      <c r="AY1198" s="144"/>
      <c r="BA1198" s="45"/>
      <c r="BB1198" s="46"/>
      <c r="BC1198" s="46"/>
      <c r="BD1198" s="55"/>
      <c r="BE1198" s="55"/>
      <c r="BF1198" s="101" t="str">
        <f t="shared" si="34"/>
        <v/>
      </c>
      <c r="BG1198" s="101" t="str">
        <f t="shared" si="35"/>
        <v/>
      </c>
      <c r="BH1198" s="101" t="str">
        <f t="shared" si="36"/>
        <v/>
      </c>
      <c r="BI1198" s="101" t="str">
        <f t="shared" si="37"/>
        <v/>
      </c>
      <c r="BJ1198" s="101" t="str">
        <f t="shared" si="38"/>
        <v/>
      </c>
      <c r="BK1198" s="101" t="str">
        <f t="shared" si="39"/>
        <v/>
      </c>
      <c r="BL1198" s="48"/>
      <c r="BM1198" s="48"/>
      <c r="BN1198" s="48"/>
      <c r="BO1198" s="47"/>
      <c r="BP1198" s="47"/>
      <c r="BQ1198" s="47"/>
      <c r="BR1198" s="47"/>
      <c r="BS1198" s="47"/>
      <c r="BT1198" s="47"/>
    </row>
    <row r="1199" spans="49:72" x14ac:dyDescent="0.2">
      <c r="AW1199" s="118"/>
      <c r="AX1199" s="118"/>
      <c r="AY1199" s="144"/>
      <c r="BA1199" s="45"/>
      <c r="BB1199" s="46"/>
      <c r="BC1199" s="46"/>
      <c r="BD1199" s="55"/>
      <c r="BE1199" s="55"/>
      <c r="BF1199" s="101" t="str">
        <f t="shared" si="34"/>
        <v/>
      </c>
      <c r="BG1199" s="101" t="str">
        <f t="shared" si="35"/>
        <v/>
      </c>
      <c r="BH1199" s="101" t="str">
        <f t="shared" si="36"/>
        <v/>
      </c>
      <c r="BI1199" s="101" t="str">
        <f t="shared" si="37"/>
        <v/>
      </c>
      <c r="BJ1199" s="101" t="str">
        <f t="shared" si="38"/>
        <v/>
      </c>
      <c r="BK1199" s="101" t="str">
        <f t="shared" si="39"/>
        <v/>
      </c>
      <c r="BL1199" s="48"/>
      <c r="BM1199" s="48"/>
      <c r="BN1199" s="48"/>
      <c r="BO1199" s="47"/>
      <c r="BP1199" s="47"/>
      <c r="BQ1199" s="47"/>
      <c r="BR1199" s="47"/>
      <c r="BS1199" s="47"/>
      <c r="BT1199" s="47"/>
    </row>
    <row r="1200" spans="49:72" x14ac:dyDescent="0.2">
      <c r="AW1200" s="118"/>
      <c r="AX1200" s="118"/>
      <c r="AY1200" s="144"/>
      <c r="BA1200" s="45"/>
      <c r="BB1200" s="46"/>
      <c r="BC1200" s="46"/>
      <c r="BD1200" s="55"/>
      <c r="BE1200" s="55"/>
      <c r="BF1200" s="101" t="str">
        <f t="shared" si="34"/>
        <v/>
      </c>
      <c r="BG1200" s="101" t="str">
        <f t="shared" si="35"/>
        <v/>
      </c>
      <c r="BH1200" s="101" t="str">
        <f t="shared" si="36"/>
        <v/>
      </c>
      <c r="BI1200" s="101" t="str">
        <f t="shared" si="37"/>
        <v/>
      </c>
      <c r="BJ1200" s="101" t="str">
        <f t="shared" si="38"/>
        <v/>
      </c>
      <c r="BK1200" s="101" t="str">
        <f t="shared" si="39"/>
        <v/>
      </c>
      <c r="BL1200" s="48"/>
      <c r="BM1200" s="48"/>
      <c r="BN1200" s="48"/>
      <c r="BO1200" s="47"/>
      <c r="BP1200" s="47"/>
      <c r="BQ1200" s="47"/>
      <c r="BR1200" s="47"/>
      <c r="BS1200" s="47"/>
      <c r="BT1200" s="47"/>
    </row>
    <row r="1201" spans="49:72" x14ac:dyDescent="0.2">
      <c r="AW1201" s="118"/>
      <c r="AX1201" s="118"/>
      <c r="AY1201" s="144"/>
      <c r="BA1201" s="45"/>
      <c r="BB1201" s="46"/>
      <c r="BC1201" s="46"/>
      <c r="BD1201" s="55"/>
      <c r="BE1201" s="55"/>
      <c r="BF1201" s="101" t="str">
        <f t="shared" si="34"/>
        <v/>
      </c>
      <c r="BG1201" s="101" t="str">
        <f t="shared" si="35"/>
        <v/>
      </c>
      <c r="BH1201" s="101" t="str">
        <f t="shared" si="36"/>
        <v/>
      </c>
      <c r="BI1201" s="101" t="str">
        <f t="shared" si="37"/>
        <v/>
      </c>
      <c r="BJ1201" s="101" t="str">
        <f t="shared" si="38"/>
        <v/>
      </c>
      <c r="BK1201" s="101" t="str">
        <f t="shared" si="39"/>
        <v/>
      </c>
      <c r="BL1201" s="48"/>
      <c r="BM1201" s="48"/>
      <c r="BN1201" s="48"/>
      <c r="BO1201" s="47"/>
      <c r="BP1201" s="47"/>
      <c r="BQ1201" s="47"/>
      <c r="BR1201" s="47"/>
      <c r="BS1201" s="47"/>
      <c r="BT1201" s="47"/>
    </row>
    <row r="1202" spans="49:72" x14ac:dyDescent="0.2">
      <c r="AW1202" s="118"/>
      <c r="AX1202" s="118"/>
      <c r="AY1202" s="144"/>
      <c r="BA1202" s="45"/>
      <c r="BB1202" s="46"/>
      <c r="BC1202" s="46"/>
      <c r="BD1202" s="55"/>
      <c r="BE1202" s="55"/>
      <c r="BF1202" s="101" t="str">
        <f t="shared" si="34"/>
        <v/>
      </c>
      <c r="BG1202" s="101" t="str">
        <f t="shared" si="35"/>
        <v/>
      </c>
      <c r="BH1202" s="101" t="str">
        <f t="shared" si="36"/>
        <v/>
      </c>
      <c r="BI1202" s="101" t="str">
        <f t="shared" si="37"/>
        <v/>
      </c>
      <c r="BJ1202" s="101" t="str">
        <f t="shared" si="38"/>
        <v/>
      </c>
      <c r="BK1202" s="101" t="str">
        <f t="shared" si="39"/>
        <v/>
      </c>
      <c r="BL1202" s="48"/>
      <c r="BM1202" s="48"/>
      <c r="BN1202" s="48"/>
      <c r="BO1202" s="47"/>
      <c r="BP1202" s="47"/>
      <c r="BQ1202" s="47"/>
      <c r="BR1202" s="47"/>
      <c r="BS1202" s="47"/>
      <c r="BT1202" s="47"/>
    </row>
    <row r="1203" spans="49:72" x14ac:dyDescent="0.2">
      <c r="AW1203" s="118"/>
      <c r="AX1203" s="118"/>
      <c r="AY1203" s="144"/>
      <c r="BA1203" s="45"/>
      <c r="BB1203" s="46"/>
      <c r="BC1203" s="46"/>
      <c r="BD1203" s="55"/>
      <c r="BE1203" s="55"/>
      <c r="BF1203" s="101" t="str">
        <f t="shared" si="34"/>
        <v/>
      </c>
      <c r="BG1203" s="101" t="str">
        <f t="shared" si="35"/>
        <v/>
      </c>
      <c r="BH1203" s="101" t="str">
        <f t="shared" si="36"/>
        <v/>
      </c>
      <c r="BI1203" s="101" t="str">
        <f t="shared" si="37"/>
        <v/>
      </c>
      <c r="BJ1203" s="101" t="str">
        <f t="shared" si="38"/>
        <v/>
      </c>
      <c r="BK1203" s="101" t="str">
        <f t="shared" si="39"/>
        <v/>
      </c>
      <c r="BL1203" s="48"/>
      <c r="BM1203" s="48"/>
      <c r="BN1203" s="48"/>
      <c r="BO1203" s="47"/>
      <c r="BP1203" s="47"/>
      <c r="BQ1203" s="47"/>
      <c r="BR1203" s="47"/>
      <c r="BS1203" s="47"/>
      <c r="BT1203" s="47"/>
    </row>
    <row r="1204" spans="49:72" x14ac:dyDescent="0.2">
      <c r="AW1204" s="118"/>
      <c r="AX1204" s="118"/>
      <c r="AY1204" s="144"/>
      <c r="BA1204" s="45"/>
      <c r="BB1204" s="46"/>
      <c r="BC1204" s="46"/>
      <c r="BD1204" s="55"/>
      <c r="BE1204" s="55"/>
      <c r="BF1204" s="101" t="str">
        <f t="shared" si="34"/>
        <v/>
      </c>
      <c r="BG1204" s="101" t="str">
        <f t="shared" si="35"/>
        <v/>
      </c>
      <c r="BH1204" s="101" t="str">
        <f t="shared" si="36"/>
        <v/>
      </c>
      <c r="BI1204" s="101" t="str">
        <f t="shared" si="37"/>
        <v/>
      </c>
      <c r="BJ1204" s="101" t="str">
        <f t="shared" si="38"/>
        <v/>
      </c>
      <c r="BK1204" s="101" t="str">
        <f t="shared" si="39"/>
        <v/>
      </c>
      <c r="BL1204" s="48"/>
      <c r="BM1204" s="48"/>
      <c r="BN1204" s="48"/>
      <c r="BO1204" s="47"/>
      <c r="BP1204" s="47"/>
      <c r="BQ1204" s="47"/>
      <c r="BR1204" s="47"/>
      <c r="BS1204" s="47"/>
      <c r="BT1204" s="47"/>
    </row>
    <row r="1205" spans="49:72" x14ac:dyDescent="0.2">
      <c r="AW1205" s="118"/>
      <c r="AX1205" s="118"/>
      <c r="AY1205" s="144"/>
      <c r="BA1205" s="45"/>
      <c r="BB1205" s="46"/>
      <c r="BC1205" s="46"/>
      <c r="BD1205" s="55"/>
      <c r="BE1205" s="55"/>
      <c r="BF1205" s="101" t="str">
        <f t="shared" si="34"/>
        <v/>
      </c>
      <c r="BG1205" s="101" t="str">
        <f t="shared" si="35"/>
        <v/>
      </c>
      <c r="BH1205" s="101" t="str">
        <f t="shared" si="36"/>
        <v/>
      </c>
      <c r="BI1205" s="101" t="str">
        <f t="shared" si="37"/>
        <v/>
      </c>
      <c r="BJ1205" s="101" t="str">
        <f t="shared" si="38"/>
        <v/>
      </c>
      <c r="BK1205" s="101" t="str">
        <f t="shared" si="39"/>
        <v/>
      </c>
      <c r="BL1205" s="48"/>
      <c r="BM1205" s="48"/>
      <c r="BN1205" s="48"/>
      <c r="BO1205" s="47"/>
      <c r="BP1205" s="47"/>
      <c r="BQ1205" s="47"/>
      <c r="BR1205" s="47"/>
      <c r="BS1205" s="47"/>
      <c r="BT1205" s="47"/>
    </row>
    <row r="1206" spans="49:72" x14ac:dyDescent="0.2">
      <c r="AW1206" s="118"/>
      <c r="AX1206" s="118"/>
      <c r="AY1206" s="144"/>
      <c r="BA1206" s="45"/>
      <c r="BB1206" s="46"/>
      <c r="BC1206" s="46"/>
      <c r="BD1206" s="55"/>
      <c r="BE1206" s="55"/>
      <c r="BF1206" s="101" t="str">
        <f t="shared" si="34"/>
        <v/>
      </c>
      <c r="BG1206" s="101" t="str">
        <f t="shared" si="35"/>
        <v/>
      </c>
      <c r="BH1206" s="101" t="str">
        <f t="shared" si="36"/>
        <v/>
      </c>
      <c r="BI1206" s="101" t="str">
        <f t="shared" si="37"/>
        <v/>
      </c>
      <c r="BJ1206" s="101" t="str">
        <f t="shared" si="38"/>
        <v/>
      </c>
      <c r="BK1206" s="101" t="str">
        <f t="shared" si="39"/>
        <v/>
      </c>
      <c r="BL1206" s="48"/>
      <c r="BM1206" s="48"/>
      <c r="BN1206" s="48"/>
      <c r="BO1206" s="47"/>
      <c r="BP1206" s="47"/>
      <c r="BQ1206" s="47"/>
      <c r="BR1206" s="47"/>
      <c r="BS1206" s="47"/>
      <c r="BT1206" s="47"/>
    </row>
    <row r="1207" spans="49:72" x14ac:dyDescent="0.2">
      <c r="AW1207" s="118"/>
      <c r="AX1207" s="118"/>
      <c r="AY1207" s="144"/>
      <c r="BA1207" s="45"/>
      <c r="BB1207" s="46"/>
      <c r="BC1207" s="46"/>
      <c r="BD1207" s="55"/>
      <c r="BE1207" s="55"/>
      <c r="BF1207" s="101" t="str">
        <f t="shared" si="34"/>
        <v/>
      </c>
      <c r="BG1207" s="101" t="str">
        <f t="shared" si="35"/>
        <v/>
      </c>
      <c r="BH1207" s="101" t="str">
        <f t="shared" si="36"/>
        <v/>
      </c>
      <c r="BI1207" s="101" t="str">
        <f t="shared" si="37"/>
        <v/>
      </c>
      <c r="BJ1207" s="101" t="str">
        <f t="shared" si="38"/>
        <v/>
      </c>
      <c r="BK1207" s="101" t="str">
        <f t="shared" si="39"/>
        <v/>
      </c>
      <c r="BL1207" s="48"/>
      <c r="BM1207" s="48"/>
      <c r="BN1207" s="48"/>
      <c r="BO1207" s="47"/>
      <c r="BP1207" s="47"/>
      <c r="BQ1207" s="47"/>
      <c r="BR1207" s="47"/>
      <c r="BS1207" s="47"/>
      <c r="BT1207" s="47"/>
    </row>
    <row r="1208" spans="49:72" x14ac:dyDescent="0.2">
      <c r="AW1208" s="118"/>
      <c r="AX1208" s="118"/>
      <c r="AY1208" s="144"/>
      <c r="BA1208" s="45"/>
      <c r="BB1208" s="46"/>
      <c r="BC1208" s="46"/>
      <c r="BD1208" s="55"/>
      <c r="BE1208" s="55"/>
      <c r="BF1208" s="101" t="str">
        <f t="shared" si="34"/>
        <v/>
      </c>
      <c r="BG1208" s="101" t="str">
        <f t="shared" si="35"/>
        <v/>
      </c>
      <c r="BH1208" s="101" t="str">
        <f t="shared" si="36"/>
        <v/>
      </c>
      <c r="BI1208" s="101" t="str">
        <f t="shared" si="37"/>
        <v/>
      </c>
      <c r="BJ1208" s="101" t="str">
        <f t="shared" si="38"/>
        <v/>
      </c>
      <c r="BK1208" s="101" t="str">
        <f t="shared" si="39"/>
        <v/>
      </c>
      <c r="BL1208" s="48"/>
      <c r="BM1208" s="48"/>
      <c r="BN1208" s="48"/>
      <c r="BO1208" s="47"/>
      <c r="BP1208" s="47"/>
      <c r="BQ1208" s="47"/>
      <c r="BR1208" s="47"/>
      <c r="BS1208" s="47"/>
      <c r="BT1208" s="47"/>
    </row>
    <row r="1209" spans="49:72" x14ac:dyDescent="0.2">
      <c r="AW1209" s="118"/>
      <c r="AX1209" s="118"/>
      <c r="AY1209" s="144"/>
      <c r="BA1209" s="45"/>
      <c r="BB1209" s="46"/>
      <c r="BC1209" s="46"/>
      <c r="BD1209" s="55"/>
      <c r="BE1209" s="55"/>
      <c r="BF1209" s="101" t="str">
        <f t="shared" si="34"/>
        <v/>
      </c>
      <c r="BG1209" s="101" t="str">
        <f t="shared" si="35"/>
        <v/>
      </c>
      <c r="BH1209" s="101" t="str">
        <f t="shared" si="36"/>
        <v/>
      </c>
      <c r="BI1209" s="101" t="str">
        <f t="shared" si="37"/>
        <v/>
      </c>
      <c r="BJ1209" s="101" t="str">
        <f t="shared" si="38"/>
        <v/>
      </c>
      <c r="BK1209" s="101" t="str">
        <f t="shared" si="39"/>
        <v/>
      </c>
      <c r="BL1209" s="48"/>
      <c r="BM1209" s="48"/>
      <c r="BN1209" s="48"/>
      <c r="BO1209" s="47"/>
      <c r="BP1209" s="47"/>
      <c r="BQ1209" s="47"/>
      <c r="BR1209" s="47"/>
      <c r="BS1209" s="47"/>
      <c r="BT1209" s="47"/>
    </row>
    <row r="1210" spans="49:72" x14ac:dyDescent="0.2">
      <c r="AW1210" s="118"/>
      <c r="AX1210" s="118"/>
      <c r="AY1210" s="144"/>
      <c r="BA1210" s="45"/>
      <c r="BB1210" s="46"/>
      <c r="BC1210" s="46"/>
      <c r="BD1210" s="55"/>
      <c r="BE1210" s="55"/>
      <c r="BF1210" s="101" t="str">
        <f t="shared" si="34"/>
        <v/>
      </c>
      <c r="BG1210" s="101" t="str">
        <f t="shared" si="35"/>
        <v/>
      </c>
      <c r="BH1210" s="101" t="str">
        <f t="shared" si="36"/>
        <v/>
      </c>
      <c r="BI1210" s="101" t="str">
        <f t="shared" si="37"/>
        <v/>
      </c>
      <c r="BJ1210" s="101" t="str">
        <f t="shared" si="38"/>
        <v/>
      </c>
      <c r="BK1210" s="101" t="str">
        <f t="shared" si="39"/>
        <v/>
      </c>
      <c r="BL1210" s="48"/>
      <c r="BM1210" s="48"/>
      <c r="BN1210" s="48"/>
      <c r="BO1210" s="47"/>
      <c r="BP1210" s="47"/>
      <c r="BQ1210" s="47"/>
      <c r="BR1210" s="47"/>
      <c r="BS1210" s="47"/>
      <c r="BT1210" s="47"/>
    </row>
    <row r="1211" spans="49:72" x14ac:dyDescent="0.2">
      <c r="AW1211" s="118"/>
      <c r="AX1211" s="118"/>
      <c r="AY1211" s="144"/>
      <c r="BA1211" s="45"/>
      <c r="BB1211" s="46"/>
      <c r="BC1211" s="46"/>
      <c r="BD1211" s="55"/>
      <c r="BE1211" s="55"/>
      <c r="BF1211" s="101" t="str">
        <f t="shared" si="34"/>
        <v/>
      </c>
      <c r="BG1211" s="101" t="str">
        <f t="shared" si="35"/>
        <v/>
      </c>
      <c r="BH1211" s="101" t="str">
        <f t="shared" si="36"/>
        <v/>
      </c>
      <c r="BI1211" s="101" t="str">
        <f t="shared" si="37"/>
        <v/>
      </c>
      <c r="BJ1211" s="101" t="str">
        <f t="shared" si="38"/>
        <v/>
      </c>
      <c r="BK1211" s="101" t="str">
        <f t="shared" si="39"/>
        <v/>
      </c>
      <c r="BL1211" s="48"/>
      <c r="BM1211" s="48"/>
      <c r="BN1211" s="48"/>
      <c r="BO1211" s="47"/>
      <c r="BP1211" s="47"/>
      <c r="BQ1211" s="47"/>
      <c r="BR1211" s="47"/>
      <c r="BS1211" s="47"/>
      <c r="BT1211" s="47"/>
    </row>
    <row r="1212" spans="49:72" x14ac:dyDescent="0.2">
      <c r="AW1212" s="118"/>
      <c r="AX1212" s="118"/>
      <c r="AY1212" s="144"/>
      <c r="BA1212" s="45"/>
      <c r="BB1212" s="46"/>
      <c r="BC1212" s="46"/>
      <c r="BD1212" s="55"/>
      <c r="BE1212" s="55"/>
      <c r="BF1212" s="101" t="str">
        <f t="shared" si="34"/>
        <v/>
      </c>
      <c r="BG1212" s="101" t="str">
        <f t="shared" si="35"/>
        <v/>
      </c>
      <c r="BH1212" s="101" t="str">
        <f t="shared" si="36"/>
        <v/>
      </c>
      <c r="BI1212" s="101" t="str">
        <f t="shared" si="37"/>
        <v/>
      </c>
      <c r="BJ1212" s="101" t="str">
        <f t="shared" si="38"/>
        <v/>
      </c>
      <c r="BK1212" s="101" t="str">
        <f t="shared" si="39"/>
        <v/>
      </c>
      <c r="BL1212" s="48"/>
      <c r="BM1212" s="48"/>
      <c r="BN1212" s="48"/>
      <c r="BO1212" s="47"/>
      <c r="BP1212" s="47"/>
      <c r="BQ1212" s="47"/>
      <c r="BR1212" s="47"/>
      <c r="BS1212" s="47"/>
      <c r="BT1212" s="47"/>
    </row>
    <row r="1213" spans="49:72" x14ac:dyDescent="0.2">
      <c r="AW1213" s="118"/>
      <c r="AX1213" s="118"/>
      <c r="AY1213" s="144"/>
      <c r="BA1213" s="45"/>
      <c r="BB1213" s="46"/>
      <c r="BC1213" s="46"/>
      <c r="BD1213" s="55"/>
      <c r="BE1213" s="55"/>
      <c r="BF1213" s="101" t="str">
        <f t="shared" si="34"/>
        <v/>
      </c>
      <c r="BG1213" s="101" t="str">
        <f t="shared" si="35"/>
        <v/>
      </c>
      <c r="BH1213" s="101" t="str">
        <f t="shared" si="36"/>
        <v/>
      </c>
      <c r="BI1213" s="101" t="str">
        <f t="shared" si="37"/>
        <v/>
      </c>
      <c r="BJ1213" s="101" t="str">
        <f t="shared" si="38"/>
        <v/>
      </c>
      <c r="BK1213" s="101" t="str">
        <f t="shared" si="39"/>
        <v/>
      </c>
      <c r="BL1213" s="48"/>
      <c r="BM1213" s="48"/>
      <c r="BN1213" s="48"/>
      <c r="BO1213" s="47"/>
      <c r="BP1213" s="47"/>
      <c r="BQ1213" s="47"/>
      <c r="BR1213" s="47"/>
      <c r="BS1213" s="47"/>
      <c r="BT1213" s="47"/>
    </row>
    <row r="1214" spans="49:72" x14ac:dyDescent="0.2">
      <c r="AW1214" s="118"/>
      <c r="AX1214" s="118"/>
      <c r="AY1214" s="144"/>
      <c r="BA1214" s="45"/>
      <c r="BB1214" s="46"/>
      <c r="BC1214" s="46"/>
      <c r="BD1214" s="55"/>
      <c r="BE1214" s="55"/>
      <c r="BF1214" s="101" t="str">
        <f t="shared" si="34"/>
        <v/>
      </c>
      <c r="BG1214" s="101" t="str">
        <f t="shared" si="35"/>
        <v/>
      </c>
      <c r="BH1214" s="101" t="str">
        <f t="shared" si="36"/>
        <v/>
      </c>
      <c r="BI1214" s="101" t="str">
        <f t="shared" si="37"/>
        <v/>
      </c>
      <c r="BJ1214" s="101" t="str">
        <f t="shared" si="38"/>
        <v/>
      </c>
      <c r="BK1214" s="101" t="str">
        <f t="shared" si="39"/>
        <v/>
      </c>
      <c r="BL1214" s="48"/>
      <c r="BM1214" s="48"/>
      <c r="BN1214" s="48"/>
      <c r="BO1214" s="47"/>
      <c r="BP1214" s="47"/>
      <c r="BQ1214" s="47"/>
      <c r="BR1214" s="47"/>
      <c r="BS1214" s="47"/>
      <c r="BT1214" s="47"/>
    </row>
    <row r="1215" spans="49:72" x14ac:dyDescent="0.2">
      <c r="AW1215" s="118"/>
      <c r="AX1215" s="118"/>
      <c r="AY1215" s="144"/>
      <c r="BA1215" s="45"/>
      <c r="BB1215" s="46"/>
      <c r="BC1215" s="46"/>
      <c r="BD1215" s="55"/>
      <c r="BE1215" s="55"/>
      <c r="BF1215" s="101" t="str">
        <f t="shared" si="34"/>
        <v/>
      </c>
      <c r="BG1215" s="101" t="str">
        <f t="shared" si="35"/>
        <v/>
      </c>
      <c r="BH1215" s="101" t="str">
        <f t="shared" si="36"/>
        <v/>
      </c>
      <c r="BI1215" s="101" t="str">
        <f t="shared" si="37"/>
        <v/>
      </c>
      <c r="BJ1215" s="101" t="str">
        <f t="shared" si="38"/>
        <v/>
      </c>
      <c r="BK1215" s="101" t="str">
        <f t="shared" si="39"/>
        <v/>
      </c>
      <c r="BL1215" s="48"/>
      <c r="BM1215" s="48"/>
      <c r="BN1215" s="48"/>
      <c r="BO1215" s="47"/>
      <c r="BP1215" s="47"/>
      <c r="BQ1215" s="47"/>
      <c r="BR1215" s="47"/>
      <c r="BS1215" s="47"/>
      <c r="BT1215" s="47"/>
    </row>
    <row r="1216" spans="49:72" x14ac:dyDescent="0.2">
      <c r="AW1216" s="118"/>
      <c r="AX1216" s="118"/>
      <c r="AY1216" s="144"/>
      <c r="BA1216" s="45"/>
      <c r="BB1216" s="46"/>
      <c r="BC1216" s="46"/>
      <c r="BD1216" s="55"/>
      <c r="BE1216" s="55"/>
      <c r="BF1216" s="101" t="str">
        <f t="shared" si="34"/>
        <v/>
      </c>
      <c r="BG1216" s="101" t="str">
        <f t="shared" si="35"/>
        <v/>
      </c>
      <c r="BH1216" s="101" t="str">
        <f t="shared" si="36"/>
        <v/>
      </c>
      <c r="BI1216" s="101" t="str">
        <f t="shared" si="37"/>
        <v/>
      </c>
      <c r="BJ1216" s="101" t="str">
        <f t="shared" si="38"/>
        <v/>
      </c>
      <c r="BK1216" s="101" t="str">
        <f t="shared" si="39"/>
        <v/>
      </c>
      <c r="BL1216" s="48"/>
      <c r="BM1216" s="48"/>
      <c r="BN1216" s="48"/>
      <c r="BO1216" s="47"/>
      <c r="BP1216" s="47"/>
      <c r="BQ1216" s="47"/>
      <c r="BR1216" s="47"/>
      <c r="BS1216" s="47"/>
      <c r="BT1216" s="47"/>
    </row>
    <row r="1217" spans="49:72" x14ac:dyDescent="0.2">
      <c r="AW1217" s="118"/>
      <c r="AX1217" s="118"/>
      <c r="AY1217" s="144"/>
      <c r="BA1217" s="45"/>
      <c r="BB1217" s="46"/>
      <c r="BC1217" s="46"/>
      <c r="BD1217" s="55"/>
      <c r="BE1217" s="55"/>
      <c r="BF1217" s="101" t="str">
        <f t="shared" si="34"/>
        <v/>
      </c>
      <c r="BG1217" s="101" t="str">
        <f t="shared" si="35"/>
        <v/>
      </c>
      <c r="BH1217" s="101" t="str">
        <f t="shared" si="36"/>
        <v/>
      </c>
      <c r="BI1217" s="101" t="str">
        <f t="shared" si="37"/>
        <v/>
      </c>
      <c r="BJ1217" s="101" t="str">
        <f t="shared" si="38"/>
        <v/>
      </c>
      <c r="BK1217" s="101" t="str">
        <f t="shared" si="39"/>
        <v/>
      </c>
      <c r="BL1217" s="48"/>
      <c r="BM1217" s="48"/>
      <c r="BN1217" s="48"/>
      <c r="BO1217" s="47"/>
      <c r="BP1217" s="47"/>
      <c r="BQ1217" s="47"/>
      <c r="BR1217" s="47"/>
      <c r="BS1217" s="47"/>
      <c r="BT1217" s="47"/>
    </row>
    <row r="1218" spans="49:72" x14ac:dyDescent="0.2">
      <c r="AW1218" s="118"/>
      <c r="AX1218" s="118"/>
      <c r="AY1218" s="144"/>
      <c r="BA1218" s="45"/>
      <c r="BB1218" s="46"/>
      <c r="BC1218" s="46"/>
      <c r="BD1218" s="55"/>
      <c r="BE1218" s="55"/>
      <c r="BF1218" s="101" t="str">
        <f t="shared" si="34"/>
        <v/>
      </c>
      <c r="BG1218" s="101" t="str">
        <f t="shared" si="35"/>
        <v/>
      </c>
      <c r="BH1218" s="101" t="str">
        <f t="shared" si="36"/>
        <v/>
      </c>
      <c r="BI1218" s="101" t="str">
        <f t="shared" si="37"/>
        <v/>
      </c>
      <c r="BJ1218" s="101" t="str">
        <f t="shared" si="38"/>
        <v/>
      </c>
      <c r="BK1218" s="101" t="str">
        <f t="shared" si="39"/>
        <v/>
      </c>
      <c r="BL1218" s="48"/>
      <c r="BM1218" s="48"/>
      <c r="BN1218" s="48"/>
      <c r="BO1218" s="47"/>
      <c r="BP1218" s="47"/>
      <c r="BQ1218" s="47"/>
      <c r="BR1218" s="47"/>
      <c r="BS1218" s="47"/>
      <c r="BT1218" s="47"/>
    </row>
    <row r="1219" spans="49:72" x14ac:dyDescent="0.2">
      <c r="AW1219" s="118"/>
      <c r="AX1219" s="118"/>
      <c r="AY1219" s="144"/>
      <c r="BA1219" s="45"/>
      <c r="BB1219" s="46"/>
      <c r="BC1219" s="46"/>
      <c r="BD1219" s="55"/>
      <c r="BE1219" s="55"/>
      <c r="BF1219" s="101" t="str">
        <f t="shared" si="34"/>
        <v/>
      </c>
      <c r="BG1219" s="101" t="str">
        <f t="shared" si="35"/>
        <v/>
      </c>
      <c r="BH1219" s="101" t="str">
        <f t="shared" si="36"/>
        <v/>
      </c>
      <c r="BI1219" s="101" t="str">
        <f t="shared" si="37"/>
        <v/>
      </c>
      <c r="BJ1219" s="101" t="str">
        <f t="shared" si="38"/>
        <v/>
      </c>
      <c r="BK1219" s="101" t="str">
        <f t="shared" si="39"/>
        <v/>
      </c>
      <c r="BL1219" s="48"/>
      <c r="BM1219" s="48"/>
      <c r="BN1219" s="48"/>
      <c r="BO1219" s="47"/>
      <c r="BP1219" s="47"/>
      <c r="BQ1219" s="47"/>
      <c r="BR1219" s="47"/>
      <c r="BS1219" s="47"/>
      <c r="BT1219" s="47"/>
    </row>
    <row r="1220" spans="49:72" x14ac:dyDescent="0.2">
      <c r="AW1220" s="118"/>
      <c r="AX1220" s="118"/>
      <c r="AY1220" s="144"/>
      <c r="BA1220" s="45"/>
      <c r="BB1220" s="46"/>
      <c r="BC1220" s="46"/>
      <c r="BD1220" s="55"/>
      <c r="BE1220" s="55"/>
      <c r="BF1220" s="101" t="str">
        <f t="shared" si="34"/>
        <v/>
      </c>
      <c r="BG1220" s="101" t="str">
        <f t="shared" si="35"/>
        <v/>
      </c>
      <c r="BH1220" s="101" t="str">
        <f t="shared" si="36"/>
        <v/>
      </c>
      <c r="BI1220" s="101" t="str">
        <f t="shared" si="37"/>
        <v/>
      </c>
      <c r="BJ1220" s="101" t="str">
        <f t="shared" si="38"/>
        <v/>
      </c>
      <c r="BK1220" s="101" t="str">
        <f t="shared" si="39"/>
        <v/>
      </c>
      <c r="BL1220" s="48"/>
      <c r="BM1220" s="48"/>
      <c r="BN1220" s="48"/>
      <c r="BO1220" s="47"/>
      <c r="BP1220" s="47"/>
      <c r="BQ1220" s="47"/>
      <c r="BR1220" s="47"/>
      <c r="BS1220" s="47"/>
      <c r="BT1220" s="47"/>
    </row>
    <row r="1221" spans="49:72" x14ac:dyDescent="0.2">
      <c r="AW1221" s="118"/>
      <c r="AX1221" s="118"/>
      <c r="AY1221" s="144"/>
      <c r="BA1221" s="45"/>
      <c r="BB1221" s="46"/>
      <c r="BC1221" s="46"/>
      <c r="BD1221" s="55"/>
      <c r="BE1221" s="55"/>
      <c r="BF1221" s="101" t="str">
        <f t="shared" si="34"/>
        <v/>
      </c>
      <c r="BG1221" s="101" t="str">
        <f t="shared" si="35"/>
        <v/>
      </c>
      <c r="BH1221" s="101" t="str">
        <f t="shared" si="36"/>
        <v/>
      </c>
      <c r="BI1221" s="101" t="str">
        <f t="shared" si="37"/>
        <v/>
      </c>
      <c r="BJ1221" s="101" t="str">
        <f t="shared" si="38"/>
        <v/>
      </c>
      <c r="BK1221" s="101" t="str">
        <f t="shared" si="39"/>
        <v/>
      </c>
      <c r="BL1221" s="48"/>
      <c r="BM1221" s="48"/>
      <c r="BN1221" s="48"/>
      <c r="BO1221" s="47"/>
      <c r="BP1221" s="47"/>
      <c r="BQ1221" s="47"/>
      <c r="BR1221" s="47"/>
      <c r="BS1221" s="47"/>
      <c r="BT1221" s="47"/>
    </row>
    <row r="1222" spans="49:72" x14ac:dyDescent="0.2">
      <c r="AW1222" s="118"/>
      <c r="AX1222" s="118"/>
      <c r="AY1222" s="144"/>
      <c r="BF1222" s="101" t="str">
        <f t="shared" si="34"/>
        <v/>
      </c>
      <c r="BG1222" s="101" t="str">
        <f t="shared" si="35"/>
        <v/>
      </c>
      <c r="BH1222" s="101" t="str">
        <f t="shared" si="36"/>
        <v/>
      </c>
      <c r="BI1222" s="101" t="str">
        <f t="shared" si="37"/>
        <v/>
      </c>
      <c r="BJ1222" s="101" t="str">
        <f t="shared" si="38"/>
        <v/>
      </c>
      <c r="BK1222" s="101" t="str">
        <f t="shared" si="39"/>
        <v/>
      </c>
      <c r="BL1222" s="48"/>
      <c r="BM1222" s="48"/>
      <c r="BN1222" s="48"/>
      <c r="BO1222" s="47"/>
      <c r="BP1222" s="47"/>
      <c r="BQ1222" s="47"/>
      <c r="BR1222" s="47"/>
      <c r="BS1222" s="47"/>
      <c r="BT1222" s="47"/>
    </row>
    <row r="1223" spans="49:72" x14ac:dyDescent="0.2">
      <c r="AW1223" s="118"/>
      <c r="AX1223" s="118"/>
      <c r="AY1223" s="144"/>
      <c r="BF1223" s="101" t="str">
        <f t="shared" si="34"/>
        <v/>
      </c>
      <c r="BG1223" s="101" t="str">
        <f t="shared" si="35"/>
        <v/>
      </c>
      <c r="BH1223" s="101" t="str">
        <f t="shared" si="36"/>
        <v/>
      </c>
      <c r="BI1223" s="101" t="str">
        <f t="shared" si="37"/>
        <v/>
      </c>
      <c r="BJ1223" s="101" t="str">
        <f t="shared" si="38"/>
        <v/>
      </c>
      <c r="BK1223" s="101" t="str">
        <f t="shared" si="39"/>
        <v/>
      </c>
      <c r="BL1223" s="48"/>
      <c r="BM1223" s="48"/>
      <c r="BN1223" s="48"/>
      <c r="BO1223" s="47"/>
      <c r="BP1223" s="47"/>
      <c r="BQ1223" s="47"/>
      <c r="BR1223" s="47"/>
      <c r="BS1223" s="47"/>
      <c r="BT1223" s="47"/>
    </row>
    <row r="1224" spans="49:72" x14ac:dyDescent="0.2">
      <c r="AW1224" s="118"/>
      <c r="AX1224" s="118"/>
      <c r="AY1224" s="144"/>
      <c r="BF1224" s="101" t="str">
        <f t="shared" si="34"/>
        <v/>
      </c>
      <c r="BG1224" s="101" t="str">
        <f t="shared" si="35"/>
        <v/>
      </c>
      <c r="BH1224" s="101" t="str">
        <f t="shared" si="36"/>
        <v/>
      </c>
      <c r="BI1224" s="101" t="str">
        <f t="shared" si="37"/>
        <v/>
      </c>
      <c r="BJ1224" s="101" t="str">
        <f t="shared" si="38"/>
        <v/>
      </c>
      <c r="BK1224" s="101" t="str">
        <f t="shared" si="39"/>
        <v/>
      </c>
      <c r="BL1224" s="48"/>
      <c r="BM1224" s="48"/>
      <c r="BN1224" s="48"/>
      <c r="BO1224" s="47"/>
      <c r="BP1224" s="47"/>
      <c r="BQ1224" s="47"/>
      <c r="BR1224" s="47"/>
      <c r="BS1224" s="47"/>
      <c r="BT1224" s="47"/>
    </row>
    <row r="1225" spans="49:72" x14ac:dyDescent="0.2">
      <c r="AW1225" s="118"/>
      <c r="AX1225" s="118"/>
      <c r="AY1225" s="144"/>
      <c r="BF1225" s="101" t="str">
        <f t="shared" si="34"/>
        <v/>
      </c>
      <c r="BG1225" s="101" t="str">
        <f t="shared" si="35"/>
        <v/>
      </c>
      <c r="BH1225" s="101" t="str">
        <f t="shared" si="36"/>
        <v/>
      </c>
      <c r="BI1225" s="101" t="str">
        <f t="shared" si="37"/>
        <v/>
      </c>
      <c r="BJ1225" s="101" t="str">
        <f t="shared" si="38"/>
        <v/>
      </c>
      <c r="BK1225" s="101" t="str">
        <f t="shared" si="39"/>
        <v/>
      </c>
      <c r="BL1225" s="48"/>
      <c r="BM1225" s="48"/>
      <c r="BN1225" s="48"/>
      <c r="BO1225" s="47"/>
      <c r="BP1225" s="47"/>
      <c r="BQ1225" s="47"/>
      <c r="BR1225" s="47"/>
      <c r="BS1225" s="47"/>
      <c r="BT1225" s="47"/>
    </row>
    <row r="1226" spans="49:72" x14ac:dyDescent="0.2">
      <c r="AW1226" s="118"/>
      <c r="AX1226" s="118"/>
      <c r="AY1226" s="144"/>
      <c r="BF1226" s="101" t="str">
        <f t="shared" si="34"/>
        <v/>
      </c>
      <c r="BG1226" s="101" t="str">
        <f t="shared" si="35"/>
        <v/>
      </c>
      <c r="BH1226" s="101" t="str">
        <f t="shared" si="36"/>
        <v/>
      </c>
      <c r="BI1226" s="101" t="str">
        <f t="shared" si="37"/>
        <v/>
      </c>
      <c r="BJ1226" s="101" t="str">
        <f t="shared" si="38"/>
        <v/>
      </c>
      <c r="BK1226" s="101" t="str">
        <f t="shared" si="39"/>
        <v/>
      </c>
      <c r="BL1226" s="48"/>
      <c r="BM1226" s="48"/>
      <c r="BN1226" s="48"/>
      <c r="BO1226" s="47"/>
      <c r="BP1226" s="47"/>
      <c r="BQ1226" s="47"/>
      <c r="BR1226" s="47"/>
      <c r="BS1226" s="47"/>
      <c r="BT1226" s="47"/>
    </row>
    <row r="1227" spans="49:72" x14ac:dyDescent="0.2">
      <c r="AW1227" s="118"/>
      <c r="AX1227" s="118"/>
      <c r="AY1227" s="144"/>
      <c r="BF1227" s="101" t="str">
        <f t="shared" si="34"/>
        <v/>
      </c>
      <c r="BG1227" s="101" t="str">
        <f t="shared" si="35"/>
        <v/>
      </c>
      <c r="BH1227" s="101" t="str">
        <f t="shared" si="36"/>
        <v/>
      </c>
      <c r="BI1227" s="101" t="str">
        <f t="shared" si="37"/>
        <v/>
      </c>
      <c r="BJ1227" s="101" t="str">
        <f t="shared" si="38"/>
        <v/>
      </c>
      <c r="BK1227" s="101" t="str">
        <f t="shared" si="39"/>
        <v/>
      </c>
      <c r="BL1227" s="48"/>
      <c r="BM1227" s="48"/>
      <c r="BN1227" s="48"/>
      <c r="BO1227" s="47"/>
      <c r="BP1227" s="47"/>
      <c r="BQ1227" s="47"/>
      <c r="BR1227" s="47"/>
      <c r="BS1227" s="47"/>
      <c r="BT1227" s="47"/>
    </row>
    <row r="1228" spans="49:72" x14ac:dyDescent="0.2">
      <c r="AW1228" s="118"/>
      <c r="AX1228" s="118"/>
      <c r="AY1228" s="144"/>
      <c r="BF1228" s="101" t="str">
        <f t="shared" si="34"/>
        <v/>
      </c>
      <c r="BG1228" s="101" t="str">
        <f t="shared" si="35"/>
        <v/>
      </c>
      <c r="BH1228" s="101" t="str">
        <f t="shared" si="36"/>
        <v/>
      </c>
      <c r="BI1228" s="101" t="str">
        <f t="shared" si="37"/>
        <v/>
      </c>
      <c r="BJ1228" s="101" t="str">
        <f t="shared" si="38"/>
        <v/>
      </c>
      <c r="BK1228" s="101" t="str">
        <f t="shared" si="39"/>
        <v/>
      </c>
      <c r="BL1228" s="48"/>
      <c r="BM1228" s="48"/>
      <c r="BN1228" s="48"/>
      <c r="BO1228" s="47"/>
      <c r="BP1228" s="47"/>
      <c r="BQ1228" s="47"/>
      <c r="BR1228" s="47"/>
      <c r="BS1228" s="47"/>
      <c r="BT1228" s="47"/>
    </row>
    <row r="1229" spans="49:72" x14ac:dyDescent="0.2">
      <c r="AW1229" s="118"/>
      <c r="AX1229" s="118"/>
      <c r="AY1229" s="144"/>
      <c r="BF1229" s="101" t="str">
        <f t="shared" si="34"/>
        <v/>
      </c>
      <c r="BG1229" s="101" t="str">
        <f t="shared" si="35"/>
        <v/>
      </c>
      <c r="BH1229" s="101" t="str">
        <f t="shared" si="36"/>
        <v/>
      </c>
      <c r="BI1229" s="101" t="str">
        <f t="shared" si="37"/>
        <v/>
      </c>
      <c r="BJ1229" s="101" t="str">
        <f t="shared" si="38"/>
        <v/>
      </c>
      <c r="BK1229" s="101" t="str">
        <f t="shared" si="39"/>
        <v/>
      </c>
      <c r="BL1229" s="48"/>
      <c r="BM1229" s="48"/>
      <c r="BN1229" s="48"/>
      <c r="BO1229" s="47"/>
      <c r="BP1229" s="47"/>
      <c r="BQ1229" s="47"/>
      <c r="BR1229" s="47"/>
      <c r="BS1229" s="47"/>
      <c r="BT1229" s="47"/>
    </row>
    <row r="1230" spans="49:72" x14ac:dyDescent="0.2">
      <c r="AW1230" s="118"/>
      <c r="AX1230" s="118"/>
      <c r="AY1230" s="144"/>
      <c r="BF1230" s="101" t="str">
        <f t="shared" si="34"/>
        <v/>
      </c>
      <c r="BG1230" s="101" t="str">
        <f t="shared" si="35"/>
        <v/>
      </c>
      <c r="BH1230" s="101" t="str">
        <f t="shared" si="36"/>
        <v/>
      </c>
      <c r="BI1230" s="101" t="str">
        <f t="shared" si="37"/>
        <v/>
      </c>
      <c r="BJ1230" s="101" t="str">
        <f t="shared" si="38"/>
        <v/>
      </c>
      <c r="BK1230" s="101" t="str">
        <f t="shared" si="39"/>
        <v/>
      </c>
      <c r="BL1230" s="48"/>
      <c r="BM1230" s="48"/>
      <c r="BN1230" s="48"/>
      <c r="BO1230" s="47"/>
      <c r="BP1230" s="47"/>
      <c r="BQ1230" s="47"/>
      <c r="BR1230" s="47"/>
      <c r="BS1230" s="47"/>
      <c r="BT1230" s="47"/>
    </row>
    <row r="1231" spans="49:72" x14ac:dyDescent="0.2">
      <c r="AW1231" s="118"/>
      <c r="AX1231" s="118"/>
      <c r="AY1231" s="144"/>
      <c r="BF1231" s="101" t="str">
        <f t="shared" si="34"/>
        <v/>
      </c>
      <c r="BG1231" s="101" t="str">
        <f t="shared" si="35"/>
        <v/>
      </c>
      <c r="BH1231" s="101" t="str">
        <f t="shared" si="36"/>
        <v/>
      </c>
      <c r="BI1231" s="101" t="str">
        <f t="shared" si="37"/>
        <v/>
      </c>
      <c r="BJ1231" s="101" t="str">
        <f t="shared" si="38"/>
        <v/>
      </c>
      <c r="BK1231" s="101" t="str">
        <f t="shared" si="39"/>
        <v/>
      </c>
      <c r="BL1231" s="48"/>
      <c r="BM1231" s="48"/>
      <c r="BN1231" s="48"/>
      <c r="BO1231" s="47"/>
      <c r="BP1231" s="47"/>
      <c r="BQ1231" s="47"/>
      <c r="BR1231" s="47"/>
      <c r="BS1231" s="47"/>
      <c r="BT1231" s="47"/>
    </row>
    <row r="1232" spans="49:72" x14ac:dyDescent="0.2">
      <c r="AW1232" s="118"/>
      <c r="AX1232" s="118"/>
      <c r="AY1232" s="144"/>
      <c r="BF1232" s="101" t="str">
        <f t="shared" si="34"/>
        <v/>
      </c>
      <c r="BG1232" s="101" t="str">
        <f t="shared" si="35"/>
        <v/>
      </c>
      <c r="BH1232" s="101" t="str">
        <f t="shared" si="36"/>
        <v/>
      </c>
      <c r="BI1232" s="101" t="str">
        <f t="shared" si="37"/>
        <v/>
      </c>
      <c r="BJ1232" s="101" t="str">
        <f t="shared" si="38"/>
        <v/>
      </c>
      <c r="BK1232" s="101" t="str">
        <f t="shared" si="39"/>
        <v/>
      </c>
    </row>
    <row r="1233" spans="49:63" x14ac:dyDescent="0.2">
      <c r="AW1233" s="118"/>
      <c r="AX1233" s="118"/>
      <c r="AY1233" s="144"/>
      <c r="BF1233" s="101" t="str">
        <f t="shared" si="34"/>
        <v/>
      </c>
      <c r="BG1233" s="101" t="str">
        <f t="shared" si="35"/>
        <v/>
      </c>
      <c r="BH1233" s="101" t="str">
        <f t="shared" si="36"/>
        <v/>
      </c>
      <c r="BI1233" s="101" t="str">
        <f t="shared" si="37"/>
        <v/>
      </c>
      <c r="BJ1233" s="101" t="str">
        <f t="shared" si="38"/>
        <v/>
      </c>
      <c r="BK1233" s="101" t="str">
        <f t="shared" si="39"/>
        <v/>
      </c>
    </row>
  </sheetData>
  <sheetProtection password="CD43" sheet="1" objects="1" scenarios="1" formatColumns="0" formatRows="0" insertRows="0" deleteRows="0" sort="0" autoFilter="0"/>
  <autoFilter ref="A2:AB2"/>
  <mergeCells count="13">
    <mergeCell ref="BF999:BK1000"/>
    <mergeCell ref="A235:D235"/>
    <mergeCell ref="A234:C234"/>
    <mergeCell ref="F1:K1"/>
    <mergeCell ref="L1:Q1"/>
    <mergeCell ref="R1:U1"/>
    <mergeCell ref="V1:Y1"/>
    <mergeCell ref="Z1:AB1"/>
    <mergeCell ref="AC1:AC2"/>
    <mergeCell ref="AD1:AD2"/>
    <mergeCell ref="AE1:AE2"/>
    <mergeCell ref="AF1:AF2"/>
    <mergeCell ref="AD235:AF235"/>
  </mergeCells>
  <dataValidations count="1">
    <dataValidation type="list" allowBlank="1" showInputMessage="1" promptTitle="Exclude from Schedule" prompt="To exclude a drawing from the Schedule choose &quot;---&quot; or leave blank." sqref="E3:E233">
      <formula1>"N, E, D, ---"</formula1>
    </dataValidation>
  </dataValidations>
  <printOptions horizontalCentered="1" verticalCentered="1"/>
  <pageMargins left="0.7" right="0.7" top="0.75" bottom="0.75" header="0.3" footer="0.3"/>
  <pageSetup scale="32" fitToHeight="30" orientation="landscape" r:id="rId1"/>
  <headerFooter>
    <oddHeader>&amp;L&amp;A Tracking Log&amp;R&amp;P of &amp;N</oddHeader>
  </headerFooter>
  <drawing r:id="rId2"/>
  <legacyDrawing r:id="rId3"/>
  <controls>
    <mc:AlternateContent xmlns:mc="http://schemas.openxmlformats.org/markup-compatibility/2006">
      <mc:Choice Requires="x14">
        <control shapeId="157706" r:id="rId4" name="pwiInfo2">
          <controlPr defaultSize="0" print="0" autoLine="0" r:id="rId5">
            <anchor moveWithCells="1">
              <from>
                <xdr:col>59</xdr:col>
                <xdr:colOff>809625</xdr:colOff>
                <xdr:row>998</xdr:row>
                <xdr:rowOff>57150</xdr:rowOff>
              </from>
              <to>
                <xdr:col>60</xdr:col>
                <xdr:colOff>1266825</xdr:colOff>
                <xdr:row>998</xdr:row>
                <xdr:rowOff>447675</xdr:rowOff>
              </to>
            </anchor>
          </controlPr>
        </control>
      </mc:Choice>
      <mc:Fallback>
        <control shapeId="157706" r:id="rId4" name="pwiInfo2"/>
      </mc:Fallback>
    </mc:AlternateContent>
    <mc:AlternateContent xmlns:mc="http://schemas.openxmlformats.org/markup-compatibility/2006">
      <mc:Choice Requires="x14">
        <control shapeId="157697" r:id="rId6" name="summary2">
          <controlPr defaultSize="0" print="0" autoFill="0" autoLine="0" r:id="rId7">
            <anchor moveWithCells="1">
              <from>
                <xdr:col>3</xdr:col>
                <xdr:colOff>1038225</xdr:colOff>
                <xdr:row>0</xdr:row>
                <xdr:rowOff>180975</xdr:rowOff>
              </from>
              <to>
                <xdr:col>3</xdr:col>
                <xdr:colOff>2371725</xdr:colOff>
                <xdr:row>1</xdr:row>
                <xdr:rowOff>238125</xdr:rowOff>
              </to>
            </anchor>
          </controlPr>
        </control>
      </mc:Choice>
      <mc:Fallback>
        <control shapeId="157697" r:id="rId6" name="summary2"/>
      </mc:Fallback>
    </mc:AlternateContent>
    <mc:AlternateContent xmlns:mc="http://schemas.openxmlformats.org/markup-compatibility/2006">
      <mc:Choice Requires="x14">
        <control shapeId="157698" r:id="rId8" name="log2">
          <controlPr defaultSize="0" print="0" autoLine="0" r:id="rId9">
            <anchor moveWithCells="1">
              <from>
                <xdr:col>58</xdr:col>
                <xdr:colOff>1352550</xdr:colOff>
                <xdr:row>998</xdr:row>
                <xdr:rowOff>57150</xdr:rowOff>
              </from>
              <to>
                <xdr:col>59</xdr:col>
                <xdr:colOff>742950</xdr:colOff>
                <xdr:row>998</xdr:row>
                <xdr:rowOff>447675</xdr:rowOff>
              </to>
            </anchor>
          </controlPr>
        </control>
      </mc:Choice>
      <mc:Fallback>
        <control shapeId="157698" r:id="rId8" name="log2"/>
      </mc:Fallback>
    </mc:AlternateContent>
    <mc:AlternateContent xmlns:mc="http://schemas.openxmlformats.org/markup-compatibility/2006">
      <mc:Choice Requires="x14">
        <control shapeId="157703" r:id="rId10" name="printSumm2">
          <controlPr defaultSize="0" print="0" autoLine="0" r:id="rId11">
            <anchor moveWithCells="1">
              <from>
                <xdr:col>60</xdr:col>
                <xdr:colOff>1352550</xdr:colOff>
                <xdr:row>998</xdr:row>
                <xdr:rowOff>57150</xdr:rowOff>
              </from>
              <to>
                <xdr:col>61</xdr:col>
                <xdr:colOff>1000125</xdr:colOff>
                <xdr:row>998</xdr:row>
                <xdr:rowOff>447675</xdr:rowOff>
              </to>
            </anchor>
          </controlPr>
        </control>
      </mc:Choice>
      <mc:Fallback>
        <control shapeId="157703" r:id="rId10" name="printSumm2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Schedule</vt:lpstr>
      <vt:lpstr>drawingRows</vt:lpstr>
      <vt:lpstr>DWGTYPE</vt:lpstr>
      <vt:lpstr>newDWG</vt:lpstr>
      <vt:lpstr>oldDWG</vt:lpstr>
      <vt:lpstr>'P&amp;IDs'!Print_Area</vt:lpstr>
      <vt:lpstr>PFDs!Print_Area</vt:lpstr>
      <vt:lpstr>Schedule!Print_Area</vt:lpstr>
      <vt:lpstr>'P&amp;IDs'!Print_Titles</vt:lpstr>
      <vt:lpstr>PFDs!Print_Titles</vt:lpstr>
      <vt:lpstr>Schedule!Print_Titles</vt:lpstr>
      <vt:lpstr>PROJNUM</vt:lpstr>
      <vt:lpstr>PFDs!summAnchor</vt:lpstr>
      <vt:lpstr>'P&amp;IDs'!summAnchor2</vt:lpstr>
      <vt:lpstr>PFDs!ttlPFDS</vt:lpstr>
      <vt:lpstr>'P&amp;IDs'!ttlPIDs</vt:lpstr>
      <vt:lpstr>unlckPFD</vt:lpstr>
      <vt:lpstr>unlckPID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Brown, Nick</dc:creator>
  <cp:lastModifiedBy>Brown, Nick</cp:lastModifiedBy>
  <cp:lastPrinted>2015-04-06T15:14:57Z</cp:lastPrinted>
  <dcterms:created xsi:type="dcterms:W3CDTF">2009-02-19T13:49:17Z</dcterms:created>
  <dcterms:modified xsi:type="dcterms:W3CDTF">2015-10-12T13:17:04Z</dcterms:modified>
</cp:coreProperties>
</file>